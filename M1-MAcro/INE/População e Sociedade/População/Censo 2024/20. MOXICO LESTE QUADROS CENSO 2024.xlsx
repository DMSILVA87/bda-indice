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2PERFINS_PROVINCIAIS\10 PORTAL INE\29 MOXICO LESTE_FEITO\"/>
    </mc:Choice>
  </mc:AlternateContent>
  <bookViews>
    <workbookView xWindow="0" yWindow="0" windowWidth="19200" windowHeight="9795" tabRatio="911" firstSheet="30" activeTab="30"/>
  </bookViews>
  <sheets>
    <sheet name="1. População" sheetId="1" r:id="rId1"/>
    <sheet name="Q1.1" sheetId="2" r:id="rId2"/>
    <sheet name="Q1.2" sheetId="3" r:id="rId3"/>
    <sheet name="Q1.3" sheetId="4" r:id="rId4"/>
    <sheet name="Q1.4" sheetId="5" r:id="rId5"/>
    <sheet name="Q1.5" sheetId="6" r:id="rId6"/>
    <sheet name="Q1.6" sheetId="7" r:id="rId7"/>
    <sheet name="Q1.7" sheetId="8" r:id="rId8"/>
    <sheet name="2. Estado Civil" sheetId="10" r:id="rId9"/>
    <sheet name="Q2.1" sheetId="11" r:id="rId10"/>
    <sheet name="3. Registo Civil" sheetId="12" r:id="rId11"/>
    <sheet name="Q3.1" sheetId="15" r:id="rId12"/>
    <sheet name="Q3.2" sheetId="16" r:id="rId13"/>
    <sheet name="Q3.3" sheetId="17" r:id="rId14"/>
    <sheet name="Q3.4" sheetId="18" r:id="rId15"/>
    <sheet name="4. Deficiência e Albinismo" sheetId="13" r:id="rId16"/>
    <sheet name="Q4.1" sheetId="19" r:id="rId17"/>
    <sheet name="Q4.2" sheetId="21" r:id="rId18"/>
    <sheet name="Q4.3" sheetId="20" r:id="rId19"/>
    <sheet name="5. Orfandade" sheetId="14" r:id="rId20"/>
    <sheet name="Q5.1" sheetId="22" r:id="rId21"/>
    <sheet name="Q5.2" sheetId="23" r:id="rId22"/>
    <sheet name="6. Língua Materna" sheetId="24" r:id="rId23"/>
    <sheet name="Q 6.1" sheetId="26" r:id="rId24"/>
    <sheet name="Q 6.2" sheetId="27" r:id="rId25"/>
    <sheet name="7. Religião" sheetId="28" r:id="rId26"/>
    <sheet name="Q 7.1" sheetId="29" r:id="rId27"/>
    <sheet name="8. Educação" sheetId="30" r:id="rId28"/>
    <sheet name="Q8.1" sheetId="31" r:id="rId29"/>
    <sheet name="Q8.2" sheetId="33" r:id="rId30"/>
    <sheet name="Q8.3" sheetId="34" r:id="rId31"/>
    <sheet name="Q8.4" sheetId="32" r:id="rId32"/>
    <sheet name="Q8.5" sheetId="25" r:id="rId33"/>
    <sheet name="Q8.6" sheetId="35" r:id="rId34"/>
    <sheet name="Q8.7" sheetId="36" r:id="rId35"/>
    <sheet name="Q8.8" sheetId="37" r:id="rId36"/>
    <sheet name="Q8.9" sheetId="38" r:id="rId37"/>
    <sheet name="Q8.10" sheetId="39" r:id="rId38"/>
    <sheet name="Q8.11" sheetId="40" r:id="rId39"/>
    <sheet name="Q8.12" sheetId="41" r:id="rId40"/>
    <sheet name="Q8.13" sheetId="42" r:id="rId41"/>
    <sheet name="Q8.14" sheetId="43" r:id="rId42"/>
    <sheet name="Q8.15" sheetId="44" r:id="rId43"/>
    <sheet name="Q 8.16" sheetId="75" r:id="rId44"/>
    <sheet name="9. Agregado Familiar" sheetId="45" r:id="rId45"/>
    <sheet name="Q9.1" sheetId="46" r:id="rId46"/>
    <sheet name="Q9.2" sheetId="47" r:id="rId47"/>
    <sheet name="Q9.3" sheetId="48" r:id="rId48"/>
    <sheet name="Q9.4" sheetId="49" r:id="rId49"/>
    <sheet name="Q 9.5" sheetId="50" r:id="rId50"/>
    <sheet name="Q9.6" sheetId="51" r:id="rId51"/>
    <sheet name="Q9.7" sheetId="52" r:id="rId52"/>
    <sheet name="Q9.8" sheetId="53" r:id="rId53"/>
    <sheet name="Q9.9" sheetId="54" r:id="rId54"/>
    <sheet name="Q9.10" sheetId="55" r:id="rId55"/>
    <sheet name="Q9.11" sheetId="56" r:id="rId56"/>
    <sheet name="Q9.12" sheetId="57" r:id="rId57"/>
    <sheet name="Q9.13" sheetId="58" r:id="rId58"/>
    <sheet name="Q9.14" sheetId="59" r:id="rId59"/>
    <sheet name="Q9.15" sheetId="60" r:id="rId60"/>
    <sheet name="Q9.16" sheetId="61" r:id="rId61"/>
    <sheet name="Q9.17" sheetId="62" r:id="rId62"/>
    <sheet name="Q9.18" sheetId="63" r:id="rId63"/>
    <sheet name="Q9.19" sheetId="64" r:id="rId64"/>
    <sheet name="Q9.20" sheetId="65" r:id="rId65"/>
    <sheet name="10. Habitação" sheetId="66" r:id="rId66"/>
    <sheet name="Q10.1" sheetId="67" r:id="rId67"/>
    <sheet name="Q10.2" sheetId="68" r:id="rId68"/>
    <sheet name="Q10.3" sheetId="69" r:id="rId69"/>
    <sheet name="Q10.4" sheetId="70" r:id="rId70"/>
    <sheet name="Q10.5" sheetId="71" r:id="rId71"/>
    <sheet name="Q10.6" sheetId="72" r:id="rId72"/>
    <sheet name="Q10.7" sheetId="73" r:id="rId7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8" i="23" l="1"/>
  <c r="J30" i="7" l="1"/>
  <c r="F30" i="7"/>
  <c r="B30" i="7"/>
  <c r="J29" i="7"/>
  <c r="F29" i="7"/>
  <c r="B29" i="7"/>
  <c r="J28" i="7"/>
  <c r="F28" i="7"/>
  <c r="B28" i="7"/>
  <c r="J27" i="7"/>
  <c r="F27" i="7"/>
  <c r="B27" i="7"/>
  <c r="J26" i="7"/>
  <c r="F26" i="7"/>
  <c r="B26" i="7"/>
  <c r="J25" i="7"/>
  <c r="F25" i="7"/>
  <c r="B25" i="7"/>
  <c r="J24" i="7"/>
  <c r="F24" i="7"/>
  <c r="B24" i="7"/>
  <c r="J23" i="7"/>
  <c r="F23" i="7"/>
  <c r="B23" i="7"/>
  <c r="J22" i="7"/>
  <c r="F22" i="7"/>
  <c r="B22" i="7"/>
  <c r="J21" i="7"/>
  <c r="F21" i="7"/>
  <c r="B21" i="7"/>
  <c r="J20" i="7"/>
  <c r="F20" i="7"/>
  <c r="B20" i="7"/>
  <c r="J19" i="7"/>
  <c r="F19" i="7"/>
  <c r="B19" i="7"/>
  <c r="J18" i="7"/>
  <c r="F18" i="7"/>
  <c r="B18" i="7"/>
  <c r="J17" i="7"/>
  <c r="F17" i="7"/>
  <c r="B17" i="7"/>
  <c r="J16" i="7"/>
  <c r="F16" i="7"/>
  <c r="B16" i="7"/>
  <c r="J15" i="7"/>
  <c r="F15" i="7"/>
  <c r="B15" i="7"/>
  <c r="J14" i="7"/>
  <c r="F14" i="7"/>
  <c r="B14" i="7"/>
  <c r="J13" i="7"/>
  <c r="F13" i="7"/>
  <c r="B13" i="7"/>
  <c r="J12" i="7"/>
  <c r="F12" i="7"/>
  <c r="B12" i="7"/>
  <c r="J11" i="7"/>
  <c r="F11" i="7"/>
  <c r="B11" i="7"/>
  <c r="L14" i="23" l="1"/>
  <c r="H14" i="23"/>
  <c r="D14" i="23"/>
  <c r="C14" i="23" s="1"/>
  <c r="O14" i="23" s="1"/>
  <c r="L13" i="23"/>
  <c r="H13" i="23"/>
  <c r="C13" i="23" s="1"/>
  <c r="O13" i="23" s="1"/>
  <c r="D13" i="23"/>
  <c r="L12" i="23"/>
  <c r="H12" i="23"/>
  <c r="D12" i="23"/>
  <c r="C12" i="23"/>
  <c r="O12" i="23" s="1"/>
  <c r="L11" i="23"/>
  <c r="H11" i="23"/>
  <c r="C11" i="23" s="1"/>
  <c r="O11" i="23" s="1"/>
  <c r="D11" i="23"/>
  <c r="L10" i="23"/>
  <c r="H10" i="23"/>
  <c r="D10" i="23"/>
  <c r="L9" i="23"/>
  <c r="H9" i="23"/>
  <c r="C9" i="23" s="1"/>
  <c r="O9" i="23" s="1"/>
  <c r="D9" i="23"/>
  <c r="L8" i="23"/>
  <c r="C8" i="23" s="1"/>
  <c r="H8" i="23"/>
  <c r="D8" i="23"/>
  <c r="L7" i="23"/>
  <c r="H7" i="23"/>
  <c r="D7" i="23"/>
  <c r="L6" i="23"/>
  <c r="H6" i="23"/>
  <c r="D6" i="23"/>
  <c r="L5" i="23"/>
  <c r="H5" i="23"/>
  <c r="C5" i="23" s="1"/>
  <c r="O5" i="23" s="1"/>
  <c r="D5" i="23"/>
  <c r="L30" i="22"/>
  <c r="H30" i="22"/>
  <c r="D30" i="22"/>
  <c r="L29" i="22"/>
  <c r="C29" i="22" s="1"/>
  <c r="H29" i="22"/>
  <c r="D29" i="22"/>
  <c r="L28" i="22"/>
  <c r="H28" i="22"/>
  <c r="D28" i="22"/>
  <c r="L27" i="22"/>
  <c r="H27" i="22"/>
  <c r="C27" i="22" s="1"/>
  <c r="D27" i="22"/>
  <c r="L26" i="22"/>
  <c r="H26" i="22"/>
  <c r="D26" i="22"/>
  <c r="L25" i="22"/>
  <c r="H25" i="22"/>
  <c r="D25" i="22"/>
  <c r="C25" i="22" s="1"/>
  <c r="L24" i="22"/>
  <c r="H24" i="22"/>
  <c r="C24" i="22" s="1"/>
  <c r="D24" i="22"/>
  <c r="L23" i="22"/>
  <c r="H23" i="22"/>
  <c r="D23" i="22"/>
  <c r="C23" i="22"/>
  <c r="L22" i="22"/>
  <c r="H22" i="22"/>
  <c r="D22" i="22"/>
  <c r="L21" i="22"/>
  <c r="H21" i="22"/>
  <c r="D21" i="22"/>
  <c r="C21" i="22"/>
  <c r="L20" i="22"/>
  <c r="H20" i="22"/>
  <c r="D20" i="22"/>
  <c r="L19" i="22"/>
  <c r="C19" i="22" s="1"/>
  <c r="H19" i="22"/>
  <c r="D19" i="22"/>
  <c r="L18" i="22"/>
  <c r="H18" i="22"/>
  <c r="C18" i="22" s="1"/>
  <c r="D18" i="22"/>
  <c r="L17" i="22"/>
  <c r="H17" i="22"/>
  <c r="C17" i="22" s="1"/>
  <c r="D17" i="22"/>
  <c r="L16" i="22"/>
  <c r="H16" i="22"/>
  <c r="D16" i="22"/>
  <c r="L15" i="22"/>
  <c r="H15" i="22"/>
  <c r="D15" i="22"/>
  <c r="C15" i="22" s="1"/>
  <c r="L14" i="22"/>
  <c r="H14" i="22"/>
  <c r="D14" i="22"/>
  <c r="L13" i="22"/>
  <c r="C13" i="22" s="1"/>
  <c r="H13" i="22"/>
  <c r="D13" i="22"/>
  <c r="L12" i="22"/>
  <c r="H12" i="22"/>
  <c r="D12" i="22"/>
  <c r="L11" i="22"/>
  <c r="H11" i="22"/>
  <c r="C11" i="22" s="1"/>
  <c r="D11" i="22"/>
  <c r="L9" i="22"/>
  <c r="H9" i="22"/>
  <c r="D9" i="22"/>
  <c r="L8" i="22"/>
  <c r="H8" i="22"/>
  <c r="D8" i="22"/>
  <c r="C8" i="22" s="1"/>
  <c r="L5" i="22"/>
  <c r="H5" i="22"/>
  <c r="C5" i="22" s="1"/>
  <c r="D5" i="22"/>
  <c r="C22" i="22" l="1"/>
  <c r="C20" i="22"/>
  <c r="C16" i="22"/>
  <c r="C30" i="22"/>
  <c r="C14" i="22"/>
  <c r="C12" i="22"/>
  <c r="C28" i="22"/>
  <c r="C9" i="22"/>
  <c r="C26" i="22"/>
  <c r="D44" i="19"/>
  <c r="D43" i="19"/>
  <c r="D42" i="19"/>
  <c r="D41" i="19"/>
  <c r="D38" i="19"/>
  <c r="D37" i="19"/>
  <c r="D36" i="19"/>
  <c r="D35" i="19"/>
  <c r="D32" i="19"/>
  <c r="D31" i="19"/>
  <c r="D30" i="19"/>
  <c r="D29" i="19"/>
  <c r="D26" i="19"/>
  <c r="D25" i="19"/>
  <c r="D24" i="19"/>
  <c r="D23" i="19"/>
  <c r="D20" i="19"/>
  <c r="D19" i="19"/>
  <c r="D18" i="19"/>
  <c r="D17" i="19"/>
  <c r="D14" i="19"/>
  <c r="D13" i="19"/>
  <c r="D12" i="19"/>
  <c r="D11" i="19"/>
  <c r="D8" i="19"/>
  <c r="D7" i="19"/>
  <c r="D6" i="19"/>
  <c r="D5" i="19"/>
</calcChain>
</file>

<file path=xl/sharedStrings.xml><?xml version="1.0" encoding="utf-8"?>
<sst xmlns="http://schemas.openxmlformats.org/spreadsheetml/2006/main" count="2365" uniqueCount="573">
  <si>
    <t>Idades Simples</t>
  </si>
  <si>
    <t>Total</t>
  </si>
  <si>
    <t>Homens</t>
  </si>
  <si>
    <t>Mulheres</t>
  </si>
  <si>
    <t>Idade</t>
  </si>
  <si>
    <t>Urbana</t>
  </si>
  <si>
    <t>Rural</t>
  </si>
  <si>
    <t>Municipios</t>
  </si>
  <si>
    <t>Total da população</t>
  </si>
  <si>
    <t>Grupos etários</t>
  </si>
  <si>
    <t>0-4 anos</t>
  </si>
  <si>
    <t>5-14 anos</t>
  </si>
  <si>
    <t>15-64 anos</t>
  </si>
  <si>
    <t>65 ou mais</t>
  </si>
  <si>
    <t>Aréa de residência</t>
  </si>
  <si>
    <t>Total de Habitaçãoes</t>
  </si>
  <si>
    <t>Habitação Familiar</t>
  </si>
  <si>
    <t>Vivenda</t>
  </si>
  <si>
    <t>Casa convencional</t>
  </si>
  <si>
    <t>Apartamento</t>
  </si>
  <si>
    <t>Cubata</t>
  </si>
  <si>
    <t>Barraca/Casa de chapa</t>
  </si>
  <si>
    <t>Outro</t>
  </si>
  <si>
    <t>Total de  Habitações</t>
  </si>
  <si>
    <t>Estado de ocupação da habitação</t>
  </si>
  <si>
    <t>Residência de uso habitual ocupado</t>
  </si>
  <si>
    <t>Residência de uso  oacasional ocupado</t>
  </si>
  <si>
    <t>Residência fechada</t>
  </si>
  <si>
    <t>Tipo de material usado principamente nas paredes exteriores</t>
  </si>
  <si>
    <t>Pedra</t>
  </si>
  <si>
    <t>Cimento / Bloco</t>
  </si>
  <si>
    <t>Tijolo</t>
  </si>
  <si>
    <t>Adobe</t>
  </si>
  <si>
    <t>Madeira</t>
  </si>
  <si>
    <t>Zinco</t>
  </si>
  <si>
    <t>Pau-a-pique</t>
  </si>
  <si>
    <t>Tipo de material usado principalmente no tecto</t>
  </si>
  <si>
    <t>Placa de betão</t>
  </si>
  <si>
    <t>Telha</t>
  </si>
  <si>
    <t>Lusalite / Fibrocimento</t>
  </si>
  <si>
    <t>Capim</t>
  </si>
  <si>
    <t>Tipo de material usado principalmente no chão</t>
  </si>
  <si>
    <t>Terra batida</t>
  </si>
  <si>
    <t>Cimento</t>
  </si>
  <si>
    <t>Mosaicos de cerâmica</t>
  </si>
  <si>
    <t>Divisões da habitação</t>
  </si>
  <si>
    <t>Quartos só para dormir</t>
  </si>
  <si>
    <t>Média de divisões por habitação</t>
  </si>
  <si>
    <t>Média de pessoas por divisões</t>
  </si>
  <si>
    <t xml:space="preserve">Média de quartos só para dormir por habitação </t>
  </si>
  <si>
    <t>Média de pessoas por quarto só para  dormir</t>
  </si>
  <si>
    <t>Quadro 9.1 - Agregados familiares por área de residência, município e comuna, segundo o principal tipo de iluminação, 2024</t>
  </si>
  <si>
    <t>Total de agregados familiares</t>
  </si>
  <si>
    <t>Principal tipo de Iluminação</t>
  </si>
  <si>
    <t>Electricida da rede pública</t>
  </si>
  <si>
    <t>Gerador</t>
  </si>
  <si>
    <t>Painel solar</t>
  </si>
  <si>
    <t>Eólica (vento)</t>
  </si>
  <si>
    <t>Lanterna</t>
  </si>
  <si>
    <t>Candeeiro (gás, petróleo, pilhs etc.)</t>
  </si>
  <si>
    <t>Vela</t>
  </si>
  <si>
    <t>Lenha</t>
  </si>
  <si>
    <t>Nenhum</t>
  </si>
  <si>
    <t>Outra fonte</t>
  </si>
  <si>
    <t>Principal fonte de energia/combustível utilizado para cozinhar</t>
  </si>
  <si>
    <t xml:space="preserve"> Electricidade</t>
  </si>
  <si>
    <t xml:space="preserve"> Gás</t>
  </si>
  <si>
    <t xml:space="preserve"> Petróleo</t>
  </si>
  <si>
    <t xml:space="preserve"> Carvão</t>
  </si>
  <si>
    <t xml:space="preserve"> Lenha</t>
  </si>
  <si>
    <t xml:space="preserve"> Carvão/papelão</t>
  </si>
  <si>
    <t>Dentro de Casa</t>
  </si>
  <si>
    <t>Fora de Casa</t>
  </si>
  <si>
    <t xml:space="preserve">  Sanita ligada à rede púlica de esgotos</t>
  </si>
  <si>
    <t xml:space="preserve"> Sanita ligada à fossa séptica</t>
  </si>
  <si>
    <t>Sanita ligada à fossa aberta( vala ou rio)</t>
  </si>
  <si>
    <t xml:space="preserve"> Retrete/ Latrina ligada a rede pública de esgotos</t>
  </si>
  <si>
    <t xml:space="preserve"> Retrete/ Latrina ligada a fossa séptica</t>
  </si>
  <si>
    <t xml:space="preserve">  Retrete/ Latrina ligada a fossa aberta ( vala ou rio)</t>
  </si>
  <si>
    <t xml:space="preserve">  Sanita ligada à fossa séptica</t>
  </si>
  <si>
    <t xml:space="preserve">  Sanita ligada à fossa aberta( vala ou rio)</t>
  </si>
  <si>
    <t xml:space="preserve">  Retrete/ Latrina ligada a rede pública de esgotos</t>
  </si>
  <si>
    <t xml:space="preserve"> Retrete/ Latrina ligada a fossa aberta ( vala ou rio)</t>
  </si>
  <si>
    <t xml:space="preserve"> Nenhum sanitário / espaço livre / Ar livre</t>
  </si>
  <si>
    <t>Principal modo de tratamento habitual que se da a água para beber</t>
  </si>
  <si>
    <t xml:space="preserve"> Ferve</t>
  </si>
  <si>
    <t xml:space="preserve"> Desinfeta com lixívia (outro desinfetante)</t>
  </si>
  <si>
    <t xml:space="preserve"> Filtra com pano</t>
  </si>
  <si>
    <t xml:space="preserve"> Filtra com filtro de água</t>
  </si>
  <si>
    <t xml:space="preserve"> Filtra e ferve</t>
  </si>
  <si>
    <t xml:space="preserve"> Aquece ao sol</t>
  </si>
  <si>
    <t xml:space="preserve"> Nenhum tratamento</t>
  </si>
  <si>
    <t>Deixa reposar</t>
  </si>
  <si>
    <t>Outro modo</t>
  </si>
  <si>
    <t>Agregados que partilham a casa de banho</t>
  </si>
  <si>
    <t xml:space="preserve"> Sim </t>
  </si>
  <si>
    <t xml:space="preserve"> Não</t>
  </si>
  <si>
    <t>Área de residencia</t>
  </si>
  <si>
    <t>Total de Agregados familiares</t>
  </si>
  <si>
    <t>Acesso a Água da rede pública</t>
  </si>
  <si>
    <t xml:space="preserve"> Sim, dentro da casa</t>
  </si>
  <si>
    <t xml:space="preserve"> Sim, dentro do quintal da casa</t>
  </si>
  <si>
    <t>Não tem acesso</t>
  </si>
  <si>
    <t>Quadro 9.7 - Agregados familiares por área de residência, município e comuna, segundo situação se a água utilizada para beber provém da mesma fonte, 2024</t>
  </si>
  <si>
    <t>Situação se a água utilizada para beber provém da mesma fonte</t>
  </si>
  <si>
    <t xml:space="preserve"> Sim</t>
  </si>
  <si>
    <t>Quadro 9.8 - Agregados familiares por área de residência, município e comuna, segundo a principal fonte utilizada para abastecimento de água, 2024</t>
  </si>
  <si>
    <t>Província e área de 
residência</t>
  </si>
  <si>
    <t>Principal fonte utilizado para abastecimento de água</t>
  </si>
  <si>
    <t xml:space="preserve"> Torneira do Agregado familiar ligada a rede pública</t>
  </si>
  <si>
    <t>Torneira do edifício vizinho ligada a rede pública</t>
  </si>
  <si>
    <t>Camião cisterna / mota de 3 rodas / cupapata</t>
  </si>
  <si>
    <t>Chafariz público</t>
  </si>
  <si>
    <t>Furo com bomba</t>
  </si>
  <si>
    <t>Cacimba / poço protegido</t>
  </si>
  <si>
    <t>Cacimba / poço desprotegido</t>
  </si>
  <si>
    <t>Nascente protegida</t>
  </si>
  <si>
    <t>Nascente desprotegida</t>
  </si>
  <si>
    <t>Água da chuva / chimpacas</t>
  </si>
  <si>
    <t>Charco / rio / Riacho/ Canal</t>
  </si>
  <si>
    <t>Sim</t>
  </si>
  <si>
    <t>Não</t>
  </si>
  <si>
    <t>Não declarado</t>
  </si>
  <si>
    <t xml:space="preserve"> 0 - 14 anos</t>
  </si>
  <si>
    <t xml:space="preserve"> 15-64 anos</t>
  </si>
  <si>
    <t xml:space="preserve"> 65 ou mais anos</t>
  </si>
  <si>
    <t>Área de residência</t>
  </si>
  <si>
    <t xml:space="preserve">Sexo </t>
  </si>
  <si>
    <t xml:space="preserve">Homens </t>
  </si>
  <si>
    <t>Média</t>
  </si>
  <si>
    <t>Mediana</t>
  </si>
  <si>
    <t>População com 12 ou mais anos</t>
  </si>
  <si>
    <t>Estado Civil</t>
  </si>
  <si>
    <t>Solteiro(a)</t>
  </si>
  <si>
    <t>Casado(a) ou em União de facto</t>
  </si>
  <si>
    <t>Separado(a)</t>
  </si>
  <si>
    <t>Divorciado(a)</t>
  </si>
  <si>
    <t>Viúvo(a)</t>
  </si>
  <si>
    <t>População com registo de nascimento</t>
  </si>
  <si>
    <t>Masculino</t>
  </si>
  <si>
    <t>Feminino</t>
  </si>
  <si>
    <t>Grupo Etário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</si>
  <si>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</si>
  <si>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</si>
  <si>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</si>
  <si>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</si>
  <si>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</si>
  <si>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</si>
  <si>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</si>
  <si>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</si>
  <si>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</si>
  <si>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</si>
  <si>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</si>
  <si>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</si>
  <si>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 ou mais anos</t>
  </si>
  <si>
    <t>Quicongo (Kikongu ou Congolês conguês</t>
  </si>
  <si>
    <t>Quimbundo (Kimbundu ou Tymbundu)</t>
  </si>
  <si>
    <t>Lunda-Quioco (Lunda-kioko ou Lunda-Tchokwe Tshokwe)</t>
  </si>
  <si>
    <t>Umbundo (ou Ovimbundo)</t>
  </si>
  <si>
    <t>Nhaneca-Humbe (Nyaneka-Lumkumbi)</t>
  </si>
  <si>
    <t>Ambó (Vahambo tanbé designado Xikwanyama)</t>
  </si>
  <si>
    <t>Helelo, Herero (Tchielelo, Tjiherero)</t>
  </si>
  <si>
    <t>Cuangar</t>
  </si>
  <si>
    <t>Khoisan</t>
  </si>
  <si>
    <t>Vátua</t>
  </si>
  <si>
    <t>Kwoi</t>
  </si>
  <si>
    <t>Xindonga (Oshindonga)</t>
  </si>
  <si>
    <t>Não sabe</t>
  </si>
  <si>
    <t>Outra Etnia</t>
  </si>
  <si>
    <t>Língua materna agrupada</t>
  </si>
  <si>
    <t>Português</t>
  </si>
  <si>
    <t>Kimbundu</t>
  </si>
  <si>
    <t>Umbundu</t>
  </si>
  <si>
    <t>Cokue (Chokwe/Kioko)</t>
  </si>
  <si>
    <t>Kikongo</t>
  </si>
  <si>
    <t>Olunyaneka (Nhaneka)</t>
  </si>
  <si>
    <t>Nganguela</t>
  </si>
  <si>
    <t>Oxikwanhama (Kwanhama)</t>
  </si>
  <si>
    <t>Ifyoti (Fiote)</t>
  </si>
  <si>
    <t>Muhumbi</t>
  </si>
  <si>
    <t>Luvale</t>
  </si>
  <si>
    <t>Outras línguas</t>
  </si>
  <si>
    <t>Domínio Funcional</t>
  </si>
  <si>
    <t>Grau de dificuldade</t>
  </si>
  <si>
    <t>N</t>
  </si>
  <si>
    <t>%</t>
  </si>
  <si>
    <t>Dificulade em ver, mesmo quando usa os seus óculos/lentes de contacto</t>
  </si>
  <si>
    <t>Não tem dificuldade</t>
  </si>
  <si>
    <t>Tem alguma dificuldade</t>
  </si>
  <si>
    <t>Tem muita dificuldade</t>
  </si>
  <si>
    <t>Não consegue ver de modo algum</t>
  </si>
  <si>
    <t>Total dos 5 ou mais anos</t>
  </si>
  <si>
    <t>Dificuldade em ouvir, mesmo quando usa aparelho(S) auditivo</t>
  </si>
  <si>
    <t>Não consegue ouvir de modo algum</t>
  </si>
  <si>
    <t>Dificuldade em andar ou subir escadas</t>
  </si>
  <si>
    <t>Não consegue andar de modo algum</t>
  </si>
  <si>
    <t>Dificuldade de se comunicar (por exemplo, compreender, interpretar ou ser compreendido pelos outros)</t>
  </si>
  <si>
    <t>Não consegue entender os outros ou fazer-se entender de modo algum</t>
  </si>
  <si>
    <t>Dificuldade em lembrar das coisas ou concentrar-se</t>
  </si>
  <si>
    <t>Não consegue se concentrar ou lembrar de modo algum</t>
  </si>
  <si>
    <t>Dificuldades em usar as mãos e os dedos(por exemplo, apanhar pequenos objectos, como um botão, lápis,  abrir ou fechar recipientes)</t>
  </si>
  <si>
    <t>Não consegue usar os dedos de modo algum</t>
  </si>
  <si>
    <t>Dificuldades em cuidar de si próprio (por exemplo  tomar banho da cabeça aos pés ou vestir-se sozinho)</t>
  </si>
  <si>
    <t>Não consegue cuidar da si de modo algum</t>
  </si>
  <si>
    <t xml:space="preserve">Nota-A : O denominador usado para o cálculo das percentagens é o total da população com 5 ou mais anos, </t>
  </si>
  <si>
    <r>
      <t xml:space="preserve">Nota-B: Inseriu-se a linha do total respodente,visto que para o nosso caso a população será a mesma uma vez que os missings foram recodificados em todas as variáveis para a opção de resposta </t>
    </r>
    <r>
      <rPr>
        <b/>
        <sz val="9"/>
        <color theme="1"/>
        <rFont val="Calibri"/>
        <family val="2"/>
      </rPr>
      <t>não tem dificuldad</t>
    </r>
    <r>
      <rPr>
        <sz val="9"/>
        <color theme="1"/>
        <rFont val="Calibri"/>
        <family val="2"/>
      </rPr>
      <t>e</t>
    </r>
  </si>
  <si>
    <t>Mãe vive noutro agregado</t>
  </si>
  <si>
    <t xml:space="preserve"> Pai vive noutro agregado</t>
  </si>
  <si>
    <t>Ambos vivem noutro agregado</t>
  </si>
  <si>
    <t xml:space="preserve">Urbana </t>
  </si>
  <si>
    <t>Total de crianças orfãos</t>
  </si>
  <si>
    <t>Crianças orfãos de mãe</t>
  </si>
  <si>
    <t>Crianças orfãos de pai</t>
  </si>
  <si>
    <t>Crianças orfãos  de ambos</t>
  </si>
  <si>
    <t>Taxa de orfandade</t>
  </si>
  <si>
    <t>Grupo etário</t>
  </si>
  <si>
    <t>15-17 anos</t>
  </si>
  <si>
    <t>Total da população com 15 ou mais anos</t>
  </si>
  <si>
    <t>População com 15 ou mais anos que sabe ler e escrever</t>
  </si>
  <si>
    <t>Taxa de alfabetização</t>
  </si>
  <si>
    <t>Índice de paridade no género</t>
  </si>
  <si>
    <t>Grupo etário e área de 
residência</t>
  </si>
  <si>
    <t>65-69 anos</t>
  </si>
  <si>
    <t>70-74 anos</t>
  </si>
  <si>
    <t>75-79 anos</t>
  </si>
  <si>
    <t>80-84 anos</t>
  </si>
  <si>
    <t>85-89 anos</t>
  </si>
  <si>
    <t>90-94 anos</t>
  </si>
  <si>
    <t>95 ou mais anos</t>
  </si>
  <si>
    <t xml:space="preserve"> População com 5 ou mais anos</t>
  </si>
  <si>
    <t>A frequentar</t>
  </si>
  <si>
    <t>Alguma vez frequentou</t>
  </si>
  <si>
    <t>Nunca frequentou</t>
  </si>
  <si>
    <t>População com 5-11 anos fora do sistema de ensino</t>
  </si>
  <si>
    <t xml:space="preserve"> População com 12-14 anos</t>
  </si>
  <si>
    <t xml:space="preserve"> População com 12-14 anos fora do sistema do ensino</t>
  </si>
  <si>
    <t xml:space="preserve"> População com 15-18 anos</t>
  </si>
  <si>
    <t xml:space="preserve"> População com 15-18 anos fora do sistema do ensino</t>
  </si>
  <si>
    <t xml:space="preserve">População com 5-18 anos </t>
  </si>
  <si>
    <t>População com 5-18 anos fora do sistema de ensino</t>
  </si>
  <si>
    <t>I Ciclo do ensino secundário</t>
  </si>
  <si>
    <t>II Ciclo do ensino secundário</t>
  </si>
  <si>
    <t>População com 18 ou mais anos</t>
  </si>
  <si>
    <t>População com 18 ou mais anos que frequenta ou alguma vez frequentou a escola</t>
  </si>
  <si>
    <t>Nível de ensino concluído</t>
  </si>
  <si>
    <t>Ensino primário</t>
  </si>
  <si>
    <t>Ensino superior</t>
  </si>
  <si>
    <t>Nenhum nível</t>
  </si>
  <si>
    <t>População com 6-11 anos</t>
  </si>
  <si>
    <t>Frequência líquida no ensino primário</t>
  </si>
  <si>
    <t>Taxa líquida de frequência no ensino primário</t>
  </si>
  <si>
    <t>Católica</t>
  </si>
  <si>
    <t>Bom Deus</t>
  </si>
  <si>
    <t>Islâmica/ Muçulmana</t>
  </si>
  <si>
    <t>Animista</t>
  </si>
  <si>
    <t>Judaica</t>
  </si>
  <si>
    <t>Protestante</t>
  </si>
  <si>
    <t>Universal do reino de Deus</t>
  </si>
  <si>
    <t>Nova apostólica</t>
  </si>
  <si>
    <t>Tocoísta</t>
  </si>
  <si>
    <t>Kimbanguista</t>
  </si>
  <si>
    <t>Josafat</t>
  </si>
  <si>
    <t>Assembleia de Deus Pentecostal</t>
  </si>
  <si>
    <t>Testemunha de Jeová</t>
  </si>
  <si>
    <t>Metodista</t>
  </si>
  <si>
    <t>Evangélica</t>
  </si>
  <si>
    <t>Adventista</t>
  </si>
  <si>
    <t>Baptista</t>
  </si>
  <si>
    <t>Mensagem dos últimos Tempos</t>
  </si>
  <si>
    <t>Sem religião</t>
  </si>
  <si>
    <t>Outra religião</t>
  </si>
  <si>
    <t>Não sabe/ Não respondeu</t>
  </si>
  <si>
    <t>Quadro 1.3 - População por grupos etários quinquenais, 2024</t>
  </si>
  <si>
    <t xml:space="preserve"> Grupos etários</t>
  </si>
  <si>
    <t>0-19 anos</t>
  </si>
  <si>
    <t>20-29 anos</t>
  </si>
  <si>
    <t>30-54 anos</t>
  </si>
  <si>
    <t>55-64 anos</t>
  </si>
  <si>
    <t>65-74 anos</t>
  </si>
  <si>
    <t>75 ou mais anos</t>
  </si>
  <si>
    <t>0 - 14 anos</t>
  </si>
  <si>
    <t>15 - 64 anos</t>
  </si>
  <si>
    <t>Municípios / Comunas</t>
  </si>
  <si>
    <t>Áreas de residência</t>
  </si>
  <si>
    <t>Granito</t>
  </si>
  <si>
    <t>Mármore</t>
  </si>
  <si>
    <t>Tacos de madeira</t>
  </si>
  <si>
    <t>Tamanho do agregado</t>
  </si>
  <si>
    <t>Média de pessoas por agregado</t>
  </si>
  <si>
    <t>1 pessoa</t>
  </si>
  <si>
    <t>2 pessoas</t>
  </si>
  <si>
    <t>3 pessoas</t>
  </si>
  <si>
    <t>4 pessoas</t>
  </si>
  <si>
    <t>5 pessoas</t>
  </si>
  <si>
    <t>6 pessoas</t>
  </si>
  <si>
    <t>7 ou mais pessoas</t>
  </si>
  <si>
    <t>Nº</t>
  </si>
  <si>
    <t>Menor de 24 anos</t>
  </si>
  <si>
    <t>25-34 anos</t>
  </si>
  <si>
    <t>35-44 anos</t>
  </si>
  <si>
    <t>45-54 anos</t>
  </si>
  <si>
    <t>Tipo de núcleo</t>
  </si>
  <si>
    <t xml:space="preserve"> Só 1 pessoa</t>
  </si>
  <si>
    <t>Casal sem filhos, sem outras pessoas</t>
  </si>
  <si>
    <t>Casal sem filhos, com outras pessoas</t>
  </si>
  <si>
    <t>Casal com filhos, sem outras pessoas</t>
  </si>
  <si>
    <t>Casal com filhos, com outras pessoas</t>
  </si>
  <si>
    <t>Pai ou mãe com filhos, sem outras pessoas</t>
  </si>
  <si>
    <t>Pai ou mãe com filhos, com outras pessoas</t>
  </si>
  <si>
    <t>Outros</t>
  </si>
  <si>
    <t>Quadro 9.17 - Agregados familiares por área de residência, município e comuna, segundo o sexo do chefe, 2024</t>
  </si>
  <si>
    <t xml:space="preserve"> Sexo do Chefe</t>
  </si>
  <si>
    <t>Quadro 9.16 - Agregados familiares por área de residência, município e comuna, segundo a entidade que prestou o apoio social, 2024</t>
  </si>
  <si>
    <t>Total de Agregados familiares que receberam algum apoio</t>
  </si>
  <si>
    <t>Entidade que prestou apoio social</t>
  </si>
  <si>
    <t>Projecto Kwenda</t>
  </si>
  <si>
    <t>ONG´s</t>
  </si>
  <si>
    <t>Doações de diversas entidades ( igreja, grupos sociais, administrações, empresas públicas/ privadas, etc.)</t>
  </si>
  <si>
    <t>Quadro 9.15 - Agregados familiares por área de residência, município e comuna, segundo a situação se recebe algum tipo de apoio social</t>
  </si>
  <si>
    <t>Situação se o agregado recebe algum tipo de apoio social</t>
  </si>
  <si>
    <t>Recebe</t>
  </si>
  <si>
    <t>Não recebe</t>
  </si>
  <si>
    <t>Quadro 9.14 - Agregados familiares por área de residência, município e comuna, segundo a posse de bens que funcionam em casa</t>
  </si>
  <si>
    <t xml:space="preserve"> Rádio</t>
  </si>
  <si>
    <t xml:space="preserve"> Televisão</t>
  </si>
  <si>
    <t xml:space="preserve"> Telefone Fixo</t>
  </si>
  <si>
    <t xml:space="preserve"> Tablet</t>
  </si>
  <si>
    <t>Computador</t>
  </si>
  <si>
    <t>Serviços de internet</t>
  </si>
  <si>
    <t xml:space="preserve"> Carro/Carrinha/Camião</t>
  </si>
  <si>
    <t>Motorizada</t>
  </si>
  <si>
    <t>Bicicleta</t>
  </si>
  <si>
    <t>Geleira/Arca</t>
  </si>
  <si>
    <t>Aquicultura</t>
  </si>
  <si>
    <t xml:space="preserve"> Bois/Vacas</t>
  </si>
  <si>
    <t>Cabrito/cabra</t>
  </si>
  <si>
    <t>Porco/leitão</t>
  </si>
  <si>
    <t>Carneiro/ovelha</t>
  </si>
  <si>
    <t>Equino/cavalo</t>
  </si>
  <si>
    <t>Quadro 9.11 - Agregados familiares por área de residência, município e comuna, segundo a situação de criação de animais por algum membro nos últimos 12 meses, 2024</t>
  </si>
  <si>
    <t>Situação de criação de animais por conta própria</t>
  </si>
  <si>
    <t>Município e área de residência</t>
  </si>
  <si>
    <t>Quadro 9.10 - Agregados familiares por área de residência, município e comuna, segundo o regime de ocupação da lavra/exploração (parcela), 2024</t>
  </si>
  <si>
    <t>Total de agregados familiares que praticam actividade agrícola</t>
  </si>
  <si>
    <t>Regime de ocupação da lavra/parcela</t>
  </si>
  <si>
    <t>Cedida, autoridade tradicional</t>
  </si>
  <si>
    <t>Cedida, governo</t>
  </si>
  <si>
    <t>Cedida por Terceiros (familiares, amigos, compadre, vizinhos, igreja, etc.)</t>
  </si>
  <si>
    <t>Arrendada / Alugada</t>
  </si>
  <si>
    <t>Ocupada de facto</t>
  </si>
  <si>
    <t>Comprada</t>
  </si>
  <si>
    <t>Herdada</t>
  </si>
  <si>
    <t>Emprestada</t>
  </si>
  <si>
    <t>Outro regime</t>
  </si>
  <si>
    <t xml:space="preserve">1 ano </t>
  </si>
  <si>
    <t xml:space="preserve">2 anos </t>
  </si>
  <si>
    <t xml:space="preserve">3 anos </t>
  </si>
  <si>
    <t xml:space="preserve">4 anos </t>
  </si>
  <si>
    <t xml:space="preserve">5 anos </t>
  </si>
  <si>
    <t xml:space="preserve">6 anos </t>
  </si>
  <si>
    <t xml:space="preserve">7 anos </t>
  </si>
  <si>
    <t xml:space="preserve">8 anos </t>
  </si>
  <si>
    <t xml:space="preserve">9 anos </t>
  </si>
  <si>
    <t xml:space="preserve">10 anos </t>
  </si>
  <si>
    <t xml:space="preserve">11 anos </t>
  </si>
  <si>
    <t xml:space="preserve">12 anos </t>
  </si>
  <si>
    <t xml:space="preserve">13 anos </t>
  </si>
  <si>
    <t xml:space="preserve">14 anos </t>
  </si>
  <si>
    <t xml:space="preserve">15 anos </t>
  </si>
  <si>
    <t xml:space="preserve">16 anos </t>
  </si>
  <si>
    <t xml:space="preserve">17 anos </t>
  </si>
  <si>
    <t xml:space="preserve">18 anos </t>
  </si>
  <si>
    <t xml:space="preserve">19 anos </t>
  </si>
  <si>
    <t xml:space="preserve">20 anos </t>
  </si>
  <si>
    <t xml:space="preserve">21 anos </t>
  </si>
  <si>
    <t xml:space="preserve">22 anos </t>
  </si>
  <si>
    <t xml:space="preserve">23 anos </t>
  </si>
  <si>
    <t xml:space="preserve">24 anos </t>
  </si>
  <si>
    <t xml:space="preserve">25 anos </t>
  </si>
  <si>
    <t xml:space="preserve">26 anos </t>
  </si>
  <si>
    <t xml:space="preserve">27 anos </t>
  </si>
  <si>
    <t xml:space="preserve">28 anos </t>
  </si>
  <si>
    <t xml:space="preserve">29 anos </t>
  </si>
  <si>
    <t xml:space="preserve">30 anos </t>
  </si>
  <si>
    <t xml:space="preserve">31 anos </t>
  </si>
  <si>
    <t xml:space="preserve">32 anos  </t>
  </si>
  <si>
    <t xml:space="preserve">33 anos </t>
  </si>
  <si>
    <t xml:space="preserve">34 anos </t>
  </si>
  <si>
    <t xml:space="preserve">35 anos </t>
  </si>
  <si>
    <t xml:space="preserve">36 anos </t>
  </si>
  <si>
    <t xml:space="preserve">37 anos </t>
  </si>
  <si>
    <t xml:space="preserve">38 anos </t>
  </si>
  <si>
    <t xml:space="preserve">39 anos </t>
  </si>
  <si>
    <t xml:space="preserve">40 anos </t>
  </si>
  <si>
    <t xml:space="preserve">41 anos </t>
  </si>
  <si>
    <t xml:space="preserve">42 anos </t>
  </si>
  <si>
    <t xml:space="preserve">43 anos </t>
  </si>
  <si>
    <t xml:space="preserve">44 anos </t>
  </si>
  <si>
    <t xml:space="preserve">45 anos </t>
  </si>
  <si>
    <t xml:space="preserve">46 anos </t>
  </si>
  <si>
    <t xml:space="preserve">47 anos </t>
  </si>
  <si>
    <t xml:space="preserve">48 anos </t>
  </si>
  <si>
    <t xml:space="preserve">49 anos </t>
  </si>
  <si>
    <t xml:space="preserve">50 anos </t>
  </si>
  <si>
    <t xml:space="preserve">51 anos </t>
  </si>
  <si>
    <t xml:space="preserve">52 anos </t>
  </si>
  <si>
    <t xml:space="preserve">53 anos </t>
  </si>
  <si>
    <t xml:space="preserve">54 anos </t>
  </si>
  <si>
    <t xml:space="preserve">55 anos </t>
  </si>
  <si>
    <t xml:space="preserve">56 anos </t>
  </si>
  <si>
    <t xml:space="preserve">57 anos </t>
  </si>
  <si>
    <t xml:space="preserve">58 anos </t>
  </si>
  <si>
    <t xml:space="preserve">59 anos </t>
  </si>
  <si>
    <t xml:space="preserve">60 anos </t>
  </si>
  <si>
    <t xml:space="preserve">61 anos </t>
  </si>
  <si>
    <t xml:space="preserve">62 anos </t>
  </si>
  <si>
    <t xml:space="preserve">63 anos </t>
  </si>
  <si>
    <t xml:space="preserve">64 anos </t>
  </si>
  <si>
    <t xml:space="preserve">65 anos </t>
  </si>
  <si>
    <t xml:space="preserve">66 anos </t>
  </si>
  <si>
    <t xml:space="preserve">67 anos </t>
  </si>
  <si>
    <t xml:space="preserve">68 anos </t>
  </si>
  <si>
    <t xml:space="preserve">69 anos </t>
  </si>
  <si>
    <t xml:space="preserve">70 anos </t>
  </si>
  <si>
    <t xml:space="preserve">71 anos </t>
  </si>
  <si>
    <t xml:space="preserve">72 anos </t>
  </si>
  <si>
    <t xml:space="preserve">73 anos </t>
  </si>
  <si>
    <t xml:space="preserve">74 anos </t>
  </si>
  <si>
    <t xml:space="preserve">75 anos </t>
  </si>
  <si>
    <t xml:space="preserve">76 anos </t>
  </si>
  <si>
    <t xml:space="preserve">77 anos </t>
  </si>
  <si>
    <t xml:space="preserve">78 anos </t>
  </si>
  <si>
    <t xml:space="preserve">79 anos </t>
  </si>
  <si>
    <t xml:space="preserve">80 anos </t>
  </si>
  <si>
    <t xml:space="preserve">81 anos </t>
  </si>
  <si>
    <t xml:space="preserve">82 anos </t>
  </si>
  <si>
    <t xml:space="preserve">83 anos </t>
  </si>
  <si>
    <t xml:space="preserve">84 anos </t>
  </si>
  <si>
    <t xml:space="preserve">85 anos </t>
  </si>
  <si>
    <t xml:space="preserve">86 anos </t>
  </si>
  <si>
    <t xml:space="preserve">87 anos </t>
  </si>
  <si>
    <t xml:space="preserve">88 anos </t>
  </si>
  <si>
    <t xml:space="preserve">89 anos </t>
  </si>
  <si>
    <t xml:space="preserve">90 anos </t>
  </si>
  <si>
    <t xml:space="preserve">91 anos </t>
  </si>
  <si>
    <t xml:space="preserve">92 anos </t>
  </si>
  <si>
    <t xml:space="preserve">93 anos </t>
  </si>
  <si>
    <t xml:space="preserve">94 anos </t>
  </si>
  <si>
    <t>População com bilhete de identidade</t>
  </si>
  <si>
    <t>Total da população com albinismo</t>
  </si>
  <si>
    <t>População com 2 ou mais anos</t>
  </si>
  <si>
    <t>Município/Comunas</t>
  </si>
  <si>
    <t>Número de pessoas com 0 - 17 anos de idade</t>
  </si>
  <si>
    <t xml:space="preserve">Área de residencia </t>
  </si>
  <si>
    <t>0 anos</t>
  </si>
  <si>
    <t>95 anos</t>
  </si>
  <si>
    <t xml:space="preserve">Total </t>
  </si>
  <si>
    <t>Moxico Leste</t>
  </si>
  <si>
    <t>Luau</t>
  </si>
  <si>
    <t>Cazombo</t>
  </si>
  <si>
    <t>Lumbala Caquengue</t>
  </si>
  <si>
    <t>Luacano</t>
  </si>
  <si>
    <t>Cameia</t>
  </si>
  <si>
    <t>Lago Dilolo</t>
  </si>
  <si>
    <t>Macondo</t>
  </si>
  <si>
    <t>Calunda</t>
  </si>
  <si>
    <t>Lóvua do Zambeze</t>
  </si>
  <si>
    <t>Nana Candundo</t>
  </si>
  <si>
    <t>Caianda</t>
  </si>
  <si>
    <t xml:space="preserve">Total  </t>
  </si>
  <si>
    <t>Número de pessoas com 0 -17 anos de idade</t>
  </si>
  <si>
    <t>Crianças com 0 - 17 anos que não vivem com pelo menos um dos pais</t>
  </si>
  <si>
    <t xml:space="preserve"> </t>
  </si>
  <si>
    <t>Lumbala Caquenque</t>
  </si>
  <si>
    <t>Total de Agregados só para dormir</t>
  </si>
  <si>
    <t>Moxico leste</t>
  </si>
  <si>
    <t xml:space="preserve">Total da População com 5-11 anos  </t>
  </si>
  <si>
    <t xml:space="preserve"> População com 5 ou mais anos a frequentar a escola</t>
  </si>
  <si>
    <t>Nível de ensino a frequentar</t>
  </si>
  <si>
    <t>Iniciação ou alfabetização</t>
  </si>
  <si>
    <t>Ensino Primário</t>
  </si>
  <si>
    <t>Ensino Superior</t>
  </si>
  <si>
    <t>Não Cozinha</t>
  </si>
  <si>
    <t>Tipo de sanitario</t>
  </si>
  <si>
    <t>Total de agregados familiares que praticaram actividade pecuária nos últimos 12 meses</t>
  </si>
  <si>
    <t>AF Criador de Vaca</t>
  </si>
  <si>
    <t>AF Criador de Cabrito</t>
  </si>
  <si>
    <t>AF Criador de Porco/leitão</t>
  </si>
  <si>
    <t>AF Criador de Carneiro/ovelha</t>
  </si>
  <si>
    <t>AF Criador de Equino/cavalo</t>
  </si>
  <si>
    <t>Total de agregados familiares que praticaram actividade piscatória nos últimos 12 meses</t>
  </si>
  <si>
    <t>Pesca marítima artesanal</t>
  </si>
  <si>
    <t>Aquicultura marítima</t>
  </si>
  <si>
    <t>Posse de bens que funcionam</t>
  </si>
  <si>
    <t>População com 12-18 anos</t>
  </si>
  <si>
    <t>Frequência líquida no ensino secundário</t>
  </si>
  <si>
    <t>Taxa líquida de frequência no ensino secundário</t>
  </si>
  <si>
    <t>Índice de paridade no Género</t>
  </si>
  <si>
    <t>Total da população com 15-24 anos</t>
  </si>
  <si>
    <t>População com 15-24 anos mais anos que sabe ler e escrever</t>
  </si>
  <si>
    <t>Quadro 1.1 - População por área de residência, município e comuna, segundo o sexo 2024</t>
  </si>
  <si>
    <t>Área de residência, município e comuna</t>
  </si>
  <si>
    <t>Quadro 1.2 - População por idade simples segundo o sexo, 2024</t>
  </si>
  <si>
    <t>Área de residência e grupos quinquenais</t>
  </si>
  <si>
    <t>Quadro 1.4 - População por área de residência, municípios e comunas, segundo os grandes grupos etários, 2024</t>
  </si>
  <si>
    <t>Quadro 1.5 - População por área de residência, municípios e comunas, segundo outros grupos etários, 2024</t>
  </si>
  <si>
    <t>Quadro 1.6 - População por área de residência, municípios e comunas, segundo os grandes grupos etários e sexo, 2024</t>
  </si>
  <si>
    <t xml:space="preserve">Quadro 1.7 - Idade média e mediana da população por área de residência, município e comuna, segundo o sexo, 2024    
</t>
  </si>
  <si>
    <t xml:space="preserve">Quadro 2.1 - População com 12 ou mais por área de residência, município e comuna, segundo o estado civil, 2024 </t>
  </si>
  <si>
    <t>Quadro 3.1 - População com registo de nascimento por área de residência e grupos etários, segundo sexo, 2024</t>
  </si>
  <si>
    <t xml:space="preserve">Quadro 3.2 - População com registo de nascimento por área de residência e grupos etários, segundo sexo, 2024
</t>
  </si>
  <si>
    <t>Área de residência e grupo etário</t>
  </si>
  <si>
    <t>Quadro 3.4 - População com 5 anos ou mais, residente com Bilhete de identidade por, área de residência, município e comuna, segundo sexo, 2024</t>
  </si>
  <si>
    <t>Quadro 3.3 - População com Bilhete de Identidade por área de residência e os grupos etários, segundo sexo, 2024</t>
  </si>
  <si>
    <t>Quadro 4.1- Resumo síntese dos indicadores da deficiência, 2024</t>
  </si>
  <si>
    <t>Quadro 4.2 - Pessoas com albinismo por área de residência, município e comuna, segundo o sexo, 2024</t>
  </si>
  <si>
    <t>Quadro 5.1 - Crianças com 0-17 anos que não vivem com os pais por área de residência, município e comuna, segundo sexo, 2024</t>
  </si>
  <si>
    <t xml:space="preserve">Área de residência e grupo etário </t>
  </si>
  <si>
    <t>Quadro 6.2 – População por área de residência, município e comuna segundo a língua materna, 2024</t>
  </si>
  <si>
    <t>Quadro 5.2 - Crianças com 0-17 anos por área de residência, segundo a situação de viver junto com os pais biológicos e taxa de orfandade, 2024</t>
  </si>
  <si>
    <t>Quadro 7.1 - População com 2 ou mais anos por área de residência e município, segundo a religião ou espiritualidade, 2024</t>
  </si>
  <si>
    <t>Quadro 8.2 - População com 15 ou mais anos que sabe ler e escrever por grupo etário e área de residência, segundo o sexo, 2024</t>
  </si>
  <si>
    <t>Quadro 8.3 - População com 15-24 anos que sabe ler e escrever por área de residência, município e comuna, segundo o sexo, 2024</t>
  </si>
  <si>
    <t>Quadro 8.4 - População com 5 ou mais anos por área de residência, município e comuna, segundo a situação de frequência escolar, 2024</t>
  </si>
  <si>
    <t>Quadro 8.5 - População com 5-11 anos fora do sistema de ensino por área de residência, município e comuna, segundo o sexo, 2024</t>
  </si>
  <si>
    <t>Quadro 8.6 - População com 12-14 anos fora do sistema de ensino por área de residência, município e comuna, segundo o sexo, 2024</t>
  </si>
  <si>
    <t>Quadro 8.7 - População com 15-18 anos fora do sistema de ensino por área de residência, município e comuna, segundo o sexo, 2024</t>
  </si>
  <si>
    <t>Quadro 8.8 - População com 5 ou mais anos por área de residência e grupos etários, segundo a situação de frequência escolar e sexo, 2024</t>
  </si>
  <si>
    <t>Grupo etário e área de residência</t>
  </si>
  <si>
    <t>Quadro 8.9 - População com 5-18 anos fora do sistema de ensino por área de residência, município e comuna, segundo o sexo, 2024</t>
  </si>
  <si>
    <t>Quadro 8.10 - População com 5-18 anos por área de residência, município e comuna, segundo a situação de frequência escolar no ensino primário, 2024</t>
  </si>
  <si>
    <t>Moxico-Leste</t>
  </si>
  <si>
    <t>Quadro 10.1 - População recenseada por área de residência, município e comuna, segundo grupos etários, 2024</t>
  </si>
  <si>
    <t>Quadro 10.2 - Habitações familiares por área de residência, município e comuna, segundo o tipo de habitação, 2024</t>
  </si>
  <si>
    <t>Quadro 10.3 - Habitações familiares por área de residência, município e comuna, segundo o estado de ocupação da habitação, 2024</t>
  </si>
  <si>
    <t>Quadro 10.4 - Habitações familiares área de residência, município e comuna, segundo o tipo de material usado principalmente nas paredes exteriores, 2024</t>
  </si>
  <si>
    <t>Quadro 10.5 - Habitações familiares por área de residência, município e comuna, segundo o tipo de material usado principalmente no teto, 2024</t>
  </si>
  <si>
    <t>Quadro 10.6 - Habitações familiares por área de residência, município e comuna, segundo o tipo de material usado principalmente no chão, 2024</t>
  </si>
  <si>
    <t>Quadro 10.7 - Habitações familiares por área de residência e município, segundo a média de divisões da habitação e a média de quartos para dormir, 2024</t>
  </si>
  <si>
    <t>Município / Comuna</t>
  </si>
  <si>
    <t>Municipio / Comuna</t>
  </si>
  <si>
    <t>Quadro 4.3 - População com albinismo por área de residência, município e comuna, segundo grupo etário, 2024</t>
  </si>
  <si>
    <t>Município/Comuna</t>
  </si>
  <si>
    <t>Frequência escolar</t>
  </si>
  <si>
    <t>Quadro 8.12 - População com 5 ou mais anos por área de residência, município e comuna, segundo o nível de ensino a frequentar, 2024</t>
  </si>
  <si>
    <t>População com 5-11 anos</t>
  </si>
  <si>
    <t>População com 5-18 anos</t>
  </si>
  <si>
    <t>Quadro 8.13 - População com 12-14 anos por área de residência, município e comuna, segundo a situação de frequência escolar no ensino primário, 2024</t>
  </si>
  <si>
    <t>Quadro 8.14 - População com 18 ou mais anos por área de residência, município e comuna, segundo o nível de ensino concluído, 2024</t>
  </si>
  <si>
    <t xml:space="preserve">
Quadro 8.15 - Taxa líquida de frequência do ensino primário por área de residência, município e comuna, segundo o sexo, 2024</t>
  </si>
  <si>
    <t>Quadro 8.10 - População com 5-11 anos  por área de residência, município e comuna, segundo a situação de frequência escolar no ensino primário</t>
  </si>
  <si>
    <t>Quadro 8.16 - Taxa líquida de frequência do ensino secundário por área de residência, município e comuna, segundo o sexo, 2024</t>
  </si>
  <si>
    <t>Área de residência e município</t>
  </si>
  <si>
    <t>Quadro 9.20 - Agregados familiares por área de residência e município, segundo o tamanho e média de pessoas por agregado, 2024</t>
  </si>
  <si>
    <t>Quadro 9.19 - Agregados familiares por grupo etário, segundo o sexo do chefe, 2024</t>
  </si>
  <si>
    <t>Quadro 9.18 - Agregados familiares por província e área de residência, segundo o tipo de núcleo familiar, 2024</t>
  </si>
  <si>
    <t>Quadro 9.13 - Agregados familiares por área de residência, município e comuna, segundo o tipo de actividade piscatória praticada, 2024</t>
  </si>
  <si>
    <t>Quadro 9.12 - Agregados familiares criadores de animais por área de residência, município e comuna, segundo o tipo de animais criados nos últimos 12 meses, 2024</t>
  </si>
  <si>
    <t>Quadro 9.9 - Agregados familiares por área de residência, município e comuna, segundo a posse de parcela/lavra ou a  prática da actividade agrícola, 2024</t>
  </si>
  <si>
    <t>Quadro 9.6 - Agregados familiares por área de residência, município e comuna, segundo o acesso a água da rede pública, 2024</t>
  </si>
  <si>
    <t>Quadro 9.5 - Agregados familiares por área de residência, município e comuna, segundo a situação de partilha da casa de banho, 2024</t>
  </si>
  <si>
    <t>Quadro 9.4 - Agregados familiares por área de residência, município e comuna, segundo o modo de tratamento habitual que se dá a água para beber, 2024</t>
  </si>
  <si>
    <t>Quadro 9.3 - Agregados familiares por área de residência, município e comuna, segundo o tipo de sanitário (casa de banho, retrete) que o agregado familiar utiliza normalmente dentro ou fora de casa, 2024</t>
  </si>
  <si>
    <t>Quadro 9.2 - Agregados familiares por área de residência, município e comuna, segundo a principal fonte de energia/combustível utilizado para cozinhar, 2024</t>
  </si>
  <si>
    <t>População com 5 ou mais anos</t>
  </si>
  <si>
    <t>Quadro 6.1 - População com 2 ou mais anos por área de residência, município e comuna, segundo os grupos étnicos ou tribos, 2024</t>
  </si>
  <si>
    <t xml:space="preserve"> Grupo étnico da população com 2 ou mais anos</t>
  </si>
  <si>
    <t>Línguas estrangeiras</t>
  </si>
  <si>
    <t>Frequuência escolar</t>
  </si>
  <si>
    <t xml:space="preserve"> Outra fonte</t>
  </si>
  <si>
    <t>Total de agregados familiares com acesso a água da rede pública</t>
  </si>
  <si>
    <t>Situação de posse de parcela/lavra ou prática de actividade agrícola</t>
  </si>
  <si>
    <t>Quadro 8.1 - População com 15 ou mais anos que sabe ler e escrever por área de residência, município e comuna, segundo o sexo,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</si>
</sst>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3" formatCode="_-* #,##0.00\ _€_-;\-* #,##0.00\ _€_-;_-* &quot;-&quot;??\ _€_-;_-@_-"/>
    <numFmt numFmtId="164" formatCode="_-* #,##0.00\ _K_z_-;\-* #,##0.00\ _K_z_-;_-* &quot;-&quot;??\ _K_z_-;_-@_-"/>
    <numFmt numFmtId="165" formatCode="#,###,###"/>
    <numFmt numFmtId="166" formatCode="###0"/>
    <numFmt numFmtId="167" formatCode="##,###,###"/>
    <numFmt numFmtId="168" formatCode="#,##0.0"/>
    <numFmt numFmtId="169" formatCode="_-* #,##0_-;\-* #,##0_-;_-* &quot;-&quot;??_-;_-@_-"/>
    <numFmt numFmtId="170" formatCode="###\ ###\ ###"/>
    <numFmt numFmtId="171" formatCode="###0.00"/>
    <numFmt numFmtId="172" formatCode="0.0"/>
    <numFmt numFmtId="173" formatCode="###0.0"/>
    <numFmt numFmtId="174" formatCode="_-* #,##0\ _K_z_-;\-* #,##0\ _K_z_-;_-* &quot;-&quot;??\ _K_z_-;_-@_-"/>
    <numFmt numFmtId="175" formatCode="_-* #,##0.0_-;\-* #,##0.0_-;_-* &quot;-&quot;??_-;_-@_-"/>
    <numFmt numFmtId="176" formatCode="_-* #,##0.0\ _K_z_-;\-* #,##0.0\ _K_z_-;_-* &quot;-&quot;??\ _K_z_-;_-@_-"/>
    <numFmt numFmtId="177" formatCode="#,###,###.0"/>
    <numFmt numFmtId="178" formatCode="_-* #,##0\ _€_-;\-* #,##0\ _€_-;_-* &quot;-&quot;??\ _€_-;_-@_-"/>
    <numFmt numFmtId="179" formatCode="#,##0_ ;\-#,##0\ "/>
  </numFmts>
  <fonts count="2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6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charset val="1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sz val="9"/>
      <color theme="1" tint="0.499984740745262"/>
      <name val="Calibri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D4D4D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6">
    <xf numFmtId="0" fontId="0" fillId="0" borderId="0"/>
    <xf numFmtId="164" fontId="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3" fillId="0" borderId="0" applyFont="0" applyFill="0" applyBorder="0" applyAlignment="0" applyProtection="0"/>
    <xf numFmtId="0" fontId="5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697">
    <xf numFmtId="0" fontId="0" fillId="0" borderId="0" xfId="0"/>
    <xf numFmtId="0" fontId="0" fillId="2" borderId="0" xfId="0" applyFill="1"/>
    <xf numFmtId="0" fontId="4" fillId="2" borderId="0" xfId="0" applyFont="1" applyFill="1"/>
    <xf numFmtId="0" fontId="9" fillId="3" borderId="1" xfId="4" applyFont="1" applyFill="1" applyBorder="1" applyAlignment="1">
      <alignment horizontal="right" vertical="center" wrapText="1"/>
    </xf>
    <xf numFmtId="3" fontId="10" fillId="3" borderId="0" xfId="4" applyNumberFormat="1" applyFont="1" applyFill="1" applyAlignment="1">
      <alignment horizontal="right" vertical="top" wrapText="1"/>
    </xf>
    <xf numFmtId="3" fontId="11" fillId="3" borderId="0" xfId="0" applyNumberFormat="1" applyFont="1" applyFill="1" applyAlignment="1">
      <alignment horizontal="right"/>
    </xf>
    <xf numFmtId="3" fontId="11" fillId="3" borderId="0" xfId="4" applyNumberFormat="1" applyFont="1" applyFill="1" applyAlignment="1">
      <alignment horizontal="right" vertical="top" wrapText="1"/>
    </xf>
    <xf numFmtId="0" fontId="7" fillId="3" borderId="1" xfId="9" applyFont="1" applyFill="1" applyBorder="1" applyAlignment="1">
      <alignment horizontal="center" wrapText="1"/>
    </xf>
    <xf numFmtId="169" fontId="6" fillId="3" borderId="0" xfId="1" applyNumberFormat="1" applyFont="1" applyFill="1" applyBorder="1" applyAlignment="1">
      <alignment horizontal="right" vertical="center"/>
    </xf>
    <xf numFmtId="1" fontId="6" fillId="3" borderId="0" xfId="1" applyNumberFormat="1" applyFont="1" applyFill="1" applyBorder="1" applyAlignment="1">
      <alignment horizontal="right" vertical="center"/>
    </xf>
    <xf numFmtId="169" fontId="7" fillId="3" borderId="0" xfId="1" applyNumberFormat="1" applyFont="1" applyFill="1" applyBorder="1" applyAlignment="1">
      <alignment horizontal="right" vertical="center"/>
    </xf>
    <xf numFmtId="1" fontId="7" fillId="3" borderId="0" xfId="1" applyNumberFormat="1" applyFont="1" applyFill="1" applyBorder="1" applyAlignment="1">
      <alignment horizontal="right" vertical="center"/>
    </xf>
    <xf numFmtId="0" fontId="7" fillId="3" borderId="1" xfId="13" applyFont="1" applyFill="1" applyBorder="1" applyAlignment="1">
      <alignment horizontal="center" wrapText="1"/>
    </xf>
    <xf numFmtId="0" fontId="7" fillId="3" borderId="1" xfId="15" applyFont="1" applyFill="1" applyBorder="1" applyAlignment="1">
      <alignment horizontal="center" wrapText="1"/>
    </xf>
    <xf numFmtId="0" fontId="7" fillId="3" borderId="1" xfId="17" applyFont="1" applyFill="1" applyBorder="1" applyAlignment="1">
      <alignment horizontal="center" wrapText="1"/>
    </xf>
    <xf numFmtId="0" fontId="7" fillId="3" borderId="0" xfId="19" applyFont="1" applyFill="1" applyAlignment="1">
      <alignment vertical="top" wrapText="1"/>
    </xf>
    <xf numFmtId="170" fontId="7" fillId="3" borderId="0" xfId="6" applyNumberFormat="1" applyFont="1" applyFill="1" applyAlignment="1">
      <alignment horizontal="left" vertical="center"/>
    </xf>
    <xf numFmtId="0" fontId="6" fillId="3" borderId="0" xfId="20" applyFont="1" applyFill="1" applyAlignment="1">
      <alignment vertical="top" wrapText="1"/>
    </xf>
    <xf numFmtId="0" fontId="7" fillId="3" borderId="0" xfId="20" applyFont="1" applyFill="1" applyAlignment="1">
      <alignment vertical="top" wrapText="1"/>
    </xf>
    <xf numFmtId="171" fontId="6" fillId="3" borderId="0" xfId="19" applyNumberFormat="1" applyFont="1" applyFill="1" applyAlignment="1">
      <alignment horizontal="center"/>
    </xf>
    <xf numFmtId="0" fontId="7" fillId="3" borderId="0" xfId="20" applyFont="1" applyFill="1" applyAlignment="1">
      <alignment horizontal="left" vertical="top" wrapText="1" indent="1"/>
    </xf>
    <xf numFmtId="0" fontId="13" fillId="2" borderId="0" xfId="0" applyFont="1" applyFill="1"/>
    <xf numFmtId="0" fontId="10" fillId="3" borderId="0" xfId="21" applyFont="1" applyFill="1" applyAlignment="1">
      <alignment horizontal="left" vertical="center" wrapText="1"/>
    </xf>
    <xf numFmtId="0" fontId="11" fillId="3" borderId="0" xfId="21" applyFont="1" applyFill="1" applyAlignment="1">
      <alignment horizontal="left" vertical="center" wrapText="1" indent="1"/>
    </xf>
    <xf numFmtId="0" fontId="7" fillId="3" borderId="0" xfId="22" applyFont="1" applyFill="1" applyAlignment="1">
      <alignment horizontal="left" vertical="top" wrapText="1"/>
    </xf>
    <xf numFmtId="0" fontId="7" fillId="3" borderId="8" xfId="20" applyFont="1" applyFill="1" applyBorder="1" applyAlignment="1">
      <alignment horizontal="center" wrapText="1"/>
    </xf>
    <xf numFmtId="0" fontId="7" fillId="3" borderId="2" xfId="2" applyFont="1" applyFill="1" applyBorder="1" applyAlignment="1">
      <alignment horizontal="right" wrapText="1"/>
    </xf>
    <xf numFmtId="0" fontId="6" fillId="3" borderId="0" xfId="2" applyFont="1" applyFill="1" applyAlignment="1">
      <alignment vertical="top" wrapText="1"/>
    </xf>
    <xf numFmtId="0" fontId="10" fillId="3" borderId="12" xfId="0" applyFont="1" applyFill="1" applyBorder="1" applyAlignment="1">
      <alignment horizontal="center"/>
    </xf>
    <xf numFmtId="0" fontId="11" fillId="3" borderId="12" xfId="0" applyFont="1" applyFill="1" applyBorder="1"/>
    <xf numFmtId="165" fontId="11" fillId="3" borderId="12" xfId="0" applyNumberFormat="1" applyFont="1" applyFill="1" applyBorder="1"/>
    <xf numFmtId="172" fontId="11" fillId="3" borderId="12" xfId="0" applyNumberFormat="1" applyFont="1" applyFill="1" applyBorder="1"/>
    <xf numFmtId="0" fontId="10" fillId="3" borderId="12" xfId="0" applyFont="1" applyFill="1" applyBorder="1"/>
    <xf numFmtId="165" fontId="10" fillId="3" borderId="12" xfId="0" applyNumberFormat="1" applyFont="1" applyFill="1" applyBorder="1"/>
    <xf numFmtId="172" fontId="10" fillId="3" borderId="12" xfId="0" applyNumberFormat="1" applyFont="1" applyFill="1" applyBorder="1"/>
    <xf numFmtId="0" fontId="6" fillId="3" borderId="0" xfId="25" applyFont="1" applyFill="1" applyAlignment="1">
      <alignment vertical="top"/>
    </xf>
    <xf numFmtId="0" fontId="7" fillId="3" borderId="0" xfId="25" applyFont="1" applyFill="1" applyAlignment="1">
      <alignment horizontal="left" vertical="top" wrapText="1" indent="1"/>
    </xf>
    <xf numFmtId="0" fontId="6" fillId="3" borderId="0" xfId="5" applyFont="1" applyFill="1" applyAlignment="1">
      <alignment vertical="top" wrapText="1"/>
    </xf>
    <xf numFmtId="165" fontId="6" fillId="3" borderId="0" xfId="5" applyNumberFormat="1" applyFont="1" applyFill="1" applyAlignment="1">
      <alignment horizontal="right" vertical="center"/>
    </xf>
    <xf numFmtId="165" fontId="7" fillId="3" borderId="0" xfId="5" applyNumberFormat="1" applyFont="1" applyFill="1" applyAlignment="1">
      <alignment horizontal="right" vertical="center"/>
    </xf>
    <xf numFmtId="0" fontId="7" fillId="3" borderId="0" xfId="5" applyFont="1" applyFill="1" applyAlignment="1">
      <alignment vertical="top" wrapText="1"/>
    </xf>
    <xf numFmtId="0" fontId="7" fillId="3" borderId="0" xfId="5" applyFont="1" applyFill="1" applyAlignment="1">
      <alignment horizontal="left" vertical="top" wrapText="1" indent="1"/>
    </xf>
    <xf numFmtId="0" fontId="14" fillId="3" borderId="0" xfId="0" applyFont="1" applyFill="1"/>
    <xf numFmtId="0" fontId="7" fillId="3" borderId="1" xfId="5" applyFont="1" applyFill="1" applyBorder="1" applyAlignment="1">
      <alignment wrapText="1"/>
    </xf>
    <xf numFmtId="0" fontId="6" fillId="3" borderId="0" xfId="25" applyFont="1" applyFill="1" applyAlignment="1">
      <alignment vertical="top" wrapText="1"/>
    </xf>
    <xf numFmtId="166" fontId="6" fillId="3" borderId="0" xfId="5" applyNumberFormat="1" applyFont="1" applyFill="1" applyAlignment="1">
      <alignment horizontal="right" vertical="center"/>
    </xf>
    <xf numFmtId="173" fontId="6" fillId="3" borderId="0" xfId="5" applyNumberFormat="1" applyFont="1" applyFill="1" applyAlignment="1">
      <alignment horizontal="right" vertical="center"/>
    </xf>
    <xf numFmtId="171" fontId="6" fillId="3" borderId="0" xfId="5" applyNumberFormat="1" applyFont="1" applyFill="1" applyAlignment="1">
      <alignment horizontal="right" vertical="center"/>
    </xf>
    <xf numFmtId="166" fontId="7" fillId="3" borderId="0" xfId="5" applyNumberFormat="1" applyFont="1" applyFill="1" applyAlignment="1">
      <alignment horizontal="right" vertical="center"/>
    </xf>
    <xf numFmtId="0" fontId="7" fillId="3" borderId="0" xfId="5" applyFont="1" applyFill="1" applyAlignment="1">
      <alignment horizontal="left" vertical="top" indent="1"/>
    </xf>
    <xf numFmtId="169" fontId="7" fillId="3" borderId="0" xfId="1" applyNumberFormat="1" applyFont="1" applyFill="1" applyBorder="1" applyAlignment="1">
      <alignment vertical="center"/>
    </xf>
    <xf numFmtId="166" fontId="7" fillId="3" borderId="0" xfId="5" applyNumberFormat="1" applyFont="1" applyFill="1" applyAlignment="1">
      <alignment vertical="center"/>
    </xf>
    <xf numFmtId="0" fontId="7" fillId="3" borderId="1" xfId="5" applyFont="1" applyFill="1" applyBorder="1" applyAlignment="1">
      <alignment horizontal="center" wrapText="1"/>
    </xf>
    <xf numFmtId="0" fontId="7" fillId="3" borderId="1" xfId="34" applyFont="1" applyFill="1" applyBorder="1" applyAlignment="1">
      <alignment wrapText="1"/>
    </xf>
    <xf numFmtId="0" fontId="7" fillId="3" borderId="1" xfId="34" applyFont="1" applyFill="1" applyBorder="1" applyAlignment="1">
      <alignment horizontal="center" wrapText="1"/>
    </xf>
    <xf numFmtId="0" fontId="14" fillId="3" borderId="0" xfId="0" applyFont="1" applyFill="1" applyAlignment="1">
      <alignment horizontal="center"/>
    </xf>
    <xf numFmtId="0" fontId="17" fillId="0" borderId="0" xfId="4" applyFont="1"/>
    <xf numFmtId="0" fontId="17" fillId="0" borderId="0" xfId="4" applyFont="1" applyAlignment="1">
      <alignment horizontal="center"/>
    </xf>
    <xf numFmtId="0" fontId="17" fillId="3" borderId="0" xfId="4" applyFont="1" applyFill="1" applyAlignment="1">
      <alignment horizontal="center"/>
    </xf>
    <xf numFmtId="0" fontId="16" fillId="0" borderId="2" xfId="6" applyFont="1" applyBorder="1" applyAlignment="1">
      <alignment horizontal="center" vertical="center" wrapText="1"/>
    </xf>
    <xf numFmtId="0" fontId="16" fillId="3" borderId="2" xfId="6" applyFont="1" applyFill="1" applyBorder="1" applyAlignment="1">
      <alignment horizontal="center" vertical="center" wrapText="1"/>
    </xf>
    <xf numFmtId="0" fontId="16" fillId="3" borderId="0" xfId="25" applyFont="1" applyFill="1" applyAlignment="1">
      <alignment horizontal="left" vertical="top" wrapText="1" indent="1"/>
    </xf>
    <xf numFmtId="0" fontId="7" fillId="3" borderId="0" xfId="2" applyFont="1" applyFill="1" applyAlignment="1">
      <alignment horizontal="left" vertical="top" wrapText="1"/>
    </xf>
    <xf numFmtId="0" fontId="11" fillId="3" borderId="0" xfId="21" applyFont="1" applyFill="1" applyAlignment="1">
      <alignment horizontal="left" vertical="center" wrapText="1"/>
    </xf>
    <xf numFmtId="0" fontId="7" fillId="3" borderId="0" xfId="25" applyFont="1" applyFill="1" applyAlignment="1">
      <alignment horizontal="left" vertical="top" wrapText="1"/>
    </xf>
    <xf numFmtId="0" fontId="7" fillId="3" borderId="0" xfId="19" applyFont="1" applyFill="1" applyAlignment="1">
      <alignment horizontal="left" vertical="top" wrapText="1"/>
    </xf>
    <xf numFmtId="174" fontId="7" fillId="3" borderId="0" xfId="1" applyNumberFormat="1" applyFont="1" applyFill="1" applyAlignment="1">
      <alignment horizontal="right" vertical="center"/>
    </xf>
    <xf numFmtId="174" fontId="6" fillId="3" borderId="0" xfId="1" applyNumberFormat="1" applyFont="1" applyFill="1" applyAlignment="1">
      <alignment horizontal="right" vertical="center"/>
    </xf>
    <xf numFmtId="174" fontId="7" fillId="3" borderId="0" xfId="1" applyNumberFormat="1" applyFont="1" applyFill="1" applyBorder="1" applyAlignment="1">
      <alignment horizontal="right" vertical="center"/>
    </xf>
    <xf numFmtId="174" fontId="6" fillId="3" borderId="0" xfId="1" applyNumberFormat="1" applyFont="1" applyFill="1" applyBorder="1" applyAlignment="1">
      <alignment horizontal="right" vertical="center"/>
    </xf>
    <xf numFmtId="174" fontId="7" fillId="3" borderId="0" xfId="1" applyNumberFormat="1" applyFont="1" applyFill="1" applyBorder="1" applyAlignment="1">
      <alignment horizontal="center" vertical="center"/>
    </xf>
    <xf numFmtId="174" fontId="6" fillId="3" borderId="0" xfId="1" applyNumberFormat="1" applyFont="1" applyFill="1" applyBorder="1" applyAlignment="1">
      <alignment horizontal="center" vertical="center"/>
    </xf>
    <xf numFmtId="0" fontId="7" fillId="3" borderId="0" xfId="25" applyFont="1" applyFill="1" applyAlignment="1">
      <alignment vertical="top" wrapText="1"/>
    </xf>
    <xf numFmtId="172" fontId="6" fillId="3" borderId="0" xfId="1" applyNumberFormat="1" applyFont="1" applyFill="1" applyBorder="1" applyAlignment="1">
      <alignment horizontal="right" vertical="center"/>
    </xf>
    <xf numFmtId="172" fontId="7" fillId="3" borderId="0" xfId="40" applyNumberFormat="1" applyFont="1" applyFill="1" applyAlignment="1">
      <alignment horizontal="right" vertical="center"/>
    </xf>
    <xf numFmtId="0" fontId="7" fillId="3" borderId="1" xfId="41" applyFont="1" applyFill="1" applyBorder="1" applyAlignment="1">
      <alignment horizontal="right" wrapText="1"/>
    </xf>
    <xf numFmtId="0" fontId="7" fillId="3" borderId="0" xfId="41" applyFont="1" applyFill="1" applyAlignment="1">
      <alignment horizontal="left" vertical="top"/>
    </xf>
    <xf numFmtId="0" fontId="7" fillId="3" borderId="1" xfId="43" applyFont="1" applyFill="1" applyBorder="1" applyAlignment="1">
      <alignment horizontal="center" vertical="center" wrapText="1"/>
    </xf>
    <xf numFmtId="0" fontId="7" fillId="3" borderId="1" xfId="43" applyFont="1" applyFill="1" applyBorder="1" applyAlignment="1">
      <alignment horizontal="center" wrapText="1"/>
    </xf>
    <xf numFmtId="165" fontId="6" fillId="3" borderId="0" xfId="1" applyNumberFormat="1" applyFont="1" applyFill="1" applyBorder="1" applyAlignment="1">
      <alignment horizontal="right" vertical="center"/>
    </xf>
    <xf numFmtId="165" fontId="7" fillId="3" borderId="0" xfId="1" applyNumberFormat="1" applyFont="1" applyFill="1" applyBorder="1" applyAlignment="1">
      <alignment horizontal="right" vertical="center"/>
    </xf>
    <xf numFmtId="0" fontId="7" fillId="3" borderId="1" xfId="44" applyFont="1" applyFill="1" applyBorder="1" applyAlignment="1">
      <alignment horizontal="center" wrapText="1"/>
    </xf>
    <xf numFmtId="0" fontId="7" fillId="3" borderId="1" xfId="46" applyFont="1" applyFill="1" applyBorder="1" applyAlignment="1">
      <alignment horizontal="center" wrapText="1"/>
    </xf>
    <xf numFmtId="0" fontId="7" fillId="3" borderId="1" xfId="47" applyFont="1" applyFill="1" applyBorder="1" applyAlignment="1">
      <alignment vertical="center" wrapText="1"/>
    </xf>
    <xf numFmtId="0" fontId="7" fillId="3" borderId="1" xfId="50" applyFont="1" applyFill="1" applyBorder="1" applyAlignment="1">
      <alignment horizontal="center" wrapText="1"/>
    </xf>
    <xf numFmtId="169" fontId="7" fillId="3" borderId="0" xfId="1" applyNumberFormat="1" applyFont="1" applyFill="1" applyBorder="1" applyAlignment="1">
      <alignment horizontal="center" vertical="center"/>
    </xf>
    <xf numFmtId="0" fontId="7" fillId="3" borderId="1" xfId="47" applyFont="1" applyFill="1" applyBorder="1" applyAlignment="1">
      <alignment horizontal="center" vertical="center" wrapText="1"/>
    </xf>
    <xf numFmtId="0" fontId="7" fillId="3" borderId="1" xfId="11" applyFont="1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left" wrapText="1"/>
    </xf>
    <xf numFmtId="0" fontId="6" fillId="3" borderId="0" xfId="2" applyFont="1" applyFill="1" applyBorder="1" applyAlignment="1">
      <alignment horizontal="left" vertical="top" wrapText="1"/>
    </xf>
    <xf numFmtId="0" fontId="7" fillId="3" borderId="1" xfId="37" applyFont="1" applyFill="1" applyBorder="1" applyAlignment="1">
      <alignment wrapText="1"/>
    </xf>
    <xf numFmtId="0" fontId="7" fillId="3" borderId="1" xfId="37" applyFont="1" applyFill="1" applyBorder="1" applyAlignment="1">
      <alignment horizontal="center" wrapText="1"/>
    </xf>
    <xf numFmtId="0" fontId="7" fillId="3" borderId="1" xfId="18" applyFont="1" applyFill="1" applyBorder="1" applyAlignment="1">
      <alignment horizontal="center" wrapText="1"/>
    </xf>
    <xf numFmtId="0" fontId="7" fillId="3" borderId="1" xfId="38" applyFont="1" applyFill="1" applyBorder="1" applyAlignment="1">
      <alignment horizontal="center" wrapText="1"/>
    </xf>
    <xf numFmtId="0" fontId="6" fillId="3" borderId="3" xfId="22" applyFont="1" applyFill="1" applyBorder="1" applyAlignment="1">
      <alignment vertical="center" wrapText="1"/>
    </xf>
    <xf numFmtId="0" fontId="7" fillId="3" borderId="2" xfId="37" applyFont="1" applyFill="1" applyBorder="1" applyAlignment="1">
      <alignment horizontal="center" wrapText="1"/>
    </xf>
    <xf numFmtId="0" fontId="7" fillId="3" borderId="1" xfId="19" applyFont="1" applyFill="1" applyBorder="1" applyAlignment="1">
      <alignment horizontal="center" wrapText="1"/>
    </xf>
    <xf numFmtId="0" fontId="7" fillId="3" borderId="0" xfId="20" applyFont="1" applyFill="1" applyAlignment="1">
      <alignment horizontal="center" wrapText="1"/>
    </xf>
    <xf numFmtId="0" fontId="16" fillId="3" borderId="2" xfId="6" applyFont="1" applyFill="1" applyBorder="1" applyAlignment="1">
      <alignment horizontal="center" vertical="center"/>
    </xf>
    <xf numFmtId="0" fontId="16" fillId="3" borderId="2" xfId="7" applyFont="1" applyFill="1" applyBorder="1" applyAlignment="1">
      <alignment horizontal="left" wrapText="1"/>
    </xf>
    <xf numFmtId="176" fontId="6" fillId="3" borderId="0" xfId="1" applyNumberFormat="1" applyFont="1" applyFill="1" applyAlignment="1">
      <alignment horizontal="center" vertical="center"/>
    </xf>
    <xf numFmtId="177" fontId="7" fillId="3" borderId="0" xfId="43" applyNumberFormat="1" applyFont="1" applyFill="1" applyAlignment="1">
      <alignment horizontal="right" vertical="center"/>
    </xf>
    <xf numFmtId="168" fontId="9" fillId="3" borderId="0" xfId="4" applyNumberFormat="1" applyFont="1" applyFill="1" applyAlignment="1">
      <alignment horizontal="right" vertical="center"/>
    </xf>
    <xf numFmtId="0" fontId="11" fillId="3" borderId="3" xfId="0" applyFont="1" applyFill="1" applyBorder="1" applyAlignment="1">
      <alignment horizontal="left"/>
    </xf>
    <xf numFmtId="0" fontId="11" fillId="3" borderId="0" xfId="0" applyFont="1" applyFill="1" applyAlignment="1">
      <alignment horizontal="left" vertical="center" wrapText="1"/>
    </xf>
    <xf numFmtId="0" fontId="10" fillId="3" borderId="9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3" fontId="8" fillId="3" borderId="0" xfId="4" applyNumberFormat="1" applyFont="1" applyFill="1" applyAlignment="1">
      <alignment horizontal="right"/>
    </xf>
    <xf numFmtId="3" fontId="8" fillId="3" borderId="0" xfId="4" applyNumberFormat="1" applyFont="1" applyFill="1" applyAlignment="1">
      <alignment horizontal="right" vertical="center"/>
    </xf>
    <xf numFmtId="3" fontId="8" fillId="3" borderId="0" xfId="4" applyNumberFormat="1" applyFont="1" applyFill="1" applyAlignment="1">
      <alignment horizontal="right" vertical="center" wrapText="1"/>
    </xf>
    <xf numFmtId="3" fontId="9" fillId="3" borderId="0" xfId="4" applyNumberFormat="1" applyFont="1" applyFill="1" applyAlignment="1">
      <alignment horizontal="right"/>
    </xf>
    <xf numFmtId="3" fontId="9" fillId="3" borderId="0" xfId="4" applyNumberFormat="1" applyFont="1" applyFill="1" applyAlignment="1">
      <alignment horizontal="right" vertical="center"/>
    </xf>
    <xf numFmtId="3" fontId="9" fillId="3" borderId="0" xfId="4" applyNumberFormat="1" applyFont="1" applyFill="1" applyAlignment="1">
      <alignment horizontal="right" vertical="center" wrapText="1"/>
    </xf>
    <xf numFmtId="1" fontId="6" fillId="3" borderId="0" xfId="39" applyNumberFormat="1" applyFont="1" applyFill="1" applyBorder="1" applyAlignment="1">
      <alignment horizontal="right" vertical="center"/>
    </xf>
    <xf numFmtId="0" fontId="7" fillId="3" borderId="0" xfId="43" applyFont="1" applyFill="1" applyAlignment="1">
      <alignment horizontal="left" vertical="top" wrapText="1"/>
    </xf>
    <xf numFmtId="176" fontId="7" fillId="3" borderId="0" xfId="1" applyNumberFormat="1" applyFont="1" applyFill="1" applyAlignment="1">
      <alignment horizontal="right" vertical="center"/>
    </xf>
    <xf numFmtId="179" fontId="7" fillId="3" borderId="0" xfId="1" applyNumberFormat="1" applyFont="1" applyFill="1" applyAlignment="1">
      <alignment horizontal="right" vertical="center"/>
    </xf>
    <xf numFmtId="179" fontId="6" fillId="3" borderId="0" xfId="1" applyNumberFormat="1" applyFont="1" applyFill="1" applyAlignment="1">
      <alignment horizontal="right" vertical="center"/>
    </xf>
    <xf numFmtId="3" fontId="7" fillId="3" borderId="0" xfId="5" applyNumberFormat="1" applyFont="1" applyFill="1" applyAlignment="1">
      <alignment horizontal="right" vertical="center"/>
    </xf>
    <xf numFmtId="3" fontId="7" fillId="3" borderId="0" xfId="22" applyNumberFormat="1" applyFont="1" applyFill="1" applyAlignment="1">
      <alignment horizontal="right" vertical="center"/>
    </xf>
    <xf numFmtId="3" fontId="7" fillId="3" borderId="0" xfId="18" applyNumberFormat="1" applyFont="1" applyFill="1" applyAlignment="1">
      <alignment horizontal="right" vertical="center"/>
    </xf>
    <xf numFmtId="3" fontId="11" fillId="3" borderId="0" xfId="21" applyNumberFormat="1" applyFont="1" applyFill="1" applyAlignment="1">
      <alignment horizontal="right" vertical="center"/>
    </xf>
    <xf numFmtId="3" fontId="7" fillId="3" borderId="0" xfId="25" applyNumberFormat="1" applyFont="1" applyFill="1" applyAlignment="1">
      <alignment horizontal="right" vertical="center"/>
    </xf>
    <xf numFmtId="3" fontId="7" fillId="3" borderId="0" xfId="26" applyNumberFormat="1" applyFont="1" applyFill="1" applyAlignment="1">
      <alignment horizontal="right" vertical="center"/>
    </xf>
    <xf numFmtId="0" fontId="11" fillId="3" borderId="0" xfId="5" applyFont="1" applyFill="1" applyAlignment="1">
      <alignment horizontal="center" wrapText="1"/>
    </xf>
    <xf numFmtId="169" fontId="7" fillId="3" borderId="0" xfId="1" applyNumberFormat="1" applyFont="1" applyFill="1" applyAlignment="1">
      <alignment horizontal="right" vertical="center"/>
    </xf>
    <xf numFmtId="169" fontId="6" fillId="3" borderId="0" xfId="1" applyNumberFormat="1" applyFont="1" applyFill="1" applyAlignment="1">
      <alignment horizontal="right" vertical="center"/>
    </xf>
    <xf numFmtId="173" fontId="7" fillId="3" borderId="0" xfId="19" applyNumberFormat="1" applyFont="1" applyFill="1" applyAlignment="1">
      <alignment horizontal="center"/>
    </xf>
    <xf numFmtId="0" fontId="16" fillId="0" borderId="2" xfId="6" applyFont="1" applyBorder="1" applyAlignment="1">
      <alignment horizontal="center" vertical="center"/>
    </xf>
    <xf numFmtId="3" fontId="6" fillId="3" borderId="0" xfId="25" applyNumberFormat="1" applyFont="1" applyFill="1" applyAlignment="1">
      <alignment horizontal="right" vertical="center"/>
    </xf>
    <xf numFmtId="3" fontId="6" fillId="3" borderId="0" xfId="26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6" fillId="3" borderId="0" xfId="1" applyNumberFormat="1" applyFont="1" applyFill="1" applyAlignment="1">
      <alignment horizontal="right" vertical="center"/>
    </xf>
    <xf numFmtId="0" fontId="6" fillId="3" borderId="0" xfId="41" applyFont="1" applyFill="1" applyAlignment="1">
      <alignment horizontal="left" vertical="top"/>
    </xf>
    <xf numFmtId="3" fontId="9" fillId="3" borderId="0" xfId="4" applyNumberFormat="1" applyFont="1" applyFill="1" applyAlignment="1">
      <alignment horizontal="right" vertical="top" wrapText="1"/>
    </xf>
    <xf numFmtId="3" fontId="9" fillId="3" borderId="0" xfId="0" applyNumberFormat="1" applyFont="1" applyFill="1" applyAlignment="1">
      <alignment horizontal="right"/>
    </xf>
    <xf numFmtId="174" fontId="8" fillId="3" borderId="0" xfId="1" applyNumberFormat="1" applyFont="1" applyFill="1" applyAlignment="1">
      <alignment vertical="top" wrapText="1"/>
    </xf>
    <xf numFmtId="0" fontId="7" fillId="3" borderId="0" xfId="25" applyFont="1" applyFill="1" applyAlignment="1">
      <alignment horizontal="center" wrapText="1"/>
    </xf>
    <xf numFmtId="0" fontId="9" fillId="3" borderId="3" xfId="4" applyFont="1" applyFill="1" applyBorder="1" applyAlignment="1">
      <alignment horizontal="right" vertical="center" wrapText="1"/>
    </xf>
    <xf numFmtId="0" fontId="7" fillId="3" borderId="1" xfId="28" applyFont="1" applyFill="1" applyBorder="1" applyAlignment="1">
      <alignment horizontal="center" wrapText="1"/>
    </xf>
    <xf numFmtId="0" fontId="24" fillId="4" borderId="0" xfId="25" applyFont="1" applyFill="1" applyAlignment="1">
      <alignment vertical="top"/>
    </xf>
    <xf numFmtId="3" fontId="24" fillId="4" borderId="0" xfId="6" applyNumberFormat="1" applyFont="1" applyFill="1" applyAlignment="1">
      <alignment horizontal="right" vertical="center"/>
    </xf>
    <xf numFmtId="3" fontId="6" fillId="3" borderId="0" xfId="5" applyNumberFormat="1" applyFont="1" applyFill="1" applyAlignment="1">
      <alignment horizontal="right" vertical="center"/>
    </xf>
    <xf numFmtId="3" fontId="24" fillId="4" borderId="0" xfId="5" applyNumberFormat="1" applyFont="1" applyFill="1" applyAlignment="1">
      <alignment horizontal="right" vertical="center"/>
    </xf>
    <xf numFmtId="0" fontId="7" fillId="3" borderId="0" xfId="25" applyFont="1" applyFill="1" applyAlignment="1">
      <alignment horizontal="left" vertical="center" indent="1"/>
    </xf>
    <xf numFmtId="3" fontId="6" fillId="3" borderId="0" xfId="6" applyNumberFormat="1" applyFont="1" applyFill="1" applyAlignment="1">
      <alignment horizontal="right" vertical="center"/>
    </xf>
    <xf numFmtId="3" fontId="7" fillId="3" borderId="0" xfId="6" applyNumberFormat="1" applyFont="1" applyFill="1" applyAlignment="1">
      <alignment horizontal="right" vertical="center"/>
    </xf>
    <xf numFmtId="0" fontId="24" fillId="4" borderId="0" xfId="22" applyFont="1" applyFill="1" applyAlignment="1">
      <alignment horizontal="left" vertical="top" wrapText="1"/>
    </xf>
    <xf numFmtId="3" fontId="24" fillId="4" borderId="0" xfId="18" applyNumberFormat="1" applyFont="1" applyFill="1" applyAlignment="1">
      <alignment horizontal="right" vertical="center"/>
    </xf>
    <xf numFmtId="0" fontId="24" fillId="4" borderId="0" xfId="22" applyFont="1" applyFill="1" applyAlignment="1">
      <alignment horizontal="left" vertical="center" wrapText="1"/>
    </xf>
    <xf numFmtId="3" fontId="25" fillId="4" borderId="0" xfId="22" applyNumberFormat="1" applyFont="1" applyFill="1" applyAlignment="1">
      <alignment horizontal="right" vertical="center"/>
    </xf>
    <xf numFmtId="0" fontId="24" fillId="4" borderId="0" xfId="18" applyFont="1" applyFill="1" applyAlignment="1">
      <alignment vertical="center"/>
    </xf>
    <xf numFmtId="3" fontId="24" fillId="4" borderId="0" xfId="22" applyNumberFormat="1" applyFont="1" applyFill="1" applyAlignment="1">
      <alignment horizontal="right" vertical="center"/>
    </xf>
    <xf numFmtId="0" fontId="7" fillId="3" borderId="0" xfId="18" applyFont="1" applyFill="1" applyAlignment="1">
      <alignment horizontal="left" vertical="top" wrapText="1" indent="1"/>
    </xf>
    <xf numFmtId="0" fontId="24" fillId="4" borderId="0" xfId="21" applyFont="1" applyFill="1" applyAlignment="1">
      <alignment horizontal="left" vertical="center" wrapText="1"/>
    </xf>
    <xf numFmtId="0" fontId="24" fillId="4" borderId="0" xfId="21" applyFont="1" applyFill="1" applyAlignment="1">
      <alignment horizontal="left" vertical="center" wrapText="1" indent="1"/>
    </xf>
    <xf numFmtId="3" fontId="24" fillId="4" borderId="0" xfId="25" applyNumberFormat="1" applyFont="1" applyFill="1" applyAlignment="1">
      <alignment horizontal="right" vertical="center"/>
    </xf>
    <xf numFmtId="3" fontId="24" fillId="4" borderId="0" xfId="26" applyNumberFormat="1" applyFont="1" applyFill="1" applyAlignment="1">
      <alignment horizontal="right" vertical="center"/>
    </xf>
    <xf numFmtId="3" fontId="25" fillId="4" borderId="0" xfId="25" applyNumberFormat="1" applyFont="1" applyFill="1" applyAlignment="1">
      <alignment horizontal="right" vertical="center"/>
    </xf>
    <xf numFmtId="3" fontId="25" fillId="4" borderId="0" xfId="26" applyNumberFormat="1" applyFont="1" applyFill="1" applyAlignment="1">
      <alignment horizontal="right" vertical="center"/>
    </xf>
    <xf numFmtId="0" fontId="11" fillId="4" borderId="12" xfId="0" applyFont="1" applyFill="1" applyBorder="1"/>
    <xf numFmtId="165" fontId="11" fillId="4" borderId="12" xfId="0" applyNumberFormat="1" applyFont="1" applyFill="1" applyBorder="1"/>
    <xf numFmtId="172" fontId="11" fillId="4" borderId="12" xfId="0" applyNumberFormat="1" applyFont="1" applyFill="1" applyBorder="1"/>
    <xf numFmtId="0" fontId="24" fillId="3" borderId="0" xfId="25" applyFont="1" applyFill="1" applyAlignment="1">
      <alignment vertical="top"/>
    </xf>
    <xf numFmtId="3" fontId="24" fillId="3" borderId="0" xfId="25" applyNumberFormat="1" applyFont="1" applyFill="1" applyAlignment="1">
      <alignment horizontal="right" vertical="center"/>
    </xf>
    <xf numFmtId="3" fontId="8" fillId="3" borderId="0" xfId="25" applyNumberFormat="1" applyFont="1" applyFill="1" applyAlignment="1">
      <alignment horizontal="right" vertical="center"/>
    </xf>
    <xf numFmtId="3" fontId="8" fillId="4" borderId="0" xfId="25" applyNumberFormat="1" applyFont="1" applyFill="1" applyAlignment="1">
      <alignment horizontal="right" vertical="center"/>
    </xf>
    <xf numFmtId="3" fontId="9" fillId="3" borderId="0" xfId="25" applyNumberFormat="1" applyFont="1" applyFill="1" applyAlignment="1">
      <alignment horizontal="right" vertical="center"/>
    </xf>
    <xf numFmtId="3" fontId="9" fillId="4" borderId="0" xfId="25" applyNumberFormat="1" applyFont="1" applyFill="1" applyAlignment="1">
      <alignment horizontal="right" vertical="center"/>
    </xf>
    <xf numFmtId="0" fontId="24" fillId="4" borderId="0" xfId="5" applyFont="1" applyFill="1" applyAlignment="1">
      <alignment vertical="top" wrapText="1"/>
    </xf>
    <xf numFmtId="165" fontId="24" fillId="4" borderId="0" xfId="5" applyNumberFormat="1" applyFont="1" applyFill="1" applyAlignment="1">
      <alignment horizontal="right" vertical="center"/>
    </xf>
    <xf numFmtId="165" fontId="25" fillId="4" borderId="0" xfId="5" applyNumberFormat="1" applyFont="1" applyFill="1" applyAlignment="1">
      <alignment horizontal="right" vertical="center"/>
    </xf>
    <xf numFmtId="0" fontId="9" fillId="3" borderId="2" xfId="27" applyFont="1" applyFill="1" applyBorder="1" applyAlignment="1">
      <alignment horizontal="center" wrapText="1"/>
    </xf>
    <xf numFmtId="0" fontId="9" fillId="3" borderId="0" xfId="27" applyFont="1" applyFill="1" applyAlignment="1">
      <alignment horizontal="left" vertical="top" wrapText="1"/>
    </xf>
    <xf numFmtId="178" fontId="9" fillId="3" borderId="0" xfId="1" applyNumberFormat="1" applyFont="1" applyFill="1" applyAlignment="1">
      <alignment horizontal="center" vertical="center"/>
    </xf>
    <xf numFmtId="178" fontId="8" fillId="4" borderId="0" xfId="1" applyNumberFormat="1" applyFont="1" applyFill="1" applyAlignment="1">
      <alignment horizontal="center" vertical="center"/>
    </xf>
    <xf numFmtId="3" fontId="9" fillId="3" borderId="0" xfId="1" applyNumberFormat="1" applyFont="1" applyFill="1" applyAlignment="1">
      <alignment horizontal="center" vertical="center"/>
    </xf>
    <xf numFmtId="3" fontId="9" fillId="4" borderId="0" xfId="1" applyNumberFormat="1" applyFont="1" applyFill="1" applyAlignment="1">
      <alignment horizontal="center" vertical="center"/>
    </xf>
    <xf numFmtId="3" fontId="8" fillId="3" borderId="0" xfId="1" applyNumberFormat="1" applyFont="1" applyFill="1" applyAlignment="1">
      <alignment horizontal="center" vertical="center"/>
    </xf>
    <xf numFmtId="0" fontId="9" fillId="3" borderId="0" xfId="27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/>
    </xf>
    <xf numFmtId="3" fontId="16" fillId="3" borderId="0" xfId="1" applyNumberFormat="1" applyFont="1" applyFill="1" applyAlignment="1">
      <alignment horizontal="right" vertical="center"/>
    </xf>
    <xf numFmtId="3" fontId="16" fillId="3" borderId="0" xfId="1" applyNumberFormat="1" applyFont="1" applyFill="1" applyAlignment="1">
      <alignment horizontal="center" vertical="center"/>
    </xf>
    <xf numFmtId="3" fontId="16" fillId="3" borderId="0" xfId="1" applyNumberFormat="1" applyFont="1" applyFill="1" applyAlignment="1">
      <alignment horizontal="right" vertical="top" wrapText="1"/>
    </xf>
    <xf numFmtId="3" fontId="14" fillId="3" borderId="0" xfId="1" applyNumberFormat="1" applyFont="1" applyFill="1" applyAlignment="1">
      <alignment horizontal="right"/>
    </xf>
    <xf numFmtId="0" fontId="24" fillId="4" borderId="0" xfId="18" applyFont="1" applyFill="1" applyAlignment="1">
      <alignment vertical="top" wrapText="1"/>
    </xf>
    <xf numFmtId="169" fontId="24" fillId="4" borderId="0" xfId="1" applyNumberFormat="1" applyFont="1" applyFill="1" applyAlignment="1">
      <alignment horizontal="right" vertical="center"/>
    </xf>
    <xf numFmtId="170" fontId="7" fillId="3" borderId="0" xfId="6" applyNumberFormat="1" applyFont="1" applyFill="1" applyAlignment="1">
      <alignment horizontal="right" vertical="center"/>
    </xf>
    <xf numFmtId="0" fontId="24" fillId="4" borderId="0" xfId="6" applyFont="1" applyFill="1" applyAlignment="1">
      <alignment vertical="top" wrapText="1"/>
    </xf>
    <xf numFmtId="169" fontId="11" fillId="3" borderId="0" xfId="1" applyNumberFormat="1" applyFont="1" applyFill="1"/>
    <xf numFmtId="169" fontId="11" fillId="3" borderId="0" xfId="1" applyNumberFormat="1" applyFont="1" applyFill="1" applyAlignment="1">
      <alignment horizontal="right" vertical="center"/>
    </xf>
    <xf numFmtId="0" fontId="7" fillId="3" borderId="0" xfId="22" applyFont="1" applyFill="1" applyAlignment="1">
      <alignment horizontal="center" wrapText="1"/>
    </xf>
    <xf numFmtId="170" fontId="24" fillId="4" borderId="0" xfId="6" applyNumberFormat="1" applyFont="1" applyFill="1" applyAlignment="1">
      <alignment horizontal="left" vertical="center"/>
    </xf>
    <xf numFmtId="169" fontId="25" fillId="4" borderId="0" xfId="1" applyNumberFormat="1" applyFont="1" applyFill="1" applyAlignment="1">
      <alignment horizontal="right" vertical="center"/>
    </xf>
    <xf numFmtId="173" fontId="24" fillId="4" borderId="0" xfId="19" applyNumberFormat="1" applyFont="1" applyFill="1" applyAlignment="1">
      <alignment horizontal="center"/>
    </xf>
    <xf numFmtId="0" fontId="24" fillId="4" borderId="0" xfId="19" applyFont="1" applyFill="1" applyAlignment="1">
      <alignment horizontal="left" vertical="top" wrapText="1"/>
    </xf>
    <xf numFmtId="171" fontId="25" fillId="4" borderId="0" xfId="19" applyNumberFormat="1" applyFont="1" applyFill="1" applyAlignment="1">
      <alignment horizontal="center"/>
    </xf>
    <xf numFmtId="171" fontId="24" fillId="4" borderId="0" xfId="19" applyNumberFormat="1" applyFont="1" applyFill="1" applyAlignment="1">
      <alignment horizontal="center"/>
    </xf>
    <xf numFmtId="0" fontId="24" fillId="4" borderId="0" xfId="20" applyFont="1" applyFill="1" applyAlignment="1">
      <alignment vertical="top" wrapText="1"/>
    </xf>
    <xf numFmtId="174" fontId="24" fillId="4" borderId="0" xfId="1" applyNumberFormat="1" applyFont="1" applyFill="1" applyAlignment="1">
      <alignment vertical="top" wrapText="1"/>
    </xf>
    <xf numFmtId="174" fontId="24" fillId="4" borderId="0" xfId="1" applyNumberFormat="1" applyFont="1" applyFill="1" applyAlignment="1">
      <alignment horizontal="right" vertical="center"/>
    </xf>
    <xf numFmtId="169" fontId="24" fillId="4" borderId="0" xfId="1" applyNumberFormat="1" applyFont="1" applyFill="1" applyAlignment="1">
      <alignment horizontal="center"/>
    </xf>
    <xf numFmtId="169" fontId="25" fillId="4" borderId="0" xfId="1" applyNumberFormat="1" applyFont="1" applyFill="1" applyAlignment="1">
      <alignment horizontal="right"/>
    </xf>
    <xf numFmtId="0" fontId="22" fillId="3" borderId="22" xfId="2" applyFont="1" applyFill="1" applyBorder="1" applyAlignment="1">
      <alignment horizontal="left" vertical="top" wrapText="1"/>
    </xf>
    <xf numFmtId="0" fontId="22" fillId="4" borderId="0" xfId="25" applyFont="1" applyFill="1" applyAlignment="1">
      <alignment horizontal="left" vertical="center"/>
    </xf>
    <xf numFmtId="170" fontId="6" fillId="3" borderId="0" xfId="53" applyNumberFormat="1" applyFont="1" applyFill="1" applyBorder="1" applyAlignment="1">
      <alignment horizontal="center" vertical="center"/>
    </xf>
    <xf numFmtId="170" fontId="6" fillId="3" borderId="23" xfId="53" applyNumberFormat="1" applyFont="1" applyFill="1" applyBorder="1" applyAlignment="1">
      <alignment horizontal="center" vertical="center"/>
    </xf>
    <xf numFmtId="3" fontId="7" fillId="3" borderId="0" xfId="6" applyNumberFormat="1" applyFont="1" applyFill="1" applyAlignment="1">
      <alignment horizontal="center" vertical="center"/>
    </xf>
    <xf numFmtId="3" fontId="24" fillId="4" borderId="0" xfId="0" applyNumberFormat="1" applyFont="1" applyFill="1" applyAlignment="1">
      <alignment horizontal="right"/>
    </xf>
    <xf numFmtId="3" fontId="25" fillId="4" borderId="0" xfId="4" applyNumberFormat="1" applyFont="1" applyFill="1" applyAlignment="1">
      <alignment horizontal="right" vertical="top" wrapText="1"/>
    </xf>
    <xf numFmtId="3" fontId="25" fillId="4" borderId="0" xfId="0" applyNumberFormat="1" applyFont="1" applyFill="1" applyAlignment="1">
      <alignment horizontal="right"/>
    </xf>
    <xf numFmtId="3" fontId="11" fillId="4" borderId="0" xfId="0" applyNumberFormat="1" applyFont="1" applyFill="1" applyAlignment="1">
      <alignment horizontal="right"/>
    </xf>
    <xf numFmtId="3" fontId="24" fillId="4" borderId="0" xfId="4" applyNumberFormat="1" applyFont="1" applyFill="1" applyAlignment="1">
      <alignment horizontal="right" vertical="center" wrapText="1"/>
    </xf>
    <xf numFmtId="0" fontId="9" fillId="3" borderId="2" xfId="8" applyFont="1" applyFill="1" applyBorder="1" applyAlignment="1">
      <alignment horizontal="center" vertical="center" wrapText="1"/>
    </xf>
    <xf numFmtId="3" fontId="11" fillId="3" borderId="0" xfId="4" applyNumberFormat="1" applyFont="1" applyFill="1" applyAlignment="1">
      <alignment horizontal="right"/>
    </xf>
    <xf numFmtId="3" fontId="11" fillId="3" borderId="0" xfId="4" applyNumberFormat="1" applyFont="1" applyFill="1" applyAlignment="1">
      <alignment horizontal="right" vertical="center"/>
    </xf>
    <xf numFmtId="3" fontId="24" fillId="4" borderId="0" xfId="4" applyNumberFormat="1" applyFont="1" applyFill="1" applyAlignment="1">
      <alignment horizontal="center"/>
    </xf>
    <xf numFmtId="3" fontId="9" fillId="4" borderId="0" xfId="4" applyNumberFormat="1" applyFont="1" applyFill="1" applyAlignment="1">
      <alignment horizontal="right"/>
    </xf>
    <xf numFmtId="3" fontId="9" fillId="4" borderId="0" xfId="4" applyNumberFormat="1" applyFont="1" applyFill="1" applyAlignment="1">
      <alignment horizontal="right" vertical="center"/>
    </xf>
    <xf numFmtId="3" fontId="24" fillId="4" borderId="0" xfId="4" applyNumberFormat="1" applyFont="1" applyFill="1" applyAlignment="1">
      <alignment horizontal="right" vertical="center"/>
    </xf>
    <xf numFmtId="0" fontId="9" fillId="3" borderId="0" xfId="4" applyFont="1" applyFill="1" applyAlignment="1">
      <alignment horizontal="right" vertical="center"/>
    </xf>
    <xf numFmtId="0" fontId="11" fillId="3" borderId="7" xfId="7" applyFont="1" applyFill="1" applyBorder="1" applyAlignment="1">
      <alignment horizontal="center" vertical="center" wrapText="1"/>
    </xf>
    <xf numFmtId="168" fontId="24" fillId="4" borderId="0" xfId="4" applyNumberFormat="1" applyFont="1" applyFill="1" applyAlignment="1">
      <alignment horizontal="right" vertical="center"/>
    </xf>
    <xf numFmtId="168" fontId="8" fillId="3" borderId="0" xfId="4" applyNumberFormat="1" applyFont="1" applyFill="1" applyAlignment="1">
      <alignment horizontal="right" vertical="center"/>
    </xf>
    <xf numFmtId="168" fontId="9" fillId="4" borderId="0" xfId="4" applyNumberFormat="1" applyFont="1" applyFill="1" applyAlignment="1">
      <alignment horizontal="right" vertical="center"/>
    </xf>
    <xf numFmtId="0" fontId="7" fillId="3" borderId="1" xfId="48" applyFont="1" applyFill="1" applyBorder="1" applyAlignment="1">
      <alignment horizontal="center" wrapText="1"/>
    </xf>
    <xf numFmtId="0" fontId="24" fillId="4" borderId="0" xfId="25" applyFont="1" applyFill="1" applyAlignment="1">
      <alignment vertical="top" wrapText="1"/>
    </xf>
    <xf numFmtId="174" fontId="24" fillId="4" borderId="0" xfId="1" applyNumberFormat="1" applyFont="1" applyFill="1" applyBorder="1" applyAlignment="1">
      <alignment horizontal="right" vertical="center"/>
    </xf>
    <xf numFmtId="176" fontId="24" fillId="4" borderId="0" xfId="1" applyNumberFormat="1" applyFont="1" applyFill="1" applyAlignment="1">
      <alignment horizontal="right" vertical="center"/>
    </xf>
    <xf numFmtId="164" fontId="24" fillId="4" borderId="0" xfId="1" applyFont="1" applyFill="1" applyAlignment="1">
      <alignment horizontal="right" vertical="center"/>
    </xf>
    <xf numFmtId="0" fontId="6" fillId="3" borderId="0" xfId="25" applyFont="1" applyFill="1" applyAlignment="1">
      <alignment horizontal="left" vertical="center"/>
    </xf>
    <xf numFmtId="0" fontId="6" fillId="3" borderId="0" xfId="25" applyFont="1" applyFill="1" applyAlignment="1">
      <alignment horizontal="left" wrapText="1"/>
    </xf>
    <xf numFmtId="0" fontId="25" fillId="4" borderId="0" xfId="25" applyFont="1" applyFill="1" applyAlignment="1">
      <alignment vertical="top" wrapText="1"/>
    </xf>
    <xf numFmtId="174" fontId="7" fillId="4" borderId="0" xfId="1" applyNumberFormat="1" applyFont="1" applyFill="1" applyBorder="1" applyAlignment="1">
      <alignment horizontal="right" vertical="center"/>
    </xf>
    <xf numFmtId="176" fontId="6" fillId="3" borderId="0" xfId="1" applyNumberFormat="1" applyFont="1" applyFill="1" applyAlignment="1">
      <alignment horizontal="right" vertical="center"/>
    </xf>
    <xf numFmtId="169" fontId="24" fillId="4" borderId="0" xfId="1" applyNumberFormat="1" applyFont="1" applyFill="1" applyBorder="1" applyAlignment="1">
      <alignment horizontal="right" vertical="center"/>
    </xf>
    <xf numFmtId="166" fontId="24" fillId="4" borderId="0" xfId="5" applyNumberFormat="1" applyFont="1" applyFill="1" applyAlignment="1">
      <alignment horizontal="right" vertical="center"/>
    </xf>
    <xf numFmtId="173" fontId="24" fillId="4" borderId="0" xfId="5" applyNumberFormat="1" applyFont="1" applyFill="1" applyAlignment="1">
      <alignment horizontal="right" vertical="center"/>
    </xf>
    <xf numFmtId="171" fontId="24" fillId="4" borderId="0" xfId="5" applyNumberFormat="1" applyFont="1" applyFill="1" applyAlignment="1">
      <alignment horizontal="right" vertical="center"/>
    </xf>
    <xf numFmtId="173" fontId="24" fillId="4" borderId="0" xfId="5" applyNumberFormat="1" applyFont="1" applyFill="1" applyAlignment="1">
      <alignment horizontal="left" vertical="center"/>
    </xf>
    <xf numFmtId="171" fontId="24" fillId="4" borderId="0" xfId="5" applyNumberFormat="1" applyFont="1" applyFill="1" applyAlignment="1">
      <alignment horizontal="left" vertical="center"/>
    </xf>
    <xf numFmtId="173" fontId="7" fillId="3" borderId="0" xfId="5" applyNumberFormat="1" applyFont="1" applyFill="1" applyAlignment="1">
      <alignment horizontal="left" vertical="center"/>
    </xf>
    <xf numFmtId="171" fontId="7" fillId="3" borderId="0" xfId="5" applyNumberFormat="1" applyFont="1" applyFill="1" applyAlignment="1">
      <alignment horizontal="left" vertical="center"/>
    </xf>
    <xf numFmtId="174" fontId="6" fillId="3" borderId="0" xfId="1" applyNumberFormat="1" applyFont="1" applyFill="1" applyAlignment="1">
      <alignment horizontal="center" vertical="center"/>
    </xf>
    <xf numFmtId="176" fontId="7" fillId="3" borderId="0" xfId="1" applyNumberFormat="1" applyFont="1" applyFill="1" applyAlignment="1">
      <alignment horizontal="center" vertical="center"/>
    </xf>
    <xf numFmtId="174" fontId="7" fillId="4" borderId="0" xfId="1" applyNumberFormat="1" applyFont="1" applyFill="1" applyAlignment="1">
      <alignment horizontal="left" vertical="center"/>
    </xf>
    <xf numFmtId="176" fontId="24" fillId="4" borderId="0" xfId="1" applyNumberFormat="1" applyFont="1" applyFill="1" applyAlignment="1">
      <alignment vertical="top"/>
    </xf>
    <xf numFmtId="164" fontId="6" fillId="3" borderId="0" xfId="1" applyFont="1" applyFill="1" applyAlignment="1">
      <alignment horizontal="right" vertical="center"/>
    </xf>
    <xf numFmtId="164" fontId="7" fillId="3" borderId="0" xfId="1" applyFont="1" applyFill="1" applyAlignment="1">
      <alignment horizontal="right" vertical="center"/>
    </xf>
    <xf numFmtId="176" fontId="7" fillId="4" borderId="0" xfId="1" applyNumberFormat="1" applyFont="1" applyFill="1" applyAlignment="1">
      <alignment horizontal="right" vertical="center"/>
    </xf>
    <xf numFmtId="164" fontId="7" fillId="4" borderId="0" xfId="1" applyFont="1" applyFill="1" applyAlignment="1">
      <alignment horizontal="right" vertical="center"/>
    </xf>
    <xf numFmtId="174" fontId="7" fillId="4" borderId="0" xfId="1" applyNumberFormat="1" applyFont="1" applyFill="1" applyBorder="1" applyAlignment="1">
      <alignment horizontal="center" vertical="center"/>
    </xf>
    <xf numFmtId="169" fontId="7" fillId="4" borderId="0" xfId="1" applyNumberFormat="1" applyFont="1" applyFill="1" applyBorder="1" applyAlignment="1">
      <alignment horizontal="right" vertical="center"/>
    </xf>
    <xf numFmtId="0" fontId="7" fillId="3" borderId="2" xfId="22" applyFont="1" applyFill="1" applyBorder="1" applyAlignment="1">
      <alignment horizontal="center" wrapText="1"/>
    </xf>
    <xf numFmtId="0" fontId="7" fillId="3" borderId="0" xfId="6" applyFont="1" applyFill="1" applyAlignment="1">
      <alignment horizontal="right" vertical="center" wrapText="1"/>
    </xf>
    <xf numFmtId="0" fontId="7" fillId="3" borderId="0" xfId="25" applyFont="1" applyFill="1" applyAlignment="1">
      <alignment horizontal="center" vertical="center" wrapText="1"/>
    </xf>
    <xf numFmtId="0" fontId="11" fillId="3" borderId="0" xfId="5" applyFont="1" applyFill="1" applyAlignment="1">
      <alignment horizontal="center" vertical="center" wrapText="1"/>
    </xf>
    <xf numFmtId="0" fontId="7" fillId="3" borderId="1" xfId="2" applyFont="1" applyFill="1" applyBorder="1" applyAlignment="1">
      <alignment horizontal="center" wrapText="1"/>
    </xf>
    <xf numFmtId="0" fontId="7" fillId="3" borderId="3" xfId="25" applyFont="1" applyFill="1" applyBorder="1" applyAlignment="1">
      <alignment horizontal="center" vertical="center" wrapText="1"/>
    </xf>
    <xf numFmtId="0" fontId="7" fillId="3" borderId="3" xfId="25" applyFont="1" applyFill="1" applyBorder="1" applyAlignment="1">
      <alignment horizontal="center" wrapText="1"/>
    </xf>
    <xf numFmtId="0" fontId="9" fillId="3" borderId="3" xfId="29" applyFont="1" applyFill="1" applyBorder="1" applyAlignment="1">
      <alignment horizontal="center" vertical="center" wrapText="1"/>
    </xf>
    <xf numFmtId="0" fontId="7" fillId="3" borderId="0" xfId="28" applyFont="1" applyFill="1" applyAlignment="1">
      <alignment horizontal="center" wrapText="1"/>
    </xf>
    <xf numFmtId="0" fontId="7" fillId="3" borderId="1" xfId="9" applyFont="1" applyFill="1" applyBorder="1" applyAlignment="1">
      <alignment horizontal="center" vertical="center" wrapText="1"/>
    </xf>
    <xf numFmtId="0" fontId="7" fillId="3" borderId="2" xfId="40" applyFont="1" applyFill="1" applyBorder="1" applyAlignment="1">
      <alignment horizontal="center" wrapText="1"/>
    </xf>
    <xf numFmtId="0" fontId="9" fillId="3" borderId="1" xfId="4" applyFont="1" applyFill="1" applyBorder="1" applyAlignment="1">
      <alignment horizontal="center" vertical="center" wrapText="1"/>
    </xf>
    <xf numFmtId="0" fontId="7" fillId="3" borderId="7" xfId="7" applyFont="1" applyFill="1" applyBorder="1" applyAlignment="1">
      <alignment horizontal="center" vertical="center" wrapText="1"/>
    </xf>
    <xf numFmtId="0" fontId="7" fillId="3" borderId="1" xfId="55" applyFont="1" applyFill="1" applyBorder="1" applyAlignment="1">
      <alignment horizontal="center" wrapText="1"/>
    </xf>
    <xf numFmtId="0" fontId="24" fillId="4" borderId="0" xfId="25" applyFont="1" applyFill="1" applyAlignment="1">
      <alignment vertical="center" wrapText="1"/>
    </xf>
    <xf numFmtId="169" fontId="24" fillId="4" borderId="0" xfId="1" applyNumberFormat="1" applyFont="1" applyFill="1" applyBorder="1" applyAlignment="1"/>
    <xf numFmtId="169" fontId="6" fillId="3" borderId="0" xfId="1" applyNumberFormat="1" applyFont="1" applyFill="1" applyBorder="1" applyAlignment="1"/>
    <xf numFmtId="169" fontId="7" fillId="3" borderId="0" xfId="1" applyNumberFormat="1" applyFont="1" applyFill="1" applyBorder="1" applyAlignment="1"/>
    <xf numFmtId="169" fontId="7" fillId="4" borderId="0" xfId="1" applyNumberFormat="1" applyFont="1" applyFill="1" applyBorder="1" applyAlignment="1"/>
    <xf numFmtId="0" fontId="25" fillId="4" borderId="0" xfId="25" applyFont="1" applyFill="1" applyAlignment="1">
      <alignment vertical="center" wrapText="1"/>
    </xf>
    <xf numFmtId="1" fontId="24" fillId="4" borderId="0" xfId="1" applyNumberFormat="1" applyFont="1" applyFill="1" applyBorder="1" applyAlignment="1">
      <alignment horizontal="right" vertical="center"/>
    </xf>
    <xf numFmtId="169" fontId="6" fillId="4" borderId="0" xfId="1" applyNumberFormat="1" applyFont="1" applyFill="1" applyBorder="1" applyAlignment="1">
      <alignment horizontal="right" vertical="center"/>
    </xf>
    <xf numFmtId="1" fontId="6" fillId="4" borderId="0" xfId="1" applyNumberFormat="1" applyFont="1" applyFill="1" applyBorder="1" applyAlignment="1">
      <alignment horizontal="right" vertical="center"/>
    </xf>
    <xf numFmtId="174" fontId="6" fillId="4" borderId="0" xfId="1" applyNumberFormat="1" applyFont="1" applyFill="1" applyBorder="1" applyAlignment="1">
      <alignment horizontal="right" vertical="center"/>
    </xf>
    <xf numFmtId="174" fontId="24" fillId="4" borderId="0" xfId="1" applyNumberFormat="1" applyFont="1" applyFill="1" applyBorder="1" applyAlignment="1">
      <alignment horizontal="center" vertical="center"/>
    </xf>
    <xf numFmtId="174" fontId="6" fillId="4" borderId="0" xfId="1" applyNumberFormat="1" applyFont="1" applyFill="1" applyBorder="1" applyAlignment="1">
      <alignment horizontal="center" vertical="center"/>
    </xf>
    <xf numFmtId="0" fontId="7" fillId="3" borderId="2" xfId="16" applyFont="1" applyFill="1" applyBorder="1" applyAlignment="1">
      <alignment horizontal="center" vertical="center" wrapText="1"/>
    </xf>
    <xf numFmtId="0" fontId="7" fillId="3" borderId="2" xfId="51" applyFont="1" applyFill="1" applyBorder="1" applyAlignment="1">
      <alignment horizontal="center" vertical="center" wrapText="1"/>
    </xf>
    <xf numFmtId="0" fontId="7" fillId="3" borderId="1" xfId="49" applyFont="1" applyFill="1" applyBorder="1" applyAlignment="1">
      <alignment horizontal="center" wrapText="1"/>
    </xf>
    <xf numFmtId="0" fontId="7" fillId="3" borderId="1" xfId="48" applyFont="1" applyFill="1" applyBorder="1" applyAlignment="1">
      <alignment horizontal="center" vertical="center" wrapText="1"/>
    </xf>
    <xf numFmtId="169" fontId="24" fillId="4" borderId="0" xfId="1" applyNumberFormat="1" applyFont="1" applyFill="1" applyBorder="1" applyAlignment="1">
      <alignment horizontal="left"/>
    </xf>
    <xf numFmtId="169" fontId="7" fillId="2" borderId="0" xfId="1" applyNumberFormat="1" applyFont="1" applyFill="1" applyBorder="1" applyAlignment="1">
      <alignment horizontal="right" vertical="center"/>
    </xf>
    <xf numFmtId="1" fontId="7" fillId="2" borderId="0" xfId="1" applyNumberFormat="1" applyFont="1" applyFill="1" applyBorder="1" applyAlignment="1">
      <alignment horizontal="right" vertical="center"/>
    </xf>
    <xf numFmtId="0" fontId="7" fillId="3" borderId="3" xfId="47" applyFont="1" applyFill="1" applyBorder="1" applyAlignment="1">
      <alignment wrapText="1"/>
    </xf>
    <xf numFmtId="0" fontId="7" fillId="3" borderId="2" xfId="47" applyFont="1" applyFill="1" applyBorder="1" applyAlignment="1">
      <alignment vertical="center" wrapText="1"/>
    </xf>
    <xf numFmtId="169" fontId="6" fillId="2" borderId="0" xfId="1" applyNumberFormat="1" applyFont="1" applyFill="1" applyBorder="1" applyAlignment="1">
      <alignment horizontal="right" vertical="center"/>
    </xf>
    <xf numFmtId="0" fontId="7" fillId="3" borderId="2" xfId="45" applyFont="1" applyFill="1" applyBorder="1" applyAlignment="1">
      <alignment horizontal="center" vertical="center" wrapText="1"/>
    </xf>
    <xf numFmtId="1" fontId="6" fillId="2" borderId="0" xfId="1" applyNumberFormat="1" applyFont="1" applyFill="1" applyBorder="1" applyAlignment="1">
      <alignment horizontal="right" vertical="center"/>
    </xf>
    <xf numFmtId="165" fontId="24" fillId="4" borderId="0" xfId="1" applyNumberFormat="1" applyFont="1" applyFill="1" applyBorder="1" applyAlignment="1">
      <alignment horizontal="right" vertical="center"/>
    </xf>
    <xf numFmtId="177" fontId="24" fillId="4" borderId="0" xfId="43" applyNumberFormat="1" applyFont="1" applyFill="1" applyAlignment="1">
      <alignment horizontal="right" vertical="center"/>
    </xf>
    <xf numFmtId="165" fontId="6" fillId="3" borderId="0" xfId="43" applyNumberFormat="1" applyFont="1" applyFill="1" applyAlignment="1">
      <alignment horizontal="right" vertical="center"/>
    </xf>
    <xf numFmtId="165" fontId="7" fillId="4" borderId="0" xfId="1" applyNumberFormat="1" applyFont="1" applyFill="1" applyBorder="1" applyAlignment="1">
      <alignment horizontal="right" vertical="center"/>
    </xf>
    <xf numFmtId="165" fontId="7" fillId="4" borderId="0" xfId="43" applyNumberFormat="1" applyFont="1" applyFill="1" applyAlignment="1">
      <alignment horizontal="right" vertical="center"/>
    </xf>
    <xf numFmtId="0" fontId="24" fillId="4" borderId="0" xfId="41" applyFont="1" applyFill="1" applyAlignment="1">
      <alignment horizontal="left" vertical="top"/>
    </xf>
    <xf numFmtId="172" fontId="24" fillId="4" borderId="0" xfId="1" applyNumberFormat="1" applyFont="1" applyFill="1" applyBorder="1" applyAlignment="1">
      <alignment horizontal="center" vertical="center"/>
    </xf>
    <xf numFmtId="172" fontId="6" fillId="3" borderId="0" xfId="1" applyNumberFormat="1" applyFont="1" applyFill="1" applyBorder="1" applyAlignment="1">
      <alignment horizontal="center" vertical="center"/>
    </xf>
    <xf numFmtId="172" fontId="7" fillId="3" borderId="0" xfId="40" applyNumberFormat="1" applyFont="1" applyFill="1" applyAlignment="1">
      <alignment horizontal="center" vertical="center"/>
    </xf>
    <xf numFmtId="172" fontId="7" fillId="4" borderId="0" xfId="40" applyNumberFormat="1" applyFont="1" applyFill="1" applyAlignment="1">
      <alignment horizontal="right" vertical="center"/>
    </xf>
    <xf numFmtId="172" fontId="7" fillId="4" borderId="0" xfId="40" applyNumberFormat="1" applyFont="1" applyFill="1" applyAlignment="1">
      <alignment horizontal="center" vertical="center"/>
    </xf>
    <xf numFmtId="0" fontId="24" fillId="4" borderId="0" xfId="27" applyFont="1" applyFill="1" applyAlignment="1">
      <alignment vertical="top" wrapText="1"/>
    </xf>
    <xf numFmtId="3" fontId="24" fillId="4" borderId="0" xfId="1" applyNumberFormat="1" applyFont="1" applyFill="1" applyAlignment="1">
      <alignment horizontal="center" vertical="center"/>
    </xf>
    <xf numFmtId="0" fontId="24" fillId="4" borderId="0" xfId="27" applyFont="1" applyFill="1" applyAlignment="1">
      <alignment horizontal="left" vertical="top" wrapText="1"/>
    </xf>
    <xf numFmtId="3" fontId="24" fillId="4" borderId="0" xfId="1" applyNumberFormat="1" applyFont="1" applyFill="1" applyAlignment="1">
      <alignment horizontal="right" vertical="center"/>
    </xf>
    <xf numFmtId="0" fontId="24" fillId="4" borderId="0" xfId="2" applyFont="1" applyFill="1" applyAlignment="1">
      <alignment vertical="top" wrapText="1"/>
    </xf>
    <xf numFmtId="179" fontId="24" fillId="4" borderId="0" xfId="1" applyNumberFormat="1" applyFont="1" applyFill="1" applyAlignment="1">
      <alignment horizontal="right" vertical="center"/>
    </xf>
    <xf numFmtId="0" fontId="22" fillId="4" borderId="0" xfId="4" applyFont="1" applyFill="1" applyAlignment="1">
      <alignment horizontal="left" vertical="top" wrapText="1"/>
    </xf>
    <xf numFmtId="3" fontId="22" fillId="4" borderId="0" xfId="1" applyNumberFormat="1" applyFont="1" applyFill="1" applyAlignment="1">
      <alignment horizontal="right" vertical="center"/>
    </xf>
    <xf numFmtId="3" fontId="22" fillId="4" borderId="0" xfId="1" applyNumberFormat="1" applyFont="1" applyFill="1" applyAlignment="1">
      <alignment horizontal="center" vertical="center"/>
    </xf>
    <xf numFmtId="0" fontId="22" fillId="4" borderId="0" xfId="25" applyFont="1" applyFill="1" applyAlignment="1">
      <alignment vertical="top"/>
    </xf>
    <xf numFmtId="170" fontId="22" fillId="4" borderId="0" xfId="52" applyNumberFormat="1" applyFont="1" applyFill="1" applyAlignment="1">
      <alignment horizontal="center" vertical="center"/>
    </xf>
    <xf numFmtId="170" fontId="23" fillId="3" borderId="0" xfId="6" applyNumberFormat="1" applyFont="1" applyFill="1" applyAlignment="1">
      <alignment horizontal="center" vertical="center"/>
    </xf>
    <xf numFmtId="170" fontId="23" fillId="3" borderId="23" xfId="6" applyNumberFormat="1" applyFont="1" applyFill="1" applyBorder="1" applyAlignment="1">
      <alignment horizontal="center" vertical="center"/>
    </xf>
    <xf numFmtId="170" fontId="16" fillId="4" borderId="0" xfId="52" applyNumberFormat="1" applyFont="1" applyFill="1" applyAlignment="1">
      <alignment horizontal="center" vertical="center"/>
    </xf>
    <xf numFmtId="3" fontId="16" fillId="3" borderId="0" xfId="6" applyNumberFormat="1" applyFont="1" applyFill="1" applyAlignment="1">
      <alignment horizontal="center" vertical="center"/>
    </xf>
    <xf numFmtId="3" fontId="15" fillId="3" borderId="0" xfId="6" applyNumberFormat="1" applyFont="1" applyFill="1" applyAlignment="1">
      <alignment horizontal="center" vertical="center"/>
    </xf>
    <xf numFmtId="0" fontId="14" fillId="2" borderId="0" xfId="0" applyFont="1" applyFill="1"/>
    <xf numFmtId="170" fontId="24" fillId="4" borderId="0" xfId="2" applyNumberFormat="1" applyFont="1" applyFill="1" applyAlignment="1">
      <alignment horizontal="left"/>
    </xf>
    <xf numFmtId="0" fontId="11" fillId="2" borderId="0" xfId="0" applyFont="1" applyFill="1"/>
    <xf numFmtId="165" fontId="11" fillId="2" borderId="0" xfId="0" applyNumberFormat="1" applyFont="1" applyFill="1"/>
    <xf numFmtId="0" fontId="11" fillId="2" borderId="0" xfId="0" applyFont="1" applyFill="1" applyBorder="1" applyAlignment="1">
      <alignment horizontal="left"/>
    </xf>
    <xf numFmtId="0" fontId="11" fillId="2" borderId="0" xfId="0" applyFont="1" applyFill="1" applyBorder="1"/>
    <xf numFmtId="0" fontId="11" fillId="2" borderId="0" xfId="0" applyFont="1" applyFill="1" applyAlignment="1">
      <alignment horizontal="left"/>
    </xf>
    <xf numFmtId="170" fontId="24" fillId="4" borderId="0" xfId="20" applyNumberFormat="1" applyFont="1" applyFill="1" applyAlignment="1">
      <alignment horizontal="center" vertical="center"/>
    </xf>
    <xf numFmtId="172" fontId="11" fillId="2" borderId="0" xfId="0" applyNumberFormat="1" applyFont="1" applyFill="1"/>
    <xf numFmtId="3" fontId="7" fillId="3" borderId="0" xfId="6" applyNumberFormat="1" applyFont="1" applyFill="1" applyAlignment="1">
      <alignment horizontal="left" vertical="top"/>
    </xf>
    <xf numFmtId="0" fontId="24" fillId="4" borderId="0" xfId="25" applyFont="1" applyFill="1" applyAlignment="1">
      <alignment horizontal="center" vertical="top"/>
    </xf>
    <xf numFmtId="3" fontId="9" fillId="3" borderId="0" xfId="0" applyNumberFormat="1" applyFont="1" applyFill="1" applyAlignment="1">
      <alignment horizontal="center"/>
    </xf>
    <xf numFmtId="0" fontId="16" fillId="3" borderId="0" xfId="20" applyFont="1" applyFill="1" applyAlignment="1">
      <alignment horizontal="left" vertical="top" wrapText="1"/>
    </xf>
    <xf numFmtId="0" fontId="7" fillId="3" borderId="3" xfId="26" applyFont="1" applyFill="1" applyBorder="1" applyAlignment="1">
      <alignment horizontal="center" wrapText="1"/>
    </xf>
    <xf numFmtId="0" fontId="7" fillId="3" borderId="3" xfId="30" applyFont="1" applyFill="1" applyBorder="1" applyAlignment="1">
      <alignment horizontal="center" wrapText="1"/>
    </xf>
    <xf numFmtId="0" fontId="10" fillId="2" borderId="0" xfId="0" applyFont="1" applyFill="1"/>
    <xf numFmtId="0" fontId="24" fillId="3" borderId="0" xfId="25" applyFont="1" applyFill="1" applyAlignment="1">
      <alignment vertical="top" wrapText="1"/>
    </xf>
    <xf numFmtId="0" fontId="24" fillId="4" borderId="0" xfId="25" applyFont="1" applyFill="1" applyAlignment="1">
      <alignment horizontal="left" vertical="top" wrapText="1"/>
    </xf>
    <xf numFmtId="0" fontId="7" fillId="3" borderId="1" xfId="32" applyFont="1" applyFill="1" applyBorder="1" applyAlignment="1">
      <alignment wrapText="1"/>
    </xf>
    <xf numFmtId="0" fontId="7" fillId="3" borderId="1" xfId="32" applyFont="1" applyFill="1" applyBorder="1" applyAlignment="1">
      <alignment horizontal="center" wrapText="1"/>
    </xf>
    <xf numFmtId="1" fontId="11" fillId="2" borderId="0" xfId="0" applyNumberFormat="1" applyFont="1" applyFill="1"/>
    <xf numFmtId="0" fontId="7" fillId="3" borderId="1" xfId="33" applyFont="1" applyFill="1" applyBorder="1" applyAlignment="1">
      <alignment horizontal="center" wrapText="1"/>
    </xf>
    <xf numFmtId="0" fontId="7" fillId="3" borderId="3" xfId="35" applyFont="1" applyFill="1" applyBorder="1" applyAlignment="1">
      <alignment horizontal="center" wrapText="1"/>
    </xf>
    <xf numFmtId="0" fontId="9" fillId="3" borderId="1" xfId="29" applyFont="1" applyFill="1" applyBorder="1" applyAlignment="1">
      <alignment horizontal="center" vertical="center"/>
    </xf>
    <xf numFmtId="0" fontId="7" fillId="3" borderId="1" xfId="35" applyFont="1" applyFill="1" applyBorder="1" applyAlignment="1">
      <alignment horizontal="center" wrapText="1"/>
    </xf>
    <xf numFmtId="175" fontId="24" fillId="4" borderId="0" xfId="1" applyNumberFormat="1" applyFont="1" applyFill="1" applyBorder="1" applyAlignment="1">
      <alignment vertical="center"/>
    </xf>
    <xf numFmtId="175" fontId="24" fillId="4" borderId="0" xfId="1" applyNumberFormat="1" applyFont="1" applyFill="1" applyBorder="1" applyAlignment="1">
      <alignment horizontal="left" vertical="center"/>
    </xf>
    <xf numFmtId="164" fontId="24" fillId="4" borderId="0" xfId="1" applyFont="1" applyFill="1" applyBorder="1" applyAlignment="1">
      <alignment horizontal="left" vertical="center"/>
    </xf>
    <xf numFmtId="175" fontId="6" fillId="3" borderId="0" xfId="1" applyNumberFormat="1" applyFont="1" applyFill="1" applyBorder="1" applyAlignment="1">
      <alignment horizontal="right" vertical="center"/>
    </xf>
    <xf numFmtId="164" fontId="6" fillId="3" borderId="0" xfId="1" applyFont="1" applyFill="1" applyBorder="1" applyAlignment="1">
      <alignment horizontal="right" vertical="center"/>
    </xf>
    <xf numFmtId="175" fontId="7" fillId="3" borderId="0" xfId="1" applyNumberFormat="1" applyFont="1" applyFill="1" applyBorder="1" applyAlignment="1">
      <alignment horizontal="right" vertical="center"/>
    </xf>
    <xf numFmtId="164" fontId="7" fillId="3" borderId="0" xfId="1" applyFont="1" applyFill="1" applyBorder="1" applyAlignment="1">
      <alignment horizontal="right" vertical="center"/>
    </xf>
    <xf numFmtId="175" fontId="7" fillId="4" borderId="0" xfId="1" applyNumberFormat="1" applyFont="1" applyFill="1" applyBorder="1" applyAlignment="1">
      <alignment horizontal="right" vertical="center"/>
    </xf>
    <xf numFmtId="164" fontId="7" fillId="4" borderId="0" xfId="1" applyFont="1" applyFill="1" applyBorder="1" applyAlignment="1">
      <alignment horizontal="right" vertical="center"/>
    </xf>
    <xf numFmtId="175" fontId="24" fillId="4" borderId="0" xfId="1" applyNumberFormat="1" applyFont="1" applyFill="1" applyBorder="1" applyAlignment="1">
      <alignment horizontal="right" vertical="center"/>
    </xf>
    <xf numFmtId="164" fontId="24" fillId="4" borderId="0" xfId="1" applyFont="1" applyFill="1" applyBorder="1" applyAlignment="1">
      <alignment horizontal="right" vertical="center"/>
    </xf>
    <xf numFmtId="0" fontId="7" fillId="2" borderId="0" xfId="25" applyFont="1" applyFill="1" applyAlignment="1">
      <alignment horizontal="left" vertical="top" wrapText="1" indent="1"/>
    </xf>
    <xf numFmtId="0" fontId="6" fillId="2" borderId="0" xfId="25" applyFont="1" applyFill="1" applyAlignment="1">
      <alignment horizontal="left" vertical="top" wrapText="1"/>
    </xf>
    <xf numFmtId="0" fontId="7" fillId="3" borderId="2" xfId="5" applyFont="1" applyFill="1" applyBorder="1" applyAlignment="1">
      <alignment horizontal="center" vertical="center" wrapText="1"/>
    </xf>
    <xf numFmtId="167" fontId="24" fillId="4" borderId="0" xfId="4" applyNumberFormat="1" applyFont="1" applyFill="1" applyAlignment="1">
      <alignment horizontal="right" vertical="top" wrapText="1"/>
    </xf>
    <xf numFmtId="167" fontId="26" fillId="3" borderId="0" xfId="5" applyNumberFormat="1" applyFont="1" applyFill="1" applyAlignment="1">
      <alignment horizontal="right" vertical="center"/>
    </xf>
    <xf numFmtId="167" fontId="7" fillId="3" borderId="0" xfId="5" applyNumberFormat="1" applyFont="1" applyFill="1" applyAlignment="1">
      <alignment horizontal="right" vertical="center"/>
    </xf>
    <xf numFmtId="167" fontId="25" fillId="4" borderId="0" xfId="5" applyNumberFormat="1" applyFont="1" applyFill="1" applyAlignment="1">
      <alignment horizontal="right" vertical="center"/>
    </xf>
    <xf numFmtId="0" fontId="11" fillId="2" borderId="0" xfId="0" applyFont="1" applyFill="1" applyAlignment="1"/>
    <xf numFmtId="3" fontId="9" fillId="3" borderId="1" xfId="4" applyNumberFormat="1" applyFont="1" applyFill="1" applyBorder="1" applyAlignment="1">
      <alignment horizontal="right" vertical="center"/>
    </xf>
    <xf numFmtId="0" fontId="10" fillId="3" borderId="0" xfId="0" applyFont="1" applyFill="1" applyAlignment="1">
      <alignment horizontal="right"/>
    </xf>
    <xf numFmtId="0" fontId="11" fillId="3" borderId="0" xfId="0" applyFont="1" applyFill="1" applyAlignment="1">
      <alignment horizontal="right"/>
    </xf>
    <xf numFmtId="3" fontId="8" fillId="4" borderId="0" xfId="4" applyNumberFormat="1" applyFont="1" applyFill="1" applyAlignment="1">
      <alignment horizontal="right"/>
    </xf>
    <xf numFmtId="0" fontId="14" fillId="3" borderId="22" xfId="25" applyFont="1" applyFill="1" applyBorder="1" applyAlignment="1">
      <alignment horizontal="left" wrapText="1"/>
    </xf>
    <xf numFmtId="0" fontId="14" fillId="3" borderId="20" xfId="25" applyFont="1" applyFill="1" applyBorder="1" applyAlignment="1">
      <alignment vertical="top" wrapText="1"/>
    </xf>
    <xf numFmtId="0" fontId="7" fillId="3" borderId="0" xfId="25" applyFont="1" applyFill="1" applyAlignment="1">
      <alignment horizontal="left" wrapText="1"/>
    </xf>
    <xf numFmtId="0" fontId="15" fillId="3" borderId="0" xfId="25" applyFont="1" applyFill="1" applyAlignment="1">
      <alignment horizontal="left" vertical="top" wrapText="1"/>
    </xf>
    <xf numFmtId="0" fontId="7" fillId="3" borderId="1" xfId="18" applyFont="1" applyFill="1" applyBorder="1" applyAlignment="1">
      <alignment horizontal="left" wrapText="1"/>
    </xf>
    <xf numFmtId="0" fontId="7" fillId="3" borderId="3" xfId="22" applyFont="1" applyFill="1" applyBorder="1" applyAlignment="1">
      <alignment wrapText="1"/>
    </xf>
    <xf numFmtId="0" fontId="7" fillId="3" borderId="2" xfId="22" applyFont="1" applyFill="1" applyBorder="1" applyAlignment="1">
      <alignment wrapText="1"/>
    </xf>
    <xf numFmtId="0" fontId="7" fillId="3" borderId="3" xfId="18" applyFont="1" applyFill="1" applyBorder="1" applyAlignment="1">
      <alignment vertical="center" wrapText="1"/>
    </xf>
    <xf numFmtId="3" fontId="24" fillId="4" borderId="0" xfId="1" applyNumberFormat="1" applyFont="1" applyFill="1" applyAlignment="1">
      <alignment horizontal="left" vertical="center"/>
    </xf>
    <xf numFmtId="0" fontId="7" fillId="3" borderId="0" xfId="25" applyFont="1" applyFill="1" applyAlignment="1">
      <alignment horizontal="left" wrapText="1"/>
    </xf>
    <xf numFmtId="0" fontId="7" fillId="3" borderId="0" xfId="25" applyFont="1" applyFill="1" applyAlignment="1">
      <alignment horizontal="left" wrapText="1"/>
    </xf>
    <xf numFmtId="174" fontId="24" fillId="4" borderId="0" xfId="1" applyNumberFormat="1" applyFont="1" applyFill="1" applyBorder="1" applyAlignment="1">
      <alignment horizontal="left" vertical="center"/>
    </xf>
    <xf numFmtId="0" fontId="7" fillId="3" borderId="0" xfId="25" applyFont="1" applyFill="1" applyAlignment="1">
      <alignment horizontal="left" wrapText="1"/>
    </xf>
    <xf numFmtId="0" fontId="7" fillId="3" borderId="2" xfId="2" applyFont="1" applyFill="1" applyBorder="1" applyAlignment="1">
      <alignment horizontal="center" wrapText="1"/>
    </xf>
    <xf numFmtId="0" fontId="7" fillId="3" borderId="0" xfId="25" applyFont="1" applyFill="1" applyAlignment="1">
      <alignment horizontal="center" wrapText="1"/>
    </xf>
    <xf numFmtId="0" fontId="7" fillId="3" borderId="1" xfId="35" applyFont="1" applyFill="1" applyBorder="1" applyAlignment="1">
      <alignment horizontal="center" wrapText="1"/>
    </xf>
    <xf numFmtId="0" fontId="7" fillId="3" borderId="2" xfId="11" applyFont="1" applyFill="1" applyBorder="1" applyAlignment="1">
      <alignment horizontal="center" vertical="center" wrapText="1"/>
    </xf>
    <xf numFmtId="170" fontId="24" fillId="4" borderId="0" xfId="2" applyNumberFormat="1" applyFont="1" applyFill="1" applyAlignment="1">
      <alignment horizontal="center"/>
    </xf>
    <xf numFmtId="0" fontId="27" fillId="2" borderId="0" xfId="0" applyFont="1" applyFill="1"/>
    <xf numFmtId="173" fontId="6" fillId="3" borderId="0" xfId="19" applyNumberFormat="1" applyFont="1" applyFill="1" applyAlignment="1">
      <alignment horizontal="center"/>
    </xf>
    <xf numFmtId="164" fontId="24" fillId="4" borderId="0" xfId="1" applyNumberFormat="1" applyFont="1" applyFill="1" applyAlignment="1">
      <alignment vertical="top"/>
    </xf>
    <xf numFmtId="164" fontId="6" fillId="3" borderId="0" xfId="1" applyNumberFormat="1" applyFont="1" applyFill="1" applyAlignment="1">
      <alignment horizontal="center" vertical="center"/>
    </xf>
    <xf numFmtId="164" fontId="7" fillId="3" borderId="0" xfId="1" applyNumberFormat="1" applyFont="1" applyFill="1" applyAlignment="1">
      <alignment horizontal="center" vertical="center"/>
    </xf>
    <xf numFmtId="164" fontId="7" fillId="4" borderId="0" xfId="1" applyNumberFormat="1" applyFont="1" applyFill="1" applyAlignment="1">
      <alignment horizontal="left" vertical="center"/>
    </xf>
    <xf numFmtId="0" fontId="24" fillId="4" borderId="0" xfId="25" applyFont="1" applyFill="1" applyAlignment="1">
      <alignment horizontal="left" vertical="center" wrapText="1"/>
    </xf>
    <xf numFmtId="1" fontId="10" fillId="2" borderId="0" xfId="0" applyNumberFormat="1" applyFont="1" applyFill="1"/>
    <xf numFmtId="3" fontId="9" fillId="3" borderId="0" xfId="4" applyNumberFormat="1" applyFont="1" applyFill="1" applyAlignment="1">
      <alignment horizontal="center"/>
    </xf>
    <xf numFmtId="3" fontId="9" fillId="3" borderId="0" xfId="4" applyNumberFormat="1" applyFont="1" applyFill="1" applyAlignment="1">
      <alignment horizontal="center" vertical="center"/>
    </xf>
    <xf numFmtId="3" fontId="9" fillId="3" borderId="0" xfId="4" applyNumberFormat="1" applyFont="1" applyFill="1" applyAlignment="1">
      <alignment horizontal="center" vertical="center" wrapText="1"/>
    </xf>
    <xf numFmtId="3" fontId="25" fillId="4" borderId="0" xfId="4" applyNumberFormat="1" applyFont="1" applyFill="1" applyAlignment="1">
      <alignment horizontal="center"/>
    </xf>
    <xf numFmtId="3" fontId="25" fillId="4" borderId="0" xfId="4" applyNumberFormat="1" applyFont="1" applyFill="1" applyAlignment="1">
      <alignment horizontal="center" vertical="center"/>
    </xf>
    <xf numFmtId="3" fontId="8" fillId="3" borderId="0" xfId="4" applyNumberFormat="1" applyFont="1" applyFill="1" applyAlignment="1">
      <alignment horizontal="center"/>
    </xf>
    <xf numFmtId="3" fontId="8" fillId="3" borderId="0" xfId="4" applyNumberFormat="1" applyFont="1" applyFill="1" applyAlignment="1">
      <alignment horizontal="center" vertical="center"/>
    </xf>
    <xf numFmtId="3" fontId="8" fillId="3" borderId="0" xfId="4" applyNumberFormat="1" applyFont="1" applyFill="1" applyAlignment="1">
      <alignment horizontal="center" vertical="center" wrapText="1"/>
    </xf>
    <xf numFmtId="3" fontId="24" fillId="4" borderId="0" xfId="4" applyNumberFormat="1" applyFont="1" applyFill="1" applyAlignment="1">
      <alignment horizontal="center" vertical="center" wrapText="1"/>
    </xf>
    <xf numFmtId="3" fontId="14" fillId="2" borderId="0" xfId="0" applyNumberFormat="1" applyFont="1" applyFill="1"/>
    <xf numFmtId="3" fontId="24" fillId="4" borderId="0" xfId="18" applyNumberFormat="1" applyFont="1" applyFill="1" applyAlignment="1">
      <alignment horizontal="center" vertical="center"/>
    </xf>
    <xf numFmtId="3" fontId="7" fillId="3" borderId="0" xfId="22" applyNumberFormat="1" applyFont="1" applyFill="1" applyAlignment="1">
      <alignment horizontal="center" vertical="center"/>
    </xf>
    <xf numFmtId="3" fontId="25" fillId="4" borderId="0" xfId="22" applyNumberFormat="1" applyFont="1" applyFill="1" applyAlignment="1">
      <alignment horizontal="center" vertical="center"/>
    </xf>
    <xf numFmtId="3" fontId="24" fillId="4" borderId="0" xfId="22" applyNumberFormat="1" applyFont="1" applyFill="1" applyAlignment="1">
      <alignment horizontal="center" vertical="center"/>
    </xf>
    <xf numFmtId="3" fontId="7" fillId="3" borderId="0" xfId="18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3" fontId="24" fillId="4" borderId="0" xfId="25" applyNumberFormat="1" applyFont="1" applyFill="1" applyAlignment="1">
      <alignment horizontal="center" vertical="center"/>
    </xf>
    <xf numFmtId="3" fontId="8" fillId="3" borderId="0" xfId="25" applyNumberFormat="1" applyFont="1" applyFill="1" applyAlignment="1">
      <alignment horizontal="center" vertical="center"/>
    </xf>
    <xf numFmtId="3" fontId="9" fillId="3" borderId="0" xfId="25" applyNumberFormat="1" applyFont="1" applyFill="1" applyAlignment="1">
      <alignment horizontal="center" vertical="center"/>
    </xf>
    <xf numFmtId="3" fontId="24" fillId="3" borderId="0" xfId="25" applyNumberFormat="1" applyFont="1" applyFill="1" applyAlignment="1">
      <alignment horizontal="center" vertical="center"/>
    </xf>
    <xf numFmtId="3" fontId="8" fillId="4" borderId="0" xfId="25" applyNumberFormat="1" applyFont="1" applyFill="1" applyAlignment="1">
      <alignment horizontal="center" vertical="center"/>
    </xf>
    <xf numFmtId="3" fontId="9" fillId="4" borderId="0" xfId="25" applyNumberFormat="1" applyFont="1" applyFill="1" applyAlignment="1">
      <alignment horizontal="center" vertical="center"/>
    </xf>
    <xf numFmtId="0" fontId="10" fillId="3" borderId="0" xfId="5" applyFont="1" applyFill="1" applyAlignment="1">
      <alignment horizontal="center" wrapText="1"/>
    </xf>
    <xf numFmtId="172" fontId="24" fillId="4" borderId="0" xfId="0" applyNumberFormat="1" applyFont="1" applyFill="1" applyAlignment="1">
      <alignment horizontal="center"/>
    </xf>
    <xf numFmtId="172" fontId="24" fillId="3" borderId="0" xfId="0" applyNumberFormat="1" applyFont="1" applyFill="1" applyAlignment="1">
      <alignment horizontal="center"/>
    </xf>
    <xf numFmtId="172" fontId="9" fillId="3" borderId="0" xfId="0" applyNumberFormat="1" applyFont="1" applyFill="1" applyAlignment="1">
      <alignment horizontal="center"/>
    </xf>
    <xf numFmtId="179" fontId="24" fillId="4" borderId="0" xfId="1" applyNumberFormat="1" applyFont="1" applyFill="1" applyAlignment="1">
      <alignment horizontal="center" vertical="center"/>
    </xf>
    <xf numFmtId="179" fontId="6" fillId="3" borderId="0" xfId="1" applyNumberFormat="1" applyFont="1" applyFill="1" applyAlignment="1">
      <alignment horizontal="center" vertical="center"/>
    </xf>
    <xf numFmtId="179" fontId="7" fillId="3" borderId="0" xfId="1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right"/>
    </xf>
    <xf numFmtId="165" fontId="24" fillId="4" borderId="0" xfId="1" applyNumberFormat="1" applyFont="1" applyFill="1" applyAlignment="1">
      <alignment horizontal="center" wrapText="1"/>
    </xf>
    <xf numFmtId="165" fontId="25" fillId="3" borderId="0" xfId="28" applyNumberFormat="1" applyFont="1" applyFill="1" applyAlignment="1">
      <alignment horizontal="center" wrapText="1"/>
    </xf>
    <xf numFmtId="165" fontId="25" fillId="4" borderId="0" xfId="1" applyNumberFormat="1" applyFont="1" applyFill="1" applyBorder="1" applyAlignment="1">
      <alignment horizontal="center" vertical="center"/>
    </xf>
    <xf numFmtId="165" fontId="7" fillId="4" borderId="0" xfId="1" applyNumberFormat="1" applyFont="1" applyFill="1" applyBorder="1" applyAlignment="1">
      <alignment horizontal="center" vertical="center"/>
    </xf>
    <xf numFmtId="165" fontId="7" fillId="3" borderId="0" xfId="1" applyNumberFormat="1" applyFont="1" applyFill="1" applyBorder="1" applyAlignment="1">
      <alignment horizontal="center" vertical="center"/>
    </xf>
    <xf numFmtId="165" fontId="11" fillId="3" borderId="0" xfId="0" applyNumberFormat="1" applyFont="1" applyFill="1" applyAlignment="1">
      <alignment horizontal="center"/>
    </xf>
    <xf numFmtId="0" fontId="7" fillId="3" borderId="2" xfId="10" applyFont="1" applyFill="1" applyBorder="1" applyAlignment="1">
      <alignment horizontal="right" wrapText="1"/>
    </xf>
    <xf numFmtId="0" fontId="7" fillId="3" borderId="0" xfId="10" applyFont="1" applyFill="1" applyBorder="1" applyAlignment="1">
      <alignment horizontal="right" wrapText="1"/>
    </xf>
    <xf numFmtId="0" fontId="7" fillId="3" borderId="0" xfId="11" applyFont="1" applyFill="1" applyBorder="1" applyAlignment="1">
      <alignment horizontal="center" wrapText="1"/>
    </xf>
    <xf numFmtId="1" fontId="6" fillId="3" borderId="0" xfId="1" applyNumberFormat="1" applyFont="1" applyFill="1" applyBorder="1" applyAlignment="1">
      <alignment horizontal="center" vertical="center"/>
    </xf>
    <xf numFmtId="1" fontId="7" fillId="3" borderId="0" xfId="1" applyNumberFormat="1" applyFont="1" applyFill="1" applyBorder="1" applyAlignment="1">
      <alignment horizontal="center" vertical="center"/>
    </xf>
    <xf numFmtId="2" fontId="11" fillId="2" borderId="0" xfId="0" applyNumberFormat="1" applyFont="1" applyFill="1" applyAlignment="1">
      <alignment horizontal="center"/>
    </xf>
    <xf numFmtId="1" fontId="24" fillId="4" borderId="0" xfId="1" applyNumberFormat="1" applyFont="1" applyFill="1" applyBorder="1" applyAlignment="1">
      <alignment horizontal="center" vertical="center"/>
    </xf>
    <xf numFmtId="1" fontId="7" fillId="4" borderId="0" xfId="1" applyNumberFormat="1" applyFont="1" applyFill="1" applyBorder="1" applyAlignment="1">
      <alignment horizontal="center" vertical="center"/>
    </xf>
    <xf numFmtId="0" fontId="7" fillId="3" borderId="2" xfId="12" applyFont="1" applyFill="1" applyBorder="1" applyAlignment="1">
      <alignment horizontal="center" wrapText="1"/>
    </xf>
    <xf numFmtId="2" fontId="7" fillId="3" borderId="2" xfId="12" applyNumberFormat="1" applyFont="1" applyFill="1" applyBorder="1" applyAlignment="1">
      <alignment horizontal="center" wrapText="1"/>
    </xf>
    <xf numFmtId="0" fontId="16" fillId="3" borderId="0" xfId="25" applyFont="1" applyFill="1" applyAlignment="1">
      <alignment horizontal="left" vertical="top" indent="1"/>
    </xf>
    <xf numFmtId="169" fontId="0" fillId="2" borderId="0" xfId="0" applyNumberFormat="1" applyFill="1"/>
    <xf numFmtId="0" fontId="7" fillId="3" borderId="1" xfId="14" applyFont="1" applyFill="1" applyBorder="1" applyAlignment="1">
      <alignment horizontal="center" wrapText="1"/>
    </xf>
    <xf numFmtId="0" fontId="7" fillId="3" borderId="3" xfId="49" applyFont="1" applyFill="1" applyBorder="1" applyAlignment="1">
      <alignment horizontal="center" wrapText="1"/>
    </xf>
    <xf numFmtId="170" fontId="14" fillId="2" borderId="0" xfId="0" applyNumberFormat="1" applyFont="1" applyFill="1"/>
    <xf numFmtId="3" fontId="6" fillId="3" borderId="0" xfId="1" applyNumberFormat="1" applyFont="1" applyFill="1" applyAlignment="1">
      <alignment vertical="center"/>
    </xf>
    <xf numFmtId="3" fontId="7" fillId="3" borderId="0" xfId="1" applyNumberFormat="1" applyFont="1" applyFill="1" applyAlignment="1">
      <alignment vertical="center"/>
    </xf>
    <xf numFmtId="0" fontId="18" fillId="3" borderId="19" xfId="52" applyFont="1" applyFill="1" applyBorder="1" applyAlignment="1">
      <alignment horizontal="center" wrapText="1"/>
    </xf>
    <xf numFmtId="0" fontId="18" fillId="3" borderId="21" xfId="52" applyFont="1" applyFill="1" applyBorder="1" applyAlignment="1">
      <alignment horizontal="center" wrapText="1"/>
    </xf>
    <xf numFmtId="0" fontId="18" fillId="3" borderId="5" xfId="52" applyFont="1" applyFill="1" applyBorder="1" applyAlignment="1">
      <alignment horizontal="center" wrapText="1"/>
    </xf>
    <xf numFmtId="0" fontId="18" fillId="3" borderId="2" xfId="52" applyFont="1" applyFill="1" applyBorder="1" applyAlignment="1">
      <alignment horizontal="center" wrapText="1"/>
    </xf>
    <xf numFmtId="0" fontId="14" fillId="3" borderId="18" xfId="25" applyFont="1" applyFill="1" applyBorder="1" applyAlignment="1">
      <alignment horizontal="left" wrapText="1"/>
    </xf>
    <xf numFmtId="0" fontId="14" fillId="3" borderId="20" xfId="25" applyFont="1" applyFill="1" applyBorder="1" applyAlignment="1">
      <alignment horizontal="left" wrapText="1"/>
    </xf>
    <xf numFmtId="0" fontId="15" fillId="3" borderId="16" xfId="52" applyFont="1" applyFill="1" applyBorder="1" applyAlignment="1">
      <alignment horizontal="center" vertical="center" wrapText="1"/>
    </xf>
    <xf numFmtId="0" fontId="15" fillId="3" borderId="8" xfId="52" applyFont="1" applyFill="1" applyBorder="1" applyAlignment="1">
      <alignment horizontal="center" vertical="center" wrapText="1"/>
    </xf>
    <xf numFmtId="0" fontId="15" fillId="3" borderId="17" xfId="52" applyFont="1" applyFill="1" applyBorder="1" applyAlignment="1">
      <alignment horizontal="center" vertical="center" wrapText="1"/>
    </xf>
    <xf numFmtId="0" fontId="6" fillId="3" borderId="0" xfId="2" applyFont="1" applyFill="1" applyBorder="1" applyAlignment="1">
      <alignment horizontal="center" vertical="center" wrapText="1"/>
    </xf>
    <xf numFmtId="0" fontId="6" fillId="3" borderId="2" xfId="37" applyFont="1" applyFill="1" applyBorder="1" applyAlignment="1">
      <alignment horizontal="center" vertical="center" wrapText="1"/>
    </xf>
    <xf numFmtId="0" fontId="7" fillId="2" borderId="0" xfId="3" applyFont="1" applyFill="1" applyBorder="1" applyAlignment="1">
      <alignment horizontal="left" vertical="top" wrapText="1"/>
    </xf>
    <xf numFmtId="0" fontId="6" fillId="3" borderId="2" xfId="18" applyFont="1" applyFill="1" applyBorder="1" applyAlignment="1">
      <alignment horizontal="center" vertical="center" wrapText="1"/>
    </xf>
    <xf numFmtId="0" fontId="7" fillId="3" borderId="3" xfId="18" applyFont="1" applyFill="1" applyBorder="1" applyAlignment="1">
      <alignment horizontal="center" vertical="center" wrapText="1"/>
    </xf>
    <xf numFmtId="0" fontId="7" fillId="3" borderId="2" xfId="18" applyFont="1" applyFill="1" applyBorder="1" applyAlignment="1">
      <alignment horizontal="center" vertical="center" wrapText="1"/>
    </xf>
    <xf numFmtId="0" fontId="7" fillId="3" borderId="3" xfId="18" applyFont="1" applyFill="1" applyBorder="1" applyAlignment="1">
      <alignment horizontal="left" vertical="center" wrapText="1"/>
    </xf>
    <xf numFmtId="0" fontId="7" fillId="3" borderId="2" xfId="18" applyFont="1" applyFill="1" applyBorder="1" applyAlignment="1">
      <alignment horizontal="left" vertical="center" wrapText="1"/>
    </xf>
    <xf numFmtId="0" fontId="6" fillId="3" borderId="2" xfId="22" applyFont="1" applyFill="1" applyBorder="1" applyAlignment="1">
      <alignment horizontal="center" vertical="center" wrapText="1"/>
    </xf>
    <xf numFmtId="0" fontId="7" fillId="3" borderId="3" xfId="22" applyFont="1" applyFill="1" applyBorder="1" applyAlignment="1">
      <alignment horizontal="left" wrapText="1"/>
    </xf>
    <xf numFmtId="0" fontId="7" fillId="3" borderId="0" xfId="22" applyFont="1" applyFill="1" applyAlignment="1">
      <alignment horizontal="left" wrapText="1"/>
    </xf>
    <xf numFmtId="0" fontId="7" fillId="3" borderId="2" xfId="22" applyFont="1" applyFill="1" applyBorder="1" applyAlignment="1">
      <alignment horizontal="left" wrapText="1"/>
    </xf>
    <xf numFmtId="0" fontId="6" fillId="3" borderId="1" xfId="22" applyFont="1" applyFill="1" applyBorder="1" applyAlignment="1">
      <alignment horizontal="center" vertical="center" wrapText="1"/>
    </xf>
    <xf numFmtId="0" fontId="7" fillId="3" borderId="2" xfId="22" applyFont="1" applyFill="1" applyBorder="1" applyAlignment="1">
      <alignment horizontal="center" wrapText="1"/>
    </xf>
    <xf numFmtId="0" fontId="6" fillId="3" borderId="2" xfId="22" applyFont="1" applyFill="1" applyBorder="1" applyAlignment="1">
      <alignment horizontal="center" vertical="top" wrapText="1"/>
    </xf>
    <xf numFmtId="0" fontId="6" fillId="3" borderId="2" xfId="20" applyFont="1" applyFill="1" applyBorder="1" applyAlignment="1">
      <alignment horizontal="center" vertical="center" wrapText="1"/>
    </xf>
    <xf numFmtId="0" fontId="7" fillId="3" borderId="0" xfId="18" applyFont="1" applyFill="1" applyAlignment="1">
      <alignment horizontal="left" vertical="center" wrapText="1"/>
    </xf>
    <xf numFmtId="0" fontId="7" fillId="3" borderId="0" xfId="20" applyFont="1" applyFill="1" applyAlignment="1">
      <alignment horizontal="center" vertical="center" wrapText="1"/>
    </xf>
    <xf numFmtId="0" fontId="7" fillId="3" borderId="1" xfId="20" applyFont="1" applyFill="1" applyBorder="1" applyAlignment="1">
      <alignment horizontal="center" vertical="center" wrapText="1"/>
    </xf>
    <xf numFmtId="0" fontId="6" fillId="3" borderId="2" xfId="6" applyFont="1" applyFill="1" applyBorder="1" applyAlignment="1">
      <alignment horizontal="center" vertical="center" wrapText="1"/>
    </xf>
    <xf numFmtId="0" fontId="7" fillId="3" borderId="3" xfId="18" applyFont="1" applyFill="1" applyBorder="1" applyAlignment="1">
      <alignment horizontal="left" wrapText="1"/>
    </xf>
    <xf numFmtId="0" fontId="7" fillId="3" borderId="0" xfId="18" applyFont="1" applyFill="1" applyAlignment="1">
      <alignment horizontal="left" wrapText="1"/>
    </xf>
    <xf numFmtId="0" fontId="7" fillId="3" borderId="0" xfId="6" applyFont="1" applyFill="1" applyAlignment="1">
      <alignment horizontal="center" wrapText="1"/>
    </xf>
    <xf numFmtId="0" fontId="7" fillId="3" borderId="1" xfId="6" applyFont="1" applyFill="1" applyBorder="1" applyAlignment="1">
      <alignment horizontal="center" vertical="center" wrapText="1"/>
    </xf>
    <xf numFmtId="0" fontId="6" fillId="3" borderId="2" xfId="22" applyFont="1" applyFill="1" applyBorder="1" applyAlignment="1">
      <alignment vertical="center" wrapText="1"/>
    </xf>
    <xf numFmtId="0" fontId="7" fillId="3" borderId="0" xfId="6" applyFont="1" applyFill="1" applyAlignment="1">
      <alignment horizontal="left" vertical="center" wrapText="1"/>
    </xf>
    <xf numFmtId="0" fontId="6" fillId="3" borderId="2" xfId="23" applyFont="1" applyFill="1" applyBorder="1" applyAlignment="1">
      <alignment horizontal="center" vertical="center" wrapText="1"/>
    </xf>
    <xf numFmtId="0" fontId="7" fillId="3" borderId="0" xfId="6" applyFont="1" applyFill="1" applyAlignment="1">
      <alignment horizontal="center" vertical="center" wrapText="1"/>
    </xf>
    <xf numFmtId="0" fontId="6" fillId="3" borderId="2" xfId="24" applyFont="1" applyFill="1" applyBorder="1" applyAlignment="1">
      <alignment horizontal="center" vertical="center" wrapText="1"/>
    </xf>
    <xf numFmtId="0" fontId="7" fillId="3" borderId="0" xfId="6" applyFont="1" applyFill="1" applyAlignment="1">
      <alignment horizontal="right" vertical="center" wrapText="1"/>
    </xf>
    <xf numFmtId="0" fontId="10" fillId="3" borderId="0" xfId="0" applyFont="1" applyFill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wrapText="1"/>
    </xf>
    <xf numFmtId="0" fontId="11" fillId="3" borderId="13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 wrapText="1"/>
    </xf>
    <xf numFmtId="0" fontId="8" fillId="3" borderId="2" xfId="27" applyFont="1" applyFill="1" applyBorder="1" applyAlignment="1">
      <alignment horizontal="center" vertical="center" wrapText="1"/>
    </xf>
    <xf numFmtId="0" fontId="9" fillId="3" borderId="2" xfId="27" applyFont="1" applyFill="1" applyBorder="1" applyAlignment="1">
      <alignment horizontal="center" vertical="center" wrapText="1"/>
    </xf>
    <xf numFmtId="0" fontId="8" fillId="3" borderId="4" xfId="27" applyFont="1" applyFill="1" applyBorder="1" applyAlignment="1">
      <alignment horizontal="center" vertical="center" wrapText="1"/>
    </xf>
    <xf numFmtId="0" fontId="7" fillId="3" borderId="5" xfId="18" applyFont="1" applyFill="1" applyBorder="1" applyAlignment="1">
      <alignment horizontal="left" wrapText="1"/>
    </xf>
    <xf numFmtId="0" fontId="7" fillId="3" borderId="0" xfId="18" applyFont="1" applyFill="1" applyBorder="1" applyAlignment="1">
      <alignment horizontal="left" wrapText="1"/>
    </xf>
    <xf numFmtId="0" fontId="9" fillId="3" borderId="5" xfId="27" applyFont="1" applyFill="1" applyBorder="1" applyAlignment="1">
      <alignment horizontal="center" wrapText="1"/>
    </xf>
    <xf numFmtId="0" fontId="9" fillId="3" borderId="2" xfId="27" applyFont="1" applyFill="1" applyBorder="1" applyAlignment="1">
      <alignment horizontal="center" wrapText="1"/>
    </xf>
    <xf numFmtId="0" fontId="6" fillId="3" borderId="2" xfId="25" applyFont="1" applyFill="1" applyBorder="1" applyAlignment="1">
      <alignment horizontal="center" vertical="center" wrapText="1"/>
    </xf>
    <xf numFmtId="0" fontId="7" fillId="3" borderId="0" xfId="25" applyFont="1" applyFill="1" applyAlignment="1">
      <alignment horizontal="center" wrapText="1"/>
    </xf>
    <xf numFmtId="0" fontId="7" fillId="3" borderId="0" xfId="25" applyFont="1" applyFill="1" applyAlignment="1">
      <alignment horizontal="center" vertical="center" wrapText="1"/>
    </xf>
    <xf numFmtId="0" fontId="7" fillId="3" borderId="0" xfId="25" applyFont="1" applyFill="1" applyBorder="1" applyAlignment="1">
      <alignment horizontal="center" wrapText="1"/>
    </xf>
    <xf numFmtId="0" fontId="7" fillId="3" borderId="2" xfId="25" applyFont="1" applyFill="1" applyBorder="1" applyAlignment="1">
      <alignment horizontal="center" wrapText="1"/>
    </xf>
    <xf numFmtId="0" fontId="7" fillId="3" borderId="0" xfId="25" applyFont="1" applyFill="1" applyAlignment="1">
      <alignment horizontal="left" wrapText="1"/>
    </xf>
    <xf numFmtId="0" fontId="6" fillId="3" borderId="4" xfId="5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wrapText="1"/>
    </xf>
    <xf numFmtId="0" fontId="11" fillId="3" borderId="0" xfId="0" applyFont="1" applyFill="1" applyAlignment="1">
      <alignment horizontal="center" wrapText="1"/>
    </xf>
    <xf numFmtId="0" fontId="11" fillId="3" borderId="14" xfId="5" applyFont="1" applyFill="1" applyBorder="1" applyAlignment="1">
      <alignment horizontal="left" vertical="center" wrapText="1"/>
    </xf>
    <xf numFmtId="0" fontId="11" fillId="3" borderId="15" xfId="5" applyFont="1" applyFill="1" applyBorder="1" applyAlignment="1">
      <alignment horizontal="center" vertical="center" wrapText="1"/>
    </xf>
    <xf numFmtId="0" fontId="11" fillId="3" borderId="0" xfId="5" applyFont="1" applyFill="1" applyAlignment="1">
      <alignment horizontal="center" vertical="center" wrapText="1"/>
    </xf>
    <xf numFmtId="0" fontId="11" fillId="3" borderId="0" xfId="5" applyFont="1" applyFill="1" applyBorder="1" applyAlignment="1">
      <alignment horizontal="center" wrapText="1"/>
    </xf>
    <xf numFmtId="0" fontId="11" fillId="3" borderId="2" xfId="5" applyFont="1" applyFill="1" applyBorder="1" applyAlignment="1">
      <alignment horizontal="center" wrapText="1"/>
    </xf>
    <xf numFmtId="0" fontId="6" fillId="3" borderId="0" xfId="20" applyFont="1" applyFill="1" applyAlignment="1">
      <alignment horizontal="center" vertical="center" wrapText="1"/>
    </xf>
    <xf numFmtId="0" fontId="7" fillId="3" borderId="3" xfId="20" applyFont="1" applyFill="1" applyBorder="1" applyAlignment="1">
      <alignment horizontal="center" wrapText="1"/>
    </xf>
    <xf numFmtId="0" fontId="7" fillId="3" borderId="4" xfId="20" applyFont="1" applyFill="1" applyBorder="1" applyAlignment="1">
      <alignment horizontal="center" wrapText="1"/>
    </xf>
    <xf numFmtId="0" fontId="7" fillId="3" borderId="3" xfId="2" applyFont="1" applyFill="1" applyBorder="1" applyAlignment="1">
      <alignment horizontal="right" wrapText="1"/>
    </xf>
    <xf numFmtId="0" fontId="7" fillId="3" borderId="2" xfId="2" applyFont="1" applyFill="1" applyBorder="1" applyAlignment="1">
      <alignment horizontal="right" wrapText="1"/>
    </xf>
    <xf numFmtId="0" fontId="6" fillId="3" borderId="2" xfId="2" applyFont="1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right" wrapText="1"/>
    </xf>
    <xf numFmtId="0" fontId="18" fillId="3" borderId="4" xfId="36" applyFont="1" applyFill="1" applyBorder="1" applyAlignment="1">
      <alignment horizontal="center" vertical="center"/>
    </xf>
    <xf numFmtId="0" fontId="6" fillId="3" borderId="0" xfId="25" applyFont="1" applyFill="1" applyAlignment="1">
      <alignment horizontal="center" vertical="center" wrapText="1"/>
    </xf>
    <xf numFmtId="0" fontId="7" fillId="3" borderId="3" xfId="25" applyFont="1" applyFill="1" applyBorder="1" applyAlignment="1">
      <alignment horizontal="center" wrapText="1"/>
    </xf>
    <xf numFmtId="0" fontId="7" fillId="3" borderId="3" xfId="25" applyFont="1" applyFill="1" applyBorder="1" applyAlignment="1">
      <alignment horizontal="center" vertical="center" wrapText="1"/>
    </xf>
    <xf numFmtId="0" fontId="7" fillId="3" borderId="3" xfId="5" applyFont="1" applyFill="1" applyBorder="1" applyAlignment="1">
      <alignment horizontal="center" wrapText="1"/>
    </xf>
    <xf numFmtId="0" fontId="7" fillId="3" borderId="3" xfId="25" applyFont="1" applyFill="1" applyBorder="1" applyAlignment="1">
      <alignment horizontal="left" wrapText="1"/>
    </xf>
    <xf numFmtId="0" fontId="7" fillId="3" borderId="2" xfId="25" applyFont="1" applyFill="1" applyBorder="1" applyAlignment="1">
      <alignment horizontal="left" wrapText="1"/>
    </xf>
    <xf numFmtId="0" fontId="6" fillId="3" borderId="2" xfId="5" applyFont="1" applyFill="1" applyBorder="1" applyAlignment="1">
      <alignment horizontal="center" vertical="center" wrapText="1"/>
    </xf>
    <xf numFmtId="0" fontId="7" fillId="0" borderId="3" xfId="5" applyFont="1" applyFill="1" applyBorder="1" applyAlignment="1">
      <alignment horizontal="left" wrapText="1"/>
    </xf>
    <xf numFmtId="0" fontId="7" fillId="0" borderId="2" xfId="5" applyFont="1" applyFill="1" applyBorder="1" applyAlignment="1">
      <alignment horizontal="left" wrapText="1"/>
    </xf>
    <xf numFmtId="0" fontId="6" fillId="3" borderId="0" xfId="26" applyFont="1" applyFill="1" applyAlignment="1">
      <alignment horizontal="center" vertical="center" wrapText="1"/>
    </xf>
    <xf numFmtId="0" fontId="7" fillId="3" borderId="0" xfId="25" applyFont="1" applyFill="1" applyBorder="1" applyAlignment="1">
      <alignment horizontal="left" wrapText="1"/>
    </xf>
    <xf numFmtId="0" fontId="7" fillId="3" borderId="1" xfId="25" applyFont="1" applyFill="1" applyBorder="1" applyAlignment="1">
      <alignment horizontal="center" wrapText="1"/>
    </xf>
    <xf numFmtId="0" fontId="6" fillId="3" borderId="0" xfId="5" applyFont="1" applyFill="1" applyAlignment="1">
      <alignment horizontal="center" vertical="center" wrapText="1"/>
    </xf>
    <xf numFmtId="0" fontId="7" fillId="3" borderId="3" xfId="25" applyFont="1" applyFill="1" applyBorder="1" applyAlignment="1">
      <alignment horizontal="left" vertical="center" wrapText="1"/>
    </xf>
    <xf numFmtId="0" fontId="7" fillId="3" borderId="0" xfId="25" applyFont="1" applyFill="1" applyBorder="1" applyAlignment="1">
      <alignment horizontal="left" vertical="center" wrapText="1"/>
    </xf>
    <xf numFmtId="0" fontId="9" fillId="3" borderId="3" xfId="29" applyFont="1" applyFill="1" applyBorder="1" applyAlignment="1">
      <alignment horizontal="center" wrapText="1"/>
    </xf>
    <xf numFmtId="0" fontId="9" fillId="3" borderId="3" xfId="29" applyFont="1" applyFill="1" applyBorder="1" applyAlignment="1">
      <alignment horizontal="center" vertical="center" wrapText="1"/>
    </xf>
    <xf numFmtId="0" fontId="7" fillId="3" borderId="3" xfId="26" applyFont="1" applyFill="1" applyBorder="1" applyAlignment="1">
      <alignment horizontal="center" wrapText="1"/>
    </xf>
    <xf numFmtId="0" fontId="6" fillId="3" borderId="0" xfId="30" applyFont="1" applyFill="1" applyAlignment="1">
      <alignment horizontal="center" vertical="center" wrapText="1"/>
    </xf>
    <xf numFmtId="0" fontId="7" fillId="3" borderId="3" xfId="30" applyFont="1" applyFill="1" applyBorder="1" applyAlignment="1">
      <alignment horizontal="center" wrapText="1"/>
    </xf>
    <xf numFmtId="0" fontId="6" fillId="3" borderId="0" xfId="28" applyFont="1" applyFill="1" applyAlignment="1">
      <alignment horizontal="center" vertical="center" wrapText="1"/>
    </xf>
    <xf numFmtId="0" fontId="7" fillId="3" borderId="3" xfId="28" applyFont="1" applyFill="1" applyBorder="1" applyAlignment="1">
      <alignment horizontal="center" wrapText="1"/>
    </xf>
    <xf numFmtId="0" fontId="7" fillId="3" borderId="0" xfId="28" applyFont="1" applyFill="1" applyBorder="1" applyAlignment="1">
      <alignment horizontal="center" wrapText="1"/>
    </xf>
    <xf numFmtId="0" fontId="7" fillId="3" borderId="2" xfId="28" applyFont="1" applyFill="1" applyBorder="1" applyAlignment="1">
      <alignment horizontal="center" wrapText="1"/>
    </xf>
    <xf numFmtId="0" fontId="7" fillId="3" borderId="1" xfId="28" applyFont="1" applyFill="1" applyBorder="1" applyAlignment="1">
      <alignment horizontal="center" wrapText="1"/>
    </xf>
    <xf numFmtId="0" fontId="7" fillId="3" borderId="0" xfId="28" applyFont="1" applyFill="1" applyAlignment="1">
      <alignment horizontal="center" wrapText="1"/>
    </xf>
    <xf numFmtId="0" fontId="6" fillId="3" borderId="0" xfId="31" applyFont="1" applyFill="1" applyAlignment="1">
      <alignment horizontal="center" vertical="center" wrapText="1"/>
    </xf>
    <xf numFmtId="0" fontId="7" fillId="3" borderId="3" xfId="31" applyFont="1" applyFill="1" applyBorder="1" applyAlignment="1">
      <alignment horizontal="center" wrapText="1"/>
    </xf>
    <xf numFmtId="0" fontId="7" fillId="3" borderId="3" xfId="32" applyFont="1" applyFill="1" applyBorder="1" applyAlignment="1">
      <alignment horizontal="center" vertical="center" wrapText="1"/>
    </xf>
    <xf numFmtId="0" fontId="7" fillId="3" borderId="0" xfId="32" applyFont="1" applyFill="1" applyBorder="1" applyAlignment="1">
      <alignment horizontal="center" vertical="center" wrapText="1"/>
    </xf>
    <xf numFmtId="0" fontId="7" fillId="3" borderId="2" xfId="32" applyFont="1" applyFill="1" applyBorder="1" applyAlignment="1">
      <alignment horizontal="center" vertical="center" wrapText="1"/>
    </xf>
    <xf numFmtId="0" fontId="6" fillId="3" borderId="0" xfId="32" applyFont="1" applyFill="1" applyAlignment="1">
      <alignment horizontal="center" vertical="center" wrapText="1"/>
    </xf>
    <xf numFmtId="0" fontId="7" fillId="3" borderId="0" xfId="32" applyFont="1" applyFill="1" applyAlignment="1">
      <alignment horizontal="center" wrapText="1"/>
    </xf>
    <xf numFmtId="0" fontId="7" fillId="3" borderId="2" xfId="32" applyFont="1" applyFill="1" applyBorder="1" applyAlignment="1">
      <alignment horizontal="center" wrapText="1"/>
    </xf>
    <xf numFmtId="0" fontId="7" fillId="3" borderId="3" xfId="32" applyFont="1" applyFill="1" applyBorder="1" applyAlignment="1">
      <alignment horizontal="left" wrapText="1"/>
    </xf>
    <xf numFmtId="0" fontId="7" fillId="3" borderId="0" xfId="32" applyFont="1" applyFill="1" applyAlignment="1">
      <alignment horizontal="left" wrapText="1"/>
    </xf>
    <xf numFmtId="0" fontId="7" fillId="3" borderId="2" xfId="32" applyFont="1" applyFill="1" applyBorder="1" applyAlignment="1">
      <alignment horizontal="left" wrapText="1"/>
    </xf>
    <xf numFmtId="0" fontId="7" fillId="3" borderId="0" xfId="32" applyFont="1" applyFill="1" applyAlignment="1">
      <alignment horizontal="center" vertical="center" wrapText="1"/>
    </xf>
    <xf numFmtId="0" fontId="6" fillId="0" borderId="0" xfId="54" applyFont="1" applyAlignment="1">
      <alignment horizontal="center" vertical="center" wrapText="1"/>
    </xf>
    <xf numFmtId="0" fontId="6" fillId="0" borderId="2" xfId="54" applyFont="1" applyBorder="1" applyAlignment="1">
      <alignment horizontal="center" vertical="center" wrapText="1"/>
    </xf>
    <xf numFmtId="0" fontId="7" fillId="3" borderId="3" xfId="55" applyFont="1" applyFill="1" applyBorder="1" applyAlignment="1">
      <alignment horizontal="center" wrapText="1"/>
    </xf>
    <xf numFmtId="0" fontId="7" fillId="3" borderId="0" xfId="55" applyFont="1" applyFill="1" applyAlignment="1">
      <alignment horizontal="center" wrapText="1"/>
    </xf>
    <xf numFmtId="0" fontId="7" fillId="3" borderId="2" xfId="55" applyFont="1" applyFill="1" applyBorder="1" applyAlignment="1">
      <alignment horizontal="center" wrapText="1"/>
    </xf>
    <xf numFmtId="0" fontId="7" fillId="3" borderId="1" xfId="55" applyFont="1" applyFill="1" applyBorder="1" applyAlignment="1">
      <alignment horizontal="center" wrapText="1"/>
    </xf>
    <xf numFmtId="0" fontId="7" fillId="3" borderId="0" xfId="33" applyFont="1" applyFill="1" applyAlignment="1">
      <alignment horizontal="center" wrapText="1"/>
    </xf>
    <xf numFmtId="0" fontId="6" fillId="3" borderId="0" xfId="33" applyFont="1" applyFill="1" applyAlignment="1">
      <alignment horizontal="center" vertical="center" wrapText="1"/>
    </xf>
    <xf numFmtId="0" fontId="7" fillId="3" borderId="0" xfId="32" applyFont="1" applyFill="1" applyBorder="1" applyAlignment="1">
      <alignment horizontal="left" wrapText="1"/>
    </xf>
    <xf numFmtId="0" fontId="7" fillId="3" borderId="3" xfId="33" applyFont="1" applyFill="1" applyBorder="1" applyAlignment="1">
      <alignment horizontal="center" wrapText="1"/>
    </xf>
    <xf numFmtId="0" fontId="7" fillId="3" borderId="2" xfId="33" applyFont="1" applyFill="1" applyBorder="1" applyAlignment="1">
      <alignment horizontal="center" wrapText="1"/>
    </xf>
    <xf numFmtId="0" fontId="7" fillId="3" borderId="1" xfId="33" applyFont="1" applyFill="1" applyBorder="1" applyAlignment="1">
      <alignment horizontal="center" wrapText="1"/>
    </xf>
    <xf numFmtId="0" fontId="6" fillId="3" borderId="2" xfId="34" applyFont="1" applyFill="1" applyBorder="1" applyAlignment="1">
      <alignment horizontal="center" vertical="center" wrapText="1"/>
    </xf>
    <xf numFmtId="0" fontId="7" fillId="3" borderId="0" xfId="34" applyFont="1" applyFill="1" applyBorder="1" applyAlignment="1">
      <alignment horizontal="center" wrapText="1"/>
    </xf>
    <xf numFmtId="0" fontId="7" fillId="3" borderId="3" xfId="34" applyFont="1" applyFill="1" applyBorder="1" applyAlignment="1">
      <alignment horizontal="center" wrapText="1"/>
    </xf>
    <xf numFmtId="0" fontId="7" fillId="3" borderId="0" xfId="34" applyFont="1" applyFill="1" applyAlignment="1">
      <alignment horizontal="center" wrapText="1"/>
    </xf>
    <xf numFmtId="0" fontId="7" fillId="3" borderId="2" xfId="34" applyFont="1" applyFill="1" applyBorder="1" applyAlignment="1">
      <alignment horizontal="center" wrapText="1"/>
    </xf>
    <xf numFmtId="0" fontId="6" fillId="3" borderId="0" xfId="35" applyFont="1" applyFill="1" applyAlignment="1">
      <alignment horizontal="center" vertical="center" wrapText="1"/>
    </xf>
    <xf numFmtId="0" fontId="7" fillId="3" borderId="3" xfId="15" applyFont="1" applyFill="1" applyBorder="1" applyAlignment="1">
      <alignment horizontal="left" wrapText="1"/>
    </xf>
    <xf numFmtId="0" fontId="7" fillId="3" borderId="2" xfId="15" applyFont="1" applyFill="1" applyBorder="1" applyAlignment="1">
      <alignment horizontal="left" wrapText="1"/>
    </xf>
    <xf numFmtId="0" fontId="7" fillId="3" borderId="3" xfId="35" applyFont="1" applyFill="1" applyBorder="1" applyAlignment="1">
      <alignment horizontal="center" wrapText="1"/>
    </xf>
    <xf numFmtId="0" fontId="7" fillId="3" borderId="3" xfId="35" applyFont="1" applyFill="1" applyBorder="1" applyAlignment="1">
      <alignment horizontal="left" wrapText="1"/>
    </xf>
    <xf numFmtId="0" fontId="7" fillId="3" borderId="2" xfId="35" applyFont="1" applyFill="1" applyBorder="1" applyAlignment="1">
      <alignment horizontal="left" wrapText="1"/>
    </xf>
    <xf numFmtId="0" fontId="7" fillId="3" borderId="3" xfId="15" applyFont="1" applyFill="1" applyBorder="1" applyAlignment="1">
      <alignment horizontal="left" vertical="center" wrapText="1"/>
    </xf>
    <xf numFmtId="0" fontId="7" fillId="3" borderId="2" xfId="15" applyFont="1" applyFill="1" applyBorder="1" applyAlignment="1">
      <alignment horizontal="left" vertical="center" wrapText="1"/>
    </xf>
    <xf numFmtId="0" fontId="7" fillId="3" borderId="1" xfId="35" applyFont="1" applyFill="1" applyBorder="1" applyAlignment="1">
      <alignment horizontal="center" wrapText="1"/>
    </xf>
    <xf numFmtId="0" fontId="7" fillId="3" borderId="2" xfId="35" applyFont="1" applyFill="1" applyBorder="1" applyAlignment="1">
      <alignment horizontal="center" wrapText="1"/>
    </xf>
    <xf numFmtId="0" fontId="6" fillId="3" borderId="0" xfId="9" applyFont="1" applyFill="1" applyAlignment="1">
      <alignment horizontal="center" vertical="center" wrapText="1"/>
    </xf>
    <xf numFmtId="0" fontId="7" fillId="3" borderId="3" xfId="9" applyFont="1" applyFill="1" applyBorder="1" applyAlignment="1">
      <alignment horizontal="center" wrapText="1"/>
    </xf>
    <xf numFmtId="0" fontId="7" fillId="3" borderId="2" xfId="9" applyFont="1" applyFill="1" applyBorder="1" applyAlignment="1">
      <alignment horizontal="center" wrapText="1"/>
    </xf>
    <xf numFmtId="0" fontId="7" fillId="3" borderId="1" xfId="9" applyFont="1" applyFill="1" applyBorder="1" applyAlignment="1">
      <alignment horizontal="center" wrapText="1"/>
    </xf>
    <xf numFmtId="0" fontId="6" fillId="3" borderId="2" xfId="10" applyFont="1" applyFill="1" applyBorder="1" applyAlignment="1">
      <alignment horizontal="center" vertical="center" wrapText="1"/>
    </xf>
    <xf numFmtId="0" fontId="7" fillId="3" borderId="1" xfId="10" applyFont="1" applyFill="1" applyBorder="1" applyAlignment="1">
      <alignment horizontal="center" wrapText="1"/>
    </xf>
    <xf numFmtId="0" fontId="7" fillId="3" borderId="3" xfId="10" applyFont="1" applyFill="1" applyBorder="1" applyAlignment="1">
      <alignment horizontal="left" wrapText="1" indent="3"/>
    </xf>
    <xf numFmtId="0" fontId="7" fillId="3" borderId="2" xfId="10" applyFont="1" applyFill="1" applyBorder="1" applyAlignment="1">
      <alignment horizontal="left" wrapText="1" indent="3"/>
    </xf>
    <xf numFmtId="0" fontId="6" fillId="3" borderId="2" xfId="11" applyFont="1" applyFill="1" applyBorder="1" applyAlignment="1">
      <alignment horizontal="center" vertical="center" wrapText="1"/>
    </xf>
    <xf numFmtId="0" fontId="7" fillId="3" borderId="3" xfId="11" applyFont="1" applyFill="1" applyBorder="1" applyAlignment="1">
      <alignment horizontal="left" wrapText="1"/>
    </xf>
    <xf numFmtId="0" fontId="7" fillId="3" borderId="0" xfId="11" applyFont="1" applyFill="1" applyAlignment="1">
      <alignment horizontal="left" wrapText="1"/>
    </xf>
    <xf numFmtId="0" fontId="7" fillId="3" borderId="2" xfId="11" applyFont="1" applyFill="1" applyBorder="1" applyAlignment="1">
      <alignment horizontal="left" wrapText="1"/>
    </xf>
    <xf numFmtId="0" fontId="7" fillId="3" borderId="3" xfId="11" applyFont="1" applyFill="1" applyBorder="1" applyAlignment="1">
      <alignment horizontal="center" wrapText="1"/>
    </xf>
    <xf numFmtId="0" fontId="7" fillId="3" borderId="0" xfId="11" applyFont="1" applyFill="1" applyAlignment="1">
      <alignment horizontal="center" wrapText="1"/>
    </xf>
    <xf numFmtId="0" fontId="7" fillId="3" borderId="2" xfId="11" applyFont="1" applyFill="1" applyBorder="1" applyAlignment="1">
      <alignment horizontal="center" wrapText="1"/>
    </xf>
    <xf numFmtId="0" fontId="7" fillId="3" borderId="1" xfId="11" applyFont="1" applyFill="1" applyBorder="1" applyAlignment="1">
      <alignment horizontal="center" wrapText="1"/>
    </xf>
    <xf numFmtId="0" fontId="7" fillId="3" borderId="0" xfId="11" applyFont="1" applyFill="1" applyBorder="1" applyAlignment="1">
      <alignment horizontal="center" wrapText="1"/>
    </xf>
    <xf numFmtId="0" fontId="6" fillId="3" borderId="2" xfId="12" applyFont="1" applyFill="1" applyBorder="1" applyAlignment="1">
      <alignment horizontal="center" vertical="center" wrapText="1"/>
    </xf>
    <xf numFmtId="0" fontId="7" fillId="3" borderId="3" xfId="12" applyFont="1" applyFill="1" applyBorder="1" applyAlignment="1">
      <alignment horizontal="center" wrapText="1"/>
    </xf>
    <xf numFmtId="0" fontId="7" fillId="3" borderId="2" xfId="12" applyFont="1" applyFill="1" applyBorder="1" applyAlignment="1">
      <alignment horizontal="center" wrapText="1"/>
    </xf>
    <xf numFmtId="0" fontId="7" fillId="3" borderId="1" xfId="12" applyFont="1" applyFill="1" applyBorder="1" applyAlignment="1">
      <alignment horizontal="center" wrapText="1"/>
    </xf>
    <xf numFmtId="0" fontId="6" fillId="3" borderId="0" xfId="13" applyFont="1" applyFill="1" applyAlignment="1">
      <alignment horizontal="center" vertical="center" wrapText="1"/>
    </xf>
    <xf numFmtId="0" fontId="7" fillId="3" borderId="3" xfId="13" applyFont="1" applyFill="1" applyBorder="1" applyAlignment="1">
      <alignment horizontal="center" wrapText="1"/>
    </xf>
    <xf numFmtId="0" fontId="7" fillId="3" borderId="2" xfId="13" applyFont="1" applyFill="1" applyBorder="1" applyAlignment="1">
      <alignment horizontal="center" wrapText="1"/>
    </xf>
    <xf numFmtId="0" fontId="7" fillId="3" borderId="3" xfId="15" applyFont="1" applyFill="1" applyBorder="1" applyAlignment="1">
      <alignment wrapText="1"/>
    </xf>
    <xf numFmtId="0" fontId="7" fillId="3" borderId="2" xfId="15" applyFont="1" applyFill="1" applyBorder="1" applyAlignment="1">
      <alignment wrapText="1"/>
    </xf>
    <xf numFmtId="0" fontId="7" fillId="3" borderId="3" xfId="14" applyFont="1" applyFill="1" applyBorder="1" applyAlignment="1">
      <alignment horizontal="center" wrapText="1"/>
    </xf>
    <xf numFmtId="0" fontId="7" fillId="3" borderId="2" xfId="14" applyFont="1" applyFill="1" applyBorder="1" applyAlignment="1">
      <alignment horizontal="center" wrapText="1"/>
    </xf>
    <xf numFmtId="0" fontId="9" fillId="3" borderId="3" xfId="14" applyFont="1" applyFill="1" applyBorder="1" applyAlignment="1">
      <alignment horizontal="center" wrapText="1"/>
    </xf>
    <xf numFmtId="0" fontId="9" fillId="3" borderId="2" xfId="14" applyFont="1" applyFill="1" applyBorder="1" applyAlignment="1">
      <alignment horizontal="center" wrapText="1"/>
    </xf>
    <xf numFmtId="0" fontId="6" fillId="3" borderId="2" xfId="14" applyFont="1" applyFill="1" applyBorder="1" applyAlignment="1">
      <alignment horizontal="center" vertical="center" wrapText="1"/>
    </xf>
    <xf numFmtId="0" fontId="6" fillId="3" borderId="2" xfId="15" applyFont="1" applyFill="1" applyBorder="1" applyAlignment="1">
      <alignment horizontal="center" vertical="center" wrapText="1"/>
    </xf>
    <xf numFmtId="0" fontId="7" fillId="3" borderId="3" xfId="15" applyFont="1" applyFill="1" applyBorder="1" applyAlignment="1">
      <alignment horizontal="center" wrapText="1"/>
    </xf>
    <xf numFmtId="0" fontId="7" fillId="3" borderId="2" xfId="15" applyFont="1" applyFill="1" applyBorder="1" applyAlignment="1">
      <alignment horizontal="center" wrapText="1"/>
    </xf>
    <xf numFmtId="0" fontId="6" fillId="3" borderId="0" xfId="16" applyFont="1" applyFill="1" applyAlignment="1">
      <alignment horizontal="center" vertical="center" wrapText="1"/>
    </xf>
    <xf numFmtId="0" fontId="7" fillId="3" borderId="3" xfId="16" applyFont="1" applyFill="1" applyBorder="1" applyAlignment="1">
      <alignment horizontal="center" wrapText="1"/>
    </xf>
    <xf numFmtId="0" fontId="7" fillId="3" borderId="2" xfId="16" applyFont="1" applyFill="1" applyBorder="1" applyAlignment="1">
      <alignment horizontal="center" wrapText="1"/>
    </xf>
    <xf numFmtId="0" fontId="7" fillId="3" borderId="1" xfId="16" applyFont="1" applyFill="1" applyBorder="1" applyAlignment="1">
      <alignment horizontal="center" wrapText="1"/>
    </xf>
    <xf numFmtId="0" fontId="6" fillId="3" borderId="0" xfId="17" applyFont="1" applyFill="1" applyAlignment="1">
      <alignment horizontal="center" vertical="center" wrapText="1"/>
    </xf>
    <xf numFmtId="0" fontId="7" fillId="3" borderId="3" xfId="17" applyFont="1" applyFill="1" applyBorder="1" applyAlignment="1">
      <alignment horizontal="center" wrapText="1"/>
    </xf>
    <xf numFmtId="0" fontId="7" fillId="3" borderId="2" xfId="17" applyFont="1" applyFill="1" applyBorder="1" applyAlignment="1">
      <alignment horizontal="center" wrapText="1"/>
    </xf>
    <xf numFmtId="0" fontId="6" fillId="3" borderId="0" xfId="51" applyFont="1" applyFill="1" applyAlignment="1">
      <alignment horizontal="center" vertical="center" wrapText="1"/>
    </xf>
    <xf numFmtId="0" fontId="7" fillId="3" borderId="3" xfId="51" applyFont="1" applyFill="1" applyBorder="1" applyAlignment="1">
      <alignment horizontal="center" wrapText="1"/>
    </xf>
    <xf numFmtId="0" fontId="7" fillId="3" borderId="2" xfId="51" applyFont="1" applyFill="1" applyBorder="1" applyAlignment="1">
      <alignment horizontal="center" wrapText="1"/>
    </xf>
    <xf numFmtId="0" fontId="7" fillId="3" borderId="1" xfId="51" applyFont="1" applyFill="1" applyBorder="1" applyAlignment="1">
      <alignment horizontal="center" wrapText="1"/>
    </xf>
    <xf numFmtId="0" fontId="6" fillId="3" borderId="0" xfId="50" applyFont="1" applyFill="1" applyAlignment="1">
      <alignment horizontal="center" vertical="center" wrapText="1"/>
    </xf>
    <xf numFmtId="0" fontId="7" fillId="3" borderId="3" xfId="50" applyFont="1" applyFill="1" applyBorder="1" applyAlignment="1">
      <alignment horizontal="center" wrapText="1"/>
    </xf>
    <xf numFmtId="0" fontId="7" fillId="3" borderId="2" xfId="50" applyFont="1" applyFill="1" applyBorder="1" applyAlignment="1">
      <alignment horizontal="center" wrapText="1"/>
    </xf>
    <xf numFmtId="0" fontId="7" fillId="3" borderId="3" xfId="15" applyFont="1" applyFill="1" applyBorder="1" applyAlignment="1">
      <alignment horizontal="center" vertical="center" wrapText="1"/>
    </xf>
    <xf numFmtId="0" fontId="7" fillId="3" borderId="2" xfId="15" applyFont="1" applyFill="1" applyBorder="1" applyAlignment="1">
      <alignment horizontal="center" vertical="center" wrapText="1"/>
    </xf>
    <xf numFmtId="0" fontId="7" fillId="3" borderId="3" xfId="49" applyFont="1" applyFill="1" applyBorder="1" applyAlignment="1">
      <alignment horizontal="center" wrapText="1"/>
    </xf>
    <xf numFmtId="0" fontId="7" fillId="3" borderId="2" xfId="49" applyFont="1" applyFill="1" applyBorder="1" applyAlignment="1">
      <alignment horizontal="center" wrapText="1"/>
    </xf>
    <xf numFmtId="0" fontId="6" fillId="3" borderId="0" xfId="49" applyFont="1" applyFill="1" applyAlignment="1">
      <alignment horizontal="center" vertical="center" wrapText="1"/>
    </xf>
    <xf numFmtId="0" fontId="6" fillId="3" borderId="0" xfId="48" applyFont="1" applyFill="1" applyAlignment="1">
      <alignment horizontal="center" vertical="center" wrapText="1"/>
    </xf>
    <xf numFmtId="0" fontId="7" fillId="3" borderId="3" xfId="48" applyFont="1" applyFill="1" applyBorder="1" applyAlignment="1">
      <alignment horizontal="center" vertical="center" wrapText="1"/>
    </xf>
    <xf numFmtId="0" fontId="7" fillId="3" borderId="2" xfId="48" applyFont="1" applyFill="1" applyBorder="1" applyAlignment="1">
      <alignment horizontal="center" vertical="center" wrapText="1"/>
    </xf>
    <xf numFmtId="0" fontId="7" fillId="3" borderId="3" xfId="48" applyFont="1" applyFill="1" applyBorder="1" applyAlignment="1">
      <alignment horizontal="center" wrapText="1"/>
    </xf>
    <xf numFmtId="0" fontId="7" fillId="3" borderId="2" xfId="48" applyFont="1" applyFill="1" applyBorder="1" applyAlignment="1">
      <alignment horizontal="center" wrapText="1"/>
    </xf>
    <xf numFmtId="0" fontId="6" fillId="3" borderId="0" xfId="47" applyFont="1" applyFill="1" applyAlignment="1">
      <alignment horizontal="center" vertical="center" wrapText="1"/>
    </xf>
    <xf numFmtId="0" fontId="7" fillId="3" borderId="3" xfId="46" applyFont="1" applyFill="1" applyBorder="1" applyAlignment="1">
      <alignment horizontal="center" vertical="center" wrapText="1"/>
    </xf>
    <xf numFmtId="0" fontId="7" fillId="3" borderId="2" xfId="46" applyFont="1" applyFill="1" applyBorder="1" applyAlignment="1">
      <alignment horizontal="center" vertical="center" wrapText="1"/>
    </xf>
    <xf numFmtId="0" fontId="7" fillId="3" borderId="3" xfId="47" applyFont="1" applyFill="1" applyBorder="1" applyAlignment="1">
      <alignment horizontal="center" wrapText="1"/>
    </xf>
    <xf numFmtId="0" fontId="6" fillId="3" borderId="0" xfId="46" applyFont="1" applyFill="1" applyAlignment="1">
      <alignment horizontal="center" vertical="center" wrapText="1"/>
    </xf>
    <xf numFmtId="0" fontId="7" fillId="3" borderId="3" xfId="46" applyFont="1" applyFill="1" applyBorder="1" applyAlignment="1">
      <alignment horizontal="center" wrapText="1"/>
    </xf>
    <xf numFmtId="0" fontId="7" fillId="3" borderId="2" xfId="46" applyFont="1" applyFill="1" applyBorder="1" applyAlignment="1">
      <alignment horizontal="center" wrapText="1"/>
    </xf>
    <xf numFmtId="0" fontId="7" fillId="3" borderId="3" xfId="45" applyFont="1" applyFill="1" applyBorder="1" applyAlignment="1">
      <alignment horizontal="center" vertical="center" wrapText="1"/>
    </xf>
    <xf numFmtId="0" fontId="7" fillId="3" borderId="2" xfId="45" applyFont="1" applyFill="1" applyBorder="1" applyAlignment="1">
      <alignment horizontal="center" vertical="center" wrapText="1"/>
    </xf>
    <xf numFmtId="0" fontId="6" fillId="3" borderId="0" xfId="45" applyFont="1" applyFill="1" applyAlignment="1">
      <alignment horizontal="center" vertical="center" wrapText="1"/>
    </xf>
    <xf numFmtId="0" fontId="7" fillId="3" borderId="1" xfId="45" applyFont="1" applyFill="1" applyBorder="1" applyAlignment="1">
      <alignment horizontal="center" wrapText="1"/>
    </xf>
    <xf numFmtId="0" fontId="6" fillId="3" borderId="0" xfId="44" applyFont="1" applyFill="1" applyAlignment="1">
      <alignment horizontal="center" vertical="center" wrapText="1"/>
    </xf>
    <xf numFmtId="0" fontId="7" fillId="3" borderId="3" xfId="44" applyFont="1" applyFill="1" applyBorder="1" applyAlignment="1">
      <alignment horizontal="center" wrapText="1"/>
    </xf>
    <xf numFmtId="0" fontId="7" fillId="3" borderId="2" xfId="44" applyFont="1" applyFill="1" applyBorder="1" applyAlignment="1">
      <alignment horizontal="center" wrapText="1"/>
    </xf>
    <xf numFmtId="0" fontId="7" fillId="3" borderId="3" xfId="43" applyFont="1" applyFill="1" applyBorder="1" applyAlignment="1">
      <alignment horizontal="center" vertical="center" wrapText="1"/>
    </xf>
    <xf numFmtId="0" fontId="7" fillId="3" borderId="2" xfId="43" applyFont="1" applyFill="1" applyBorder="1" applyAlignment="1">
      <alignment horizontal="center" vertical="center" wrapText="1"/>
    </xf>
    <xf numFmtId="0" fontId="7" fillId="3" borderId="3" xfId="43" applyFont="1" applyFill="1" applyBorder="1" applyAlignment="1">
      <alignment horizontal="center" wrapText="1"/>
    </xf>
    <xf numFmtId="0" fontId="6" fillId="3" borderId="2" xfId="42" applyFont="1" applyFill="1" applyBorder="1" applyAlignment="1">
      <alignment horizontal="center" vertical="center" wrapText="1"/>
    </xf>
    <xf numFmtId="0" fontId="7" fillId="3" borderId="3" xfId="41" applyFont="1" applyFill="1" applyBorder="1" applyAlignment="1">
      <alignment horizontal="left" wrapText="1"/>
    </xf>
    <xf numFmtId="0" fontId="7" fillId="3" borderId="2" xfId="41" applyFont="1" applyFill="1" applyBorder="1" applyAlignment="1">
      <alignment horizontal="left" wrapText="1"/>
    </xf>
    <xf numFmtId="0" fontId="7" fillId="3" borderId="3" xfId="41" applyFont="1" applyFill="1" applyBorder="1" applyAlignment="1">
      <alignment horizontal="center" wrapText="1"/>
    </xf>
    <xf numFmtId="0" fontId="7" fillId="3" borderId="2" xfId="41" applyFont="1" applyFill="1" applyBorder="1" applyAlignment="1">
      <alignment horizontal="center" wrapText="1"/>
    </xf>
    <xf numFmtId="0" fontId="7" fillId="3" borderId="1" xfId="41" applyFont="1" applyFill="1" applyBorder="1" applyAlignment="1">
      <alignment horizontal="center" wrapText="1"/>
    </xf>
    <xf numFmtId="0" fontId="6" fillId="3" borderId="0" xfId="41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7" fillId="3" borderId="3" xfId="40" applyFont="1" applyFill="1" applyBorder="1" applyAlignment="1">
      <alignment horizontal="center" wrapText="1"/>
    </xf>
    <xf numFmtId="0" fontId="7" fillId="3" borderId="2" xfId="40" applyFont="1" applyFill="1" applyBorder="1" applyAlignment="1">
      <alignment horizontal="center" wrapText="1"/>
    </xf>
    <xf numFmtId="0" fontId="7" fillId="3" borderId="1" xfId="40" applyFont="1" applyFill="1" applyBorder="1" applyAlignment="1">
      <alignment horizontal="center" wrapText="1"/>
    </xf>
    <xf numFmtId="0" fontId="8" fillId="3" borderId="4" xfId="4" applyFont="1" applyFill="1" applyBorder="1" applyAlignment="1">
      <alignment horizontal="center" vertical="center"/>
    </xf>
    <xf numFmtId="0" fontId="9" fillId="3" borderId="5" xfId="4" applyFont="1" applyFill="1" applyBorder="1" applyAlignment="1">
      <alignment horizontal="left" vertical="center" wrapText="1"/>
    </xf>
    <xf numFmtId="0" fontId="9" fillId="3" borderId="2" xfId="4" applyFont="1" applyFill="1" applyBorder="1" applyAlignment="1">
      <alignment horizontal="left" vertical="center" wrapText="1"/>
    </xf>
    <xf numFmtId="0" fontId="9" fillId="3" borderId="5" xfId="4" applyFont="1" applyFill="1" applyBorder="1" applyAlignment="1">
      <alignment horizontal="center" vertical="center" wrapText="1"/>
    </xf>
    <xf numFmtId="0" fontId="9" fillId="3" borderId="2" xfId="4" applyFont="1" applyFill="1" applyBorder="1" applyAlignment="1">
      <alignment horizontal="center" vertical="center" wrapText="1"/>
    </xf>
    <xf numFmtId="0" fontId="9" fillId="3" borderId="6" xfId="4" applyFont="1" applyFill="1" applyBorder="1" applyAlignment="1">
      <alignment horizontal="center" vertical="center" wrapText="1"/>
    </xf>
    <xf numFmtId="0" fontId="9" fillId="3" borderId="5" xfId="4" applyFont="1" applyFill="1" applyBorder="1" applyAlignment="1">
      <alignment horizontal="center" wrapText="1"/>
    </xf>
    <xf numFmtId="0" fontId="9" fillId="3" borderId="2" xfId="4" applyFont="1" applyFill="1" applyBorder="1" applyAlignment="1">
      <alignment horizontal="center" wrapText="1"/>
    </xf>
    <xf numFmtId="0" fontId="8" fillId="3" borderId="4" xfId="4" applyFont="1" applyFill="1" applyBorder="1" applyAlignment="1">
      <alignment horizontal="center" vertical="center" wrapText="1"/>
    </xf>
    <xf numFmtId="3" fontId="9" fillId="3" borderId="5" xfId="4" applyNumberFormat="1" applyFont="1" applyFill="1" applyBorder="1" applyAlignment="1">
      <alignment horizontal="center" vertical="center" wrapText="1"/>
    </xf>
    <xf numFmtId="3" fontId="9" fillId="3" borderId="2" xfId="4" applyNumberFormat="1" applyFont="1" applyFill="1" applyBorder="1" applyAlignment="1">
      <alignment horizontal="center" vertical="center" wrapText="1"/>
    </xf>
    <xf numFmtId="3" fontId="9" fillId="3" borderId="6" xfId="4" applyNumberFormat="1" applyFont="1" applyFill="1" applyBorder="1" applyAlignment="1">
      <alignment horizontal="center" vertical="center" wrapText="1"/>
    </xf>
    <xf numFmtId="0" fontId="8" fillId="3" borderId="2" xfId="4" applyFont="1" applyFill="1" applyBorder="1" applyAlignment="1">
      <alignment horizontal="center" vertical="center" wrapText="1"/>
    </xf>
    <xf numFmtId="0" fontId="9" fillId="3" borderId="3" xfId="4" applyFont="1" applyFill="1" applyBorder="1" applyAlignment="1">
      <alignment horizontal="left" vertical="center" wrapText="1"/>
    </xf>
    <xf numFmtId="0" fontId="9" fillId="3" borderId="3" xfId="4" applyFont="1" applyFill="1" applyBorder="1" applyAlignment="1">
      <alignment horizontal="center" vertical="center" wrapText="1"/>
    </xf>
    <xf numFmtId="0" fontId="9" fillId="3" borderId="1" xfId="4" applyFont="1" applyFill="1" applyBorder="1" applyAlignment="1">
      <alignment horizontal="center" vertical="center" wrapText="1"/>
    </xf>
    <xf numFmtId="0" fontId="9" fillId="3" borderId="5" xfId="4" applyFont="1" applyFill="1" applyBorder="1" applyAlignment="1">
      <alignment horizontal="right" vertical="center" wrapText="1"/>
    </xf>
    <xf numFmtId="0" fontId="9" fillId="3" borderId="0" xfId="4" applyFont="1" applyFill="1" applyAlignment="1">
      <alignment horizontal="right" vertical="center" wrapText="1"/>
    </xf>
    <xf numFmtId="0" fontId="9" fillId="3" borderId="5" xfId="4" applyFont="1" applyFill="1" applyBorder="1" applyAlignment="1">
      <alignment horizontal="left" wrapText="1"/>
    </xf>
    <xf numFmtId="0" fontId="9" fillId="3" borderId="4" xfId="4" applyFont="1" applyFill="1" applyBorder="1" applyAlignment="1">
      <alignment horizontal="left" wrapText="1"/>
    </xf>
    <xf numFmtId="0" fontId="7" fillId="3" borderId="5" xfId="7" applyFont="1" applyFill="1" applyBorder="1" applyAlignment="1">
      <alignment horizontal="center" wrapText="1"/>
    </xf>
    <xf numFmtId="0" fontId="7" fillId="3" borderId="4" xfId="7" applyFont="1" applyFill="1" applyBorder="1" applyAlignment="1">
      <alignment horizontal="center" wrapText="1"/>
    </xf>
    <xf numFmtId="0" fontId="7" fillId="3" borderId="7" xfId="7" applyFont="1" applyFill="1" applyBorder="1" applyAlignment="1">
      <alignment horizontal="center" vertical="center" wrapText="1"/>
    </xf>
  </cellXfs>
  <cellStyles count="56">
    <cellStyle name="Normal" xfId="0" builtinId="0"/>
    <cellStyle name="Normal 14" xfId="4"/>
    <cellStyle name="Normal 2 2" xfId="8"/>
    <cellStyle name="Normal 2 3" xfId="42"/>
    <cellStyle name="Normal 2 4" xfId="29"/>
    <cellStyle name="Normal_Folha1 2" xfId="6"/>
    <cellStyle name="Normal_Folha2" xfId="2"/>
    <cellStyle name="Normal_Folha2 2" xfId="18"/>
    <cellStyle name="Normal_Folha3" xfId="20"/>
    <cellStyle name="Normal_Folha6" xfId="27"/>
    <cellStyle name="Normal_GAZA1" xfId="36"/>
    <cellStyle name="Normal_gp_idade2" xfId="38"/>
    <cellStyle name="Normal_Pop_Bilhete _Identidade 2" xfId="21"/>
    <cellStyle name="Normal_Pop_Bilhete _Identidade1" xfId="24"/>
    <cellStyle name="Normal_Pop_Bilhete_grupo etario 2" xfId="23"/>
    <cellStyle name="Normal_Q1" xfId="52"/>
    <cellStyle name="Normal_Q1.1" xfId="3"/>
    <cellStyle name="Normal_Q1.7" xfId="22"/>
    <cellStyle name="Normal_Q1.9" xfId="19"/>
    <cellStyle name="Normal_Q8.10" xfId="32"/>
    <cellStyle name="Normal_Q8.12" xfId="55"/>
    <cellStyle name="Normal_Q8.14" xfId="34"/>
    <cellStyle name="Normal_Q8.15" xfId="35"/>
    <cellStyle name="Normal_Q8.7" xfId="30"/>
    <cellStyle name="Normal_Q8.8" xfId="28"/>
    <cellStyle name="Normal_Q8.9" xfId="31"/>
    <cellStyle name="Normal_Q9.1" xfId="9"/>
    <cellStyle name="Normal_Q9.10" xfId="51"/>
    <cellStyle name="Normal_Q9.11" xfId="50"/>
    <cellStyle name="Normal_Q9.12" xfId="49"/>
    <cellStyle name="Normal_Q9.13" xfId="48"/>
    <cellStyle name="Normal_Q9.14" xfId="47"/>
    <cellStyle name="Normal_Q9.15" xfId="46"/>
    <cellStyle name="Normal_Q9.16" xfId="45"/>
    <cellStyle name="Normal_Q9.17" xfId="44"/>
    <cellStyle name="Normal_Q9.18" xfId="43"/>
    <cellStyle name="Normal_Q9.2" xfId="10"/>
    <cellStyle name="Normal_Q9.20" xfId="40"/>
    <cellStyle name="Normal_Q9.3" xfId="11"/>
    <cellStyle name="Normal_Q9.4" xfId="12"/>
    <cellStyle name="Normal_Q9.5" xfId="13"/>
    <cellStyle name="Normal_Q9.6" xfId="14"/>
    <cellStyle name="Normal_Q9.7" xfId="15"/>
    <cellStyle name="Normal_Q9.8" xfId="16"/>
    <cellStyle name="Normal_Q9.9" xfId="17"/>
    <cellStyle name="Normal_Q91.9" xfId="41"/>
    <cellStyle name="Normal_Quadro 3" xfId="37"/>
    <cellStyle name="Normal_QuadrosCD" xfId="7"/>
    <cellStyle name="Normal_Sheet1" xfId="25"/>
    <cellStyle name="Normal_Sheet2" xfId="5"/>
    <cellStyle name="Normal_Sheet3" xfId="26"/>
    <cellStyle name="Normal_Sheet5" xfId="54"/>
    <cellStyle name="Normal_Sheet7" xfId="33"/>
    <cellStyle name="Percentagem" xfId="39" builtinId="5"/>
    <cellStyle name="Vírgula" xfId="1" builtinId="3"/>
    <cellStyle name="Vírgula 2" xfId="53"/>
  </cellStyles>
  <dxfs count="0"/>
  <tableStyles count="0" defaultTableStyle="TableStyleMedium2" defaultPivotStyle="PivotStyleLight16"/>
  <colors>
    <mruColors>
      <color rgb="FF4D4D4D"/>
      <color rgb="FF215868"/>
      <color rgb="FFEAB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50468</xdr:colOff>
      <xdr:row>45</xdr:row>
      <xdr:rowOff>73025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798E17BD-4F88-4914-B811-B52A212DB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46468" cy="86455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9</xdr:col>
      <xdr:colOff>561975</xdr:colOff>
      <xdr:row>33</xdr:row>
      <xdr:rowOff>134937</xdr:rowOff>
    </xdr:to>
    <xdr:sp macro="" textlink="">
      <xdr:nvSpPr>
        <xdr:cNvPr id="3" name="Retângulo 2">
          <a:extLst>
            <a:ext uri="{FF2B5EF4-FFF2-40B4-BE49-F238E27FC236}">
              <a16:creationId xmlns="" xmlns:a16="http://schemas.microsoft.com/office/drawing/2014/main" id="{3A11A5E2-6EB3-4AD6-AC5D-0B133E78ABD9}"/>
            </a:ext>
          </a:extLst>
        </xdr:cNvPr>
        <xdr:cNvSpPr/>
      </xdr:nvSpPr>
      <xdr:spPr>
        <a:xfrm>
          <a:off x="0" y="4762500"/>
          <a:ext cx="6048375" cy="165893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População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156011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BF2EF279-4EA8-40A7-BB7A-3BD5C69A2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0011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76200</xdr:rowOff>
    </xdr:from>
    <xdr:to>
      <xdr:col>10</xdr:col>
      <xdr:colOff>523875</xdr:colOff>
      <xdr:row>37</xdr:row>
      <xdr:rowOff>64861</xdr:rowOff>
    </xdr:to>
    <xdr:sp macro="" textlink="">
      <xdr:nvSpPr>
        <xdr:cNvPr id="3" name="Retângulo 2">
          <a:extLst>
            <a:ext uri="{FF2B5EF4-FFF2-40B4-BE49-F238E27FC236}">
              <a16:creationId xmlns="" xmlns:a16="http://schemas.microsoft.com/office/drawing/2014/main" id="{760AB50F-159A-4E1A-A09C-4D4F57A54DE3}"/>
            </a:ext>
          </a:extLst>
        </xdr:cNvPr>
        <xdr:cNvSpPr/>
      </xdr:nvSpPr>
      <xdr:spPr>
        <a:xfrm>
          <a:off x="19050" y="5029200"/>
          <a:ext cx="6600825" cy="208416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Estado Civil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519133</xdr:colOff>
      <xdr:row>48</xdr:row>
      <xdr:rowOff>156011</xdr:rowOff>
    </xdr:to>
    <xdr:pic>
      <xdr:nvPicPr>
        <xdr:cNvPr id="16" name="Imagem 15">
          <a:extLst>
            <a:ext uri="{FF2B5EF4-FFF2-40B4-BE49-F238E27FC236}">
              <a16:creationId xmlns="" xmlns:a16="http://schemas.microsoft.com/office/drawing/2014/main" id="{24549BD5-AE53-4F7D-ADEE-3919DDC58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15133" cy="930001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28576</xdr:rowOff>
    </xdr:from>
    <xdr:to>
      <xdr:col>10</xdr:col>
      <xdr:colOff>468313</xdr:colOff>
      <xdr:row>36</xdr:row>
      <xdr:rowOff>171450</xdr:rowOff>
    </xdr:to>
    <xdr:sp macro="" textlink="">
      <xdr:nvSpPr>
        <xdr:cNvPr id="17" name="Retângulo 16">
          <a:extLst>
            <a:ext uri="{FF2B5EF4-FFF2-40B4-BE49-F238E27FC236}">
              <a16:creationId xmlns="" xmlns:a16="http://schemas.microsoft.com/office/drawing/2014/main" id="{3D6665A0-A1EA-40B1-BF6C-495B70B52432}"/>
            </a:ext>
          </a:extLst>
        </xdr:cNvPr>
        <xdr:cNvSpPr/>
      </xdr:nvSpPr>
      <xdr:spPr>
        <a:xfrm>
          <a:off x="0" y="5362576"/>
          <a:ext cx="6564313" cy="16668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Registo Civil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5A34FF6B-1EFB-4D16-B5B8-FE8186684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104775</xdr:rowOff>
    </xdr:from>
    <xdr:to>
      <xdr:col>10</xdr:col>
      <xdr:colOff>444954</xdr:colOff>
      <xdr:row>35</xdr:row>
      <xdr:rowOff>186418</xdr:rowOff>
    </xdr:to>
    <xdr:sp macro="" textlink="">
      <xdr:nvSpPr>
        <xdr:cNvPr id="4" name="Retângulo 3">
          <a:extLst>
            <a:ext uri="{FF2B5EF4-FFF2-40B4-BE49-F238E27FC236}">
              <a16:creationId xmlns="" xmlns:a16="http://schemas.microsoft.com/office/drawing/2014/main" id="{6A6AC19F-98DB-4A73-9F4C-0DC753DF5272}"/>
            </a:ext>
          </a:extLst>
        </xdr:cNvPr>
        <xdr:cNvSpPr/>
      </xdr:nvSpPr>
      <xdr:spPr>
        <a:xfrm>
          <a:off x="9525" y="5057775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 Deficiência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1FCE6D4D-4978-4EB5-A64B-18AB58C16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66675</xdr:rowOff>
    </xdr:from>
    <xdr:to>
      <xdr:col>10</xdr:col>
      <xdr:colOff>485775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="" xmlns:a16="http://schemas.microsoft.com/office/drawing/2014/main" id="{24B924B9-BA82-488A-8215-7FA240A03C81}"/>
            </a:ext>
          </a:extLst>
        </xdr:cNvPr>
        <xdr:cNvSpPr/>
      </xdr:nvSpPr>
      <xdr:spPr>
        <a:xfrm>
          <a:off x="0" y="5019675"/>
          <a:ext cx="6581775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Orfandade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DF428D8E-8663-4C28-B549-0F5A70110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76200</xdr:rowOff>
    </xdr:from>
    <xdr:to>
      <xdr:col>10</xdr:col>
      <xdr:colOff>435429</xdr:colOff>
      <xdr:row>35</xdr:row>
      <xdr:rowOff>157843</xdr:rowOff>
    </xdr:to>
    <xdr:sp macro="" textlink="">
      <xdr:nvSpPr>
        <xdr:cNvPr id="4" name="Retângulo 3">
          <a:extLst>
            <a:ext uri="{FF2B5EF4-FFF2-40B4-BE49-F238E27FC236}">
              <a16:creationId xmlns="" xmlns:a16="http://schemas.microsoft.com/office/drawing/2014/main" id="{949FE767-CC65-40DA-970A-C0DE8FCD3F47}"/>
            </a:ext>
          </a:extLst>
        </xdr:cNvPr>
        <xdr:cNvSpPr/>
      </xdr:nvSpPr>
      <xdr:spPr>
        <a:xfrm>
          <a:off x="0" y="5029200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Língua e etnia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10</xdr:col>
      <xdr:colOff>471962</xdr:colOff>
      <xdr:row>48</xdr:row>
      <xdr:rowOff>116550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8BD52509-D0ED-48EF-A4F5-6F8F62CA2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66675</xdr:rowOff>
    </xdr:from>
    <xdr:to>
      <xdr:col>10</xdr:col>
      <xdr:colOff>457200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="" xmlns:a16="http://schemas.microsoft.com/office/drawing/2014/main" id="{5F50978A-7EBD-44B9-B758-A065FE410A62}"/>
            </a:ext>
          </a:extLst>
        </xdr:cNvPr>
        <xdr:cNvSpPr/>
      </xdr:nvSpPr>
      <xdr:spPr>
        <a:xfrm>
          <a:off x="0" y="5019675"/>
          <a:ext cx="6553200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Religião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161681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12DBFD95-5011-4A03-902C-7E40D6CB2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568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180975</xdr:rowOff>
    </xdr:from>
    <xdr:to>
      <xdr:col>10</xdr:col>
      <xdr:colOff>485775</xdr:colOff>
      <xdr:row>36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="" xmlns:a16="http://schemas.microsoft.com/office/drawing/2014/main" id="{F099BC78-3906-4976-BC2D-B3C3103E326C}"/>
            </a:ext>
          </a:extLst>
        </xdr:cNvPr>
        <xdr:cNvSpPr/>
      </xdr:nvSpPr>
      <xdr:spPr>
        <a:xfrm>
          <a:off x="9525" y="5133975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Educação e FP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10</xdr:col>
      <xdr:colOff>515958</xdr:colOff>
      <xdr:row>48</xdr:row>
      <xdr:rowOff>190256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595ACAFE-1BB3-45C3-8346-0882AD488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611958" cy="93056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10</xdr:col>
      <xdr:colOff>476250</xdr:colOff>
      <xdr:row>36</xdr:row>
      <xdr:rowOff>95250</xdr:rowOff>
    </xdr:to>
    <xdr:sp macro="" textlink="">
      <xdr:nvSpPr>
        <xdr:cNvPr id="4" name="Retângulo 3">
          <a:extLst>
            <a:ext uri="{FF2B5EF4-FFF2-40B4-BE49-F238E27FC236}">
              <a16:creationId xmlns="" xmlns:a16="http://schemas.microsoft.com/office/drawing/2014/main" id="{B6F3DE73-D995-4C63-85BC-2E6B1F8B7A03}"/>
            </a:ext>
          </a:extLst>
        </xdr:cNvPr>
        <xdr:cNvSpPr/>
      </xdr:nvSpPr>
      <xdr:spPr>
        <a:xfrm>
          <a:off x="0" y="5143500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9.Agregado Familiar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479165</xdr:colOff>
      <xdr:row>50</xdr:row>
      <xdr:rowOff>141603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42CFBF8E-2B96-460E-801D-C3FAC1A95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75165" cy="96666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123825</xdr:rowOff>
    </xdr:from>
    <xdr:to>
      <xdr:col>10</xdr:col>
      <xdr:colOff>442632</xdr:colOff>
      <xdr:row>37</xdr:row>
      <xdr:rowOff>101414</xdr:rowOff>
    </xdr:to>
    <xdr:sp macro="" textlink="">
      <xdr:nvSpPr>
        <xdr:cNvPr id="3" name="Retângulo 2">
          <a:extLst>
            <a:ext uri="{FF2B5EF4-FFF2-40B4-BE49-F238E27FC236}">
              <a16:creationId xmlns="" xmlns:a16="http://schemas.microsoft.com/office/drawing/2014/main" id="{E3BDC726-0D56-4B71-95BE-0A31B2381ACE}"/>
            </a:ext>
          </a:extLst>
        </xdr:cNvPr>
        <xdr:cNvSpPr/>
      </xdr:nvSpPr>
      <xdr:spPr>
        <a:xfrm>
          <a:off x="0" y="5267325"/>
          <a:ext cx="6538632" cy="18825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11. Habitação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D4D4D"/>
  </sheetPr>
  <dimension ref="G23"/>
  <sheetViews>
    <sheetView zoomScaleNormal="100" workbookViewId="0">
      <selection activeCell="Q36" sqref="Q36"/>
    </sheetView>
  </sheetViews>
  <sheetFormatPr defaultRowHeight="15" x14ac:dyDescent="0.25"/>
  <cols>
    <col min="1" max="16384" width="9.140625" style="1"/>
  </cols>
  <sheetData>
    <row r="23" spans="7:7" x14ac:dyDescent="0.25">
      <c r="G23" s="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115" zoomScaleNormal="115" workbookViewId="0">
      <selection activeCell="I17" sqref="I17"/>
    </sheetView>
  </sheetViews>
  <sheetFormatPr defaultRowHeight="12" x14ac:dyDescent="0.2"/>
  <cols>
    <col min="1" max="1" width="22" style="320" customWidth="1"/>
    <col min="2" max="2" width="16.140625" style="320" customWidth="1"/>
    <col min="3" max="3" width="17.28515625" style="320" customWidth="1"/>
    <col min="4" max="4" width="24.85546875" style="320" customWidth="1"/>
    <col min="5" max="16384" width="9.140625" style="320"/>
  </cols>
  <sheetData>
    <row r="1" spans="1:5" ht="18.75" customHeight="1" thickBot="1" x14ac:dyDescent="0.25">
      <c r="A1" s="453" t="s">
        <v>500</v>
      </c>
      <c r="B1" s="454"/>
      <c r="C1" s="454"/>
      <c r="D1" s="455"/>
    </row>
    <row r="2" spans="1:5" ht="8.25" customHeight="1" x14ac:dyDescent="0.2">
      <c r="A2" s="451" t="s">
        <v>501</v>
      </c>
      <c r="B2" s="449" t="s">
        <v>1</v>
      </c>
      <c r="C2" s="449" t="s">
        <v>2</v>
      </c>
      <c r="D2" s="447" t="s">
        <v>3</v>
      </c>
    </row>
    <row r="3" spans="1:5" ht="18.75" customHeight="1" x14ac:dyDescent="0.2">
      <c r="A3" s="452"/>
      <c r="B3" s="450"/>
      <c r="C3" s="450"/>
      <c r="D3" s="448"/>
    </row>
    <row r="4" spans="1:5" x14ac:dyDescent="0.2">
      <c r="A4" s="313" t="s">
        <v>457</v>
      </c>
      <c r="B4" s="314">
        <v>411074.26798693807</v>
      </c>
      <c r="C4" s="314">
        <v>200922.98117071635</v>
      </c>
      <c r="D4" s="314">
        <v>210151.28681834391</v>
      </c>
    </row>
    <row r="5" spans="1:5" x14ac:dyDescent="0.2">
      <c r="A5" s="205"/>
      <c r="B5" s="315"/>
      <c r="C5" s="315"/>
      <c r="D5" s="316"/>
      <c r="E5" s="444"/>
    </row>
    <row r="6" spans="1:5" x14ac:dyDescent="0.2">
      <c r="A6" s="206" t="s">
        <v>126</v>
      </c>
      <c r="B6" s="317"/>
      <c r="C6" s="317"/>
      <c r="D6" s="317"/>
    </row>
    <row r="7" spans="1:5" x14ac:dyDescent="0.2">
      <c r="A7" s="368" t="s">
        <v>5</v>
      </c>
      <c r="B7" s="318">
        <v>218934.654801956</v>
      </c>
      <c r="C7" s="318">
        <v>107540.89443938941</v>
      </c>
      <c r="D7" s="318">
        <v>111393.760362402</v>
      </c>
    </row>
    <row r="8" spans="1:5" x14ac:dyDescent="0.2">
      <c r="A8" s="369" t="s">
        <v>6</v>
      </c>
      <c r="B8" s="318">
        <v>192139.61318710737</v>
      </c>
      <c r="C8" s="318">
        <v>93382.086731190677</v>
      </c>
      <c r="D8" s="318">
        <v>98757.526455820334</v>
      </c>
    </row>
    <row r="9" spans="1:5" x14ac:dyDescent="0.2">
      <c r="A9" s="313" t="s">
        <v>539</v>
      </c>
      <c r="B9" s="313"/>
      <c r="C9" s="313"/>
      <c r="D9" s="313"/>
    </row>
    <row r="10" spans="1:5" s="386" customFormat="1" ht="12.75" customHeight="1" x14ac:dyDescent="0.2">
      <c r="A10" s="371" t="s">
        <v>458</v>
      </c>
      <c r="B10" s="319">
        <v>156975.07858164501</v>
      </c>
      <c r="C10" s="319">
        <v>75940.186677381935</v>
      </c>
      <c r="D10" s="319">
        <v>81034.891904149379</v>
      </c>
    </row>
    <row r="11" spans="1:5" x14ac:dyDescent="0.2">
      <c r="A11" s="61" t="s">
        <v>458</v>
      </c>
      <c r="B11" s="318">
        <v>156975.0785816448</v>
      </c>
      <c r="C11" s="318">
        <v>75940.186677381935</v>
      </c>
      <c r="D11" s="318">
        <v>81034.891904149379</v>
      </c>
    </row>
    <row r="12" spans="1:5" s="386" customFormat="1" x14ac:dyDescent="0.2">
      <c r="A12" s="371" t="s">
        <v>459</v>
      </c>
      <c r="B12" s="319">
        <v>100312.89173036988</v>
      </c>
      <c r="C12" s="319">
        <v>48383.462238210865</v>
      </c>
      <c r="D12" s="319">
        <v>51929.429492142808</v>
      </c>
    </row>
    <row r="13" spans="1:5" x14ac:dyDescent="0.2">
      <c r="A13" s="61" t="s">
        <v>459</v>
      </c>
      <c r="B13" s="318">
        <v>83409.035278254611</v>
      </c>
      <c r="C13" s="318">
        <v>40359.132032061432</v>
      </c>
      <c r="D13" s="318">
        <v>43049.903246176495</v>
      </c>
    </row>
    <row r="14" spans="1:5" x14ac:dyDescent="0.2">
      <c r="A14" s="61" t="s">
        <v>460</v>
      </c>
      <c r="B14" s="318">
        <v>16903.856452115277</v>
      </c>
      <c r="C14" s="318">
        <v>8024.3302061494287</v>
      </c>
      <c r="D14" s="318">
        <v>8879.5262459663099</v>
      </c>
    </row>
    <row r="15" spans="1:5" s="386" customFormat="1" x14ac:dyDescent="0.2">
      <c r="A15" s="371" t="s">
        <v>461</v>
      </c>
      <c r="B15" s="319">
        <v>27801.462012379066</v>
      </c>
      <c r="C15" s="319">
        <v>14347.778709599681</v>
      </c>
      <c r="D15" s="319">
        <v>13453.683302782863</v>
      </c>
    </row>
    <row r="16" spans="1:5" x14ac:dyDescent="0.2">
      <c r="A16" s="61" t="s">
        <v>461</v>
      </c>
      <c r="B16" s="318">
        <v>27801.462012379066</v>
      </c>
      <c r="C16" s="318">
        <v>14347.778709599681</v>
      </c>
      <c r="D16" s="318">
        <v>13453.683302782863</v>
      </c>
    </row>
    <row r="17" spans="1:4" s="386" customFormat="1" x14ac:dyDescent="0.2">
      <c r="A17" s="371" t="s">
        <v>462</v>
      </c>
      <c r="B17" s="319">
        <v>41266.431889500716</v>
      </c>
      <c r="C17" s="319">
        <v>20525.806874869009</v>
      </c>
      <c r="D17" s="319">
        <v>20740.625014634155</v>
      </c>
    </row>
    <row r="18" spans="1:4" x14ac:dyDescent="0.2">
      <c r="A18" s="61" t="s">
        <v>462</v>
      </c>
      <c r="B18" s="318">
        <v>41266.431889500716</v>
      </c>
      <c r="C18" s="318">
        <v>20525.806874869009</v>
      </c>
      <c r="D18" s="318">
        <v>20740.625014634155</v>
      </c>
    </row>
    <row r="19" spans="1:4" s="386" customFormat="1" x14ac:dyDescent="0.2">
      <c r="A19" s="371" t="s">
        <v>463</v>
      </c>
      <c r="B19" s="319">
        <v>40882.313347504591</v>
      </c>
      <c r="C19" s="319">
        <v>20046.67268918113</v>
      </c>
      <c r="D19" s="319">
        <v>20835.640658327393</v>
      </c>
    </row>
    <row r="20" spans="1:4" x14ac:dyDescent="0.2">
      <c r="A20" s="61" t="s">
        <v>463</v>
      </c>
      <c r="B20" s="318">
        <v>40882.313347504591</v>
      </c>
      <c r="C20" s="318">
        <v>20046.67268918113</v>
      </c>
      <c r="D20" s="318">
        <v>20835.640658327393</v>
      </c>
    </row>
    <row r="21" spans="1:4" s="386" customFormat="1" x14ac:dyDescent="0.2">
      <c r="A21" s="371" t="s">
        <v>464</v>
      </c>
      <c r="B21" s="319">
        <v>14466.306815181144</v>
      </c>
      <c r="C21" s="319">
        <v>7376.5853608623383</v>
      </c>
      <c r="D21" s="319">
        <v>7089.7214543186474</v>
      </c>
    </row>
    <row r="22" spans="1:4" x14ac:dyDescent="0.2">
      <c r="A22" s="61" t="s">
        <v>464</v>
      </c>
      <c r="B22" s="318">
        <v>3485.7153016918705</v>
      </c>
      <c r="C22" s="318">
        <v>1761.7491790998324</v>
      </c>
      <c r="D22" s="318">
        <v>1723.9661225920781</v>
      </c>
    </row>
    <row r="23" spans="1:4" x14ac:dyDescent="0.2">
      <c r="A23" s="61" t="s">
        <v>465</v>
      </c>
      <c r="B23" s="318">
        <v>10980.591513489273</v>
      </c>
      <c r="C23" s="318">
        <v>5614.8361817625064</v>
      </c>
      <c r="D23" s="318">
        <v>5365.7553317265692</v>
      </c>
    </row>
    <row r="24" spans="1:4" s="386" customFormat="1" x14ac:dyDescent="0.2">
      <c r="A24" s="371" t="s">
        <v>466</v>
      </c>
      <c r="B24" s="319">
        <v>8577.8196581577395</v>
      </c>
      <c r="C24" s="319">
        <v>4155.004403852583</v>
      </c>
      <c r="D24" s="319">
        <v>4422.8152543050219</v>
      </c>
    </row>
    <row r="25" spans="1:4" x14ac:dyDescent="0.2">
      <c r="A25" s="61" t="s">
        <v>466</v>
      </c>
      <c r="B25" s="318">
        <v>8577.8196581577395</v>
      </c>
      <c r="C25" s="318">
        <v>4155.004403852583</v>
      </c>
      <c r="D25" s="318">
        <v>4422.8152543050219</v>
      </c>
    </row>
    <row r="26" spans="1:4" s="386" customFormat="1" x14ac:dyDescent="0.2">
      <c r="A26" s="371" t="s">
        <v>467</v>
      </c>
      <c r="B26" s="319">
        <v>13445.093834173796</v>
      </c>
      <c r="C26" s="319">
        <v>6586.3953528473785</v>
      </c>
      <c r="D26" s="319">
        <v>6858.6984813267927</v>
      </c>
    </row>
    <row r="27" spans="1:4" x14ac:dyDescent="0.2">
      <c r="A27" s="61" t="s">
        <v>467</v>
      </c>
      <c r="B27" s="318">
        <v>13445.093834173796</v>
      </c>
      <c r="C27" s="318">
        <v>6586.3953528473785</v>
      </c>
      <c r="D27" s="318">
        <v>6858.6984813267927</v>
      </c>
    </row>
    <row r="28" spans="1:4" s="386" customFormat="1" x14ac:dyDescent="0.2">
      <c r="A28" s="371" t="s">
        <v>468</v>
      </c>
      <c r="B28" s="319">
        <v>7346.8701198703457</v>
      </c>
      <c r="C28" s="319">
        <v>3561.088863707022</v>
      </c>
      <c r="D28" s="319">
        <v>3785.7812561632936</v>
      </c>
    </row>
    <row r="29" spans="1:4" x14ac:dyDescent="0.2">
      <c r="A29" s="61" t="s">
        <v>468</v>
      </c>
      <c r="B29" s="318">
        <v>7346.8701198703457</v>
      </c>
      <c r="C29" s="318">
        <v>3561.088863707022</v>
      </c>
      <c r="D29" s="318">
        <v>3785.7812561632936</v>
      </c>
    </row>
  </sheetData>
  <mergeCells count="5">
    <mergeCell ref="D2:D3"/>
    <mergeCell ref="C2:C3"/>
    <mergeCell ref="B2:B3"/>
    <mergeCell ref="A2:A3"/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zoomScale="120" zoomScaleNormal="120" workbookViewId="0">
      <selection activeCell="D30" sqref="D30"/>
    </sheetView>
  </sheetViews>
  <sheetFormatPr defaultRowHeight="12" x14ac:dyDescent="0.2"/>
  <cols>
    <col min="1" max="1" width="10.5703125" style="326" customWidth="1"/>
    <col min="2" max="2" width="13.5703125" style="322" bestFit="1" customWidth="1"/>
    <col min="3" max="4" width="13.28515625" style="322" bestFit="1" customWidth="1"/>
    <col min="5" max="16384" width="9.140625" style="322"/>
  </cols>
  <sheetData>
    <row r="1" spans="1:7" ht="25.5" customHeight="1" x14ac:dyDescent="0.2">
      <c r="A1" s="456" t="s">
        <v>502</v>
      </c>
      <c r="B1" s="456"/>
      <c r="C1" s="456"/>
      <c r="D1" s="456"/>
    </row>
    <row r="2" spans="1:7" ht="15" customHeight="1" x14ac:dyDescent="0.2">
      <c r="A2" s="88" t="s">
        <v>0</v>
      </c>
      <c r="B2" s="259" t="s">
        <v>1</v>
      </c>
      <c r="C2" s="259" t="s">
        <v>2</v>
      </c>
      <c r="D2" s="259" t="s">
        <v>3</v>
      </c>
    </row>
    <row r="3" spans="1:7" ht="12.75" customHeight="1" x14ac:dyDescent="0.2">
      <c r="A3" s="142" t="s">
        <v>457</v>
      </c>
      <c r="B3" s="385">
        <v>411074.2679862901</v>
      </c>
      <c r="C3" s="385">
        <v>200922.98117093576</v>
      </c>
      <c r="D3" s="385">
        <v>210151.2868186472</v>
      </c>
    </row>
    <row r="4" spans="1:7" ht="10.5" customHeight="1" x14ac:dyDescent="0.2">
      <c r="A4" s="89"/>
      <c r="B4" s="69"/>
      <c r="C4" s="69"/>
      <c r="D4" s="69"/>
    </row>
    <row r="5" spans="1:7" x14ac:dyDescent="0.2">
      <c r="A5" s="142" t="s">
        <v>4</v>
      </c>
      <c r="B5" s="321"/>
      <c r="C5" s="321"/>
      <c r="D5" s="321"/>
      <c r="G5" s="323"/>
    </row>
    <row r="6" spans="1:7" x14ac:dyDescent="0.2">
      <c r="A6" s="36" t="s">
        <v>454</v>
      </c>
      <c r="B6" s="209">
        <v>14784.726381147864</v>
      </c>
      <c r="C6" s="209">
        <v>7190.7965709765231</v>
      </c>
      <c r="D6" s="209">
        <v>7593.9298101674276</v>
      </c>
    </row>
    <row r="7" spans="1:7" x14ac:dyDescent="0.2">
      <c r="A7" s="36" t="s">
        <v>354</v>
      </c>
      <c r="B7" s="209">
        <v>13582.73331101332</v>
      </c>
      <c r="C7" s="209">
        <v>6525.2563939395704</v>
      </c>
      <c r="D7" s="209">
        <v>7057.4769170708696</v>
      </c>
    </row>
    <row r="8" spans="1:7" x14ac:dyDescent="0.2">
      <c r="A8" s="36" t="s">
        <v>355</v>
      </c>
      <c r="B8" s="209">
        <v>12472.794287623236</v>
      </c>
      <c r="C8" s="209">
        <v>6067.102345200301</v>
      </c>
      <c r="D8" s="209">
        <v>6405.6919424210082</v>
      </c>
    </row>
    <row r="9" spans="1:7" x14ac:dyDescent="0.2">
      <c r="A9" s="36" t="s">
        <v>356</v>
      </c>
      <c r="B9" s="209">
        <v>13702.297762531985</v>
      </c>
      <c r="C9" s="209">
        <v>6399.3433874731199</v>
      </c>
      <c r="D9" s="209">
        <v>7302.9543750558823</v>
      </c>
    </row>
    <row r="10" spans="1:7" x14ac:dyDescent="0.2">
      <c r="A10" s="36" t="s">
        <v>357</v>
      </c>
      <c r="B10" s="209">
        <v>14672.568577068409</v>
      </c>
      <c r="C10" s="209">
        <v>6846.9165112992423</v>
      </c>
      <c r="D10" s="209">
        <v>7825.6520657653491</v>
      </c>
    </row>
    <row r="11" spans="1:7" x14ac:dyDescent="0.2">
      <c r="A11" s="36" t="s">
        <v>358</v>
      </c>
      <c r="B11" s="209">
        <v>13426.43701218893</v>
      </c>
      <c r="C11" s="209">
        <v>6595.5796800195239</v>
      </c>
      <c r="D11" s="209">
        <v>6830.8573321724207</v>
      </c>
    </row>
    <row r="12" spans="1:7" x14ac:dyDescent="0.2">
      <c r="A12" s="36" t="s">
        <v>359</v>
      </c>
      <c r="B12" s="209">
        <v>12922.429908999249</v>
      </c>
      <c r="C12" s="209">
        <v>6371.4526274947266</v>
      </c>
      <c r="D12" s="209">
        <v>6550.9772815071265</v>
      </c>
    </row>
    <row r="13" spans="1:7" x14ac:dyDescent="0.2">
      <c r="A13" s="36" t="s">
        <v>360</v>
      </c>
      <c r="B13" s="209">
        <v>11459.471237793805</v>
      </c>
      <c r="C13" s="209">
        <v>5631.0528121889283</v>
      </c>
      <c r="D13" s="209">
        <v>5828.4184256062872</v>
      </c>
    </row>
    <row r="14" spans="1:7" x14ac:dyDescent="0.2">
      <c r="A14" s="36" t="s">
        <v>361</v>
      </c>
      <c r="B14" s="209">
        <v>11887.654263512472</v>
      </c>
      <c r="C14" s="209">
        <v>5932.1190021476114</v>
      </c>
      <c r="D14" s="209">
        <v>5955.53526136662</v>
      </c>
    </row>
    <row r="15" spans="1:7" x14ac:dyDescent="0.2">
      <c r="A15" s="36" t="s">
        <v>362</v>
      </c>
      <c r="B15" s="209">
        <v>12456.334844545076</v>
      </c>
      <c r="C15" s="209">
        <v>6168.511714263318</v>
      </c>
      <c r="D15" s="209">
        <v>6287.8231302839813</v>
      </c>
    </row>
    <row r="16" spans="1:7" x14ac:dyDescent="0.2">
      <c r="A16" s="36" t="s">
        <v>363</v>
      </c>
      <c r="B16" s="209">
        <v>11957.90304116944</v>
      </c>
      <c r="C16" s="209">
        <v>5963.3406811062896</v>
      </c>
      <c r="D16" s="209">
        <v>5994.5623600649678</v>
      </c>
    </row>
    <row r="17" spans="1:4" x14ac:dyDescent="0.2">
      <c r="A17" s="36" t="s">
        <v>364</v>
      </c>
      <c r="B17" s="209">
        <v>10667.778664199395</v>
      </c>
      <c r="C17" s="209">
        <v>5364.5534810773534</v>
      </c>
      <c r="D17" s="209">
        <v>5303.2251831228068</v>
      </c>
    </row>
    <row r="18" spans="1:4" x14ac:dyDescent="0.2">
      <c r="A18" s="36" t="s">
        <v>365</v>
      </c>
      <c r="B18" s="209">
        <v>10636.556985240743</v>
      </c>
      <c r="C18" s="209">
        <v>5396.8902199988415</v>
      </c>
      <c r="D18" s="209">
        <v>5239.6667652426404</v>
      </c>
    </row>
    <row r="19" spans="1:4" x14ac:dyDescent="0.2">
      <c r="A19" s="36" t="s">
        <v>366</v>
      </c>
      <c r="B19" s="209">
        <v>9921.8035490801558</v>
      </c>
      <c r="C19" s="209">
        <v>5031.1505521971822</v>
      </c>
      <c r="D19" s="209">
        <v>4890.6529968831301</v>
      </c>
    </row>
    <row r="20" spans="1:4" x14ac:dyDescent="0.2">
      <c r="A20" s="36" t="s">
        <v>367</v>
      </c>
      <c r="B20" s="209">
        <v>10764.788880963781</v>
      </c>
      <c r="C20" s="209">
        <v>5501.7058565029756</v>
      </c>
      <c r="D20" s="209">
        <v>5263.0830244616491</v>
      </c>
    </row>
    <row r="21" spans="1:4" x14ac:dyDescent="0.2">
      <c r="A21" s="36" t="s">
        <v>368</v>
      </c>
      <c r="B21" s="209">
        <v>10002.699168552392</v>
      </c>
      <c r="C21" s="209">
        <v>5043.186877643092</v>
      </c>
      <c r="D21" s="209">
        <v>4959.5122909080592</v>
      </c>
    </row>
    <row r="22" spans="1:4" x14ac:dyDescent="0.2">
      <c r="A22" s="36" t="s">
        <v>369</v>
      </c>
      <c r="B22" s="209">
        <v>10404.337184880549</v>
      </c>
      <c r="C22" s="209">
        <v>5242.8105345680988</v>
      </c>
      <c r="D22" s="209">
        <v>5161.5266503112098</v>
      </c>
    </row>
    <row r="23" spans="1:4" x14ac:dyDescent="0.2">
      <c r="A23" s="36" t="s">
        <v>370</v>
      </c>
      <c r="B23" s="209">
        <v>9057.1763384465212</v>
      </c>
      <c r="C23" s="209">
        <v>4423.9949358038493</v>
      </c>
      <c r="D23" s="209">
        <v>4633.1814026414313</v>
      </c>
    </row>
    <row r="24" spans="1:4" x14ac:dyDescent="0.2">
      <c r="A24" s="36" t="s">
        <v>371</v>
      </c>
      <c r="B24" s="209">
        <v>9089.4508219014624</v>
      </c>
      <c r="C24" s="209">
        <v>4364.2273738502545</v>
      </c>
      <c r="D24" s="209">
        <v>4725.2234480499674</v>
      </c>
    </row>
    <row r="25" spans="1:4" x14ac:dyDescent="0.2">
      <c r="A25" s="36" t="s">
        <v>372</v>
      </c>
      <c r="B25" s="209">
        <v>8838.427061696364</v>
      </c>
      <c r="C25" s="209">
        <v>4137.1106384265941</v>
      </c>
      <c r="D25" s="209">
        <v>4701.3164232685294</v>
      </c>
    </row>
    <row r="26" spans="1:4" x14ac:dyDescent="0.2">
      <c r="A26" s="36" t="s">
        <v>373</v>
      </c>
      <c r="B26" s="209">
        <v>9022.9357412057725</v>
      </c>
      <c r="C26" s="209">
        <v>4212.5701881759005</v>
      </c>
      <c r="D26" s="209">
        <v>4810.3655530297774</v>
      </c>
    </row>
    <row r="27" spans="1:4" x14ac:dyDescent="0.2">
      <c r="A27" s="36" t="s">
        <v>374</v>
      </c>
      <c r="B27" s="209">
        <v>8123.1989293381257</v>
      </c>
      <c r="C27" s="209">
        <v>3613.5573174872907</v>
      </c>
      <c r="D27" s="209">
        <v>4509.6416118507395</v>
      </c>
    </row>
    <row r="28" spans="1:4" x14ac:dyDescent="0.2">
      <c r="A28" s="36" t="s">
        <v>375</v>
      </c>
      <c r="B28" s="209">
        <v>6981.1784563586216</v>
      </c>
      <c r="C28" s="209">
        <v>3266.5681545884008</v>
      </c>
      <c r="D28" s="209">
        <v>3714.6103017701253</v>
      </c>
    </row>
    <row r="29" spans="1:4" x14ac:dyDescent="0.2">
      <c r="A29" s="36" t="s">
        <v>376</v>
      </c>
      <c r="B29" s="209">
        <v>7402.4354751762212</v>
      </c>
      <c r="C29" s="209">
        <v>3577.0321424453023</v>
      </c>
      <c r="D29" s="209">
        <v>3825.4033327308234</v>
      </c>
    </row>
    <row r="30" spans="1:4" x14ac:dyDescent="0.2">
      <c r="A30" s="36" t="s">
        <v>377</v>
      </c>
      <c r="B30" s="209">
        <v>10406.0223694624</v>
      </c>
      <c r="C30" s="209">
        <v>5154.9197042592014</v>
      </c>
      <c r="D30" s="209">
        <v>5251.1026652031042</v>
      </c>
    </row>
    <row r="31" spans="1:4" x14ac:dyDescent="0.2">
      <c r="A31" s="36" t="s">
        <v>378</v>
      </c>
      <c r="B31" s="209">
        <v>7197.8944949410861</v>
      </c>
      <c r="C31" s="209">
        <v>3678.0851267281369</v>
      </c>
      <c r="D31" s="209">
        <v>3519.8093682128538</v>
      </c>
    </row>
    <row r="32" spans="1:4" x14ac:dyDescent="0.2">
      <c r="A32" s="36" t="s">
        <v>379</v>
      </c>
      <c r="B32" s="209">
        <v>6589.1415775746127</v>
      </c>
      <c r="C32" s="209">
        <v>3271.4381779273326</v>
      </c>
      <c r="D32" s="209">
        <v>3317.7033996471846</v>
      </c>
    </row>
    <row r="33" spans="1:4" x14ac:dyDescent="0.2">
      <c r="A33" s="36" t="s">
        <v>380</v>
      </c>
      <c r="B33" s="209">
        <v>5607.8318747798576</v>
      </c>
      <c r="C33" s="209">
        <v>2785.6533498688868</v>
      </c>
      <c r="D33" s="209">
        <v>2822.1785249108752</v>
      </c>
    </row>
    <row r="34" spans="1:4" x14ac:dyDescent="0.2">
      <c r="A34" s="36" t="s">
        <v>381</v>
      </c>
      <c r="B34" s="209">
        <v>5466.6011979508357</v>
      </c>
      <c r="C34" s="209">
        <v>2746.6931631574325</v>
      </c>
      <c r="D34" s="209">
        <v>2719.9080347933077</v>
      </c>
    </row>
    <row r="35" spans="1:4" x14ac:dyDescent="0.2">
      <c r="A35" s="36" t="s">
        <v>382</v>
      </c>
      <c r="B35" s="209">
        <v>4721.4876270942723</v>
      </c>
      <c r="C35" s="209">
        <v>2310.8260743230376</v>
      </c>
      <c r="D35" s="209">
        <v>2410.6615527711392</v>
      </c>
    </row>
    <row r="36" spans="1:4" x14ac:dyDescent="0.2">
      <c r="A36" s="36" t="s">
        <v>383</v>
      </c>
      <c r="B36" s="209">
        <v>5253.9262593880485</v>
      </c>
      <c r="C36" s="209">
        <v>2591.6849677605464</v>
      </c>
      <c r="D36" s="209">
        <v>2662.2412916276376</v>
      </c>
    </row>
    <row r="37" spans="1:4" x14ac:dyDescent="0.2">
      <c r="A37" s="36" t="s">
        <v>384</v>
      </c>
      <c r="B37" s="209">
        <v>4790.2704168330456</v>
      </c>
      <c r="C37" s="209">
        <v>2329.6186219684937</v>
      </c>
      <c r="D37" s="209">
        <v>2460.6517948645201</v>
      </c>
    </row>
    <row r="38" spans="1:4" x14ac:dyDescent="0.2">
      <c r="A38" s="36" t="s">
        <v>385</v>
      </c>
      <c r="B38" s="209">
        <v>5013.2787976271638</v>
      </c>
      <c r="C38" s="209">
        <v>2464.4315979288285</v>
      </c>
      <c r="D38" s="209">
        <v>2548.847199698384</v>
      </c>
    </row>
    <row r="39" spans="1:4" x14ac:dyDescent="0.2">
      <c r="A39" s="36" t="s">
        <v>386</v>
      </c>
      <c r="B39" s="209">
        <v>3946.1143991377421</v>
      </c>
      <c r="C39" s="209">
        <v>2005.8154927927437</v>
      </c>
      <c r="D39" s="209">
        <v>1940.2989063447424</v>
      </c>
    </row>
    <row r="40" spans="1:4" x14ac:dyDescent="0.2">
      <c r="A40" s="36" t="s">
        <v>387</v>
      </c>
      <c r="B40" s="209">
        <v>4906.1843774717963</v>
      </c>
      <c r="C40" s="209">
        <v>2536.2478561506891</v>
      </c>
      <c r="D40" s="209">
        <v>2369.9365213211172</v>
      </c>
    </row>
    <row r="41" spans="1:4" x14ac:dyDescent="0.2">
      <c r="A41" s="36" t="s">
        <v>388</v>
      </c>
      <c r="B41" s="209">
        <v>3214.0925390166717</v>
      </c>
      <c r="C41" s="209">
        <v>1481.6828012087328</v>
      </c>
      <c r="D41" s="209">
        <v>1732.409737807815</v>
      </c>
    </row>
    <row r="42" spans="1:4" x14ac:dyDescent="0.2">
      <c r="A42" s="36" t="s">
        <v>389</v>
      </c>
      <c r="B42" s="209">
        <v>3740.7450993103162</v>
      </c>
      <c r="C42" s="209">
        <v>1785.3269807081238</v>
      </c>
      <c r="D42" s="209">
        <v>1955.4181186019734</v>
      </c>
    </row>
    <row r="43" spans="1:4" x14ac:dyDescent="0.2">
      <c r="A43" s="36" t="s">
        <v>390</v>
      </c>
      <c r="B43" s="209">
        <v>3367.8045302985488</v>
      </c>
      <c r="C43" s="209">
        <v>1568.6182716878116</v>
      </c>
      <c r="D43" s="209">
        <v>1799.1862586105856</v>
      </c>
    </row>
    <row r="44" spans="1:4" x14ac:dyDescent="0.2">
      <c r="A44" s="36" t="s">
        <v>391</v>
      </c>
      <c r="B44" s="209">
        <v>3343.8657775579286</v>
      </c>
      <c r="C44" s="209">
        <v>1561.058665559196</v>
      </c>
      <c r="D44" s="209">
        <v>1782.8071119985852</v>
      </c>
    </row>
    <row r="45" spans="1:4" x14ac:dyDescent="0.2">
      <c r="A45" s="36" t="s">
        <v>392</v>
      </c>
      <c r="B45" s="209">
        <v>3565.6142239973578</v>
      </c>
      <c r="C45" s="209">
        <v>1708.4709850671991</v>
      </c>
      <c r="D45" s="209">
        <v>1857.1432389299714</v>
      </c>
    </row>
    <row r="46" spans="1:4" x14ac:dyDescent="0.2">
      <c r="A46" s="36" t="s">
        <v>393</v>
      </c>
      <c r="B46" s="209">
        <v>3563.0943552878189</v>
      </c>
      <c r="C46" s="209">
        <v>1666.8931513598136</v>
      </c>
      <c r="D46" s="209">
        <v>1896.2012039278184</v>
      </c>
    </row>
    <row r="47" spans="1:4" x14ac:dyDescent="0.2">
      <c r="A47" s="36" t="s">
        <v>394</v>
      </c>
      <c r="B47" s="209">
        <v>3078.0196287015674</v>
      </c>
      <c r="C47" s="209">
        <v>1430.0254926631933</v>
      </c>
      <c r="D47" s="209">
        <v>1647.9941360382747</v>
      </c>
    </row>
    <row r="48" spans="1:4" x14ac:dyDescent="0.2">
      <c r="A48" s="36" t="s">
        <v>395</v>
      </c>
      <c r="B48" s="209">
        <v>2786.9747927498165</v>
      </c>
      <c r="C48" s="209">
        <v>1317.8913350887294</v>
      </c>
      <c r="D48" s="209">
        <v>1469.0834576610403</v>
      </c>
    </row>
    <row r="49" spans="1:4" x14ac:dyDescent="0.2">
      <c r="A49" s="36" t="s">
        <v>396</v>
      </c>
      <c r="B49" s="209">
        <v>2470.7312697026759</v>
      </c>
      <c r="C49" s="209">
        <v>1248.5949455764203</v>
      </c>
      <c r="D49" s="209">
        <v>1222.1363241262659</v>
      </c>
    </row>
    <row r="50" spans="1:4" x14ac:dyDescent="0.2">
      <c r="A50" s="36" t="s">
        <v>397</v>
      </c>
      <c r="B50" s="209">
        <v>3854.1391912395698</v>
      </c>
      <c r="C50" s="209">
        <v>1950.3783811828964</v>
      </c>
      <c r="D50" s="209">
        <v>1903.7608100564339</v>
      </c>
    </row>
    <row r="51" spans="1:4" x14ac:dyDescent="0.2">
      <c r="A51" s="36" t="s">
        <v>398</v>
      </c>
      <c r="B51" s="209">
        <v>2482.410427476279</v>
      </c>
      <c r="C51" s="209">
        <v>1176.7500597135875</v>
      </c>
      <c r="D51" s="209">
        <v>1305.6603677626131</v>
      </c>
    </row>
    <row r="52" spans="1:4" x14ac:dyDescent="0.2">
      <c r="A52" s="36" t="s">
        <v>399</v>
      </c>
      <c r="B52" s="209">
        <v>2242.3297620271301</v>
      </c>
      <c r="C52" s="209">
        <v>1017.0905038730511</v>
      </c>
      <c r="D52" s="209">
        <v>1225.2392581540466</v>
      </c>
    </row>
    <row r="53" spans="1:4" x14ac:dyDescent="0.2">
      <c r="A53" s="36" t="s">
        <v>400</v>
      </c>
      <c r="B53" s="209">
        <v>2312.1069012463408</v>
      </c>
      <c r="C53" s="209">
        <v>1136.5395049093042</v>
      </c>
      <c r="D53" s="209">
        <v>1175.5673963369909</v>
      </c>
    </row>
    <row r="54" spans="1:4" x14ac:dyDescent="0.2">
      <c r="A54" s="36" t="s">
        <v>401</v>
      </c>
      <c r="B54" s="209">
        <v>2250.6084056633076</v>
      </c>
      <c r="C54" s="209">
        <v>1095.1462867284245</v>
      </c>
      <c r="D54" s="209">
        <v>1155.4621189348493</v>
      </c>
    </row>
    <row r="55" spans="1:4" x14ac:dyDescent="0.2">
      <c r="A55" s="36" t="s">
        <v>402</v>
      </c>
      <c r="B55" s="209">
        <v>2671.6365677317658</v>
      </c>
      <c r="C55" s="209">
        <v>1344.6882591902997</v>
      </c>
      <c r="D55" s="209">
        <v>1326.9483085413513</v>
      </c>
    </row>
    <row r="56" spans="1:4" x14ac:dyDescent="0.2">
      <c r="A56" s="36" t="s">
        <v>403</v>
      </c>
      <c r="B56" s="209">
        <v>2218.6764944951942</v>
      </c>
      <c r="C56" s="209">
        <v>1185.0287033497634</v>
      </c>
      <c r="D56" s="209">
        <v>1033.6477911454031</v>
      </c>
    </row>
    <row r="57" spans="1:4" x14ac:dyDescent="0.2">
      <c r="A57" s="36" t="s">
        <v>404</v>
      </c>
      <c r="B57" s="209">
        <v>1930.1066306055995</v>
      </c>
      <c r="C57" s="209">
        <v>939.03472101767784</v>
      </c>
      <c r="D57" s="209">
        <v>991.07190958792671</v>
      </c>
    </row>
    <row r="58" spans="1:4" x14ac:dyDescent="0.2">
      <c r="A58" s="36" t="s">
        <v>405</v>
      </c>
      <c r="B58" s="209">
        <v>1952.5772347609343</v>
      </c>
      <c r="C58" s="209">
        <v>1007.6291968602786</v>
      </c>
      <c r="D58" s="209">
        <v>944.94803790066067</v>
      </c>
    </row>
    <row r="59" spans="1:4" x14ac:dyDescent="0.2">
      <c r="A59" s="36" t="s">
        <v>406</v>
      </c>
      <c r="B59" s="209">
        <v>1616.7008358075097</v>
      </c>
      <c r="C59" s="209">
        <v>806.57642283886253</v>
      </c>
      <c r="D59" s="209">
        <v>810.12441296865222</v>
      </c>
    </row>
    <row r="60" spans="1:4" x14ac:dyDescent="0.2">
      <c r="A60" s="36" t="s">
        <v>407</v>
      </c>
      <c r="B60" s="209">
        <v>2275.4443365718403</v>
      </c>
      <c r="C60" s="209">
        <v>1130.6261880263214</v>
      </c>
      <c r="D60" s="209">
        <v>1144.8181485454802</v>
      </c>
    </row>
    <row r="61" spans="1:4" x14ac:dyDescent="0.2">
      <c r="A61" s="36" t="s">
        <v>408</v>
      </c>
      <c r="B61" s="209">
        <v>1470.0505771095357</v>
      </c>
      <c r="C61" s="209">
        <v>706.05003582815448</v>
      </c>
      <c r="D61" s="209">
        <v>764.00054128138618</v>
      </c>
    </row>
    <row r="62" spans="1:4" x14ac:dyDescent="0.2">
      <c r="A62" s="36" t="s">
        <v>409</v>
      </c>
      <c r="B62" s="209">
        <v>1506.7131417840292</v>
      </c>
      <c r="C62" s="209">
        <v>747.44325400903426</v>
      </c>
      <c r="D62" s="209">
        <v>759.26988777499992</v>
      </c>
    </row>
    <row r="63" spans="1:4" x14ac:dyDescent="0.2">
      <c r="A63" s="36" t="s">
        <v>410</v>
      </c>
      <c r="B63" s="209">
        <v>1276.0937833476989</v>
      </c>
      <c r="C63" s="209">
        <v>558.21711375358382</v>
      </c>
      <c r="D63" s="209">
        <v>717.87666959412013</v>
      </c>
    </row>
    <row r="64" spans="1:4" x14ac:dyDescent="0.2">
      <c r="A64" s="36" t="s">
        <v>411</v>
      </c>
      <c r="B64" s="209">
        <v>1329.3136352945444</v>
      </c>
      <c r="C64" s="209">
        <v>629.17691634937773</v>
      </c>
      <c r="D64" s="209">
        <v>700.13671894517165</v>
      </c>
    </row>
    <row r="65" spans="1:4" x14ac:dyDescent="0.2">
      <c r="A65" s="36" t="s">
        <v>412</v>
      </c>
      <c r="B65" s="209">
        <v>1319.8523282817719</v>
      </c>
      <c r="C65" s="209">
        <v>643.36887686853652</v>
      </c>
      <c r="D65" s="209">
        <v>676.48345141324035</v>
      </c>
    </row>
    <row r="66" spans="1:4" x14ac:dyDescent="0.2">
      <c r="A66" s="36" t="s">
        <v>413</v>
      </c>
      <c r="B66" s="209">
        <v>1362.4282098392482</v>
      </c>
      <c r="C66" s="209">
        <v>677.66611478983691</v>
      </c>
      <c r="D66" s="209">
        <v>684.7620950494163</v>
      </c>
    </row>
    <row r="67" spans="1:4" x14ac:dyDescent="0.2">
      <c r="A67" s="36" t="s">
        <v>414</v>
      </c>
      <c r="B67" s="209">
        <v>1114.0689007539695</v>
      </c>
      <c r="C67" s="209">
        <v>541.6598264812319</v>
      </c>
      <c r="D67" s="209">
        <v>572.4090742727426</v>
      </c>
    </row>
    <row r="68" spans="1:4" x14ac:dyDescent="0.2">
      <c r="A68" s="36" t="s">
        <v>415</v>
      </c>
      <c r="B68" s="209">
        <v>1242.9792088029951</v>
      </c>
      <c r="C68" s="209">
        <v>614.98495583021895</v>
      </c>
      <c r="D68" s="209">
        <v>627.99425297278117</v>
      </c>
    </row>
    <row r="69" spans="1:4" x14ac:dyDescent="0.2">
      <c r="A69" s="36" t="s">
        <v>416</v>
      </c>
      <c r="B69" s="209">
        <v>1186.21136672636</v>
      </c>
      <c r="C69" s="209">
        <v>566.49575738975977</v>
      </c>
      <c r="D69" s="209">
        <v>619.71560933660521</v>
      </c>
    </row>
    <row r="70" spans="1:4" x14ac:dyDescent="0.2">
      <c r="A70" s="36" t="s">
        <v>417</v>
      </c>
      <c r="B70" s="209">
        <v>1705.4005890522521</v>
      </c>
      <c r="C70" s="209">
        <v>746.2605906324377</v>
      </c>
      <c r="D70" s="209">
        <v>959.13999841981945</v>
      </c>
    </row>
    <row r="71" spans="1:4" x14ac:dyDescent="0.2">
      <c r="A71" s="36" t="s">
        <v>418</v>
      </c>
      <c r="B71" s="209">
        <v>969.1577166336873</v>
      </c>
      <c r="C71" s="209">
        <v>491.0713886962418</v>
      </c>
      <c r="D71" s="209">
        <v>478.08632793744698</v>
      </c>
    </row>
    <row r="72" spans="1:4" x14ac:dyDescent="0.2">
      <c r="A72" s="36" t="s">
        <v>419</v>
      </c>
      <c r="B72" s="209">
        <v>923.11977394341477</v>
      </c>
      <c r="C72" s="209">
        <v>450.935746350876</v>
      </c>
      <c r="D72" s="209">
        <v>472.18402759254025</v>
      </c>
    </row>
    <row r="73" spans="1:4" x14ac:dyDescent="0.2">
      <c r="A73" s="36" t="s">
        <v>420</v>
      </c>
      <c r="B73" s="209">
        <v>770.84042504482102</v>
      </c>
      <c r="C73" s="209">
        <v>383.64952241893923</v>
      </c>
      <c r="D73" s="209">
        <v>387.19090262588327</v>
      </c>
    </row>
    <row r="74" spans="1:4" x14ac:dyDescent="0.2">
      <c r="A74" s="36" t="s">
        <v>421</v>
      </c>
      <c r="B74" s="209">
        <v>774.38180525176506</v>
      </c>
      <c r="C74" s="209">
        <v>381.28860228097653</v>
      </c>
      <c r="D74" s="209">
        <v>393.09320297079</v>
      </c>
    </row>
    <row r="75" spans="1:4" x14ac:dyDescent="0.2">
      <c r="A75" s="36" t="s">
        <v>422</v>
      </c>
      <c r="B75" s="209">
        <v>886.52551180499302</v>
      </c>
      <c r="C75" s="209">
        <v>481.62770814439102</v>
      </c>
      <c r="D75" s="209">
        <v>404.89780366060347</v>
      </c>
    </row>
    <row r="76" spans="1:4" x14ac:dyDescent="0.2">
      <c r="A76" s="36" t="s">
        <v>423</v>
      </c>
      <c r="B76" s="209">
        <v>844.02894932166453</v>
      </c>
      <c r="C76" s="209">
        <v>439.13114566106253</v>
      </c>
      <c r="D76" s="209">
        <v>404.89780366060347</v>
      </c>
    </row>
    <row r="77" spans="1:4" x14ac:dyDescent="0.2">
      <c r="A77" s="36" t="s">
        <v>424</v>
      </c>
      <c r="B77" s="209">
        <v>725.98294242352983</v>
      </c>
      <c r="C77" s="209">
        <v>375.3863019360698</v>
      </c>
      <c r="D77" s="209">
        <v>350.59664048746151</v>
      </c>
    </row>
    <row r="78" spans="1:4" x14ac:dyDescent="0.2">
      <c r="A78" s="36" t="s">
        <v>425</v>
      </c>
      <c r="B78" s="209">
        <v>803.89330697629873</v>
      </c>
      <c r="C78" s="209">
        <v>423.78516476430502</v>
      </c>
      <c r="D78" s="209">
        <v>380.10814221199519</v>
      </c>
    </row>
    <row r="79" spans="1:4" x14ac:dyDescent="0.2">
      <c r="A79" s="36" t="s">
        <v>426</v>
      </c>
      <c r="B79" s="209">
        <v>707.09558131982828</v>
      </c>
      <c r="C79" s="209">
        <v>360.04032103931229</v>
      </c>
      <c r="D79" s="209">
        <v>347.05526028051747</v>
      </c>
    </row>
    <row r="80" spans="1:4" x14ac:dyDescent="0.2">
      <c r="A80" s="36" t="s">
        <v>427</v>
      </c>
      <c r="B80" s="209">
        <v>1152.1290273257962</v>
      </c>
      <c r="C80" s="209">
        <v>589.04957442169359</v>
      </c>
      <c r="D80" s="209">
        <v>563.07945290410396</v>
      </c>
    </row>
    <row r="81" spans="1:4" x14ac:dyDescent="0.2">
      <c r="A81" s="36" t="s">
        <v>428</v>
      </c>
      <c r="B81" s="209">
        <v>583.14727407678686</v>
      </c>
      <c r="C81" s="209">
        <v>267.96443565876723</v>
      </c>
      <c r="D81" s="209">
        <v>315.18283841802111</v>
      </c>
    </row>
    <row r="82" spans="1:4" x14ac:dyDescent="0.2">
      <c r="A82" s="36" t="s">
        <v>429</v>
      </c>
      <c r="B82" s="209">
        <v>514.68059007586874</v>
      </c>
      <c r="C82" s="209">
        <v>247.8966144860843</v>
      </c>
      <c r="D82" s="209">
        <v>266.78397558978588</v>
      </c>
    </row>
    <row r="83" spans="1:4" x14ac:dyDescent="0.2">
      <c r="A83" s="36" t="s">
        <v>430</v>
      </c>
      <c r="B83" s="209">
        <v>518.22197028281278</v>
      </c>
      <c r="C83" s="209">
        <v>262.06213531386049</v>
      </c>
      <c r="D83" s="209">
        <v>256.15983496895376</v>
      </c>
    </row>
    <row r="84" spans="1:4" x14ac:dyDescent="0.2">
      <c r="A84" s="36" t="s">
        <v>431</v>
      </c>
      <c r="B84" s="209">
        <v>506.41736959299931</v>
      </c>
      <c r="C84" s="209">
        <v>239.63339400321487</v>
      </c>
      <c r="D84" s="209">
        <v>266.78397558978588</v>
      </c>
    </row>
    <row r="85" spans="1:4" x14ac:dyDescent="0.2">
      <c r="A85" s="36" t="s">
        <v>432</v>
      </c>
      <c r="B85" s="209">
        <v>535.92887131753298</v>
      </c>
      <c r="C85" s="209">
        <v>241.99431414117757</v>
      </c>
      <c r="D85" s="209">
        <v>293.93455717635686</v>
      </c>
    </row>
    <row r="86" spans="1:4" x14ac:dyDescent="0.2">
      <c r="A86" s="36" t="s">
        <v>433</v>
      </c>
      <c r="B86" s="209">
        <v>474.54494773050294</v>
      </c>
      <c r="C86" s="209">
        <v>258.52075510691645</v>
      </c>
      <c r="D86" s="209">
        <v>216.02419262358794</v>
      </c>
    </row>
    <row r="87" spans="1:4" x14ac:dyDescent="0.2">
      <c r="A87" s="36" t="s">
        <v>434</v>
      </c>
      <c r="B87" s="209">
        <v>489.89092862726045</v>
      </c>
      <c r="C87" s="209">
        <v>262.06213531386049</v>
      </c>
      <c r="D87" s="209">
        <v>227.82879331340141</v>
      </c>
    </row>
    <row r="88" spans="1:4" x14ac:dyDescent="0.2">
      <c r="A88" s="36" t="s">
        <v>435</v>
      </c>
      <c r="B88" s="209">
        <v>504.05644945503661</v>
      </c>
      <c r="C88" s="209">
        <v>252.61845476200969</v>
      </c>
      <c r="D88" s="209">
        <v>251.43799469302834</v>
      </c>
    </row>
    <row r="89" spans="1:4" x14ac:dyDescent="0.2">
      <c r="A89" s="36" t="s">
        <v>436</v>
      </c>
      <c r="B89" s="209">
        <v>483.98862828235372</v>
      </c>
      <c r="C89" s="209">
        <v>214.84373255460659</v>
      </c>
      <c r="D89" s="209">
        <v>269.14489572774858</v>
      </c>
    </row>
    <row r="90" spans="1:4" x14ac:dyDescent="0.2">
      <c r="A90" s="36" t="s">
        <v>437</v>
      </c>
      <c r="B90" s="209">
        <v>616.20015600826457</v>
      </c>
      <c r="C90" s="209">
        <v>246.71615441710296</v>
      </c>
      <c r="D90" s="209">
        <v>369.48400159116306</v>
      </c>
    </row>
    <row r="91" spans="1:4" x14ac:dyDescent="0.2">
      <c r="A91" s="36" t="s">
        <v>438</v>
      </c>
      <c r="B91" s="209">
        <v>95.617265587490166</v>
      </c>
      <c r="C91" s="209">
        <v>33.052881931478034</v>
      </c>
      <c r="D91" s="209">
        <v>62.564383656012062</v>
      </c>
    </row>
    <row r="92" spans="1:4" x14ac:dyDescent="0.2">
      <c r="A92" s="36" t="s">
        <v>439</v>
      </c>
      <c r="B92" s="209">
        <v>56.662083311105256</v>
      </c>
      <c r="C92" s="209">
        <v>23.609201379627173</v>
      </c>
      <c r="D92" s="209">
        <v>33.052881931478034</v>
      </c>
    </row>
    <row r="93" spans="1:4" x14ac:dyDescent="0.2">
      <c r="A93" s="36" t="s">
        <v>440</v>
      </c>
      <c r="B93" s="209">
        <v>40.1356423453662</v>
      </c>
      <c r="C93" s="209">
        <v>23.609201379627173</v>
      </c>
      <c r="D93" s="209">
        <v>16.526440965739027</v>
      </c>
    </row>
    <row r="94" spans="1:4" x14ac:dyDescent="0.2">
      <c r="A94" s="36" t="s">
        <v>441</v>
      </c>
      <c r="B94" s="209">
        <v>66.105763862956138</v>
      </c>
      <c r="C94" s="209">
        <v>30.691961793515318</v>
      </c>
      <c r="D94" s="209">
        <v>35.413802069440756</v>
      </c>
    </row>
    <row r="95" spans="1:4" x14ac:dyDescent="0.2">
      <c r="A95" s="36" t="s">
        <v>442</v>
      </c>
      <c r="B95" s="209">
        <v>66.105763862956138</v>
      </c>
      <c r="C95" s="209">
        <v>25.970121517589888</v>
      </c>
      <c r="D95" s="209">
        <v>40.1356423453662</v>
      </c>
    </row>
    <row r="96" spans="1:4" x14ac:dyDescent="0.2">
      <c r="A96" s="36" t="s">
        <v>443</v>
      </c>
      <c r="B96" s="209">
        <v>50.759782966198451</v>
      </c>
      <c r="C96" s="209">
        <v>29.511501724533961</v>
      </c>
      <c r="D96" s="209">
        <v>21.248281241664458</v>
      </c>
    </row>
    <row r="97" spans="1:4" x14ac:dyDescent="0.2">
      <c r="A97" s="36" t="s">
        <v>444</v>
      </c>
      <c r="B97" s="209">
        <v>36.594262138422117</v>
      </c>
      <c r="C97" s="209">
        <v>16.526440965739027</v>
      </c>
      <c r="D97" s="209">
        <v>20.0678211726831</v>
      </c>
    </row>
    <row r="98" spans="1:4" x14ac:dyDescent="0.2">
      <c r="A98" s="36" t="s">
        <v>445</v>
      </c>
      <c r="B98" s="209">
        <v>50.759782966198451</v>
      </c>
      <c r="C98" s="209">
        <v>22.428741310645815</v>
      </c>
      <c r="D98" s="209">
        <v>28.331041655552603</v>
      </c>
    </row>
    <row r="99" spans="1:4" x14ac:dyDescent="0.2">
      <c r="A99" s="36" t="s">
        <v>446</v>
      </c>
      <c r="B99" s="209">
        <v>43.677022552310284</v>
      </c>
      <c r="C99" s="209">
        <v>20.0678211726831</v>
      </c>
      <c r="D99" s="209">
        <v>23.609201379627173</v>
      </c>
    </row>
    <row r="100" spans="1:4" x14ac:dyDescent="0.2">
      <c r="A100" s="36" t="s">
        <v>447</v>
      </c>
      <c r="B100" s="209">
        <v>89.714965242583361</v>
      </c>
      <c r="C100" s="209">
        <v>36.594262138422117</v>
      </c>
      <c r="D100" s="209">
        <v>53.120703104161173</v>
      </c>
    </row>
    <row r="101" spans="1:4" x14ac:dyDescent="0.2">
      <c r="A101" s="36" t="s">
        <v>455</v>
      </c>
      <c r="B101" s="209">
        <v>106.24140620832235</v>
      </c>
      <c r="C101" s="209">
        <v>59.023003449067957</v>
      </c>
      <c r="D101" s="209">
        <v>47.218402759254367</v>
      </c>
    </row>
    <row r="102" spans="1:4" ht="15" customHeight="1" x14ac:dyDescent="0.2">
      <c r="A102" s="324"/>
      <c r="B102" s="325"/>
      <c r="C102" s="325"/>
      <c r="D102" s="325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zoomScale="120" zoomScaleNormal="120" workbookViewId="0">
      <selection activeCell="F16" sqref="F16"/>
    </sheetView>
  </sheetViews>
  <sheetFormatPr defaultRowHeight="12" x14ac:dyDescent="0.2"/>
  <cols>
    <col min="1" max="1" width="19.5703125" style="322" customWidth="1"/>
    <col min="2" max="2" width="16.7109375" style="322" customWidth="1"/>
    <col min="3" max="3" width="17.140625" style="322" customWidth="1"/>
    <col min="4" max="4" width="16.42578125" style="322" customWidth="1"/>
    <col min="5" max="5" width="0.42578125" style="322" hidden="1" customWidth="1"/>
    <col min="6" max="16384" width="9.140625" style="322"/>
  </cols>
  <sheetData>
    <row r="1" spans="1:7" ht="16.5" customHeight="1" x14ac:dyDescent="0.2">
      <c r="A1" s="457" t="s">
        <v>272</v>
      </c>
      <c r="B1" s="457"/>
      <c r="C1" s="457"/>
      <c r="D1" s="457"/>
    </row>
    <row r="2" spans="1:7" ht="25.5" customHeight="1" x14ac:dyDescent="0.2">
      <c r="A2" s="90" t="s">
        <v>503</v>
      </c>
      <c r="B2" s="91" t="s">
        <v>1</v>
      </c>
      <c r="C2" s="91" t="s">
        <v>2</v>
      </c>
      <c r="D2" s="91" t="s">
        <v>3</v>
      </c>
    </row>
    <row r="3" spans="1:7" x14ac:dyDescent="0.2">
      <c r="A3" s="142" t="s">
        <v>457</v>
      </c>
      <c r="B3" s="327">
        <v>411074.2679862901</v>
      </c>
      <c r="C3" s="327">
        <v>200922.98117093576</v>
      </c>
      <c r="D3" s="327">
        <v>210151.2868186472</v>
      </c>
    </row>
    <row r="4" spans="1:7" ht="14.25" customHeight="1" x14ac:dyDescent="0.2">
      <c r="A4" s="138" t="s">
        <v>126</v>
      </c>
      <c r="B4" s="207"/>
      <c r="C4" s="207"/>
      <c r="D4" s="208"/>
    </row>
    <row r="5" spans="1:7" x14ac:dyDescent="0.2">
      <c r="A5" s="23" t="s">
        <v>5</v>
      </c>
      <c r="B5" s="209">
        <v>218934.65480222975</v>
      </c>
      <c r="C5" s="209">
        <v>107540.89443934191</v>
      </c>
      <c r="D5" s="209">
        <v>111393.76036234591</v>
      </c>
    </row>
    <row r="6" spans="1:7" x14ac:dyDescent="0.2">
      <c r="A6" s="23" t="s">
        <v>6</v>
      </c>
      <c r="B6" s="209">
        <v>192139.61318732699</v>
      </c>
      <c r="C6" s="209">
        <v>93382.086731142059</v>
      </c>
      <c r="D6" s="209">
        <v>98757.526455760773</v>
      </c>
    </row>
    <row r="7" spans="1:7" x14ac:dyDescent="0.2">
      <c r="A7" s="142" t="s">
        <v>273</v>
      </c>
      <c r="B7" s="330"/>
      <c r="C7" s="330"/>
      <c r="D7" s="330"/>
    </row>
    <row r="8" spans="1:7" x14ac:dyDescent="0.2">
      <c r="A8" s="329" t="s">
        <v>10</v>
      </c>
      <c r="B8" s="209">
        <v>69215.120319380658</v>
      </c>
      <c r="C8" s="209">
        <v>33029.41520890309</v>
      </c>
      <c r="D8" s="209">
        <v>36185.705110497584</v>
      </c>
      <c r="F8" s="328"/>
      <c r="G8" s="328"/>
    </row>
    <row r="9" spans="1:7" x14ac:dyDescent="0.2">
      <c r="A9" s="329" t="s">
        <v>142</v>
      </c>
      <c r="B9" s="209">
        <v>62152.327267017819</v>
      </c>
      <c r="C9" s="209">
        <v>30698.715836100768</v>
      </c>
      <c r="D9" s="209">
        <v>31453.611430922479</v>
      </c>
      <c r="F9" s="328"/>
      <c r="G9" s="328"/>
    </row>
    <row r="10" spans="1:7" x14ac:dyDescent="0.2">
      <c r="A10" s="329" t="s">
        <v>143</v>
      </c>
      <c r="B10" s="209">
        <v>53948.831120631803</v>
      </c>
      <c r="C10" s="209">
        <v>27257.640790872108</v>
      </c>
      <c r="D10" s="209">
        <v>26691.190329765122</v>
      </c>
      <c r="F10" s="328"/>
      <c r="G10" s="328"/>
    </row>
    <row r="11" spans="1:7" x14ac:dyDescent="0.2">
      <c r="A11" s="329" t="s">
        <v>144</v>
      </c>
      <c r="B11" s="209">
        <v>47392.090575437745</v>
      </c>
      <c r="C11" s="209">
        <v>23211.330360296852</v>
      </c>
      <c r="D11" s="209">
        <v>24180.76021518416</v>
      </c>
      <c r="F11" s="328"/>
      <c r="G11" s="328"/>
    </row>
    <row r="12" spans="1:7" x14ac:dyDescent="0.2">
      <c r="A12" s="329" t="s">
        <v>145</v>
      </c>
      <c r="B12" s="209">
        <v>41935.770971530743</v>
      </c>
      <c r="C12" s="209">
        <v>19824.647506951336</v>
      </c>
      <c r="D12" s="209">
        <v>22111.123464576394</v>
      </c>
      <c r="F12" s="328"/>
      <c r="G12" s="328"/>
    </row>
    <row r="13" spans="1:7" x14ac:dyDescent="0.2">
      <c r="A13" s="329" t="s">
        <v>146</v>
      </c>
      <c r="B13" s="209">
        <v>29582.956772321326</v>
      </c>
      <c r="C13" s="209">
        <v>14792.695892005207</v>
      </c>
      <c r="D13" s="209">
        <v>14790.260880335742</v>
      </c>
      <c r="F13" s="328"/>
      <c r="G13" s="328"/>
    </row>
    <row r="14" spans="1:7" x14ac:dyDescent="0.2">
      <c r="A14" s="329" t="s">
        <v>147</v>
      </c>
      <c r="B14" s="209">
        <v>23909.774250464416</v>
      </c>
      <c r="C14" s="209">
        <v>11927.798536602295</v>
      </c>
      <c r="D14" s="209">
        <v>11981.975713857402</v>
      </c>
      <c r="F14" s="328"/>
      <c r="G14" s="328"/>
    </row>
    <row r="15" spans="1:7" x14ac:dyDescent="0.2">
      <c r="A15" s="329" t="s">
        <v>148</v>
      </c>
      <c r="B15" s="209">
        <v>17232.122170183738</v>
      </c>
      <c r="C15" s="209">
        <v>8105.1577042303625</v>
      </c>
      <c r="D15" s="209">
        <v>9126.9644659487203</v>
      </c>
      <c r="F15" s="328"/>
      <c r="G15" s="328"/>
    </row>
    <row r="16" spans="1:7" x14ac:dyDescent="0.2">
      <c r="A16" s="329" t="s">
        <v>149</v>
      </c>
      <c r="B16" s="209">
        <v>15752.95923768383</v>
      </c>
      <c r="C16" s="209">
        <v>7613.7833058704409</v>
      </c>
      <c r="D16" s="209">
        <v>8139.1759318091263</v>
      </c>
      <c r="F16" s="328"/>
      <c r="G16" s="328"/>
    </row>
    <row r="17" spans="1:7" x14ac:dyDescent="0.2">
      <c r="A17" s="329" t="s">
        <v>150</v>
      </c>
      <c r="B17" s="209">
        <v>11959.09206414348</v>
      </c>
      <c r="C17" s="209">
        <v>5770.2146144153621</v>
      </c>
      <c r="D17" s="209">
        <v>6188.8774497306267</v>
      </c>
      <c r="F17" s="328"/>
      <c r="G17" s="328"/>
    </row>
    <row r="18" spans="1:7" x14ac:dyDescent="0.2">
      <c r="A18" s="329" t="s">
        <v>151</v>
      </c>
      <c r="B18" s="209">
        <v>9993.5055322411226</v>
      </c>
      <c r="C18" s="209">
        <v>5068.8952320934641</v>
      </c>
      <c r="D18" s="209">
        <v>4924.6103001486554</v>
      </c>
      <c r="F18" s="328"/>
      <c r="G18" s="328"/>
    </row>
    <row r="19" spans="1:7" x14ac:dyDescent="0.2">
      <c r="A19" s="329" t="s">
        <v>152</v>
      </c>
      <c r="B19" s="209">
        <v>6902.0234658184927</v>
      </c>
      <c r="C19" s="209">
        <v>3284.2561968089044</v>
      </c>
      <c r="D19" s="209">
        <v>3617.7672690091999</v>
      </c>
      <c r="F19" s="328"/>
      <c r="G19" s="328"/>
    </row>
    <row r="20" spans="1:7" x14ac:dyDescent="0.2">
      <c r="A20" s="329" t="s">
        <v>153</v>
      </c>
      <c r="B20" s="209">
        <v>6611.0882751756817</v>
      </c>
      <c r="C20" s="209">
        <v>3147.0672451236765</v>
      </c>
      <c r="D20" s="209">
        <v>3464.0210300516169</v>
      </c>
      <c r="F20" s="328"/>
      <c r="G20" s="328"/>
    </row>
    <row r="21" spans="1:7" x14ac:dyDescent="0.2">
      <c r="A21" s="329" t="s">
        <v>222</v>
      </c>
      <c r="B21" s="209">
        <v>4324.025232679026</v>
      </c>
      <c r="C21" s="209">
        <v>2188.5729678914458</v>
      </c>
      <c r="D21" s="209">
        <v>2135.452264787275</v>
      </c>
      <c r="F21" s="328"/>
      <c r="G21" s="328"/>
    </row>
    <row r="22" spans="1:7" x14ac:dyDescent="0.2">
      <c r="A22" s="329" t="s">
        <v>223</v>
      </c>
      <c r="B22" s="209">
        <v>4233.1298073674798</v>
      </c>
      <c r="C22" s="209">
        <v>2187.3925078224643</v>
      </c>
      <c r="D22" s="209">
        <v>2045.7372995446758</v>
      </c>
      <c r="F22" s="328"/>
      <c r="G22" s="328"/>
    </row>
    <row r="23" spans="1:7" x14ac:dyDescent="0.2">
      <c r="A23" s="329" t="s">
        <v>224</v>
      </c>
      <c r="B23" s="209">
        <v>2658.3960753461124</v>
      </c>
      <c r="C23" s="209">
        <v>1259.5508936030988</v>
      </c>
      <c r="D23" s="209">
        <v>1398.8451817428977</v>
      </c>
      <c r="F23" s="328"/>
      <c r="G23" s="328"/>
    </row>
    <row r="24" spans="1:7" x14ac:dyDescent="0.2">
      <c r="A24" s="329" t="s">
        <v>225</v>
      </c>
      <c r="B24" s="209">
        <v>2568.6811101035128</v>
      </c>
      <c r="C24" s="209">
        <v>1234.7612321544905</v>
      </c>
      <c r="D24" s="209">
        <v>1333.9198779489236</v>
      </c>
      <c r="F24" s="328"/>
      <c r="G24" s="328"/>
    </row>
    <row r="25" spans="1:7" x14ac:dyDescent="0.2">
      <c r="A25" s="329" t="s">
        <v>226</v>
      </c>
      <c r="B25" s="209">
        <v>324.62651896987188</v>
      </c>
      <c r="C25" s="209">
        <v>136.93336800183769</v>
      </c>
      <c r="D25" s="209">
        <v>187.69315096803561</v>
      </c>
      <c r="F25" s="328"/>
      <c r="G25" s="328"/>
    </row>
    <row r="26" spans="1:7" x14ac:dyDescent="0.2">
      <c r="A26" s="329" t="s">
        <v>227</v>
      </c>
      <c r="B26" s="209">
        <v>271.50581586571127</v>
      </c>
      <c r="C26" s="209">
        <v>125.12876731202419</v>
      </c>
      <c r="D26" s="209">
        <v>146.37704855368847</v>
      </c>
      <c r="F26" s="328"/>
      <c r="G26" s="328"/>
    </row>
    <row r="27" spans="1:7" x14ac:dyDescent="0.2">
      <c r="A27" s="329" t="s">
        <v>228</v>
      </c>
      <c r="B27" s="209">
        <v>106.24140620832242</v>
      </c>
      <c r="C27" s="209">
        <v>59.023003449067978</v>
      </c>
      <c r="D27" s="209">
        <v>47.218402759254367</v>
      </c>
      <c r="F27" s="328"/>
      <c r="G27" s="328"/>
    </row>
    <row r="28" spans="1:7" x14ac:dyDescent="0.2">
      <c r="A28" s="458"/>
      <c r="B28" s="458"/>
      <c r="C28" s="458"/>
      <c r="D28" s="458"/>
      <c r="E28" s="458"/>
    </row>
  </sheetData>
  <mergeCells count="2">
    <mergeCell ref="A1:D1"/>
    <mergeCell ref="A28:E2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E32"/>
  <sheetViews>
    <sheetView zoomScale="130" zoomScaleNormal="130" workbookViewId="0">
      <selection activeCell="I15" sqref="I15"/>
    </sheetView>
  </sheetViews>
  <sheetFormatPr defaultRowHeight="12" x14ac:dyDescent="0.2"/>
  <cols>
    <col min="1" max="1" width="25.7109375" style="322" customWidth="1"/>
    <col min="2" max="16384" width="9.140625" style="322"/>
  </cols>
  <sheetData>
    <row r="1" spans="1:5" ht="26.25" customHeight="1" x14ac:dyDescent="0.2">
      <c r="A1" s="459" t="s">
        <v>504</v>
      </c>
      <c r="B1" s="459"/>
      <c r="C1" s="459"/>
      <c r="D1" s="459"/>
      <c r="E1" s="459"/>
    </row>
    <row r="2" spans="1:5" x14ac:dyDescent="0.2">
      <c r="A2" s="462" t="s">
        <v>501</v>
      </c>
      <c r="B2" s="460" t="s">
        <v>1</v>
      </c>
      <c r="C2" s="460" t="s">
        <v>123</v>
      </c>
      <c r="D2" s="460" t="s">
        <v>124</v>
      </c>
      <c r="E2" s="460" t="s">
        <v>125</v>
      </c>
    </row>
    <row r="3" spans="1:5" x14ac:dyDescent="0.2">
      <c r="A3" s="463"/>
      <c r="B3" s="461"/>
      <c r="C3" s="461"/>
      <c r="D3" s="461"/>
      <c r="E3" s="461"/>
    </row>
    <row r="4" spans="1:5" x14ac:dyDescent="0.2">
      <c r="A4" s="187" t="s">
        <v>457</v>
      </c>
      <c r="B4" s="188">
        <v>411074.26798693807</v>
      </c>
      <c r="C4" s="188">
        <v>185316.27870746568</v>
      </c>
      <c r="D4" s="188">
        <v>211271.38331498456</v>
      </c>
      <c r="E4" s="188">
        <v>14486.605966537485</v>
      </c>
    </row>
    <row r="5" spans="1:5" x14ac:dyDescent="0.2">
      <c r="A5" s="189"/>
      <c r="B5" s="189"/>
      <c r="C5" s="189"/>
      <c r="D5" s="189"/>
      <c r="E5" s="189"/>
    </row>
    <row r="6" spans="1:5" x14ac:dyDescent="0.2">
      <c r="A6" s="187" t="s">
        <v>126</v>
      </c>
      <c r="B6" s="188"/>
      <c r="C6" s="188"/>
      <c r="D6" s="188"/>
      <c r="E6" s="188"/>
    </row>
    <row r="7" spans="1:5" x14ac:dyDescent="0.2">
      <c r="A7" s="15" t="s">
        <v>5</v>
      </c>
      <c r="B7" s="127">
        <v>218934.65480195626</v>
      </c>
      <c r="C7" s="127">
        <v>95854.741887201468</v>
      </c>
      <c r="D7" s="127">
        <v>115582.81101648156</v>
      </c>
      <c r="E7" s="127">
        <v>7497.1018981002753</v>
      </c>
    </row>
    <row r="8" spans="1:5" x14ac:dyDescent="0.2">
      <c r="A8" s="15" t="s">
        <v>6</v>
      </c>
      <c r="B8" s="127">
        <v>192139.61318710737</v>
      </c>
      <c r="C8" s="127">
        <v>89461.536819944828</v>
      </c>
      <c r="D8" s="127">
        <v>95688.572298624989</v>
      </c>
      <c r="E8" s="127">
        <v>6989.5040684383939</v>
      </c>
    </row>
    <row r="9" spans="1:5" x14ac:dyDescent="0.2">
      <c r="A9" s="187" t="s">
        <v>127</v>
      </c>
      <c r="B9" s="188"/>
      <c r="C9" s="188"/>
      <c r="D9" s="188"/>
      <c r="E9" s="188"/>
    </row>
    <row r="10" spans="1:5" x14ac:dyDescent="0.2">
      <c r="A10" s="16" t="s">
        <v>128</v>
      </c>
      <c r="B10" s="127">
        <v>200922.98117071635</v>
      </c>
      <c r="C10" s="127">
        <v>90985.771835919033</v>
      </c>
      <c r="D10" s="127">
        <v>102745.84659442327</v>
      </c>
      <c r="E10" s="127">
        <v>7191.3627402341654</v>
      </c>
    </row>
    <row r="11" spans="1:5" x14ac:dyDescent="0.2">
      <c r="A11" s="16" t="s">
        <v>3</v>
      </c>
      <c r="B11" s="127">
        <v>210151.28681834391</v>
      </c>
      <c r="C11" s="127">
        <v>94330.506871231119</v>
      </c>
      <c r="D11" s="127">
        <v>108525.53672068434</v>
      </c>
      <c r="E11" s="127">
        <v>7295.2432263045039</v>
      </c>
    </row>
    <row r="12" spans="1:5" x14ac:dyDescent="0.2">
      <c r="A12" s="187" t="s">
        <v>539</v>
      </c>
      <c r="B12" s="188"/>
      <c r="C12" s="188"/>
      <c r="D12" s="188"/>
      <c r="E12" s="188"/>
    </row>
    <row r="13" spans="1:5" s="335" customFormat="1" x14ac:dyDescent="0.2">
      <c r="A13" s="371" t="s">
        <v>458</v>
      </c>
      <c r="B13" s="128">
        <v>156975.0785816448</v>
      </c>
      <c r="C13" s="128">
        <v>69701.155711078914</v>
      </c>
      <c r="D13" s="128">
        <v>80375.314227320632</v>
      </c>
      <c r="E13" s="128">
        <v>6898.6086431268477</v>
      </c>
    </row>
    <row r="14" spans="1:5" x14ac:dyDescent="0.2">
      <c r="A14" s="61" t="s">
        <v>458</v>
      </c>
      <c r="B14" s="127">
        <v>156975.0785816448</v>
      </c>
      <c r="C14" s="127">
        <v>69701.155711078914</v>
      </c>
      <c r="D14" s="127">
        <v>80375.314227320632</v>
      </c>
      <c r="E14" s="127">
        <v>6898.6086431268477</v>
      </c>
    </row>
    <row r="15" spans="1:5" s="335" customFormat="1" x14ac:dyDescent="0.2">
      <c r="A15" s="371" t="s">
        <v>459</v>
      </c>
      <c r="B15" s="128">
        <v>100312.89173039446</v>
      </c>
      <c r="C15" s="128">
        <v>42796.852977570146</v>
      </c>
      <c r="D15" s="128">
        <v>54531.835698391071</v>
      </c>
      <c r="E15" s="128">
        <v>2984.2030543850269</v>
      </c>
    </row>
    <row r="16" spans="1:5" x14ac:dyDescent="0.2">
      <c r="A16" s="61" t="s">
        <v>459</v>
      </c>
      <c r="B16" s="127">
        <v>83409.035278254611</v>
      </c>
      <c r="C16" s="127">
        <v>36116.066494680861</v>
      </c>
      <c r="D16" s="127">
        <v>44711.302612692976</v>
      </c>
      <c r="E16" s="127">
        <v>2581.6661708623101</v>
      </c>
    </row>
    <row r="17" spans="1:5" x14ac:dyDescent="0.2">
      <c r="A17" s="61" t="s">
        <v>460</v>
      </c>
      <c r="B17" s="127">
        <v>16903.856452115277</v>
      </c>
      <c r="C17" s="127">
        <v>6680.7864828907977</v>
      </c>
      <c r="D17" s="127">
        <v>9820.5330857023819</v>
      </c>
      <c r="E17" s="127">
        <v>402.53688352264078</v>
      </c>
    </row>
    <row r="18" spans="1:5" s="335" customFormat="1" x14ac:dyDescent="0.2">
      <c r="A18" s="371" t="s">
        <v>461</v>
      </c>
      <c r="B18" s="128">
        <v>27801.462012379066</v>
      </c>
      <c r="C18" s="128">
        <v>13438.216621798223</v>
      </c>
      <c r="D18" s="128">
        <v>13725.796953334906</v>
      </c>
      <c r="E18" s="128">
        <v>637.44843724992882</v>
      </c>
    </row>
    <row r="19" spans="1:5" x14ac:dyDescent="0.2">
      <c r="A19" s="61" t="s">
        <v>461</v>
      </c>
      <c r="B19" s="127">
        <v>27801.462012379066</v>
      </c>
      <c r="C19" s="127">
        <v>13438.216621798223</v>
      </c>
      <c r="D19" s="127">
        <v>13725.796953334906</v>
      </c>
      <c r="E19" s="127">
        <v>637.44843724992882</v>
      </c>
    </row>
    <row r="20" spans="1:5" s="335" customFormat="1" x14ac:dyDescent="0.2">
      <c r="A20" s="371" t="s">
        <v>462</v>
      </c>
      <c r="B20" s="128">
        <v>41266.431889500716</v>
      </c>
      <c r="C20" s="128">
        <v>16513.609842841666</v>
      </c>
      <c r="D20" s="128">
        <v>22860.544556083496</v>
      </c>
      <c r="E20" s="128">
        <v>1892.2774905771007</v>
      </c>
    </row>
    <row r="21" spans="1:5" x14ac:dyDescent="0.2">
      <c r="A21" s="61" t="s">
        <v>462</v>
      </c>
      <c r="B21" s="127">
        <v>41266.431889500716</v>
      </c>
      <c r="C21" s="127">
        <v>16513.609842841666</v>
      </c>
      <c r="D21" s="127">
        <v>22860.544556083496</v>
      </c>
      <c r="E21" s="127">
        <v>1892.2774905771007</v>
      </c>
    </row>
    <row r="22" spans="1:5" s="335" customFormat="1" x14ac:dyDescent="0.2">
      <c r="A22" s="371" t="s">
        <v>463</v>
      </c>
      <c r="B22" s="128">
        <v>40882.313347504591</v>
      </c>
      <c r="C22" s="128">
        <v>22938.579327807314</v>
      </c>
      <c r="D22" s="128">
        <v>17201.22463631268</v>
      </c>
      <c r="E22" s="128">
        <v>742.50938338926869</v>
      </c>
    </row>
    <row r="23" spans="1:5" x14ac:dyDescent="0.2">
      <c r="A23" s="61" t="s">
        <v>463</v>
      </c>
      <c r="B23" s="127">
        <v>40882.313347504591</v>
      </c>
      <c r="C23" s="127">
        <v>22938.579327807314</v>
      </c>
      <c r="D23" s="127">
        <v>17201.22463631268</v>
      </c>
      <c r="E23" s="127">
        <v>742.50938338926869</v>
      </c>
    </row>
    <row r="24" spans="1:5" s="335" customFormat="1" x14ac:dyDescent="0.2">
      <c r="A24" s="371" t="s">
        <v>464</v>
      </c>
      <c r="B24" s="128">
        <v>14466.306815180838</v>
      </c>
      <c r="C24" s="128">
        <v>6237.6744750606804</v>
      </c>
      <c r="D24" s="128">
        <v>7866.2310989430853</v>
      </c>
      <c r="E24" s="128">
        <v>362.40124117727498</v>
      </c>
    </row>
    <row r="25" spans="1:5" x14ac:dyDescent="0.2">
      <c r="A25" s="61" t="s">
        <v>464</v>
      </c>
      <c r="B25" s="127">
        <v>3485.7153016918705</v>
      </c>
      <c r="C25" s="127">
        <v>1529.9956094273182</v>
      </c>
      <c r="D25" s="127">
        <v>1870.7265672979393</v>
      </c>
      <c r="E25" s="127">
        <v>84.993124966657916</v>
      </c>
    </row>
    <row r="26" spans="1:5" x14ac:dyDescent="0.2">
      <c r="A26" s="61" t="s">
        <v>465</v>
      </c>
      <c r="B26" s="127">
        <v>10980.591513489273</v>
      </c>
      <c r="C26" s="127">
        <v>4707.6788656333956</v>
      </c>
      <c r="D26" s="127">
        <v>5995.504531645116</v>
      </c>
      <c r="E26" s="127">
        <v>277.408116210618</v>
      </c>
    </row>
    <row r="27" spans="1:5" s="335" customFormat="1" x14ac:dyDescent="0.2">
      <c r="A27" s="371" t="s">
        <v>466</v>
      </c>
      <c r="B27" s="128">
        <v>8577.8196581577376</v>
      </c>
      <c r="C27" s="128">
        <v>4361.8376224580352</v>
      </c>
      <c r="D27" s="128">
        <v>4012.9429038347571</v>
      </c>
      <c r="E27" s="128">
        <v>203.03913186479312</v>
      </c>
    </row>
    <row r="28" spans="1:5" x14ac:dyDescent="0.2">
      <c r="A28" s="61" t="s">
        <v>466</v>
      </c>
      <c r="B28" s="127">
        <v>8577.8196581577376</v>
      </c>
      <c r="C28" s="127">
        <v>4361.8376224580352</v>
      </c>
      <c r="D28" s="127">
        <v>4012.9429038347571</v>
      </c>
      <c r="E28" s="127">
        <v>203.03913186479312</v>
      </c>
    </row>
    <row r="29" spans="1:5" s="335" customFormat="1" x14ac:dyDescent="0.2">
      <c r="A29" s="371" t="s">
        <v>467</v>
      </c>
      <c r="B29" s="128">
        <v>13445.093834173796</v>
      </c>
      <c r="C29" s="128">
        <v>6107.9782021533238</v>
      </c>
      <c r="D29" s="128">
        <v>6856.668383945399</v>
      </c>
      <c r="E29" s="128">
        <v>480.44724807540968</v>
      </c>
    </row>
    <row r="30" spans="1:5" x14ac:dyDescent="0.2">
      <c r="A30" s="61" t="s">
        <v>467</v>
      </c>
      <c r="B30" s="127">
        <v>13445.093834173796</v>
      </c>
      <c r="C30" s="127">
        <v>6107.9782021533238</v>
      </c>
      <c r="D30" s="127">
        <v>6856.668383945399</v>
      </c>
      <c r="E30" s="127">
        <v>480.44724807540968</v>
      </c>
    </row>
    <row r="31" spans="1:5" s="335" customFormat="1" x14ac:dyDescent="0.2">
      <c r="A31" s="371" t="s">
        <v>468</v>
      </c>
      <c r="B31" s="128">
        <v>7346.8701198703457</v>
      </c>
      <c r="C31" s="128">
        <v>3220.3739262997678</v>
      </c>
      <c r="D31" s="128">
        <v>3840.8248568770873</v>
      </c>
      <c r="E31" s="128">
        <v>285.67133669348743</v>
      </c>
    </row>
    <row r="32" spans="1:5" x14ac:dyDescent="0.2">
      <c r="A32" s="61" t="s">
        <v>468</v>
      </c>
      <c r="B32" s="127">
        <v>7346.8701198703457</v>
      </c>
      <c r="C32" s="127">
        <v>3220.3739262997678</v>
      </c>
      <c r="D32" s="127">
        <v>3840.8248568770873</v>
      </c>
      <c r="E32" s="127">
        <v>285.67133669348743</v>
      </c>
    </row>
  </sheetData>
  <mergeCells count="6">
    <mergeCell ref="A1:E1"/>
    <mergeCell ref="B2:B3"/>
    <mergeCell ref="C2:C3"/>
    <mergeCell ref="D2:D3"/>
    <mergeCell ref="E2:E3"/>
    <mergeCell ref="A2:A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zoomScale="120" zoomScaleNormal="120" workbookViewId="0">
      <selection activeCell="B29" sqref="B29"/>
    </sheetView>
  </sheetViews>
  <sheetFormatPr defaultRowHeight="12" x14ac:dyDescent="0.2"/>
  <cols>
    <col min="1" max="1" width="23" style="322" customWidth="1"/>
    <col min="2" max="2" width="9.140625" style="322"/>
    <col min="3" max="3" width="10.42578125" style="322" customWidth="1"/>
    <col min="4" max="4" width="11.5703125" style="322" customWidth="1"/>
    <col min="5" max="5" width="10.7109375" style="322" customWidth="1"/>
    <col min="6" max="6" width="10.5703125" style="322" customWidth="1"/>
    <col min="7" max="7" width="10.42578125" style="322" customWidth="1"/>
    <col min="8" max="8" width="11.5703125" style="322" customWidth="1"/>
    <col min="9" max="16384" width="9.140625" style="322"/>
  </cols>
  <sheetData>
    <row r="1" spans="1:8" x14ac:dyDescent="0.2">
      <c r="A1" s="459" t="s">
        <v>505</v>
      </c>
      <c r="B1" s="459"/>
      <c r="C1" s="459"/>
      <c r="D1" s="459"/>
      <c r="E1" s="459"/>
      <c r="F1" s="459"/>
      <c r="G1" s="459"/>
      <c r="H1" s="459"/>
    </row>
    <row r="2" spans="1:8" ht="27" customHeight="1" x14ac:dyDescent="0.2">
      <c r="A2" s="372" t="s">
        <v>501</v>
      </c>
      <c r="B2" s="92" t="s">
        <v>1</v>
      </c>
      <c r="C2" s="93" t="s">
        <v>274</v>
      </c>
      <c r="D2" s="93" t="s">
        <v>275</v>
      </c>
      <c r="E2" s="93" t="s">
        <v>276</v>
      </c>
      <c r="F2" s="93" t="s">
        <v>277</v>
      </c>
      <c r="G2" s="93" t="s">
        <v>278</v>
      </c>
      <c r="H2" s="93" t="s">
        <v>279</v>
      </c>
    </row>
    <row r="3" spans="1:8" x14ac:dyDescent="0.2">
      <c r="A3" s="190" t="s">
        <v>457</v>
      </c>
      <c r="B3" s="188">
        <v>411074.26798693807</v>
      </c>
      <c r="C3" s="188">
        <v>232708.36928292489</v>
      </c>
      <c r="D3" s="188">
        <v>71518.727743916083</v>
      </c>
      <c r="E3" s="188">
        <v>78847.4532546884</v>
      </c>
      <c r="F3" s="188">
        <v>13513.111740990471</v>
      </c>
      <c r="G3" s="188">
        <v>8557.1550400453216</v>
      </c>
      <c r="H3" s="188">
        <v>5929.4509264933486</v>
      </c>
    </row>
    <row r="4" spans="1:8" x14ac:dyDescent="0.2">
      <c r="A4" s="22" t="s">
        <v>126</v>
      </c>
      <c r="B4" s="127"/>
      <c r="C4" s="127"/>
      <c r="D4" s="127"/>
      <c r="E4" s="191"/>
      <c r="F4" s="191"/>
      <c r="G4" s="191"/>
      <c r="H4" s="191"/>
    </row>
    <row r="5" spans="1:8" x14ac:dyDescent="0.2">
      <c r="A5" s="63" t="s">
        <v>5</v>
      </c>
      <c r="B5" s="127">
        <v>218934.65480195626</v>
      </c>
      <c r="C5" s="127">
        <v>122610.28867139104</v>
      </c>
      <c r="D5" s="127">
        <v>39057.587178217756</v>
      </c>
      <c r="E5" s="192">
        <v>42659.504833981162</v>
      </c>
      <c r="F5" s="192">
        <v>7110.1722200995282</v>
      </c>
      <c r="G5" s="192">
        <v>4432.627559025289</v>
      </c>
      <c r="H5" s="192">
        <v>3064.474339075774</v>
      </c>
    </row>
    <row r="6" spans="1:8" x14ac:dyDescent="0.2">
      <c r="A6" s="63" t="s">
        <v>6</v>
      </c>
      <c r="B6" s="127">
        <v>192139.61318710737</v>
      </c>
      <c r="C6" s="127">
        <v>110098.08061131497</v>
      </c>
      <c r="D6" s="127">
        <v>32461.140565625712</v>
      </c>
      <c r="E6" s="192">
        <v>36187.948420734494</v>
      </c>
      <c r="F6" s="192">
        <v>6402.9395208946462</v>
      </c>
      <c r="G6" s="192">
        <v>4124.5274810212168</v>
      </c>
      <c r="H6" s="192">
        <v>2864.9765874178879</v>
      </c>
    </row>
    <row r="7" spans="1:8" x14ac:dyDescent="0.2">
      <c r="A7" s="190" t="s">
        <v>539</v>
      </c>
      <c r="B7" s="188"/>
      <c r="C7" s="188"/>
      <c r="D7" s="188"/>
      <c r="E7" s="188"/>
      <c r="F7" s="188"/>
      <c r="G7" s="188"/>
      <c r="H7" s="188"/>
    </row>
    <row r="8" spans="1:8" s="335" customFormat="1" x14ac:dyDescent="0.2">
      <c r="A8" s="371" t="s">
        <v>458</v>
      </c>
      <c r="B8" s="128">
        <v>156975.0785816448</v>
      </c>
      <c r="C8" s="128">
        <v>88170.527705996195</v>
      </c>
      <c r="D8" s="128">
        <v>24683.713293363267</v>
      </c>
      <c r="E8" s="128">
        <v>31000.236914772911</v>
      </c>
      <c r="F8" s="128">
        <v>6221.9920242753369</v>
      </c>
      <c r="G8" s="128">
        <v>3975.7895123295493</v>
      </c>
      <c r="H8" s="128">
        <v>2922.8191307979851</v>
      </c>
    </row>
    <row r="9" spans="1:8" x14ac:dyDescent="0.2">
      <c r="A9" s="61" t="s">
        <v>458</v>
      </c>
      <c r="B9" s="127">
        <v>156975.0785816448</v>
      </c>
      <c r="C9" s="127">
        <v>88170.527705996195</v>
      </c>
      <c r="D9" s="127">
        <v>24683.713293363267</v>
      </c>
      <c r="E9" s="127">
        <v>31000.236914772911</v>
      </c>
      <c r="F9" s="127">
        <v>6221.9920242753369</v>
      </c>
      <c r="G9" s="127">
        <v>3975.7895123295493</v>
      </c>
      <c r="H9" s="127">
        <v>2922.8191307979851</v>
      </c>
    </row>
    <row r="10" spans="1:8" s="335" customFormat="1" ht="15" customHeight="1" x14ac:dyDescent="0.2">
      <c r="A10" s="371" t="s">
        <v>459</v>
      </c>
      <c r="B10" s="128">
        <v>100312.89173039446</v>
      </c>
      <c r="C10" s="128">
        <v>55267.95245479259</v>
      </c>
      <c r="D10" s="128">
        <v>19290.162445504371</v>
      </c>
      <c r="E10" s="128">
        <v>19900.249760662908</v>
      </c>
      <c r="F10" s="128">
        <v>2870.324015000027</v>
      </c>
      <c r="G10" s="128">
        <v>1809.6452857484064</v>
      </c>
      <c r="H10" s="128">
        <v>1174.5577686364418</v>
      </c>
    </row>
    <row r="11" spans="1:8" ht="14.25" customHeight="1" x14ac:dyDescent="0.2">
      <c r="A11" s="61" t="s">
        <v>459</v>
      </c>
      <c r="B11" s="127">
        <v>83409.035278254611</v>
      </c>
      <c r="C11" s="127">
        <v>46472.589629990638</v>
      </c>
      <c r="D11" s="127">
        <v>15565.812097060629</v>
      </c>
      <c r="E11" s="127">
        <v>16345.5848442775</v>
      </c>
      <c r="F11" s="127">
        <v>2443.3825360485848</v>
      </c>
      <c r="G11" s="127">
        <v>1564.1095914002863</v>
      </c>
      <c r="H11" s="127">
        <v>1017.5565794619225</v>
      </c>
    </row>
    <row r="12" spans="1:8" x14ac:dyDescent="0.2">
      <c r="A12" s="61" t="s">
        <v>460</v>
      </c>
      <c r="B12" s="127">
        <v>16903.856452115277</v>
      </c>
      <c r="C12" s="127">
        <v>8795.3628248086388</v>
      </c>
      <c r="D12" s="127">
        <v>3724.3503484479888</v>
      </c>
      <c r="E12" s="127">
        <v>3554.6649163851462</v>
      </c>
      <c r="F12" s="127">
        <v>426.94147895136507</v>
      </c>
      <c r="G12" s="127">
        <v>245.53569434812161</v>
      </c>
      <c r="H12" s="127">
        <v>157.00118917452059</v>
      </c>
    </row>
    <row r="13" spans="1:8" s="335" customFormat="1" x14ac:dyDescent="0.2">
      <c r="A13" s="371" t="s">
        <v>461</v>
      </c>
      <c r="B13" s="128">
        <v>27801.462012379066</v>
      </c>
      <c r="C13" s="128">
        <v>16446.915690541526</v>
      </c>
      <c r="D13" s="128">
        <v>5083.0868600099575</v>
      </c>
      <c r="E13" s="128">
        <v>4852.2705326507084</v>
      </c>
      <c r="F13" s="128">
        <v>781.74049193033466</v>
      </c>
      <c r="G13" s="128">
        <v>463.92080710967082</v>
      </c>
      <c r="H13" s="128">
        <v>173.52763014025945</v>
      </c>
    </row>
    <row r="14" spans="1:8" x14ac:dyDescent="0.2">
      <c r="A14" s="61" t="s">
        <v>461</v>
      </c>
      <c r="B14" s="127">
        <v>27801.462012379066</v>
      </c>
      <c r="C14" s="127">
        <v>16446.915690541526</v>
      </c>
      <c r="D14" s="127">
        <v>5083.0868600099575</v>
      </c>
      <c r="E14" s="127">
        <v>4852.2705326507084</v>
      </c>
      <c r="F14" s="127">
        <v>781.74049193033466</v>
      </c>
      <c r="G14" s="127">
        <v>463.92080710967082</v>
      </c>
      <c r="H14" s="127">
        <v>173.52763014025945</v>
      </c>
    </row>
    <row r="15" spans="1:8" s="335" customFormat="1" x14ac:dyDescent="0.2">
      <c r="A15" s="371" t="s">
        <v>462</v>
      </c>
      <c r="B15" s="128">
        <v>41266.431889500716</v>
      </c>
      <c r="C15" s="128">
        <v>21082.242278573802</v>
      </c>
      <c r="D15" s="128">
        <v>7678.8092996606001</v>
      </c>
      <c r="E15" s="128">
        <v>8933.7208259262006</v>
      </c>
      <c r="F15" s="128">
        <v>1679.3819947671277</v>
      </c>
      <c r="G15" s="128">
        <v>1058.8726818762698</v>
      </c>
      <c r="H15" s="128">
        <v>833.4048087008324</v>
      </c>
    </row>
    <row r="16" spans="1:8" x14ac:dyDescent="0.2">
      <c r="A16" s="61" t="s">
        <v>462</v>
      </c>
      <c r="B16" s="127">
        <v>41266.431889500716</v>
      </c>
      <c r="C16" s="127">
        <v>21082.242278573802</v>
      </c>
      <c r="D16" s="127">
        <v>7678.8092996606001</v>
      </c>
      <c r="E16" s="127">
        <v>8933.7208259262006</v>
      </c>
      <c r="F16" s="127">
        <v>1679.3819947671277</v>
      </c>
      <c r="G16" s="127">
        <v>1058.8726818762698</v>
      </c>
      <c r="H16" s="127">
        <v>833.4048087008324</v>
      </c>
    </row>
    <row r="17" spans="1:8" s="335" customFormat="1" x14ac:dyDescent="0.2">
      <c r="A17" s="371" t="s">
        <v>463</v>
      </c>
      <c r="B17" s="128">
        <v>40882.313347504591</v>
      </c>
      <c r="C17" s="128">
        <v>27025.485214193766</v>
      </c>
      <c r="D17" s="128">
        <v>6981.1784563586216</v>
      </c>
      <c r="E17" s="128">
        <v>5477.9447829333049</v>
      </c>
      <c r="F17" s="128">
        <v>655.19551063450217</v>
      </c>
      <c r="G17" s="128">
        <v>448.57482621291331</v>
      </c>
      <c r="H17" s="128">
        <v>293.93455717635686</v>
      </c>
    </row>
    <row r="18" spans="1:8" x14ac:dyDescent="0.2">
      <c r="A18" s="61" t="s">
        <v>463</v>
      </c>
      <c r="B18" s="127">
        <v>40882.313347504591</v>
      </c>
      <c r="C18" s="127">
        <v>27025.485214193766</v>
      </c>
      <c r="D18" s="127">
        <v>6981.1784563586216</v>
      </c>
      <c r="E18" s="127">
        <v>5477.9447829333049</v>
      </c>
      <c r="F18" s="127">
        <v>655.19551063450217</v>
      </c>
      <c r="G18" s="127">
        <v>448.57482621291331</v>
      </c>
      <c r="H18" s="127">
        <v>293.93455717635686</v>
      </c>
    </row>
    <row r="19" spans="1:8" s="335" customFormat="1" x14ac:dyDescent="0.2">
      <c r="A19" s="371" t="s">
        <v>464</v>
      </c>
      <c r="B19" s="128">
        <v>14466.306815180838</v>
      </c>
      <c r="C19" s="128">
        <v>7828.6869742652261</v>
      </c>
      <c r="D19" s="128">
        <v>2797.8284082162163</v>
      </c>
      <c r="E19" s="128">
        <v>3103.6685645179919</v>
      </c>
      <c r="F19" s="128">
        <v>373.72162700451963</v>
      </c>
      <c r="G19" s="128">
        <v>224.28741310645736</v>
      </c>
      <c r="H19" s="128">
        <v>138.11382807081904</v>
      </c>
    </row>
    <row r="20" spans="1:8" x14ac:dyDescent="0.2">
      <c r="A20" s="61" t="s">
        <v>464</v>
      </c>
      <c r="B20" s="127">
        <v>3485.7153016918705</v>
      </c>
      <c r="C20" s="127">
        <v>1924.4615183209562</v>
      </c>
      <c r="D20" s="127">
        <v>690.32580829351673</v>
      </c>
      <c r="E20" s="127">
        <v>688.95645322985115</v>
      </c>
      <c r="F20" s="127">
        <v>96.978396880919902</v>
      </c>
      <c r="G20" s="127">
        <v>50.759782966198451</v>
      </c>
      <c r="H20" s="127">
        <v>34.233342000459395</v>
      </c>
    </row>
    <row r="21" spans="1:8" x14ac:dyDescent="0.2">
      <c r="A21" s="61" t="s">
        <v>465</v>
      </c>
      <c r="B21" s="127">
        <v>10980.591513489273</v>
      </c>
      <c r="C21" s="127">
        <v>5904.2254559441008</v>
      </c>
      <c r="D21" s="127">
        <v>2107.5025999226355</v>
      </c>
      <c r="E21" s="127">
        <v>2414.7121112880518</v>
      </c>
      <c r="F21" s="127">
        <v>276.74323012360128</v>
      </c>
      <c r="G21" s="127">
        <v>173.52763014025945</v>
      </c>
      <c r="H21" s="127">
        <v>103.88048607035969</v>
      </c>
    </row>
    <row r="22" spans="1:8" s="335" customFormat="1" x14ac:dyDescent="0.2">
      <c r="A22" s="371" t="s">
        <v>466</v>
      </c>
      <c r="B22" s="128">
        <v>8577.8196581577376</v>
      </c>
      <c r="C22" s="128">
        <v>5307.3604525637238</v>
      </c>
      <c r="D22" s="128">
        <v>1291.7736906515613</v>
      </c>
      <c r="E22" s="128">
        <v>1580.5069259390127</v>
      </c>
      <c r="F22" s="128">
        <v>195.1394571384368</v>
      </c>
      <c r="G22" s="128">
        <v>122.76784717406147</v>
      </c>
      <c r="H22" s="128">
        <v>80.271284690732472</v>
      </c>
    </row>
    <row r="23" spans="1:8" x14ac:dyDescent="0.2">
      <c r="A23" s="61" t="s">
        <v>466</v>
      </c>
      <c r="B23" s="127">
        <v>8577.8196581577376</v>
      </c>
      <c r="C23" s="127">
        <v>5307.3604525637238</v>
      </c>
      <c r="D23" s="127">
        <v>1291.7736906515613</v>
      </c>
      <c r="E23" s="127">
        <v>1580.5069259390127</v>
      </c>
      <c r="F23" s="127">
        <v>195.1394571384368</v>
      </c>
      <c r="G23" s="127">
        <v>122.76784717406147</v>
      </c>
      <c r="H23" s="127">
        <v>80.271284690732472</v>
      </c>
    </row>
    <row r="24" spans="1:8" s="335" customFormat="1" x14ac:dyDescent="0.2">
      <c r="A24" s="371" t="s">
        <v>467</v>
      </c>
      <c r="B24" s="128">
        <v>13445.093834173796</v>
      </c>
      <c r="C24" s="128">
        <v>7589.0183873632432</v>
      </c>
      <c r="D24" s="128">
        <v>2249.9507825863902</v>
      </c>
      <c r="E24" s="128">
        <v>2633.6894514849628</v>
      </c>
      <c r="F24" s="128">
        <v>491.98796466417616</v>
      </c>
      <c r="G24" s="128">
        <v>290.39317696941282</v>
      </c>
      <c r="H24" s="128">
        <v>190.0540711059983</v>
      </c>
    </row>
    <row r="25" spans="1:8" x14ac:dyDescent="0.2">
      <c r="A25" s="61" t="s">
        <v>467</v>
      </c>
      <c r="B25" s="127">
        <v>13445.093834173796</v>
      </c>
      <c r="C25" s="127">
        <v>7589.0183873632432</v>
      </c>
      <c r="D25" s="127">
        <v>2249.9507825863902</v>
      </c>
      <c r="E25" s="127">
        <v>2633.6894514849628</v>
      </c>
      <c r="F25" s="127">
        <v>491.98796466417616</v>
      </c>
      <c r="G25" s="127">
        <v>290.39317696941282</v>
      </c>
      <c r="H25" s="127">
        <v>190.0540711059983</v>
      </c>
    </row>
    <row r="26" spans="1:8" s="335" customFormat="1" x14ac:dyDescent="0.2">
      <c r="A26" s="371" t="s">
        <v>468</v>
      </c>
      <c r="B26" s="128">
        <v>7346.8701198703457</v>
      </c>
      <c r="C26" s="128">
        <v>3990.1801242617898</v>
      </c>
      <c r="D26" s="128">
        <v>1462.2245075141739</v>
      </c>
      <c r="E26" s="128">
        <v>1365.1654958218005</v>
      </c>
      <c r="F26" s="128">
        <v>243.62865557889714</v>
      </c>
      <c r="G26" s="128">
        <v>162.90348951942732</v>
      </c>
      <c r="H26" s="128">
        <v>122.76784717406147</v>
      </c>
    </row>
    <row r="27" spans="1:8" x14ac:dyDescent="0.2">
      <c r="A27" s="61" t="s">
        <v>468</v>
      </c>
      <c r="B27" s="127">
        <v>7346.8701198703457</v>
      </c>
      <c r="C27" s="127">
        <v>3990.1801242617898</v>
      </c>
      <c r="D27" s="127">
        <v>1462.2245075141739</v>
      </c>
      <c r="E27" s="127">
        <v>1365.1654958218005</v>
      </c>
      <c r="F27" s="127">
        <v>243.62865557889714</v>
      </c>
      <c r="G27" s="127">
        <v>162.90348951942732</v>
      </c>
      <c r="H27" s="127">
        <v>122.76784717406147</v>
      </c>
    </row>
  </sheetData>
  <mergeCells count="1">
    <mergeCell ref="A1:H1"/>
  </mergeCells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zoomScale="120" zoomScaleNormal="120" workbookViewId="0">
      <selection activeCell="B12" sqref="B12"/>
    </sheetView>
  </sheetViews>
  <sheetFormatPr defaultRowHeight="12" x14ac:dyDescent="0.2"/>
  <cols>
    <col min="1" max="1" width="21.85546875" style="322" customWidth="1"/>
    <col min="2" max="4" width="9.140625" style="322"/>
    <col min="5" max="5" width="6.28515625" style="322" customWidth="1"/>
    <col min="6" max="8" width="9.140625" style="322"/>
    <col min="9" max="9" width="5.28515625" style="322" customWidth="1"/>
    <col min="10" max="16384" width="9.140625" style="322"/>
  </cols>
  <sheetData>
    <row r="1" spans="1:12" x14ac:dyDescent="0.2">
      <c r="A1" s="464" t="s">
        <v>506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</row>
    <row r="2" spans="1:12" x14ac:dyDescent="0.2">
      <c r="A2" s="465" t="s">
        <v>501</v>
      </c>
      <c r="B2" s="468" t="s">
        <v>9</v>
      </c>
      <c r="C2" s="468"/>
      <c r="D2" s="468"/>
      <c r="E2" s="468"/>
      <c r="F2" s="468"/>
      <c r="G2" s="468"/>
      <c r="H2" s="468"/>
      <c r="I2" s="468"/>
      <c r="J2" s="468"/>
      <c r="K2" s="468"/>
      <c r="L2" s="94"/>
    </row>
    <row r="3" spans="1:12" x14ac:dyDescent="0.2">
      <c r="A3" s="466"/>
      <c r="B3" s="469" t="s">
        <v>280</v>
      </c>
      <c r="C3" s="469"/>
      <c r="D3" s="469"/>
      <c r="E3" s="193"/>
      <c r="F3" s="469" t="s">
        <v>281</v>
      </c>
      <c r="G3" s="469"/>
      <c r="H3" s="469"/>
      <c r="I3" s="193"/>
      <c r="J3" s="469" t="s">
        <v>154</v>
      </c>
      <c r="K3" s="469"/>
      <c r="L3" s="469"/>
    </row>
    <row r="4" spans="1:12" x14ac:dyDescent="0.2">
      <c r="A4" s="467"/>
      <c r="B4" s="255" t="s">
        <v>1</v>
      </c>
      <c r="C4" s="95" t="s">
        <v>2</v>
      </c>
      <c r="D4" s="95" t="s">
        <v>3</v>
      </c>
      <c r="E4" s="255"/>
      <c r="F4" s="255" t="s">
        <v>1</v>
      </c>
      <c r="G4" s="95" t="s">
        <v>2</v>
      </c>
      <c r="H4" s="95" t="s">
        <v>3</v>
      </c>
      <c r="I4" s="255"/>
      <c r="J4" s="255" t="s">
        <v>1</v>
      </c>
      <c r="K4" s="95" t="s">
        <v>2</v>
      </c>
      <c r="L4" s="95" t="s">
        <v>3</v>
      </c>
    </row>
    <row r="5" spans="1:12" x14ac:dyDescent="0.2">
      <c r="A5" s="194" t="s">
        <v>457</v>
      </c>
      <c r="B5" s="188">
        <v>185316.27870715014</v>
      </c>
      <c r="C5" s="188">
        <v>90985.771835919033</v>
      </c>
      <c r="D5" s="188">
        <v>94330.506871231119</v>
      </c>
      <c r="E5" s="188"/>
      <c r="F5" s="188">
        <v>211271.38331510761</v>
      </c>
      <c r="G5" s="188">
        <v>102745.84659442327</v>
      </c>
      <c r="H5" s="188">
        <v>108525.53672068434</v>
      </c>
      <c r="I5" s="188"/>
      <c r="J5" s="188">
        <v>14486.605966538669</v>
      </c>
      <c r="K5" s="188">
        <v>7191.3627402341654</v>
      </c>
      <c r="L5" s="188">
        <v>7295.2432263045039</v>
      </c>
    </row>
    <row r="6" spans="1:12" x14ac:dyDescent="0.2">
      <c r="A6" s="22"/>
      <c r="B6" s="128"/>
      <c r="C6" s="127"/>
      <c r="D6" s="127"/>
      <c r="E6" s="127"/>
      <c r="F6" s="128"/>
      <c r="G6" s="127"/>
      <c r="H6" s="127"/>
      <c r="I6" s="127"/>
      <c r="J6" s="128"/>
      <c r="K6" s="127"/>
      <c r="L6" s="127"/>
    </row>
    <row r="7" spans="1:12" x14ac:dyDescent="0.2">
      <c r="A7" s="156" t="s">
        <v>126</v>
      </c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</row>
    <row r="8" spans="1:12" x14ac:dyDescent="0.2">
      <c r="A8" s="63" t="s">
        <v>5</v>
      </c>
      <c r="B8" s="127">
        <v>95854.741887148019</v>
      </c>
      <c r="C8" s="127">
        <v>47552.983740310199</v>
      </c>
      <c r="D8" s="127">
        <v>48301.758146837819</v>
      </c>
      <c r="E8" s="127"/>
      <c r="F8" s="127">
        <v>115582.81101642421</v>
      </c>
      <c r="G8" s="127">
        <v>56347.371846282957</v>
      </c>
      <c r="H8" s="127">
        <v>59235.439170141253</v>
      </c>
      <c r="I8" s="127"/>
      <c r="J8" s="127">
        <v>7497.101898101193</v>
      </c>
      <c r="K8" s="127">
        <v>3640.5388527387822</v>
      </c>
      <c r="L8" s="127">
        <v>3856.5630453624103</v>
      </c>
    </row>
    <row r="9" spans="1:12" x14ac:dyDescent="0.2">
      <c r="A9" s="63" t="s">
        <v>6</v>
      </c>
      <c r="B9" s="127">
        <v>89461.536819909394</v>
      </c>
      <c r="C9" s="127">
        <v>43432.788095564159</v>
      </c>
      <c r="D9" s="127">
        <v>46028.748724345234</v>
      </c>
      <c r="E9" s="127"/>
      <c r="F9" s="127">
        <v>95688.5722985873</v>
      </c>
      <c r="G9" s="127">
        <v>46398.474748094741</v>
      </c>
      <c r="H9" s="127">
        <v>49290.097550492566</v>
      </c>
      <c r="I9" s="127"/>
      <c r="J9" s="127">
        <v>6989.5040684391151</v>
      </c>
      <c r="K9" s="127">
        <v>3550.8238874961826</v>
      </c>
      <c r="L9" s="127">
        <v>3438.680180942933</v>
      </c>
    </row>
    <row r="10" spans="1:12" x14ac:dyDescent="0.2">
      <c r="A10" s="149" t="s">
        <v>540</v>
      </c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</row>
    <row r="11" spans="1:12" s="335" customFormat="1" x14ac:dyDescent="0.2">
      <c r="A11" s="371" t="s">
        <v>458</v>
      </c>
      <c r="B11" s="128">
        <f>+C11+D11</f>
        <v>69701.15571107369</v>
      </c>
      <c r="C11" s="128">
        <v>34408.463216530312</v>
      </c>
      <c r="D11" s="128">
        <v>35292.692494543378</v>
      </c>
      <c r="E11" s="128"/>
      <c r="F11" s="128">
        <f>+G11+H11</f>
        <v>80375.314227301031</v>
      </c>
      <c r="G11" s="128">
        <v>38279.555970795409</v>
      </c>
      <c r="H11" s="128">
        <v>42095.758256505622</v>
      </c>
      <c r="I11" s="128"/>
      <c r="J11" s="128">
        <f>+K11+L11</f>
        <v>6898.6086431275344</v>
      </c>
      <c r="K11" s="128">
        <v>3252.1674900438443</v>
      </c>
      <c r="L11" s="128">
        <v>3646.4411530836901</v>
      </c>
    </row>
    <row r="12" spans="1:12" x14ac:dyDescent="0.2">
      <c r="A12" s="61" t="s">
        <v>458</v>
      </c>
      <c r="B12" s="127">
        <f t="shared" ref="B12:B30" si="0">+C12+D12</f>
        <v>69701.15571107369</v>
      </c>
      <c r="C12" s="127">
        <v>34408.463216530312</v>
      </c>
      <c r="D12" s="127">
        <v>35292.692494543378</v>
      </c>
      <c r="E12" s="127"/>
      <c r="F12" s="127">
        <f t="shared" ref="F12:F30" si="1">+G12+H12</f>
        <v>80375.314227301031</v>
      </c>
      <c r="G12" s="127">
        <v>38279.555970795409</v>
      </c>
      <c r="H12" s="127">
        <v>42095.758256505622</v>
      </c>
      <c r="I12" s="127"/>
      <c r="J12" s="127">
        <f t="shared" ref="J12:J30" si="2">+K12+L12</f>
        <v>6898.6086431275344</v>
      </c>
      <c r="K12" s="127">
        <v>3252.1674900438443</v>
      </c>
      <c r="L12" s="127">
        <v>3646.4411530836901</v>
      </c>
    </row>
    <row r="13" spans="1:12" s="335" customFormat="1" x14ac:dyDescent="0.2">
      <c r="A13" s="371" t="s">
        <v>459</v>
      </c>
      <c r="B13" s="128">
        <f t="shared" si="0"/>
        <v>42796.852977572125</v>
      </c>
      <c r="C13" s="128">
        <v>20816.688463664043</v>
      </c>
      <c r="D13" s="128">
        <v>21980.164513908079</v>
      </c>
      <c r="E13" s="128"/>
      <c r="F13" s="128">
        <f t="shared" si="1"/>
        <v>54531.835698396098</v>
      </c>
      <c r="G13" s="128">
        <v>26099.461908803147</v>
      </c>
      <c r="H13" s="128">
        <v>28432.373789592948</v>
      </c>
      <c r="I13" s="128"/>
      <c r="J13" s="128">
        <f t="shared" si="2"/>
        <v>2984.2030543848482</v>
      </c>
      <c r="K13" s="128">
        <v>1467.3118657438158</v>
      </c>
      <c r="L13" s="128">
        <v>1516.8911886410324</v>
      </c>
    </row>
    <row r="14" spans="1:12" x14ac:dyDescent="0.2">
      <c r="A14" s="61" t="s">
        <v>459</v>
      </c>
      <c r="B14" s="127">
        <f t="shared" si="0"/>
        <v>36116.066494683182</v>
      </c>
      <c r="C14" s="127">
        <v>17718.662882594654</v>
      </c>
      <c r="D14" s="127">
        <v>18397.403612088525</v>
      </c>
      <c r="E14" s="127"/>
      <c r="F14" s="127">
        <f t="shared" si="1"/>
        <v>44711.302612698084</v>
      </c>
      <c r="G14" s="127">
        <v>21400.986077039557</v>
      </c>
      <c r="H14" s="127">
        <v>23310.316535658527</v>
      </c>
      <c r="I14" s="127"/>
      <c r="J14" s="127">
        <f t="shared" si="2"/>
        <v>2581.6661708622087</v>
      </c>
      <c r="K14" s="127">
        <v>1239.4830724304159</v>
      </c>
      <c r="L14" s="127">
        <v>1342.183098431793</v>
      </c>
    </row>
    <row r="15" spans="1:12" x14ac:dyDescent="0.2">
      <c r="A15" s="61" t="s">
        <v>460</v>
      </c>
      <c r="B15" s="127">
        <f t="shared" si="0"/>
        <v>6680.7864828908232</v>
      </c>
      <c r="C15" s="127">
        <v>3098.0255810703534</v>
      </c>
      <c r="D15" s="127">
        <v>3582.7609018204698</v>
      </c>
      <c r="E15" s="127"/>
      <c r="F15" s="127">
        <f t="shared" si="1"/>
        <v>9820.5330857021036</v>
      </c>
      <c r="G15" s="127">
        <v>4698.4758317655815</v>
      </c>
      <c r="H15" s="127">
        <v>5122.0572539365221</v>
      </c>
      <c r="I15" s="127"/>
      <c r="J15" s="127">
        <f t="shared" si="2"/>
        <v>402.5368835226422</v>
      </c>
      <c r="K15" s="127">
        <v>227.82879331340141</v>
      </c>
      <c r="L15" s="127">
        <v>174.70809020924079</v>
      </c>
    </row>
    <row r="16" spans="1:12" s="335" customFormat="1" x14ac:dyDescent="0.2">
      <c r="A16" s="371" t="s">
        <v>461</v>
      </c>
      <c r="B16" s="128">
        <f t="shared" si="0"/>
        <v>13438.216621796964</v>
      </c>
      <c r="C16" s="128">
        <v>6599.4131473622783</v>
      </c>
      <c r="D16" s="128">
        <v>6838.803474434686</v>
      </c>
      <c r="E16" s="128"/>
      <c r="F16" s="128">
        <f t="shared" si="1"/>
        <v>13725.796953334393</v>
      </c>
      <c r="G16" s="128">
        <v>7364.716039818024</v>
      </c>
      <c r="H16" s="128">
        <v>6361.0809135163699</v>
      </c>
      <c r="I16" s="128"/>
      <c r="J16" s="128">
        <f t="shared" si="2"/>
        <v>637.44843724993029</v>
      </c>
      <c r="K16" s="128">
        <v>383.64952241893923</v>
      </c>
      <c r="L16" s="128">
        <v>253.79891483099104</v>
      </c>
    </row>
    <row r="17" spans="1:12" x14ac:dyDescent="0.2">
      <c r="A17" s="61" t="s">
        <v>461</v>
      </c>
      <c r="B17" s="127">
        <f t="shared" si="0"/>
        <v>13438.216621796964</v>
      </c>
      <c r="C17" s="127">
        <v>6599.4131473622783</v>
      </c>
      <c r="D17" s="127">
        <v>6838.803474434686</v>
      </c>
      <c r="E17" s="127"/>
      <c r="F17" s="127">
        <f t="shared" si="1"/>
        <v>13725.796953334393</v>
      </c>
      <c r="G17" s="127">
        <v>7364.716039818024</v>
      </c>
      <c r="H17" s="127">
        <v>6361.0809135163699</v>
      </c>
      <c r="I17" s="127"/>
      <c r="J17" s="127">
        <f t="shared" si="2"/>
        <v>637.44843724993029</v>
      </c>
      <c r="K17" s="127">
        <v>383.64952241893923</v>
      </c>
      <c r="L17" s="127">
        <v>253.79891483099104</v>
      </c>
    </row>
    <row r="18" spans="1:12" s="335" customFormat="1" x14ac:dyDescent="0.2">
      <c r="A18" s="371" t="s">
        <v>462</v>
      </c>
      <c r="B18" s="128">
        <f t="shared" si="0"/>
        <v>16513.609842843303</v>
      </c>
      <c r="C18" s="128">
        <v>8349.985296717492</v>
      </c>
      <c r="D18" s="128">
        <v>8163.6245461258095</v>
      </c>
      <c r="E18" s="128"/>
      <c r="F18" s="128">
        <f t="shared" si="1"/>
        <v>22860.544556086785</v>
      </c>
      <c r="G18" s="128">
        <v>11234.99490317534</v>
      </c>
      <c r="H18" s="128">
        <v>11625.549652911444</v>
      </c>
      <c r="I18" s="128"/>
      <c r="J18" s="128">
        <f t="shared" si="2"/>
        <v>1892.2774905771021</v>
      </c>
      <c r="K18" s="128">
        <v>940.82667497813497</v>
      </c>
      <c r="L18" s="128">
        <v>951.4508155989671</v>
      </c>
    </row>
    <row r="19" spans="1:12" x14ac:dyDescent="0.2">
      <c r="A19" s="61" t="s">
        <v>462</v>
      </c>
      <c r="B19" s="127">
        <f t="shared" si="0"/>
        <v>16513.609842843303</v>
      </c>
      <c r="C19" s="127">
        <v>8349.985296717492</v>
      </c>
      <c r="D19" s="127">
        <v>8163.6245461258095</v>
      </c>
      <c r="E19" s="127"/>
      <c r="F19" s="127">
        <f t="shared" si="1"/>
        <v>22860.544556086785</v>
      </c>
      <c r="G19" s="127">
        <v>11234.99490317534</v>
      </c>
      <c r="H19" s="127">
        <v>11625.549652911444</v>
      </c>
      <c r="I19" s="127"/>
      <c r="J19" s="127">
        <f t="shared" si="2"/>
        <v>1892.2774905771021</v>
      </c>
      <c r="K19" s="127">
        <v>940.82667497813497</v>
      </c>
      <c r="L19" s="127">
        <v>951.4508155989671</v>
      </c>
    </row>
    <row r="20" spans="1:12" s="335" customFormat="1" x14ac:dyDescent="0.2">
      <c r="A20" s="371" t="s">
        <v>463</v>
      </c>
      <c r="B20" s="128">
        <f t="shared" si="0"/>
        <v>22938.579327807682</v>
      </c>
      <c r="C20" s="128">
        <v>10970.072712276815</v>
      </c>
      <c r="D20" s="128">
        <v>11968.506615530869</v>
      </c>
      <c r="E20" s="128"/>
      <c r="F20" s="128">
        <f t="shared" si="1"/>
        <v>17201.224636312552</v>
      </c>
      <c r="G20" s="128">
        <v>8679.9653937270577</v>
      </c>
      <c r="H20" s="128">
        <v>8521.2592425854964</v>
      </c>
      <c r="I20" s="128"/>
      <c r="J20" s="128">
        <f t="shared" si="2"/>
        <v>742.50938338927017</v>
      </c>
      <c r="K20" s="128">
        <v>396.63458317773404</v>
      </c>
      <c r="L20" s="128">
        <v>345.87480021153613</v>
      </c>
    </row>
    <row r="21" spans="1:12" x14ac:dyDescent="0.2">
      <c r="A21" s="61" t="s">
        <v>463</v>
      </c>
      <c r="B21" s="127">
        <f t="shared" si="0"/>
        <v>22938.579327807682</v>
      </c>
      <c r="C21" s="127">
        <v>10970.072712276815</v>
      </c>
      <c r="D21" s="127">
        <v>11968.506615530869</v>
      </c>
      <c r="E21" s="127"/>
      <c r="F21" s="127">
        <f t="shared" si="1"/>
        <v>17201.224636312552</v>
      </c>
      <c r="G21" s="127">
        <v>8679.9653937270577</v>
      </c>
      <c r="H21" s="127">
        <v>8521.2592425854964</v>
      </c>
      <c r="I21" s="127"/>
      <c r="J21" s="127">
        <f t="shared" si="2"/>
        <v>742.50938338927017</v>
      </c>
      <c r="K21" s="127">
        <v>396.63458317773404</v>
      </c>
      <c r="L21" s="127">
        <v>345.87480021153613</v>
      </c>
    </row>
    <row r="22" spans="1:12" s="335" customFormat="1" x14ac:dyDescent="0.2">
      <c r="A22" s="371" t="s">
        <v>464</v>
      </c>
      <c r="B22" s="128">
        <f t="shared" si="0"/>
        <v>6237.6744750606995</v>
      </c>
      <c r="C22" s="128">
        <v>3163.4966035142238</v>
      </c>
      <c r="D22" s="128">
        <v>3074.1778715464757</v>
      </c>
      <c r="E22" s="128"/>
      <c r="F22" s="128">
        <f t="shared" si="1"/>
        <v>7866.2310989430407</v>
      </c>
      <c r="G22" s="128">
        <v>4019.4933060351732</v>
      </c>
      <c r="H22" s="128">
        <v>3846.737792907868</v>
      </c>
      <c r="I22" s="128"/>
      <c r="J22" s="128">
        <f t="shared" si="2"/>
        <v>362.4012411772764</v>
      </c>
      <c r="K22" s="128">
        <v>193.59545131294234</v>
      </c>
      <c r="L22" s="128">
        <v>168.80578986433406</v>
      </c>
    </row>
    <row r="23" spans="1:12" x14ac:dyDescent="0.2">
      <c r="A23" s="61" t="s">
        <v>464</v>
      </c>
      <c r="B23" s="127">
        <f t="shared" si="0"/>
        <v>1529.995609427315</v>
      </c>
      <c r="C23" s="127">
        <v>772.38811315065709</v>
      </c>
      <c r="D23" s="127">
        <v>757.60749627665791</v>
      </c>
      <c r="E23" s="127"/>
      <c r="F23" s="127">
        <f t="shared" si="1"/>
        <v>1870.7265672979097</v>
      </c>
      <c r="G23" s="127">
        <v>948.04496353481329</v>
      </c>
      <c r="H23" s="127">
        <v>922.68160376309652</v>
      </c>
      <c r="I23" s="127"/>
      <c r="J23" s="127">
        <f t="shared" si="2"/>
        <v>84.993124966657845</v>
      </c>
      <c r="K23" s="127">
        <v>41.316102414347561</v>
      </c>
      <c r="L23" s="127">
        <v>43.677022552310284</v>
      </c>
    </row>
    <row r="24" spans="1:12" x14ac:dyDescent="0.2">
      <c r="A24" s="61" t="s">
        <v>465</v>
      </c>
      <c r="B24" s="127">
        <f t="shared" si="0"/>
        <v>4707.6788656335812</v>
      </c>
      <c r="C24" s="127">
        <v>2391.1084903636684</v>
      </c>
      <c r="D24" s="127">
        <v>2316.5703752699123</v>
      </c>
      <c r="E24" s="127"/>
      <c r="F24" s="127">
        <f t="shared" si="1"/>
        <v>5995.5045316449905</v>
      </c>
      <c r="G24" s="127">
        <v>3071.4483425002804</v>
      </c>
      <c r="H24" s="127">
        <v>2924.0561891447096</v>
      </c>
      <c r="I24" s="127"/>
      <c r="J24" s="127">
        <f t="shared" si="2"/>
        <v>277.40811621061937</v>
      </c>
      <c r="K24" s="127">
        <v>152.2793488985952</v>
      </c>
      <c r="L24" s="127">
        <v>125.12876731202419</v>
      </c>
    </row>
    <row r="25" spans="1:12" s="335" customFormat="1" x14ac:dyDescent="0.2">
      <c r="A25" s="371" t="s">
        <v>466</v>
      </c>
      <c r="B25" s="128">
        <f t="shared" si="0"/>
        <v>4361.8376224583062</v>
      </c>
      <c r="C25" s="128">
        <v>2039.5378220345249</v>
      </c>
      <c r="D25" s="128">
        <v>2322.2998004237811</v>
      </c>
      <c r="E25" s="128"/>
      <c r="F25" s="128">
        <f t="shared" si="1"/>
        <v>4012.942903834698</v>
      </c>
      <c r="G25" s="128">
        <v>1996.2401148510608</v>
      </c>
      <c r="H25" s="128">
        <v>2016.7027889836374</v>
      </c>
      <c r="I25" s="128"/>
      <c r="J25" s="128">
        <f t="shared" si="2"/>
        <v>203.03913186479394</v>
      </c>
      <c r="K25" s="128">
        <v>119.22646696711739</v>
      </c>
      <c r="L25" s="128">
        <v>83.812664897676555</v>
      </c>
    </row>
    <row r="26" spans="1:12" x14ac:dyDescent="0.2">
      <c r="A26" s="61" t="s">
        <v>466</v>
      </c>
      <c r="B26" s="127">
        <f t="shared" si="0"/>
        <v>4361.8376224583062</v>
      </c>
      <c r="C26" s="127">
        <v>2039.5378220345249</v>
      </c>
      <c r="D26" s="127">
        <v>2322.2998004237811</v>
      </c>
      <c r="E26" s="127"/>
      <c r="F26" s="127">
        <f t="shared" si="1"/>
        <v>4012.942903834698</v>
      </c>
      <c r="G26" s="127">
        <v>1996.2401148510608</v>
      </c>
      <c r="H26" s="127">
        <v>2016.7027889836374</v>
      </c>
      <c r="I26" s="127"/>
      <c r="J26" s="127">
        <f t="shared" si="2"/>
        <v>203.03913186479394</v>
      </c>
      <c r="K26" s="127">
        <v>119.22646696711739</v>
      </c>
      <c r="L26" s="127">
        <v>83.812664897676555</v>
      </c>
    </row>
    <row r="27" spans="1:12" s="335" customFormat="1" x14ac:dyDescent="0.2">
      <c r="A27" s="371" t="s">
        <v>467</v>
      </c>
      <c r="B27" s="128">
        <f t="shared" si="0"/>
        <v>6107.9782021534238</v>
      </c>
      <c r="C27" s="128">
        <v>3067.4389328354596</v>
      </c>
      <c r="D27" s="128">
        <v>3040.5392693179642</v>
      </c>
      <c r="E27" s="128"/>
      <c r="F27" s="128">
        <f t="shared" si="1"/>
        <v>6856.6683839453199</v>
      </c>
      <c r="G27" s="128">
        <v>3248.6310642151666</v>
      </c>
      <c r="H27" s="128">
        <v>3608.0373197301537</v>
      </c>
      <c r="I27" s="128"/>
      <c r="J27" s="128">
        <f t="shared" si="2"/>
        <v>480.44724807541115</v>
      </c>
      <c r="K27" s="128">
        <v>270.32535579672992</v>
      </c>
      <c r="L27" s="128">
        <v>210.1218922786812</v>
      </c>
    </row>
    <row r="28" spans="1:12" x14ac:dyDescent="0.2">
      <c r="A28" s="61" t="s">
        <v>467</v>
      </c>
      <c r="B28" s="127">
        <f t="shared" si="0"/>
        <v>6107.9782021534238</v>
      </c>
      <c r="C28" s="127">
        <v>3067.4389328354596</v>
      </c>
      <c r="D28" s="127">
        <v>3040.5392693179642</v>
      </c>
      <c r="E28" s="127"/>
      <c r="F28" s="127">
        <f t="shared" si="1"/>
        <v>6856.6683839453199</v>
      </c>
      <c r="G28" s="127">
        <v>3248.6310642151666</v>
      </c>
      <c r="H28" s="127">
        <v>3608.0373197301537</v>
      </c>
      <c r="I28" s="127"/>
      <c r="J28" s="127">
        <f t="shared" si="2"/>
        <v>480.44724807541115</v>
      </c>
      <c r="K28" s="127">
        <v>270.32535579672992</v>
      </c>
      <c r="L28" s="127">
        <v>210.1218922786812</v>
      </c>
    </row>
    <row r="29" spans="1:12" s="335" customFormat="1" x14ac:dyDescent="0.2">
      <c r="A29" s="371" t="s">
        <v>468</v>
      </c>
      <c r="B29" s="128">
        <f t="shared" si="0"/>
        <v>3220.3739262999152</v>
      </c>
      <c r="C29" s="128">
        <v>1570.675640943914</v>
      </c>
      <c r="D29" s="128">
        <v>1649.6982853560014</v>
      </c>
      <c r="E29" s="128"/>
      <c r="F29" s="128">
        <f t="shared" si="1"/>
        <v>3840.8248568769959</v>
      </c>
      <c r="G29" s="128">
        <v>1822.7878929677872</v>
      </c>
      <c r="H29" s="128">
        <v>2018.0369639092087</v>
      </c>
      <c r="I29" s="128"/>
      <c r="J29" s="128">
        <f t="shared" si="2"/>
        <v>285.67133669348874</v>
      </c>
      <c r="K29" s="128">
        <v>167.62532979535271</v>
      </c>
      <c r="L29" s="128">
        <v>118.04600689813603</v>
      </c>
    </row>
    <row r="30" spans="1:12" x14ac:dyDescent="0.2">
      <c r="A30" s="61" t="s">
        <v>468</v>
      </c>
      <c r="B30" s="127">
        <f t="shared" si="0"/>
        <v>3220.3739262999152</v>
      </c>
      <c r="C30" s="127">
        <v>1570.675640943914</v>
      </c>
      <c r="D30" s="127">
        <v>1649.6982853560014</v>
      </c>
      <c r="E30" s="127"/>
      <c r="F30" s="127">
        <f t="shared" si="1"/>
        <v>3840.8248568769959</v>
      </c>
      <c r="G30" s="127">
        <v>1822.7878929677872</v>
      </c>
      <c r="H30" s="127">
        <v>2018.0369639092087</v>
      </c>
      <c r="I30" s="127"/>
      <c r="J30" s="127">
        <f t="shared" si="2"/>
        <v>285.67133669348874</v>
      </c>
      <c r="K30" s="127">
        <v>167.62532979535271</v>
      </c>
      <c r="L30" s="127">
        <v>118.04600689813603</v>
      </c>
    </row>
  </sheetData>
  <mergeCells count="6">
    <mergeCell ref="A1:L1"/>
    <mergeCell ref="A2:A4"/>
    <mergeCell ref="B2:K2"/>
    <mergeCell ref="B3:D3"/>
    <mergeCell ref="F3:H3"/>
    <mergeCell ref="J3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zoomScale="130" zoomScaleNormal="130" workbookViewId="0">
      <selection activeCell="C4" sqref="C4"/>
    </sheetView>
  </sheetViews>
  <sheetFormatPr defaultRowHeight="12" x14ac:dyDescent="0.2"/>
  <cols>
    <col min="1" max="1" width="26" style="322" customWidth="1"/>
    <col min="2" max="2" width="16.5703125" style="322" customWidth="1"/>
    <col min="3" max="3" width="18.5703125" style="322" customWidth="1"/>
    <col min="4" max="16384" width="9.140625" style="322"/>
  </cols>
  <sheetData>
    <row r="1" spans="1:3" ht="26.25" customHeight="1" x14ac:dyDescent="0.2">
      <c r="A1" s="470" t="s">
        <v>507</v>
      </c>
      <c r="B1" s="470"/>
      <c r="C1" s="470"/>
    </row>
    <row r="2" spans="1:3" ht="31.5" customHeight="1" x14ac:dyDescent="0.2">
      <c r="A2" s="373" t="s">
        <v>501</v>
      </c>
      <c r="B2" s="96" t="s">
        <v>129</v>
      </c>
      <c r="C2" s="96" t="s">
        <v>130</v>
      </c>
    </row>
    <row r="3" spans="1:3" x14ac:dyDescent="0.2">
      <c r="A3" s="199"/>
      <c r="B3" s="196">
        <v>21.302308121377525</v>
      </c>
      <c r="C3" s="196">
        <v>16</v>
      </c>
    </row>
    <row r="4" spans="1:3" x14ac:dyDescent="0.2">
      <c r="A4" s="374"/>
      <c r="B4" s="19"/>
      <c r="C4" s="19"/>
    </row>
    <row r="5" spans="1:3" x14ac:dyDescent="0.2">
      <c r="A5" s="197" t="s">
        <v>126</v>
      </c>
      <c r="B5" s="198"/>
      <c r="C5" s="198"/>
    </row>
    <row r="6" spans="1:3" x14ac:dyDescent="0.2">
      <c r="A6" s="65" t="s">
        <v>5</v>
      </c>
      <c r="B6" s="129">
        <v>21.556090944805241</v>
      </c>
      <c r="C6" s="129">
        <v>17</v>
      </c>
    </row>
    <row r="7" spans="1:3" x14ac:dyDescent="0.2">
      <c r="A7" s="65" t="s">
        <v>6</v>
      </c>
      <c r="B7" s="129">
        <v>21.013133734250676</v>
      </c>
      <c r="C7" s="129">
        <v>16</v>
      </c>
    </row>
    <row r="8" spans="1:3" x14ac:dyDescent="0.2">
      <c r="A8" s="197" t="s">
        <v>127</v>
      </c>
      <c r="B8" s="199"/>
      <c r="C8" s="196"/>
    </row>
    <row r="9" spans="1:3" x14ac:dyDescent="0.2">
      <c r="A9" s="65" t="s">
        <v>2</v>
      </c>
      <c r="B9" s="129">
        <v>21.30778989739575</v>
      </c>
      <c r="C9" s="129">
        <v>16</v>
      </c>
    </row>
    <row r="10" spans="1:3" x14ac:dyDescent="0.2">
      <c r="A10" s="65" t="s">
        <v>3</v>
      </c>
      <c r="B10" s="129">
        <v>21.297067064609216</v>
      </c>
      <c r="C10" s="129">
        <v>17</v>
      </c>
    </row>
    <row r="11" spans="1:3" x14ac:dyDescent="0.2">
      <c r="A11" s="190" t="s">
        <v>539</v>
      </c>
      <c r="B11" s="198"/>
      <c r="C11" s="198"/>
    </row>
    <row r="12" spans="1:3" s="335" customFormat="1" x14ac:dyDescent="0.2">
      <c r="A12" s="371" t="s">
        <v>458</v>
      </c>
      <c r="B12" s="387">
        <v>22.277621136331256</v>
      </c>
      <c r="C12" s="387">
        <v>17</v>
      </c>
    </row>
    <row r="13" spans="1:3" x14ac:dyDescent="0.2">
      <c r="A13" s="61" t="s">
        <v>458</v>
      </c>
      <c r="B13" s="129">
        <v>22.277621136331256</v>
      </c>
      <c r="C13" s="129">
        <v>17</v>
      </c>
    </row>
    <row r="14" spans="1:3" s="335" customFormat="1" x14ac:dyDescent="0.2">
      <c r="A14" s="371" t="s">
        <v>459</v>
      </c>
      <c r="B14" s="387">
        <v>21.490913944015546</v>
      </c>
      <c r="C14" s="387">
        <v>17</v>
      </c>
    </row>
    <row r="15" spans="1:3" x14ac:dyDescent="0.2">
      <c r="A15" s="61" t="s">
        <v>459</v>
      </c>
      <c r="B15" s="129">
        <v>21.457715050541879</v>
      </c>
      <c r="C15" s="129">
        <v>17</v>
      </c>
    </row>
    <row r="16" spans="1:3" x14ac:dyDescent="0.2">
      <c r="A16" s="61" t="s">
        <v>460</v>
      </c>
      <c r="B16" s="129">
        <v>21.654727904771214</v>
      </c>
      <c r="C16" s="129">
        <v>19</v>
      </c>
    </row>
    <row r="17" spans="1:3" s="335" customFormat="1" x14ac:dyDescent="0.2">
      <c r="A17" s="371" t="s">
        <v>461</v>
      </c>
      <c r="B17" s="387">
        <v>19.413390717612089</v>
      </c>
      <c r="C17" s="387">
        <v>15</v>
      </c>
    </row>
    <row r="18" spans="1:3" x14ac:dyDescent="0.2">
      <c r="A18" s="61" t="s">
        <v>461</v>
      </c>
      <c r="B18" s="129">
        <v>19.413390717612089</v>
      </c>
      <c r="C18" s="129">
        <v>15</v>
      </c>
    </row>
    <row r="19" spans="1:3" s="335" customFormat="1" x14ac:dyDescent="0.2">
      <c r="A19" s="371" t="s">
        <v>462</v>
      </c>
      <c r="B19" s="387">
        <v>23.453430162528665</v>
      </c>
      <c r="C19" s="387">
        <v>19</v>
      </c>
    </row>
    <row r="20" spans="1:3" x14ac:dyDescent="0.2">
      <c r="A20" s="61" t="s">
        <v>462</v>
      </c>
      <c r="B20" s="129">
        <v>23.453430162528665</v>
      </c>
      <c r="C20" s="129">
        <v>19</v>
      </c>
    </row>
    <row r="21" spans="1:3" s="335" customFormat="1" x14ac:dyDescent="0.2">
      <c r="A21" s="371" t="s">
        <v>463</v>
      </c>
      <c r="B21" s="387">
        <v>16.447599965480748</v>
      </c>
      <c r="C21" s="387">
        <v>12</v>
      </c>
    </row>
    <row r="22" spans="1:3" x14ac:dyDescent="0.2">
      <c r="A22" s="61" t="s">
        <v>463</v>
      </c>
      <c r="B22" s="129">
        <v>16.447599965480748</v>
      </c>
      <c r="C22" s="129">
        <v>12</v>
      </c>
    </row>
    <row r="23" spans="1:3" s="335" customFormat="1" x14ac:dyDescent="0.2">
      <c r="A23" s="371" t="s">
        <v>464</v>
      </c>
      <c r="B23" s="387">
        <v>21.380561337200891</v>
      </c>
      <c r="C23" s="387">
        <v>18</v>
      </c>
    </row>
    <row r="24" spans="1:3" x14ac:dyDescent="0.2">
      <c r="A24" s="61" t="s">
        <v>464</v>
      </c>
      <c r="B24" s="129">
        <v>21.047644406183434</v>
      </c>
      <c r="C24" s="129">
        <v>17</v>
      </c>
    </row>
    <row r="25" spans="1:3" x14ac:dyDescent="0.2">
      <c r="A25" s="61" t="s">
        <v>465</v>
      </c>
      <c r="B25" s="129">
        <v>21.486243589310348</v>
      </c>
      <c r="C25" s="129">
        <v>18</v>
      </c>
    </row>
    <row r="26" spans="1:3" s="335" customFormat="1" x14ac:dyDescent="0.2">
      <c r="A26" s="371" t="s">
        <v>466</v>
      </c>
      <c r="B26" s="387">
        <v>19.449902125218728</v>
      </c>
      <c r="C26" s="387">
        <v>14</v>
      </c>
    </row>
    <row r="27" spans="1:3" x14ac:dyDescent="0.2">
      <c r="A27" s="61" t="s">
        <v>466</v>
      </c>
      <c r="B27" s="129">
        <v>19.449902125218728</v>
      </c>
      <c r="C27" s="129">
        <v>14</v>
      </c>
    </row>
    <row r="28" spans="1:3" s="335" customFormat="1" x14ac:dyDescent="0.2">
      <c r="A28" s="371" t="s">
        <v>467</v>
      </c>
      <c r="B28" s="387">
        <v>21.54987850287122</v>
      </c>
      <c r="C28" s="387">
        <v>16</v>
      </c>
    </row>
    <row r="29" spans="1:3" x14ac:dyDescent="0.2">
      <c r="A29" s="61" t="s">
        <v>467</v>
      </c>
      <c r="B29" s="129">
        <v>21.54987850287122</v>
      </c>
      <c r="C29" s="129">
        <v>16</v>
      </c>
    </row>
    <row r="30" spans="1:3" s="335" customFormat="1" x14ac:dyDescent="0.2">
      <c r="A30" s="371" t="s">
        <v>468</v>
      </c>
      <c r="B30" s="387">
        <v>21.523730866506071</v>
      </c>
      <c r="C30" s="387">
        <v>17</v>
      </c>
    </row>
    <row r="31" spans="1:3" x14ac:dyDescent="0.2">
      <c r="A31" s="61" t="s">
        <v>468</v>
      </c>
      <c r="B31" s="129">
        <v>21.523730866506071</v>
      </c>
      <c r="C31" s="129">
        <v>17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D4D4D"/>
  </sheetPr>
  <dimension ref="A1"/>
  <sheetViews>
    <sheetView topLeftCell="A13" workbookViewId="0">
      <selection activeCell="M31" sqref="M31"/>
    </sheetView>
  </sheetViews>
  <sheetFormatPr defaultRowHeight="15" x14ac:dyDescent="0.25"/>
  <cols>
    <col min="1" max="16384" width="9.140625" style="1"/>
  </cols>
  <sheetData>
    <row r="1" spans="1:1" x14ac:dyDescent="0.25">
      <c r="A1" s="21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</sheetPr>
  <dimension ref="A1:H32"/>
  <sheetViews>
    <sheetView zoomScale="120" zoomScaleNormal="120" workbookViewId="0">
      <selection activeCell="B10" sqref="B10:B11"/>
    </sheetView>
  </sheetViews>
  <sheetFormatPr defaultRowHeight="15" x14ac:dyDescent="0.25"/>
  <cols>
    <col min="1" max="1" width="25.5703125" style="1" customWidth="1"/>
    <col min="2" max="2" width="11.42578125" style="1" customWidth="1"/>
    <col min="3" max="3" width="12.140625" style="1" customWidth="1"/>
    <col min="4" max="4" width="12.42578125" style="1" customWidth="1"/>
    <col min="5" max="5" width="11.28515625" style="1" customWidth="1"/>
    <col min="6" max="6" width="11.5703125" style="1" customWidth="1"/>
    <col min="7" max="7" width="11.42578125" style="1" customWidth="1"/>
    <col min="8" max="8" width="13.42578125" style="1" customWidth="1"/>
    <col min="9" max="16384" width="9.140625" style="1"/>
  </cols>
  <sheetData>
    <row r="1" spans="1:8" x14ac:dyDescent="0.25">
      <c r="A1" s="471" t="s">
        <v>508</v>
      </c>
      <c r="B1" s="471"/>
      <c r="C1" s="471"/>
      <c r="D1" s="471"/>
      <c r="E1" s="471"/>
      <c r="F1" s="471"/>
      <c r="G1" s="471"/>
      <c r="H1" s="471"/>
    </row>
    <row r="2" spans="1:8" ht="15" customHeight="1" x14ac:dyDescent="0.25">
      <c r="A2" s="462" t="s">
        <v>501</v>
      </c>
      <c r="B2" s="473" t="s">
        <v>131</v>
      </c>
      <c r="C2" s="474" t="s">
        <v>132</v>
      </c>
      <c r="D2" s="474"/>
      <c r="E2" s="474"/>
      <c r="F2" s="474"/>
      <c r="G2" s="474"/>
      <c r="H2" s="474"/>
    </row>
    <row r="3" spans="1:8" ht="26.25" customHeight="1" x14ac:dyDescent="0.25">
      <c r="A3" s="472"/>
      <c r="B3" s="473"/>
      <c r="C3" s="97" t="s">
        <v>133</v>
      </c>
      <c r="D3" s="97" t="s">
        <v>134</v>
      </c>
      <c r="E3" s="97" t="s">
        <v>135</v>
      </c>
      <c r="F3" s="97" t="s">
        <v>136</v>
      </c>
      <c r="G3" s="97" t="s">
        <v>137</v>
      </c>
      <c r="H3" s="97" t="s">
        <v>122</v>
      </c>
    </row>
    <row r="4" spans="1:8" x14ac:dyDescent="0.25">
      <c r="A4" s="200" t="s">
        <v>457</v>
      </c>
      <c r="B4" s="188">
        <v>257081.13869690665</v>
      </c>
      <c r="C4" s="188">
        <v>127482.2257700044</v>
      </c>
      <c r="D4" s="188">
        <v>105799.02123730611</v>
      </c>
      <c r="E4" s="188">
        <v>6680.6926879075536</v>
      </c>
      <c r="F4" s="188">
        <v>999.8062390778955</v>
      </c>
      <c r="G4" s="188">
        <v>3856.4071939619266</v>
      </c>
      <c r="H4" s="188">
        <v>12262.985568755255</v>
      </c>
    </row>
    <row r="5" spans="1:8" x14ac:dyDescent="0.25">
      <c r="A5" s="17"/>
      <c r="B5" s="67"/>
      <c r="C5" s="67"/>
      <c r="D5" s="67"/>
      <c r="E5" s="67"/>
      <c r="F5" s="67"/>
      <c r="G5" s="67"/>
      <c r="H5" s="67"/>
    </row>
    <row r="6" spans="1:8" x14ac:dyDescent="0.25">
      <c r="A6" s="200" t="s">
        <v>127</v>
      </c>
      <c r="B6" s="201"/>
      <c r="C6" s="201"/>
      <c r="D6" s="202"/>
      <c r="E6" s="202"/>
      <c r="F6" s="202"/>
      <c r="G6" s="202"/>
      <c r="H6" s="202"/>
    </row>
    <row r="7" spans="1:8" x14ac:dyDescent="0.25">
      <c r="A7" s="18" t="s">
        <v>2</v>
      </c>
      <c r="B7" s="127">
        <v>125866.95596339602</v>
      </c>
      <c r="C7" s="127">
        <v>67387.233751424297</v>
      </c>
      <c r="D7" s="127">
        <v>49999.513056371987</v>
      </c>
      <c r="E7" s="127">
        <v>1614.9717742894941</v>
      </c>
      <c r="F7" s="127">
        <v>185.64239505306008</v>
      </c>
      <c r="G7" s="127">
        <v>610.98151179442482</v>
      </c>
      <c r="H7" s="127">
        <v>6068.6134743724115</v>
      </c>
    </row>
    <row r="8" spans="1:8" x14ac:dyDescent="0.25">
      <c r="A8" s="18" t="s">
        <v>3</v>
      </c>
      <c r="B8" s="127">
        <v>131214.18273361662</v>
      </c>
      <c r="C8" s="127">
        <v>60094.992018394973</v>
      </c>
      <c r="D8" s="127">
        <v>55799.508180928147</v>
      </c>
      <c r="E8" s="127">
        <v>5065.7209136180945</v>
      </c>
      <c r="F8" s="127">
        <v>814.1638440248355</v>
      </c>
      <c r="G8" s="127">
        <v>3245.4256821674062</v>
      </c>
      <c r="H8" s="127">
        <v>6194.3720943827084</v>
      </c>
    </row>
    <row r="9" spans="1:8" x14ac:dyDescent="0.25">
      <c r="A9" s="197" t="s">
        <v>126</v>
      </c>
      <c r="B9" s="203"/>
      <c r="C9" s="203"/>
      <c r="D9" s="203"/>
      <c r="E9" s="203"/>
      <c r="F9" s="203"/>
      <c r="G9" s="203"/>
      <c r="H9" s="203"/>
    </row>
    <row r="10" spans="1:8" x14ac:dyDescent="0.25">
      <c r="A10" s="65" t="s">
        <v>5</v>
      </c>
      <c r="B10" s="127">
        <v>140548.44229198608</v>
      </c>
      <c r="C10" s="127">
        <v>71306.639516137249</v>
      </c>
      <c r="D10" s="127">
        <v>55149.883687572394</v>
      </c>
      <c r="E10" s="127">
        <v>3860.8971446849146</v>
      </c>
      <c r="F10" s="127">
        <v>591.10451243134958</v>
      </c>
      <c r="G10" s="127">
        <v>2200.3049350016163</v>
      </c>
      <c r="H10" s="127">
        <v>7439.6124960763545</v>
      </c>
    </row>
    <row r="11" spans="1:8" x14ac:dyDescent="0.25">
      <c r="A11" s="65" t="s">
        <v>6</v>
      </c>
      <c r="B11" s="127">
        <v>116532.69640500782</v>
      </c>
      <c r="C11" s="127">
        <v>56175.586253691145</v>
      </c>
      <c r="D11" s="127">
        <v>50649.137549727289</v>
      </c>
      <c r="E11" s="127">
        <v>2819.7955432227322</v>
      </c>
      <c r="F11" s="127">
        <v>408.7017266465466</v>
      </c>
      <c r="G11" s="127">
        <v>1656.1022589600277</v>
      </c>
      <c r="H11" s="127">
        <v>4823.37307267902</v>
      </c>
    </row>
    <row r="12" spans="1:8" x14ac:dyDescent="0.25">
      <c r="A12" s="190" t="s">
        <v>539</v>
      </c>
      <c r="B12" s="204"/>
      <c r="C12" s="204"/>
      <c r="D12" s="204"/>
      <c r="E12" s="204"/>
      <c r="F12" s="204"/>
      <c r="G12" s="204"/>
      <c r="H12" s="204"/>
    </row>
    <row r="13" spans="1:8" s="21" customFormat="1" x14ac:dyDescent="0.25">
      <c r="A13" s="371" t="s">
        <v>458</v>
      </c>
      <c r="B13" s="128">
        <v>99354.482507554014</v>
      </c>
      <c r="C13" s="128">
        <v>48537.18699152433</v>
      </c>
      <c r="D13" s="128">
        <v>44045.115213038924</v>
      </c>
      <c r="E13" s="128">
        <v>2867.690922544783</v>
      </c>
      <c r="F13" s="128">
        <v>483.29121563452196</v>
      </c>
      <c r="G13" s="128">
        <v>2317.1567890475417</v>
      </c>
      <c r="H13" s="128">
        <v>1104.0413757099275</v>
      </c>
    </row>
    <row r="14" spans="1:8" x14ac:dyDescent="0.25">
      <c r="A14" s="61" t="s">
        <v>458</v>
      </c>
      <c r="B14" s="127">
        <v>99354.482507554014</v>
      </c>
      <c r="C14" s="127">
        <v>48537.18699152433</v>
      </c>
      <c r="D14" s="127">
        <v>44045.115213038924</v>
      </c>
      <c r="E14" s="127">
        <v>2867.690922544783</v>
      </c>
      <c r="F14" s="127">
        <v>483.29121563452196</v>
      </c>
      <c r="G14" s="127">
        <v>2317.1567890475417</v>
      </c>
      <c r="H14" s="127">
        <v>1104.0413757099275</v>
      </c>
    </row>
    <row r="15" spans="1:8" s="21" customFormat="1" x14ac:dyDescent="0.25">
      <c r="A15" s="371" t="s">
        <v>459</v>
      </c>
      <c r="B15" s="128">
        <v>65450.805448125931</v>
      </c>
      <c r="C15" s="128">
        <v>35322.221554136515</v>
      </c>
      <c r="D15" s="128">
        <v>24384.589301163131</v>
      </c>
      <c r="E15" s="128">
        <v>1779.6503560362594</v>
      </c>
      <c r="F15" s="128">
        <v>264.8996822772354</v>
      </c>
      <c r="G15" s="128">
        <v>642.40762603493249</v>
      </c>
      <c r="H15" s="128">
        <v>3057.0369284836665</v>
      </c>
    </row>
    <row r="16" spans="1:8" x14ac:dyDescent="0.25">
      <c r="A16" s="61" t="s">
        <v>459</v>
      </c>
      <c r="B16" s="127">
        <v>53985.558680336624</v>
      </c>
      <c r="C16" s="127">
        <v>29871.629923444754</v>
      </c>
      <c r="D16" s="127">
        <v>20124.441377885883</v>
      </c>
      <c r="E16" s="127">
        <v>1548.3330086735637</v>
      </c>
      <c r="F16" s="127">
        <v>239.40037833545856</v>
      </c>
      <c r="G16" s="127">
        <v>509.35614185519489</v>
      </c>
      <c r="H16" s="127">
        <v>1692.397850146431</v>
      </c>
    </row>
    <row r="17" spans="1:8" x14ac:dyDescent="0.25">
      <c r="A17" s="61" t="s">
        <v>460</v>
      </c>
      <c r="B17" s="127">
        <v>11465.246767794873</v>
      </c>
      <c r="C17" s="127">
        <v>5450.5916306944746</v>
      </c>
      <c r="D17" s="127">
        <v>4260.1479232789252</v>
      </c>
      <c r="E17" s="127">
        <v>231.31734736269215</v>
      </c>
      <c r="F17" s="127">
        <v>25.499303941776823</v>
      </c>
      <c r="G17" s="127">
        <v>133.05148417973848</v>
      </c>
      <c r="H17" s="127">
        <v>1364.6390783372392</v>
      </c>
    </row>
    <row r="18" spans="1:8" s="21" customFormat="1" x14ac:dyDescent="0.25">
      <c r="A18" s="371" t="s">
        <v>461</v>
      </c>
      <c r="B18" s="128">
        <v>16546.532797765351</v>
      </c>
      <c r="C18" s="128">
        <v>8512.9560130604059</v>
      </c>
      <c r="D18" s="128">
        <v>5224.3918921230052</v>
      </c>
      <c r="E18" s="128">
        <v>259.84860089801765</v>
      </c>
      <c r="F18" s="128">
        <v>15.942777139200933</v>
      </c>
      <c r="G18" s="128">
        <v>117.07582456537796</v>
      </c>
      <c r="H18" s="128">
        <v>2416.3176899799291</v>
      </c>
    </row>
    <row r="19" spans="1:8" x14ac:dyDescent="0.25">
      <c r="A19" s="61" t="s">
        <v>461</v>
      </c>
      <c r="B19" s="127">
        <v>16546.532797765351</v>
      </c>
      <c r="C19" s="127">
        <v>8512.9560130604059</v>
      </c>
      <c r="D19" s="127">
        <v>5224.3918921230052</v>
      </c>
      <c r="E19" s="127">
        <v>259.84860089801765</v>
      </c>
      <c r="F19" s="127">
        <v>15.942777139200933</v>
      </c>
      <c r="G19" s="127">
        <v>117.07582456537796</v>
      </c>
      <c r="H19" s="127">
        <v>2416.3176899799291</v>
      </c>
    </row>
    <row r="20" spans="1:8" s="21" customFormat="1" x14ac:dyDescent="0.25">
      <c r="A20" s="371" t="s">
        <v>462</v>
      </c>
      <c r="B20" s="128">
        <v>27614.065911228277</v>
      </c>
      <c r="C20" s="128">
        <v>12409.177816528703</v>
      </c>
      <c r="D20" s="128">
        <v>13457.38717361887</v>
      </c>
      <c r="E20" s="128">
        <v>918.59063499742479</v>
      </c>
      <c r="F20" s="128">
        <v>88.474203201048738</v>
      </c>
      <c r="G20" s="128">
        <v>388.87961716359683</v>
      </c>
      <c r="H20" s="128">
        <v>351.55646572336656</v>
      </c>
    </row>
    <row r="21" spans="1:8" x14ac:dyDescent="0.25">
      <c r="A21" s="61" t="s">
        <v>462</v>
      </c>
      <c r="B21" s="127">
        <v>27614.065911228277</v>
      </c>
      <c r="C21" s="127">
        <v>12409.177816528703</v>
      </c>
      <c r="D21" s="127">
        <v>13457.38717361887</v>
      </c>
      <c r="E21" s="127">
        <v>918.59063499742479</v>
      </c>
      <c r="F21" s="127">
        <v>88.474203201048738</v>
      </c>
      <c r="G21" s="127">
        <v>388.87961716359683</v>
      </c>
      <c r="H21" s="127">
        <v>351.55646572336656</v>
      </c>
    </row>
    <row r="22" spans="1:8" s="21" customFormat="1" x14ac:dyDescent="0.25">
      <c r="A22" s="371" t="s">
        <v>463</v>
      </c>
      <c r="B22" s="128">
        <v>20781.56162505041</v>
      </c>
      <c r="C22" s="128">
        <v>9122.6951204557481</v>
      </c>
      <c r="D22" s="128">
        <v>6376.2532800242952</v>
      </c>
      <c r="E22" s="128">
        <v>265.1531347326013</v>
      </c>
      <c r="F22" s="128">
        <v>21.834634611866946</v>
      </c>
      <c r="G22" s="128">
        <v>105.07097436671968</v>
      </c>
      <c r="H22" s="128">
        <v>4890.5544808610193</v>
      </c>
    </row>
    <row r="23" spans="1:8" x14ac:dyDescent="0.25">
      <c r="A23" s="61" t="s">
        <v>463</v>
      </c>
      <c r="B23" s="127">
        <v>20781.56162505041</v>
      </c>
      <c r="C23" s="127">
        <v>9122.6951204557481</v>
      </c>
      <c r="D23" s="127">
        <v>6376.2532800242952</v>
      </c>
      <c r="E23" s="127">
        <v>265.1531347326013</v>
      </c>
      <c r="F23" s="127">
        <v>21.834634611866946</v>
      </c>
      <c r="G23" s="127">
        <v>105.07097436671968</v>
      </c>
      <c r="H23" s="127">
        <v>4890.5544808610193</v>
      </c>
    </row>
    <row r="24" spans="1:8" s="21" customFormat="1" x14ac:dyDescent="0.25">
      <c r="A24" s="371" t="s">
        <v>464</v>
      </c>
      <c r="B24" s="128">
        <v>9369.3386820747764</v>
      </c>
      <c r="C24" s="128">
        <v>5108.755912915668</v>
      </c>
      <c r="D24" s="128">
        <v>3975.4208091216069</v>
      </c>
      <c r="E24" s="128">
        <v>154.23109437422707</v>
      </c>
      <c r="F24" s="128">
        <v>14.503821119680001</v>
      </c>
      <c r="G24" s="128">
        <v>71.863554532443459</v>
      </c>
      <c r="H24" s="128">
        <v>44.5634900110419</v>
      </c>
    </row>
    <row r="25" spans="1:8" x14ac:dyDescent="0.25">
      <c r="A25" s="61" t="s">
        <v>464</v>
      </c>
      <c r="B25" s="127">
        <v>2233.3696230042037</v>
      </c>
      <c r="C25" s="127">
        <v>1196.2154373515755</v>
      </c>
      <c r="D25" s="127">
        <v>952.99375414308133</v>
      </c>
      <c r="E25" s="127">
        <v>57.958288521363052</v>
      </c>
      <c r="F25" s="127">
        <v>1.1150599628096989</v>
      </c>
      <c r="G25" s="127">
        <v>15.563476327021052</v>
      </c>
      <c r="H25" s="127">
        <v>9.5236066983446026</v>
      </c>
    </row>
    <row r="26" spans="1:8" x14ac:dyDescent="0.25">
      <c r="A26" s="61" t="s">
        <v>465</v>
      </c>
      <c r="B26" s="127">
        <v>7135.9690590705422</v>
      </c>
      <c r="C26" s="127">
        <v>3912.5404755639947</v>
      </c>
      <c r="D26" s="127">
        <v>3022.4270549783978</v>
      </c>
      <c r="E26" s="127">
        <v>96.272805852864039</v>
      </c>
      <c r="F26" s="127">
        <v>13.388761156870302</v>
      </c>
      <c r="G26" s="127">
        <v>56.300078205422423</v>
      </c>
      <c r="H26" s="127">
        <v>35.039883312697285</v>
      </c>
    </row>
    <row r="27" spans="1:8" s="21" customFormat="1" x14ac:dyDescent="0.25">
      <c r="A27" s="371" t="s">
        <v>466</v>
      </c>
      <c r="B27" s="128">
        <v>4983.1432901126727</v>
      </c>
      <c r="C27" s="128">
        <v>2696.215661104713</v>
      </c>
      <c r="D27" s="128">
        <v>2114.583351021342</v>
      </c>
      <c r="E27" s="128">
        <v>103.32282420314264</v>
      </c>
      <c r="F27" s="128">
        <v>7.4323205685065501</v>
      </c>
      <c r="G27" s="128">
        <v>44.728065757982002</v>
      </c>
      <c r="H27" s="128">
        <v>16.86106745682827</v>
      </c>
    </row>
    <row r="28" spans="1:8" x14ac:dyDescent="0.25">
      <c r="A28" s="61" t="s">
        <v>466</v>
      </c>
      <c r="B28" s="127">
        <v>4983.1432901126727</v>
      </c>
      <c r="C28" s="127">
        <v>2696.215661104713</v>
      </c>
      <c r="D28" s="127">
        <v>2114.583351021342</v>
      </c>
      <c r="E28" s="127">
        <v>103.32282420314264</v>
      </c>
      <c r="F28" s="127">
        <v>7.4323205685065501</v>
      </c>
      <c r="G28" s="127">
        <v>44.728065757982002</v>
      </c>
      <c r="H28" s="127">
        <v>16.86106745682827</v>
      </c>
    </row>
    <row r="29" spans="1:8" s="21" customFormat="1" x14ac:dyDescent="0.25">
      <c r="A29" s="371" t="s">
        <v>467</v>
      </c>
      <c r="B29" s="128">
        <v>8359.6256179173815</v>
      </c>
      <c r="C29" s="128">
        <v>3813.7145782663188</v>
      </c>
      <c r="D29" s="128">
        <v>3758.3940610609729</v>
      </c>
      <c r="E29" s="128">
        <v>196.42535440087556</v>
      </c>
      <c r="F29" s="128">
        <v>96.221694137562992</v>
      </c>
      <c r="G29" s="128">
        <v>116.38702206952404</v>
      </c>
      <c r="H29" s="128">
        <v>378.48290798188799</v>
      </c>
    </row>
    <row r="30" spans="1:8" x14ac:dyDescent="0.25">
      <c r="A30" s="61" t="s">
        <v>467</v>
      </c>
      <c r="B30" s="127">
        <v>8359.6256179173815</v>
      </c>
      <c r="C30" s="127">
        <v>3813.7145782663188</v>
      </c>
      <c r="D30" s="127">
        <v>3758.3940610609729</v>
      </c>
      <c r="E30" s="127">
        <v>196.42535440087556</v>
      </c>
      <c r="F30" s="127">
        <v>96.221694137562992</v>
      </c>
      <c r="G30" s="127">
        <v>116.38702206952404</v>
      </c>
      <c r="H30" s="127">
        <v>378.48290798188799</v>
      </c>
    </row>
    <row r="31" spans="1:8" s="21" customFormat="1" x14ac:dyDescent="0.25">
      <c r="A31" s="371" t="s">
        <v>468</v>
      </c>
      <c r="B31" s="128">
        <v>4621.582817058068</v>
      </c>
      <c r="C31" s="128">
        <v>1959.3021218539757</v>
      </c>
      <c r="D31" s="128">
        <v>2462.8861561249669</v>
      </c>
      <c r="E31" s="128">
        <v>135.77976572013475</v>
      </c>
      <c r="F31" s="128">
        <v>7.2058903882733016</v>
      </c>
      <c r="G31" s="128">
        <v>52.837720423560576</v>
      </c>
      <c r="H31" s="128">
        <v>3.5711625471245778</v>
      </c>
    </row>
    <row r="32" spans="1:8" x14ac:dyDescent="0.25">
      <c r="A32" s="61" t="s">
        <v>468</v>
      </c>
      <c r="B32" s="127">
        <v>4621.582817058068</v>
      </c>
      <c r="C32" s="127">
        <v>1959.3021218539757</v>
      </c>
      <c r="D32" s="127">
        <v>2462.8861561249669</v>
      </c>
      <c r="E32" s="127">
        <v>135.77976572013475</v>
      </c>
      <c r="F32" s="127">
        <v>7.2058903882733016</v>
      </c>
      <c r="G32" s="127">
        <v>52.837720423560576</v>
      </c>
      <c r="H32" s="127">
        <v>3.5711625471245778</v>
      </c>
    </row>
  </sheetData>
  <mergeCells count="4">
    <mergeCell ref="A1:H1"/>
    <mergeCell ref="A2:A3"/>
    <mergeCell ref="B2:B3"/>
    <mergeCell ref="C2:H2"/>
  </mergeCells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D4D4D"/>
  </sheetPr>
  <dimension ref="A1"/>
  <sheetViews>
    <sheetView topLeftCell="A13" workbookViewId="0">
      <selection activeCell="S36" sqref="S36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120" zoomScaleNormal="120" workbookViewId="0">
      <selection activeCell="B7" sqref="B7:B8"/>
    </sheetView>
  </sheetViews>
  <sheetFormatPr defaultRowHeight="12" x14ac:dyDescent="0.2"/>
  <cols>
    <col min="1" max="1" width="21.5703125" style="322" customWidth="1"/>
    <col min="2" max="4" width="9.140625" style="322"/>
    <col min="5" max="5" width="16.7109375" style="322" customWidth="1"/>
    <col min="6" max="16384" width="9.140625" style="322"/>
  </cols>
  <sheetData>
    <row r="1" spans="1:5" ht="28.5" customHeight="1" x14ac:dyDescent="0.2">
      <c r="A1" s="475" t="s">
        <v>509</v>
      </c>
      <c r="B1" s="475"/>
      <c r="C1" s="475"/>
      <c r="D1" s="475"/>
      <c r="E1" s="475"/>
    </row>
    <row r="2" spans="1:5" ht="15" customHeight="1" x14ac:dyDescent="0.2">
      <c r="A2" s="476" t="s">
        <v>501</v>
      </c>
      <c r="B2" s="478" t="s">
        <v>8</v>
      </c>
      <c r="C2" s="479" t="s">
        <v>138</v>
      </c>
      <c r="D2" s="479"/>
      <c r="E2" s="479"/>
    </row>
    <row r="3" spans="1:5" x14ac:dyDescent="0.2">
      <c r="A3" s="477"/>
      <c r="B3" s="478"/>
      <c r="C3" s="256" t="s">
        <v>1</v>
      </c>
      <c r="D3" s="256" t="s">
        <v>2</v>
      </c>
      <c r="E3" s="256" t="s">
        <v>3</v>
      </c>
    </row>
    <row r="4" spans="1:5" x14ac:dyDescent="0.2">
      <c r="A4" s="142" t="s">
        <v>457</v>
      </c>
      <c r="B4" s="143">
        <v>411074.26798693807</v>
      </c>
      <c r="C4" s="143">
        <v>206748.36366080868</v>
      </c>
      <c r="D4" s="143">
        <v>101482.19830579372</v>
      </c>
      <c r="E4" s="143">
        <v>105266.16535493008</v>
      </c>
    </row>
    <row r="5" spans="1:5" x14ac:dyDescent="0.2">
      <c r="A5" s="35"/>
      <c r="B5" s="144"/>
      <c r="C5" s="144"/>
      <c r="D5" s="144"/>
      <c r="E5" s="144"/>
    </row>
    <row r="6" spans="1:5" x14ac:dyDescent="0.2">
      <c r="A6" s="142" t="s">
        <v>453</v>
      </c>
      <c r="B6" s="145"/>
      <c r="C6" s="145"/>
      <c r="D6" s="145"/>
      <c r="E6" s="145"/>
    </row>
    <row r="7" spans="1:5" x14ac:dyDescent="0.2">
      <c r="A7" s="146" t="s">
        <v>209</v>
      </c>
      <c r="B7" s="120">
        <v>218934.65480195626</v>
      </c>
      <c r="C7" s="120">
        <v>129181.39864469813</v>
      </c>
      <c r="D7" s="120">
        <v>63331.830095477766</v>
      </c>
      <c r="E7" s="120">
        <v>65849.568549111063</v>
      </c>
    </row>
    <row r="8" spans="1:5" x14ac:dyDescent="0.2">
      <c r="A8" s="146" t="s">
        <v>6</v>
      </c>
      <c r="B8" s="120">
        <v>192139.61318710737</v>
      </c>
      <c r="C8" s="120">
        <v>77566.965016029048</v>
      </c>
      <c r="D8" s="120">
        <v>38150.368210255845</v>
      </c>
      <c r="E8" s="120">
        <v>39416.596805754896</v>
      </c>
    </row>
    <row r="9" spans="1:5" x14ac:dyDescent="0.2">
      <c r="A9" s="142" t="s">
        <v>282</v>
      </c>
      <c r="B9" s="145"/>
      <c r="C9" s="145"/>
      <c r="D9" s="145"/>
      <c r="E9" s="145"/>
    </row>
    <row r="10" spans="1:5" x14ac:dyDescent="0.2">
      <c r="A10" s="371" t="s">
        <v>458</v>
      </c>
      <c r="B10" s="147">
        <v>156975.0785816448</v>
      </c>
      <c r="C10" s="147">
        <v>98674.305368165631</v>
      </c>
      <c r="D10" s="147">
        <v>47894.688323341128</v>
      </c>
      <c r="E10" s="147">
        <v>50779.617044769999</v>
      </c>
    </row>
    <row r="11" spans="1:5" x14ac:dyDescent="0.2">
      <c r="A11" s="61" t="s">
        <v>458</v>
      </c>
      <c r="B11" s="148">
        <v>156975.0785816448</v>
      </c>
      <c r="C11" s="148">
        <v>98674.305368165631</v>
      </c>
      <c r="D11" s="148">
        <v>47894.688323341128</v>
      </c>
      <c r="E11" s="148">
        <v>50779.617044769999</v>
      </c>
    </row>
    <row r="12" spans="1:5" x14ac:dyDescent="0.2">
      <c r="A12" s="371" t="s">
        <v>459</v>
      </c>
      <c r="B12" s="147">
        <v>100312.89173039446</v>
      </c>
      <c r="C12" s="147">
        <v>48684.985611046708</v>
      </c>
      <c r="D12" s="147">
        <v>23693.786568500615</v>
      </c>
      <c r="E12" s="147">
        <v>24991.19904254856</v>
      </c>
    </row>
    <row r="13" spans="1:5" x14ac:dyDescent="0.2">
      <c r="A13" s="61" t="s">
        <v>459</v>
      </c>
      <c r="B13" s="148">
        <v>83409.035278254611</v>
      </c>
      <c r="C13" s="148">
        <v>44647.1071826322</v>
      </c>
      <c r="D13" s="148">
        <v>21590.048989842704</v>
      </c>
      <c r="E13" s="148">
        <v>23057.058192792472</v>
      </c>
    </row>
    <row r="14" spans="1:5" x14ac:dyDescent="0.2">
      <c r="A14" s="61" t="s">
        <v>460</v>
      </c>
      <c r="B14" s="148">
        <v>16903.856452115277</v>
      </c>
      <c r="C14" s="148">
        <v>4037.8784284150051</v>
      </c>
      <c r="D14" s="148">
        <v>2103.737578658347</v>
      </c>
      <c r="E14" s="148">
        <v>1934.1408497566351</v>
      </c>
    </row>
    <row r="15" spans="1:5" x14ac:dyDescent="0.2">
      <c r="A15" s="371" t="s">
        <v>461</v>
      </c>
      <c r="B15" s="147">
        <v>27801.462012379066</v>
      </c>
      <c r="C15" s="147">
        <v>16498.696001589342</v>
      </c>
      <c r="D15" s="147">
        <v>8785.1278545835448</v>
      </c>
      <c r="E15" s="147">
        <v>7713.5681470054787</v>
      </c>
    </row>
    <row r="16" spans="1:5" x14ac:dyDescent="0.2">
      <c r="A16" s="61" t="s">
        <v>461</v>
      </c>
      <c r="B16" s="148">
        <v>27801.462012379066</v>
      </c>
      <c r="C16" s="148">
        <v>16498.696001589342</v>
      </c>
      <c r="D16" s="148">
        <v>8785.1278545835448</v>
      </c>
      <c r="E16" s="148">
        <v>7713.5681470054787</v>
      </c>
    </row>
    <row r="17" spans="1:5" x14ac:dyDescent="0.2">
      <c r="A17" s="371" t="s">
        <v>462</v>
      </c>
      <c r="B17" s="147">
        <v>41266.431889500716</v>
      </c>
      <c r="C17" s="147">
        <v>23274.472702418283</v>
      </c>
      <c r="D17" s="147">
        <v>11623.636821071615</v>
      </c>
      <c r="E17" s="147">
        <v>11650.835881348998</v>
      </c>
    </row>
    <row r="18" spans="1:5" x14ac:dyDescent="0.2">
      <c r="A18" s="61" t="s">
        <v>462</v>
      </c>
      <c r="B18" s="148">
        <v>41266.431889500716</v>
      </c>
      <c r="C18" s="148">
        <v>23274.472702418283</v>
      </c>
      <c r="D18" s="148">
        <v>11623.636821071615</v>
      </c>
      <c r="E18" s="148">
        <v>11650.835881348998</v>
      </c>
    </row>
    <row r="19" spans="1:5" x14ac:dyDescent="0.2">
      <c r="A19" s="371" t="s">
        <v>463</v>
      </c>
      <c r="B19" s="147">
        <v>40882.313347504591</v>
      </c>
      <c r="C19" s="147">
        <v>11109.794287890487</v>
      </c>
      <c r="D19" s="147">
        <v>4924.7784245563998</v>
      </c>
      <c r="E19" s="147">
        <v>6185.0158633341953</v>
      </c>
    </row>
    <row r="20" spans="1:5" x14ac:dyDescent="0.2">
      <c r="A20" s="61" t="s">
        <v>463</v>
      </c>
      <c r="B20" s="148">
        <v>40882.313347504591</v>
      </c>
      <c r="C20" s="148">
        <v>11109.794287890487</v>
      </c>
      <c r="D20" s="148">
        <v>4924.7784245563998</v>
      </c>
      <c r="E20" s="148">
        <v>6185.0158633341953</v>
      </c>
    </row>
    <row r="21" spans="1:5" x14ac:dyDescent="0.2">
      <c r="A21" s="371" t="s">
        <v>464</v>
      </c>
      <c r="B21" s="148">
        <v>14466.306815180838</v>
      </c>
      <c r="C21" s="148">
        <v>2028.5568524650203</v>
      </c>
      <c r="D21" s="148">
        <v>1173.4344376023141</v>
      </c>
      <c r="E21" s="148">
        <v>855.12241486270887</v>
      </c>
    </row>
    <row r="22" spans="1:5" x14ac:dyDescent="0.2">
      <c r="A22" s="61" t="s">
        <v>464</v>
      </c>
      <c r="B22" s="148">
        <v>3485.7153016918705</v>
      </c>
      <c r="C22" s="148">
        <v>612.46456025427653</v>
      </c>
      <c r="D22" s="148">
        <v>350.70661444770815</v>
      </c>
      <c r="E22" s="148">
        <v>261.75794580656742</v>
      </c>
    </row>
    <row r="23" spans="1:5" x14ac:dyDescent="0.2">
      <c r="A23" s="61" t="s">
        <v>465</v>
      </c>
      <c r="B23" s="148">
        <v>10980.591513489273</v>
      </c>
      <c r="C23" s="148">
        <v>1416.0922922107479</v>
      </c>
      <c r="D23" s="148">
        <v>822.72782315460677</v>
      </c>
      <c r="E23" s="148">
        <v>593.36446905614105</v>
      </c>
    </row>
    <row r="24" spans="1:5" x14ac:dyDescent="0.2">
      <c r="A24" s="371" t="s">
        <v>466</v>
      </c>
      <c r="B24" s="147">
        <v>8577.8196581577376</v>
      </c>
      <c r="C24" s="147">
        <v>891.51663316369149</v>
      </c>
      <c r="D24" s="147">
        <v>478.81281505435101</v>
      </c>
      <c r="E24" s="147">
        <v>412.7038181093393</v>
      </c>
    </row>
    <row r="25" spans="1:5" x14ac:dyDescent="0.2">
      <c r="A25" s="61" t="s">
        <v>466</v>
      </c>
      <c r="B25" s="148">
        <v>8577.8196581577376</v>
      </c>
      <c r="C25" s="148">
        <v>891.51663316369149</v>
      </c>
      <c r="D25" s="148">
        <v>478.81281505435101</v>
      </c>
      <c r="E25" s="148">
        <v>412.7038181093393</v>
      </c>
    </row>
    <row r="26" spans="1:5" x14ac:dyDescent="0.2">
      <c r="A26" s="371" t="s">
        <v>467</v>
      </c>
      <c r="B26" s="147">
        <v>13445.093834173796</v>
      </c>
      <c r="C26" s="147">
        <v>3853.8731343116206</v>
      </c>
      <c r="D26" s="147">
        <v>1988.7452954017926</v>
      </c>
      <c r="E26" s="147">
        <v>1865.1278389098154</v>
      </c>
    </row>
    <row r="27" spans="1:5" x14ac:dyDescent="0.2">
      <c r="A27" s="61" t="s">
        <v>467</v>
      </c>
      <c r="B27" s="148">
        <v>13445.093834173796</v>
      </c>
      <c r="C27" s="148">
        <v>3853.8731343116206</v>
      </c>
      <c r="D27" s="148">
        <v>1988.7452954017926</v>
      </c>
      <c r="E27" s="148">
        <v>1865.1278389098154</v>
      </c>
    </row>
    <row r="28" spans="1:5" x14ac:dyDescent="0.2">
      <c r="A28" s="371" t="s">
        <v>468</v>
      </c>
      <c r="B28" s="147">
        <v>7346.8701198703457</v>
      </c>
      <c r="C28" s="147">
        <v>1732.1630696118375</v>
      </c>
      <c r="D28" s="147">
        <v>919.18776562903054</v>
      </c>
      <c r="E28" s="147">
        <v>812.9753039828089</v>
      </c>
    </row>
    <row r="29" spans="1:5" x14ac:dyDescent="0.2">
      <c r="A29" s="61" t="s">
        <v>468</v>
      </c>
      <c r="B29" s="148">
        <v>7346.8701198703457</v>
      </c>
      <c r="C29" s="148">
        <v>1732.1630696118375</v>
      </c>
      <c r="D29" s="148">
        <v>919.18776562903054</v>
      </c>
      <c r="E29" s="148">
        <v>812.9753039828089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zoomScale="120" zoomScaleNormal="120" workbookViewId="0">
      <selection activeCell="E4" sqref="E4"/>
    </sheetView>
  </sheetViews>
  <sheetFormatPr defaultRowHeight="12" x14ac:dyDescent="0.2"/>
  <cols>
    <col min="1" max="1" width="17.28515625" style="322" customWidth="1"/>
    <col min="2" max="2" width="12.85546875" style="409" customWidth="1"/>
    <col min="3" max="3" width="11.140625" style="322" customWidth="1"/>
    <col min="4" max="4" width="11.28515625" style="322" customWidth="1"/>
    <col min="5" max="5" width="11.7109375" style="322" customWidth="1"/>
    <col min="6" max="16384" width="9.140625" style="322"/>
  </cols>
  <sheetData>
    <row r="1" spans="1:5" ht="37.5" customHeight="1" x14ac:dyDescent="0.2">
      <c r="A1" s="480" t="s">
        <v>510</v>
      </c>
      <c r="B1" s="480"/>
      <c r="C1" s="480"/>
      <c r="D1" s="480"/>
      <c r="E1" s="480"/>
    </row>
    <row r="2" spans="1:5" ht="15" customHeight="1" x14ac:dyDescent="0.2">
      <c r="A2" s="481" t="s">
        <v>511</v>
      </c>
      <c r="B2" s="478" t="s">
        <v>8</v>
      </c>
      <c r="C2" s="479" t="s">
        <v>138</v>
      </c>
      <c r="D2" s="479"/>
      <c r="E2" s="479"/>
    </row>
    <row r="3" spans="1:5" ht="21" customHeight="1" x14ac:dyDescent="0.2">
      <c r="A3" s="481"/>
      <c r="B3" s="478"/>
      <c r="C3" s="256" t="s">
        <v>1</v>
      </c>
      <c r="D3" s="256" t="s">
        <v>2</v>
      </c>
      <c r="E3" s="256" t="s">
        <v>3</v>
      </c>
    </row>
    <row r="4" spans="1:5" x14ac:dyDescent="0.2">
      <c r="A4" s="149" t="s">
        <v>457</v>
      </c>
      <c r="B4" s="404">
        <v>411074.26798693807</v>
      </c>
      <c r="C4" s="150">
        <v>206748.36366080868</v>
      </c>
      <c r="D4" s="150">
        <v>101482.19830579372</v>
      </c>
      <c r="E4" s="150">
        <v>105266.16535493008</v>
      </c>
    </row>
    <row r="5" spans="1:5" x14ac:dyDescent="0.2">
      <c r="A5" s="24"/>
      <c r="B5" s="405"/>
      <c r="C5" s="121"/>
      <c r="D5" s="121"/>
      <c r="E5" s="121"/>
    </row>
    <row r="6" spans="1:5" x14ac:dyDescent="0.2">
      <c r="A6" s="151" t="s">
        <v>97</v>
      </c>
      <c r="B6" s="406"/>
      <c r="C6" s="152"/>
      <c r="D6" s="152"/>
      <c r="E6" s="152"/>
    </row>
    <row r="7" spans="1:5" x14ac:dyDescent="0.2">
      <c r="A7" s="24" t="s">
        <v>5</v>
      </c>
      <c r="B7" s="405">
        <v>218934.65480195626</v>
      </c>
      <c r="C7" s="121">
        <v>129181.39864469813</v>
      </c>
      <c r="D7" s="121">
        <v>63331.830095477766</v>
      </c>
      <c r="E7" s="121">
        <v>65849.568549111063</v>
      </c>
    </row>
    <row r="8" spans="1:5" x14ac:dyDescent="0.2">
      <c r="A8" s="24" t="s">
        <v>6</v>
      </c>
      <c r="B8" s="405">
        <v>192139.61318710737</v>
      </c>
      <c r="C8" s="121">
        <v>77566.965016029048</v>
      </c>
      <c r="D8" s="121">
        <v>38150.368210255845</v>
      </c>
      <c r="E8" s="121">
        <v>39416.596805754896</v>
      </c>
    </row>
    <row r="9" spans="1:5" x14ac:dyDescent="0.2">
      <c r="A9" s="153" t="s">
        <v>141</v>
      </c>
      <c r="B9" s="407"/>
      <c r="C9" s="154"/>
      <c r="D9" s="154"/>
      <c r="E9" s="154"/>
    </row>
    <row r="10" spans="1:5" x14ac:dyDescent="0.2">
      <c r="A10" s="155" t="s">
        <v>10</v>
      </c>
      <c r="B10" s="408">
        <v>69215.120319380658</v>
      </c>
      <c r="C10" s="122">
        <v>24270.525565792392</v>
      </c>
      <c r="D10" s="122">
        <v>11214.722315448964</v>
      </c>
      <c r="E10" s="122">
        <v>13055.803250338142</v>
      </c>
    </row>
    <row r="11" spans="1:5" x14ac:dyDescent="0.2">
      <c r="A11" s="155" t="s">
        <v>142</v>
      </c>
      <c r="B11" s="408">
        <v>62152.327267017819</v>
      </c>
      <c r="C11" s="122">
        <v>27890.994849747636</v>
      </c>
      <c r="D11" s="122">
        <v>13689.59116341186</v>
      </c>
      <c r="E11" s="122">
        <v>14201.403686341204</v>
      </c>
    </row>
    <row r="12" spans="1:5" x14ac:dyDescent="0.2">
      <c r="A12" s="155" t="s">
        <v>143</v>
      </c>
      <c r="B12" s="408">
        <v>53948.831120631803</v>
      </c>
      <c r="C12" s="122">
        <v>25734.468881674977</v>
      </c>
      <c r="D12" s="122">
        <v>12992.678686656218</v>
      </c>
      <c r="E12" s="122">
        <v>12741.790195024187</v>
      </c>
    </row>
    <row r="13" spans="1:5" x14ac:dyDescent="0.2">
      <c r="A13" s="155" t="s">
        <v>144</v>
      </c>
      <c r="B13" s="408">
        <v>47392.090575437745</v>
      </c>
      <c r="C13" s="122">
        <v>23639.266103884591</v>
      </c>
      <c r="D13" s="122">
        <v>11622.400097494812</v>
      </c>
      <c r="E13" s="122">
        <v>12016.866006388538</v>
      </c>
    </row>
    <row r="14" spans="1:5" x14ac:dyDescent="0.2">
      <c r="A14" s="155" t="s">
        <v>145</v>
      </c>
      <c r="B14" s="408">
        <v>41935.770971530743</v>
      </c>
      <c r="C14" s="122">
        <v>21748.306725826518</v>
      </c>
      <c r="D14" s="122">
        <v>10268.444210137577</v>
      </c>
      <c r="E14" s="122">
        <v>11479.862515696859</v>
      </c>
    </row>
    <row r="15" spans="1:5" x14ac:dyDescent="0.2">
      <c r="A15" s="155" t="s">
        <v>146</v>
      </c>
      <c r="B15" s="408">
        <v>29582.956772321326</v>
      </c>
      <c r="C15" s="122">
        <v>16689.569982518682</v>
      </c>
      <c r="D15" s="122">
        <v>8504.2782556095372</v>
      </c>
      <c r="E15" s="122">
        <v>8185.291726909506</v>
      </c>
    </row>
    <row r="16" spans="1:5" x14ac:dyDescent="0.2">
      <c r="A16" s="155" t="s">
        <v>147</v>
      </c>
      <c r="B16" s="408">
        <v>23909.774250464416</v>
      </c>
      <c r="C16" s="122">
        <v>14173.001556802326</v>
      </c>
      <c r="D16" s="122">
        <v>7243.3626055683462</v>
      </c>
      <c r="E16" s="122">
        <v>6929.6389512308579</v>
      </c>
    </row>
    <row r="17" spans="1:5" x14ac:dyDescent="0.2">
      <c r="A17" s="155" t="s">
        <v>148</v>
      </c>
      <c r="B17" s="408">
        <v>17232.122170183738</v>
      </c>
      <c r="C17" s="122">
        <v>10869.453678595546</v>
      </c>
      <c r="D17" s="122">
        <v>5295.5040930954265</v>
      </c>
      <c r="E17" s="122">
        <v>5573.949585499382</v>
      </c>
    </row>
    <row r="18" spans="1:5" x14ac:dyDescent="0.2">
      <c r="A18" s="155" t="s">
        <v>149</v>
      </c>
      <c r="B18" s="408">
        <v>15752.95923768383</v>
      </c>
      <c r="C18" s="122">
        <v>9869.0658009082144</v>
      </c>
      <c r="D18" s="122">
        <v>4852.0072002167281</v>
      </c>
      <c r="E18" s="122">
        <v>5017.0586006914709</v>
      </c>
    </row>
    <row r="19" spans="1:5" x14ac:dyDescent="0.2">
      <c r="A19" s="155" t="s">
        <v>150</v>
      </c>
      <c r="B19" s="408">
        <v>11959.09206414348</v>
      </c>
      <c r="C19" s="122">
        <v>7914.3833161853472</v>
      </c>
      <c r="D19" s="122">
        <v>3867.3092414711232</v>
      </c>
      <c r="E19" s="122">
        <v>4047.0740747138357</v>
      </c>
    </row>
    <row r="20" spans="1:5" x14ac:dyDescent="0.2">
      <c r="A20" s="155" t="s">
        <v>151</v>
      </c>
      <c r="B20" s="408">
        <v>9993.5055322411226</v>
      </c>
      <c r="C20" s="122">
        <v>6437.2367588159532</v>
      </c>
      <c r="D20" s="122">
        <v>3292.534840445082</v>
      </c>
      <c r="E20" s="122">
        <v>3144.7019183704829</v>
      </c>
    </row>
    <row r="21" spans="1:5" x14ac:dyDescent="0.2">
      <c r="A21" s="155" t="s">
        <v>152</v>
      </c>
      <c r="B21" s="408">
        <v>6902.0234658184927</v>
      </c>
      <c r="C21" s="122">
        <v>4608.8391785973117</v>
      </c>
      <c r="D21" s="122">
        <v>2213.945840988807</v>
      </c>
      <c r="E21" s="122">
        <v>2394.8933376081163</v>
      </c>
    </row>
    <row r="22" spans="1:5" x14ac:dyDescent="0.2">
      <c r="A22" s="155" t="s">
        <v>153</v>
      </c>
      <c r="B22" s="408">
        <v>6611.0882751756817</v>
      </c>
      <c r="C22" s="122">
        <v>4243.3961952289028</v>
      </c>
      <c r="D22" s="122">
        <v>1995.1531163184106</v>
      </c>
      <c r="E22" s="122">
        <v>2248.243078910114</v>
      </c>
    </row>
    <row r="23" spans="1:5" x14ac:dyDescent="0.2">
      <c r="A23" s="155" t="s">
        <v>154</v>
      </c>
      <c r="B23" s="408">
        <v>14486.605966537485</v>
      </c>
      <c r="C23" s="122">
        <v>8659.855066046679</v>
      </c>
      <c r="D23" s="122">
        <v>4430.2666388873267</v>
      </c>
      <c r="E23" s="122">
        <v>4229.5884271605364</v>
      </c>
    </row>
    <row r="24" spans="1:5" ht="15" customHeight="1" x14ac:dyDescent="0.2"/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zoomScale="120" zoomScaleNormal="120" workbookViewId="0">
      <selection activeCell="B7" sqref="B7:B8"/>
    </sheetView>
  </sheetViews>
  <sheetFormatPr defaultRowHeight="12" x14ac:dyDescent="0.2"/>
  <cols>
    <col min="1" max="1" width="16" style="322" customWidth="1"/>
    <col min="2" max="2" width="9" style="322" customWidth="1"/>
    <col min="3" max="16384" width="9.140625" style="322"/>
  </cols>
  <sheetData>
    <row r="1" spans="1:5" ht="33.75" customHeight="1" x14ac:dyDescent="0.2">
      <c r="A1" s="482" t="s">
        <v>513</v>
      </c>
      <c r="B1" s="482"/>
      <c r="C1" s="482"/>
      <c r="D1" s="482"/>
      <c r="E1" s="482"/>
    </row>
    <row r="2" spans="1:5" ht="15" customHeight="1" x14ac:dyDescent="0.2">
      <c r="A2" s="481" t="s">
        <v>511</v>
      </c>
      <c r="B2" s="483" t="s">
        <v>564</v>
      </c>
      <c r="C2" s="479" t="s">
        <v>448</v>
      </c>
      <c r="D2" s="479"/>
      <c r="E2" s="479"/>
    </row>
    <row r="3" spans="1:5" ht="19.5" customHeight="1" x14ac:dyDescent="0.2">
      <c r="A3" s="481"/>
      <c r="B3" s="483"/>
      <c r="C3" s="256" t="s">
        <v>469</v>
      </c>
      <c r="D3" s="256" t="s">
        <v>2</v>
      </c>
      <c r="E3" s="256" t="s">
        <v>3</v>
      </c>
    </row>
    <row r="4" spans="1:5" x14ac:dyDescent="0.2">
      <c r="A4" s="156" t="s">
        <v>457</v>
      </c>
      <c r="B4" s="145">
        <v>341859.14766858099</v>
      </c>
      <c r="C4" s="145">
        <v>131750.06302747611</v>
      </c>
      <c r="D4" s="145">
        <v>65963.322956035277</v>
      </c>
      <c r="E4" s="145">
        <v>65786.74007133329</v>
      </c>
    </row>
    <row r="5" spans="1:5" x14ac:dyDescent="0.2">
      <c r="A5" s="22"/>
      <c r="B5" s="144"/>
      <c r="C5" s="144"/>
      <c r="D5" s="144"/>
      <c r="E5" s="144"/>
    </row>
    <row r="6" spans="1:5" x14ac:dyDescent="0.2">
      <c r="A6" s="156" t="s">
        <v>97</v>
      </c>
      <c r="B6" s="145"/>
      <c r="C6" s="145"/>
      <c r="D6" s="145"/>
      <c r="E6" s="145"/>
    </row>
    <row r="7" spans="1:5" x14ac:dyDescent="0.2">
      <c r="A7" s="23" t="s">
        <v>5</v>
      </c>
      <c r="B7" s="120">
        <v>185958.1442175894</v>
      </c>
      <c r="C7" s="120">
        <v>87241.571948948476</v>
      </c>
      <c r="D7" s="120">
        <v>43342.657406387989</v>
      </c>
      <c r="E7" s="120">
        <v>43898.914542523875</v>
      </c>
    </row>
    <row r="8" spans="1:5" x14ac:dyDescent="0.2">
      <c r="A8" s="23" t="s">
        <v>6</v>
      </c>
      <c r="B8" s="120">
        <v>155901.00345208272</v>
      </c>
      <c r="C8" s="120">
        <v>44508.491078458414</v>
      </c>
      <c r="D8" s="120">
        <v>22620.665549649533</v>
      </c>
      <c r="E8" s="120">
        <v>21887.825528812195</v>
      </c>
    </row>
    <row r="9" spans="1:5" x14ac:dyDescent="0.2">
      <c r="A9" s="157" t="s">
        <v>141</v>
      </c>
      <c r="B9" s="145"/>
      <c r="C9" s="145"/>
      <c r="D9" s="145"/>
      <c r="E9" s="145"/>
    </row>
    <row r="10" spans="1:5" x14ac:dyDescent="0.2">
      <c r="A10" s="63" t="s">
        <v>142</v>
      </c>
      <c r="B10" s="120">
        <v>62152.327267017819</v>
      </c>
      <c r="C10" s="120">
        <v>10673.35396401344</v>
      </c>
      <c r="D10" s="120">
        <v>5210.675206209582</v>
      </c>
      <c r="E10" s="120">
        <v>5462.6787578046278</v>
      </c>
    </row>
    <row r="11" spans="1:5" x14ac:dyDescent="0.2">
      <c r="A11" s="63" t="s">
        <v>143</v>
      </c>
      <c r="B11" s="120">
        <v>53948.831120631803</v>
      </c>
      <c r="C11" s="120">
        <v>14280.572943700645</v>
      </c>
      <c r="D11" s="120">
        <v>7272.4210774451558</v>
      </c>
      <c r="E11" s="120">
        <v>7008.1518662592007</v>
      </c>
    </row>
    <row r="12" spans="1:5" x14ac:dyDescent="0.2">
      <c r="A12" s="63" t="s">
        <v>144</v>
      </c>
      <c r="B12" s="120">
        <v>47392.090575437745</v>
      </c>
      <c r="C12" s="120">
        <v>16831.740797370137</v>
      </c>
      <c r="D12" s="120">
        <v>8269.4398718981411</v>
      </c>
      <c r="E12" s="120">
        <v>8562.3009254707558</v>
      </c>
    </row>
    <row r="13" spans="1:5" x14ac:dyDescent="0.2">
      <c r="A13" s="63" t="s">
        <v>145</v>
      </c>
      <c r="B13" s="120">
        <v>41935.770971530743</v>
      </c>
      <c r="C13" s="120">
        <v>17226.490055635109</v>
      </c>
      <c r="D13" s="120">
        <v>8188.9442444137048</v>
      </c>
      <c r="E13" s="120">
        <v>9037.5458112225679</v>
      </c>
    </row>
    <row r="14" spans="1:5" x14ac:dyDescent="0.2">
      <c r="A14" s="63" t="s">
        <v>146</v>
      </c>
      <c r="B14" s="120">
        <v>29582.956772321326</v>
      </c>
      <c r="C14" s="120">
        <v>14118.197659563155</v>
      </c>
      <c r="D14" s="120">
        <v>7329.3851250922444</v>
      </c>
      <c r="E14" s="120">
        <v>6788.812534470816</v>
      </c>
    </row>
    <row r="15" spans="1:5" x14ac:dyDescent="0.2">
      <c r="A15" s="63" t="s">
        <v>147</v>
      </c>
      <c r="B15" s="120">
        <v>23909.774250464416</v>
      </c>
      <c r="C15" s="120">
        <v>12153.326786106114</v>
      </c>
      <c r="D15" s="120">
        <v>6319.8307235226475</v>
      </c>
      <c r="E15" s="120">
        <v>5833.4960625818021</v>
      </c>
    </row>
    <row r="16" spans="1:5" x14ac:dyDescent="0.2">
      <c r="A16" s="63" t="s">
        <v>148</v>
      </c>
      <c r="B16" s="120">
        <v>17232.122170183738</v>
      </c>
      <c r="C16" s="120">
        <v>9395.3304835147173</v>
      </c>
      <c r="D16" s="120">
        <v>4649.1577690989143</v>
      </c>
      <c r="E16" s="120">
        <v>4746.1727144161296</v>
      </c>
    </row>
    <row r="17" spans="1:5" x14ac:dyDescent="0.2">
      <c r="A17" s="63" t="s">
        <v>149</v>
      </c>
      <c r="B17" s="120">
        <v>15752.95923768383</v>
      </c>
      <c r="C17" s="120">
        <v>8631.8102645241343</v>
      </c>
      <c r="D17" s="120">
        <v>4320.3149025041976</v>
      </c>
      <c r="E17" s="120">
        <v>4311.4953620208144</v>
      </c>
    </row>
    <row r="18" spans="1:5" x14ac:dyDescent="0.2">
      <c r="A18" s="63" t="s">
        <v>150</v>
      </c>
      <c r="B18" s="120">
        <v>11959.09206414348</v>
      </c>
      <c r="C18" s="120">
        <v>7022.6551302313655</v>
      </c>
      <c r="D18" s="120">
        <v>3497.1356045963271</v>
      </c>
      <c r="E18" s="120">
        <v>3525.5195256346501</v>
      </c>
    </row>
    <row r="19" spans="1:5" x14ac:dyDescent="0.2">
      <c r="A19" s="63" t="s">
        <v>151</v>
      </c>
      <c r="B19" s="120">
        <v>9993.5055322411226</v>
      </c>
      <c r="C19" s="120">
        <v>5750.1093370132166</v>
      </c>
      <c r="D19" s="120">
        <v>2995.686332919287</v>
      </c>
      <c r="E19" s="120">
        <v>2754.4230040935413</v>
      </c>
    </row>
    <row r="20" spans="1:5" x14ac:dyDescent="0.2">
      <c r="A20" s="63" t="s">
        <v>152</v>
      </c>
      <c r="B20" s="123">
        <v>6902.0234658184927</v>
      </c>
      <c r="C20" s="123">
        <v>4145.235134971369</v>
      </c>
      <c r="D20" s="123">
        <v>2024.7197007333248</v>
      </c>
      <c r="E20" s="123">
        <v>2120.5154342376604</v>
      </c>
    </row>
    <row r="21" spans="1:5" x14ac:dyDescent="0.2">
      <c r="A21" s="63" t="s">
        <v>153</v>
      </c>
      <c r="B21" s="120">
        <v>6611.0882751756817</v>
      </c>
      <c r="C21" s="120">
        <v>3775.0614980965734</v>
      </c>
      <c r="D21" s="120">
        <v>1814.2056196991362</v>
      </c>
      <c r="E21" s="120">
        <v>1960.8558783971102</v>
      </c>
    </row>
    <row r="22" spans="1:5" x14ac:dyDescent="0.2">
      <c r="A22" s="63" t="s">
        <v>154</v>
      </c>
      <c r="B22" s="120">
        <v>14486.605966537485</v>
      </c>
      <c r="C22" s="120">
        <v>7746.1789726552915</v>
      </c>
      <c r="D22" s="120">
        <v>4071.4067779170568</v>
      </c>
      <c r="E22" s="120">
        <v>3674.7721947392479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120" zoomScaleNormal="120" workbookViewId="0">
      <selection activeCell="H13" sqref="H13"/>
    </sheetView>
  </sheetViews>
  <sheetFormatPr defaultRowHeight="12" x14ac:dyDescent="0.2"/>
  <cols>
    <col min="1" max="1" width="22" style="322" customWidth="1"/>
    <col min="2" max="2" width="10" style="322" customWidth="1"/>
    <col min="3" max="4" width="11" style="322" customWidth="1"/>
    <col min="5" max="5" width="13.28515625" style="322" customWidth="1"/>
    <col min="6" max="16384" width="9.140625" style="322"/>
  </cols>
  <sheetData>
    <row r="1" spans="1:5" ht="24.75" customHeight="1" x14ac:dyDescent="0.2">
      <c r="A1" s="484" t="s">
        <v>512</v>
      </c>
      <c r="B1" s="484"/>
      <c r="C1" s="484"/>
      <c r="D1" s="484"/>
      <c r="E1" s="484"/>
    </row>
    <row r="2" spans="1:5" ht="15" customHeight="1" x14ac:dyDescent="0.2">
      <c r="A2" s="481" t="s">
        <v>501</v>
      </c>
      <c r="B2" s="485" t="s">
        <v>564</v>
      </c>
      <c r="C2" s="479" t="s">
        <v>448</v>
      </c>
      <c r="D2" s="479"/>
      <c r="E2" s="479"/>
    </row>
    <row r="3" spans="1:5" ht="18.75" customHeight="1" x14ac:dyDescent="0.2">
      <c r="A3" s="481"/>
      <c r="B3" s="485"/>
      <c r="C3" s="256" t="s">
        <v>456</v>
      </c>
      <c r="D3" s="256" t="s">
        <v>2</v>
      </c>
      <c r="E3" s="256" t="s">
        <v>3</v>
      </c>
    </row>
    <row r="4" spans="1:5" x14ac:dyDescent="0.2">
      <c r="A4" s="142" t="s">
        <v>457</v>
      </c>
      <c r="B4" s="158">
        <v>341859.14766858099</v>
      </c>
      <c r="C4" s="159">
        <v>131750.06302747611</v>
      </c>
      <c r="D4" s="159">
        <v>65963.322956035277</v>
      </c>
      <c r="E4" s="159">
        <v>65786.74007133329</v>
      </c>
    </row>
    <row r="5" spans="1:5" x14ac:dyDescent="0.2">
      <c r="A5" s="35"/>
      <c r="B5" s="131"/>
      <c r="C5" s="125"/>
      <c r="D5" s="132"/>
      <c r="E5" s="132"/>
    </row>
    <row r="6" spans="1:5" x14ac:dyDescent="0.2">
      <c r="A6" s="142" t="s">
        <v>453</v>
      </c>
      <c r="B6" s="158"/>
      <c r="C6" s="159"/>
      <c r="D6" s="159"/>
      <c r="E6" s="159"/>
    </row>
    <row r="7" spans="1:5" x14ac:dyDescent="0.2">
      <c r="A7" s="146" t="s">
        <v>209</v>
      </c>
      <c r="B7" s="124">
        <v>185958.1442175894</v>
      </c>
      <c r="C7" s="125">
        <v>87241.571948948476</v>
      </c>
      <c r="D7" s="125">
        <v>43342.657406387989</v>
      </c>
      <c r="E7" s="125">
        <v>43898.914542523875</v>
      </c>
    </row>
    <row r="8" spans="1:5" x14ac:dyDescent="0.2">
      <c r="A8" s="146" t="s">
        <v>6</v>
      </c>
      <c r="B8" s="124">
        <v>155901.00345208272</v>
      </c>
      <c r="C8" s="125">
        <v>44508.491078458414</v>
      </c>
      <c r="D8" s="125">
        <v>22620.665549649533</v>
      </c>
      <c r="E8" s="125">
        <v>21887.825528812195</v>
      </c>
    </row>
    <row r="9" spans="1:5" x14ac:dyDescent="0.2">
      <c r="A9" s="142" t="s">
        <v>539</v>
      </c>
      <c r="B9" s="160"/>
      <c r="C9" s="159"/>
      <c r="D9" s="161"/>
      <c r="E9" s="161"/>
    </row>
    <row r="10" spans="1:5" s="335" customFormat="1" x14ac:dyDescent="0.2">
      <c r="A10" s="371" t="s">
        <v>458</v>
      </c>
      <c r="B10" s="131">
        <v>132285.54838933103</v>
      </c>
      <c r="C10" s="132">
        <v>62147.577919238713</v>
      </c>
      <c r="D10" s="132">
        <v>30502.333333045051</v>
      </c>
      <c r="E10" s="132">
        <v>31645.244586195815</v>
      </c>
    </row>
    <row r="11" spans="1:5" x14ac:dyDescent="0.2">
      <c r="A11" s="61" t="s">
        <v>458</v>
      </c>
      <c r="B11" s="124">
        <v>132285.54838933103</v>
      </c>
      <c r="C11" s="125">
        <v>62147.577919238713</v>
      </c>
      <c r="D11" s="125">
        <v>30502.333333045051</v>
      </c>
      <c r="E11" s="125">
        <v>31645.244586195815</v>
      </c>
    </row>
    <row r="12" spans="1:5" s="335" customFormat="1" x14ac:dyDescent="0.2">
      <c r="A12" s="371" t="s">
        <v>459</v>
      </c>
      <c r="B12" s="131">
        <v>85996.900322917048</v>
      </c>
      <c r="C12" s="132">
        <v>34730.745369164521</v>
      </c>
      <c r="D12" s="132">
        <v>17115.095352182365</v>
      </c>
      <c r="E12" s="132">
        <v>17615.650016986547</v>
      </c>
    </row>
    <row r="13" spans="1:5" x14ac:dyDescent="0.2">
      <c r="A13" s="61" t="s">
        <v>459</v>
      </c>
      <c r="B13" s="124">
        <v>71507.610935932214</v>
      </c>
      <c r="C13" s="125">
        <v>32489.644115615254</v>
      </c>
      <c r="D13" s="125">
        <v>15861.411778910751</v>
      </c>
      <c r="E13" s="125">
        <v>16628.23233670921</v>
      </c>
    </row>
    <row r="14" spans="1:5" x14ac:dyDescent="0.2">
      <c r="A14" s="61" t="s">
        <v>460</v>
      </c>
      <c r="B14" s="124">
        <v>14489.289386933922</v>
      </c>
      <c r="C14" s="125">
        <v>2241.1012535500304</v>
      </c>
      <c r="D14" s="125">
        <v>1253.6835732722225</v>
      </c>
      <c r="E14" s="125">
        <v>987.4176802777788</v>
      </c>
    </row>
    <row r="15" spans="1:5" s="335" customFormat="1" x14ac:dyDescent="0.2">
      <c r="A15" s="371" t="s">
        <v>461</v>
      </c>
      <c r="B15" s="131">
        <v>22034.85793471065</v>
      </c>
      <c r="C15" s="132">
        <v>10586.021240749798</v>
      </c>
      <c r="D15" s="132">
        <v>5853.306350517184</v>
      </c>
      <c r="E15" s="132">
        <v>4732.7148902328681</v>
      </c>
    </row>
    <row r="16" spans="1:5" x14ac:dyDescent="0.2">
      <c r="A16" s="61" t="s">
        <v>461</v>
      </c>
      <c r="B16" s="124">
        <v>22034.85793471065</v>
      </c>
      <c r="C16" s="125">
        <v>10586.021240749798</v>
      </c>
      <c r="D16" s="125">
        <v>5853.306350517184</v>
      </c>
      <c r="E16" s="125">
        <v>4732.7148902328681</v>
      </c>
    </row>
    <row r="17" spans="1:5" s="335" customFormat="1" x14ac:dyDescent="0.2">
      <c r="A17" s="371" t="s">
        <v>462</v>
      </c>
      <c r="B17" s="131">
        <v>35355.927233010581</v>
      </c>
      <c r="C17" s="132">
        <v>15464.334053048988</v>
      </c>
      <c r="D17" s="132">
        <v>7705.9785237046635</v>
      </c>
      <c r="E17" s="132">
        <v>7758.3555293447862</v>
      </c>
    </row>
    <row r="18" spans="1:5" x14ac:dyDescent="0.2">
      <c r="A18" s="61" t="s">
        <v>462</v>
      </c>
      <c r="B18" s="124">
        <v>35355.927233010581</v>
      </c>
      <c r="C18" s="125">
        <v>15464.334053048988</v>
      </c>
      <c r="D18" s="125">
        <v>7705.9785237046635</v>
      </c>
      <c r="E18" s="125">
        <v>7758.3555293447862</v>
      </c>
    </row>
    <row r="19" spans="1:5" s="335" customFormat="1" x14ac:dyDescent="0.2">
      <c r="A19" s="371" t="s">
        <v>463</v>
      </c>
      <c r="B19" s="131">
        <v>29234.831203104266</v>
      </c>
      <c r="C19" s="132">
        <v>4891.8681973564408</v>
      </c>
      <c r="D19" s="132">
        <v>2436.3833766936664</v>
      </c>
      <c r="E19" s="132">
        <v>2455.4848206625525</v>
      </c>
    </row>
    <row r="20" spans="1:5" x14ac:dyDescent="0.2">
      <c r="A20" s="61" t="s">
        <v>463</v>
      </c>
      <c r="B20" s="124">
        <v>29234.831203104266</v>
      </c>
      <c r="C20" s="125">
        <v>4891.8681973564408</v>
      </c>
      <c r="D20" s="125">
        <v>2436.3833766936664</v>
      </c>
      <c r="E20" s="125">
        <v>2455.4848206625525</v>
      </c>
    </row>
    <row r="21" spans="1:5" s="335" customFormat="1" x14ac:dyDescent="0.2">
      <c r="A21" s="371" t="s">
        <v>464</v>
      </c>
      <c r="B21" s="131">
        <v>12354.35420251572</v>
      </c>
      <c r="C21" s="132">
        <v>1125.8694001654726</v>
      </c>
      <c r="D21" s="132">
        <v>717.20834690717152</v>
      </c>
      <c r="E21" s="132">
        <v>408.66105325829921</v>
      </c>
    </row>
    <row r="22" spans="1:5" x14ac:dyDescent="0.2">
      <c r="A22" s="61" t="s">
        <v>464</v>
      </c>
      <c r="B22" s="124">
        <v>2970.4242584213989</v>
      </c>
      <c r="C22" s="125">
        <v>303.86322118198035</v>
      </c>
      <c r="D22" s="125">
        <v>201.24610105464254</v>
      </c>
      <c r="E22" s="125">
        <v>102.61712012733766</v>
      </c>
    </row>
    <row r="23" spans="1:5" x14ac:dyDescent="0.2">
      <c r="A23" s="61" t="s">
        <v>465</v>
      </c>
      <c r="B23" s="124">
        <v>9383.9299440948053</v>
      </c>
      <c r="C23" s="125">
        <v>822.00617898348946</v>
      </c>
      <c r="D23" s="125">
        <v>515.9622458525298</v>
      </c>
      <c r="E23" s="125">
        <v>306.04393313096057</v>
      </c>
    </row>
    <row r="24" spans="1:5" s="335" customFormat="1" x14ac:dyDescent="0.2">
      <c r="A24" s="371" t="s">
        <v>466</v>
      </c>
      <c r="B24" s="131">
        <v>7267.9011539098119</v>
      </c>
      <c r="C24" s="132">
        <v>549.72067033522137</v>
      </c>
      <c r="D24" s="132">
        <v>305.96092691153677</v>
      </c>
      <c r="E24" s="132">
        <v>243.75974342368374</v>
      </c>
    </row>
    <row r="25" spans="1:5" x14ac:dyDescent="0.2">
      <c r="A25" s="61" t="s">
        <v>466</v>
      </c>
      <c r="B25" s="124">
        <v>7267.9011539098119</v>
      </c>
      <c r="C25" s="125">
        <v>549.72067033522137</v>
      </c>
      <c r="D25" s="125">
        <v>305.96092691153677</v>
      </c>
      <c r="E25" s="125">
        <v>243.75974342368374</v>
      </c>
    </row>
    <row r="26" spans="1:5" s="335" customFormat="1" x14ac:dyDescent="0.2">
      <c r="A26" s="371" t="s">
        <v>467</v>
      </c>
      <c r="B26" s="131">
        <v>11223.099602412211</v>
      </c>
      <c r="C26" s="132">
        <v>1622.7157142538163</v>
      </c>
      <c r="D26" s="132">
        <v>953.45791547457463</v>
      </c>
      <c r="E26" s="132">
        <v>669.25779877923787</v>
      </c>
    </row>
    <row r="27" spans="1:5" x14ac:dyDescent="0.2">
      <c r="A27" s="61" t="s">
        <v>467</v>
      </c>
      <c r="B27" s="124">
        <v>11223.099602412211</v>
      </c>
      <c r="C27" s="125">
        <v>1622.7157142538163</v>
      </c>
      <c r="D27" s="125">
        <v>953.45791547457463</v>
      </c>
      <c r="E27" s="125">
        <v>669.25779877923787</v>
      </c>
    </row>
    <row r="28" spans="1:5" s="335" customFormat="1" x14ac:dyDescent="0.2">
      <c r="A28" s="371" t="s">
        <v>468</v>
      </c>
      <c r="B28" s="131">
        <v>6105.7276275578415</v>
      </c>
      <c r="C28" s="132">
        <v>631.21046306270341</v>
      </c>
      <c r="D28" s="132">
        <v>373.59883060587401</v>
      </c>
      <c r="E28" s="132">
        <v>257.61163245682894</v>
      </c>
    </row>
    <row r="29" spans="1:5" x14ac:dyDescent="0.2">
      <c r="A29" s="61" t="s">
        <v>468</v>
      </c>
      <c r="B29" s="124">
        <v>6105.7276275578415</v>
      </c>
      <c r="C29" s="125">
        <v>631.21046306270341</v>
      </c>
      <c r="D29" s="125">
        <v>373.59883060587401</v>
      </c>
      <c r="E29" s="125">
        <v>257.61163245682894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D4D4D"/>
  </sheetPr>
  <dimension ref="A1"/>
  <sheetViews>
    <sheetView workbookViewId="0">
      <selection activeCell="O25" sqref="O25"/>
    </sheetView>
  </sheetViews>
  <sheetFormatPr defaultRowHeight="15" x14ac:dyDescent="0.25"/>
  <cols>
    <col min="1" max="16384" width="9.140625" style="1"/>
  </cols>
  <sheetData>
    <row r="1" spans="1:1" x14ac:dyDescent="0.25">
      <c r="A1" s="2"/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opLeftCell="A4" zoomScale="120" zoomScaleNormal="120" workbookViewId="0">
      <selection activeCell="L14" sqref="L14"/>
    </sheetView>
  </sheetViews>
  <sheetFormatPr defaultRowHeight="12" x14ac:dyDescent="0.2"/>
  <cols>
    <col min="1" max="1" width="33.28515625" style="322" customWidth="1"/>
    <col min="2" max="2" width="29.85546875" style="322" customWidth="1"/>
    <col min="3" max="3" width="21.85546875" style="322" customWidth="1"/>
    <col min="4" max="4" width="24.7109375" style="322" customWidth="1"/>
    <col min="5" max="16384" width="9.140625" style="322"/>
  </cols>
  <sheetData>
    <row r="1" spans="1:4" x14ac:dyDescent="0.2">
      <c r="A1" s="486" t="s">
        <v>514</v>
      </c>
      <c r="B1" s="486"/>
      <c r="C1" s="486"/>
      <c r="D1" s="486"/>
    </row>
    <row r="2" spans="1:4" x14ac:dyDescent="0.2">
      <c r="A2" s="487"/>
      <c r="B2" s="487"/>
      <c r="C2" s="487"/>
      <c r="D2" s="487"/>
    </row>
    <row r="3" spans="1:4" x14ac:dyDescent="0.2">
      <c r="A3" s="105" t="s">
        <v>182</v>
      </c>
      <c r="B3" s="105" t="s">
        <v>183</v>
      </c>
      <c r="C3" s="107">
        <v>2024</v>
      </c>
      <c r="D3" s="108"/>
    </row>
    <row r="4" spans="1:4" x14ac:dyDescent="0.2">
      <c r="A4" s="106"/>
      <c r="B4" s="106"/>
      <c r="C4" s="28" t="s">
        <v>184</v>
      </c>
      <c r="D4" s="28" t="s">
        <v>185</v>
      </c>
    </row>
    <row r="5" spans="1:4" ht="15" customHeight="1" x14ac:dyDescent="0.2">
      <c r="A5" s="488" t="s">
        <v>186</v>
      </c>
      <c r="B5" s="29" t="s">
        <v>187</v>
      </c>
      <c r="C5" s="30">
        <v>336819.83770039718</v>
      </c>
      <c r="D5" s="31">
        <f>C5/$C$9*100</f>
        <v>98.525910450970528</v>
      </c>
    </row>
    <row r="6" spans="1:4" x14ac:dyDescent="0.2">
      <c r="A6" s="489"/>
      <c r="B6" s="29" t="s">
        <v>188</v>
      </c>
      <c r="C6" s="30">
        <v>4442.2474476640937</v>
      </c>
      <c r="D6" s="31">
        <f t="shared" ref="D6:D8" si="0">C6/$C$9*100</f>
        <v>1.299437934587808</v>
      </c>
    </row>
    <row r="7" spans="1:4" x14ac:dyDescent="0.2">
      <c r="A7" s="489"/>
      <c r="B7" s="29" t="s">
        <v>189</v>
      </c>
      <c r="C7" s="30">
        <v>490.187769018209</v>
      </c>
      <c r="D7" s="31">
        <f t="shared" si="0"/>
        <v>0.14338881155037184</v>
      </c>
    </row>
    <row r="8" spans="1:4" x14ac:dyDescent="0.2">
      <c r="A8" s="489"/>
      <c r="B8" s="29" t="s">
        <v>190</v>
      </c>
      <c r="C8" s="30">
        <v>106.87475155288483</v>
      </c>
      <c r="D8" s="31">
        <f t="shared" si="0"/>
        <v>3.1262802906329039E-2</v>
      </c>
    </row>
    <row r="9" spans="1:4" x14ac:dyDescent="0.2">
      <c r="A9" s="490"/>
      <c r="B9" s="32" t="s">
        <v>191</v>
      </c>
      <c r="C9" s="33">
        <v>341859.14766858099</v>
      </c>
      <c r="D9" s="34">
        <v>99.999999999518835</v>
      </c>
    </row>
    <row r="10" spans="1:4" x14ac:dyDescent="0.2">
      <c r="A10" s="162"/>
      <c r="B10" s="162"/>
      <c r="C10" s="163"/>
      <c r="D10" s="164"/>
    </row>
    <row r="11" spans="1:4" ht="15" customHeight="1" x14ac:dyDescent="0.2">
      <c r="A11" s="488" t="s">
        <v>192</v>
      </c>
      <c r="B11" s="29" t="s">
        <v>187</v>
      </c>
      <c r="C11" s="30">
        <v>339543.20896026626</v>
      </c>
      <c r="D11" s="31">
        <f>C11/$C$15*100</f>
        <v>99.322545930360789</v>
      </c>
    </row>
    <row r="12" spans="1:4" x14ac:dyDescent="0.2">
      <c r="A12" s="489"/>
      <c r="B12" s="29" t="s">
        <v>188</v>
      </c>
      <c r="C12" s="30">
        <v>2020.9258124296689</v>
      </c>
      <c r="D12" s="31">
        <f t="shared" ref="D12:D14" si="1">C12/$C$15*100</f>
        <v>0.59115744780036628</v>
      </c>
    </row>
    <row r="13" spans="1:4" x14ac:dyDescent="0.2">
      <c r="A13" s="489"/>
      <c r="B13" s="29" t="s">
        <v>189</v>
      </c>
      <c r="C13" s="30">
        <v>222.50134063897988</v>
      </c>
      <c r="D13" s="31">
        <f t="shared" si="1"/>
        <v>6.5085676997792719E-2</v>
      </c>
    </row>
    <row r="14" spans="1:4" x14ac:dyDescent="0.2">
      <c r="A14" s="489"/>
      <c r="B14" s="29" t="s">
        <v>193</v>
      </c>
      <c r="C14" s="30">
        <v>72.511555269311827</v>
      </c>
      <c r="D14" s="31">
        <f t="shared" si="1"/>
        <v>2.1210944847849713E-2</v>
      </c>
    </row>
    <row r="15" spans="1:4" x14ac:dyDescent="0.2">
      <c r="A15" s="490"/>
      <c r="B15" s="32" t="s">
        <v>1</v>
      </c>
      <c r="C15" s="33">
        <v>341859.14766858099</v>
      </c>
      <c r="D15" s="34">
        <v>100.00000000007928</v>
      </c>
    </row>
    <row r="16" spans="1:4" x14ac:dyDescent="0.2">
      <c r="A16" s="162"/>
      <c r="B16" s="162"/>
      <c r="C16" s="163"/>
      <c r="D16" s="164"/>
    </row>
    <row r="17" spans="1:4" ht="15" customHeight="1" x14ac:dyDescent="0.2">
      <c r="A17" s="488" t="s">
        <v>194</v>
      </c>
      <c r="B17" s="29" t="s">
        <v>187</v>
      </c>
      <c r="C17" s="30">
        <v>337507.73066913511</v>
      </c>
      <c r="D17" s="31">
        <f>C17/$C$21*100</f>
        <v>98.727131618644179</v>
      </c>
    </row>
    <row r="18" spans="1:4" x14ac:dyDescent="0.2">
      <c r="A18" s="489"/>
      <c r="B18" s="29" t="s">
        <v>188</v>
      </c>
      <c r="C18" s="30">
        <v>3620.0125765564931</v>
      </c>
      <c r="D18" s="31">
        <f t="shared" ref="D18:D20" si="2">C18/$C$21*100</f>
        <v>1.0589193243019352</v>
      </c>
    </row>
    <row r="19" spans="1:4" x14ac:dyDescent="0.2">
      <c r="A19" s="489"/>
      <c r="B19" s="29" t="s">
        <v>189</v>
      </c>
      <c r="C19" s="30">
        <v>586.22367000913493</v>
      </c>
      <c r="D19" s="31">
        <f t="shared" si="2"/>
        <v>0.17148105411456058</v>
      </c>
    </row>
    <row r="20" spans="1:4" x14ac:dyDescent="0.2">
      <c r="A20" s="489"/>
      <c r="B20" s="29" t="s">
        <v>195</v>
      </c>
      <c r="C20" s="30">
        <v>145.1807529265696</v>
      </c>
      <c r="D20" s="31">
        <f t="shared" si="2"/>
        <v>4.246800295287597E-2</v>
      </c>
    </row>
    <row r="21" spans="1:4" x14ac:dyDescent="0.2">
      <c r="A21" s="490"/>
      <c r="B21" s="32" t="s">
        <v>1</v>
      </c>
      <c r="C21" s="33">
        <v>341859.14766858099</v>
      </c>
      <c r="D21" s="34">
        <v>100.00000000001245</v>
      </c>
    </row>
    <row r="22" spans="1:4" x14ac:dyDescent="0.2">
      <c r="A22" s="162"/>
      <c r="B22" s="162"/>
      <c r="C22" s="163"/>
      <c r="D22" s="164"/>
    </row>
    <row r="23" spans="1:4" ht="15" customHeight="1" x14ac:dyDescent="0.2">
      <c r="A23" s="488" t="s">
        <v>196</v>
      </c>
      <c r="B23" s="29" t="s">
        <v>187</v>
      </c>
      <c r="C23" s="30">
        <v>340801.2157711935</v>
      </c>
      <c r="D23" s="31">
        <f>C23/$C$27*100</f>
        <v>99.690535735374525</v>
      </c>
    </row>
    <row r="24" spans="1:4" x14ac:dyDescent="0.2">
      <c r="A24" s="489"/>
      <c r="B24" s="29" t="s">
        <v>188</v>
      </c>
      <c r="C24" s="30">
        <v>861.94207823726697</v>
      </c>
      <c r="D24" s="31">
        <f t="shared" ref="D24:D26" si="3">C24/$C$27*100</f>
        <v>0.25213368842564537</v>
      </c>
    </row>
    <row r="25" spans="1:4" x14ac:dyDescent="0.2">
      <c r="A25" s="489"/>
      <c r="B25" s="29" t="s">
        <v>189</v>
      </c>
      <c r="C25" s="30">
        <v>144.59603211502542</v>
      </c>
      <c r="D25" s="31">
        <f t="shared" si="3"/>
        <v>4.2296961512115393E-2</v>
      </c>
    </row>
    <row r="26" spans="1:4" x14ac:dyDescent="0.2">
      <c r="A26" s="489"/>
      <c r="B26" s="29" t="s">
        <v>197</v>
      </c>
      <c r="C26" s="30">
        <v>51.393787050852865</v>
      </c>
      <c r="D26" s="31">
        <f t="shared" si="3"/>
        <v>1.5033614692293423E-2</v>
      </c>
    </row>
    <row r="27" spans="1:4" x14ac:dyDescent="0.2">
      <c r="A27" s="490"/>
      <c r="B27" s="32" t="s">
        <v>1</v>
      </c>
      <c r="C27" s="33">
        <v>341859.14766858099</v>
      </c>
      <c r="D27" s="34">
        <v>100.00000000003865</v>
      </c>
    </row>
    <row r="28" spans="1:4" x14ac:dyDescent="0.2">
      <c r="A28" s="162"/>
      <c r="B28" s="162"/>
      <c r="C28" s="163"/>
      <c r="D28" s="164"/>
    </row>
    <row r="29" spans="1:4" ht="15" customHeight="1" x14ac:dyDescent="0.2">
      <c r="A29" s="488" t="s">
        <v>198</v>
      </c>
      <c r="B29" s="29" t="s">
        <v>187</v>
      </c>
      <c r="C29" s="30">
        <v>339894.76500486914</v>
      </c>
      <c r="D29" s="31">
        <f>C29/$C$33*100</f>
        <v>99.425382448558537</v>
      </c>
    </row>
    <row r="30" spans="1:4" x14ac:dyDescent="0.2">
      <c r="A30" s="489"/>
      <c r="B30" s="29" t="s">
        <v>188</v>
      </c>
      <c r="C30" s="30">
        <v>1735.3245689682249</v>
      </c>
      <c r="D30" s="31">
        <f t="shared" ref="D30:D32" si="4">C30/$C$33*100</f>
        <v>0.50761390496724512</v>
      </c>
    </row>
    <row r="31" spans="1:4" x14ac:dyDescent="0.2">
      <c r="A31" s="489"/>
      <c r="B31" s="29" t="s">
        <v>189</v>
      </c>
      <c r="C31" s="30">
        <v>168.74578402775668</v>
      </c>
      <c r="D31" s="31">
        <f t="shared" si="4"/>
        <v>4.9361201880532703E-2</v>
      </c>
    </row>
    <row r="32" spans="1:4" x14ac:dyDescent="0.2">
      <c r="A32" s="489"/>
      <c r="B32" s="29" t="s">
        <v>199</v>
      </c>
      <c r="C32" s="30">
        <v>60.312310736522377</v>
      </c>
      <c r="D32" s="31">
        <f t="shared" si="4"/>
        <v>1.7642444599725263E-2</v>
      </c>
    </row>
    <row r="33" spans="1:4" x14ac:dyDescent="0.2">
      <c r="A33" s="490"/>
      <c r="B33" s="32" t="s">
        <v>1</v>
      </c>
      <c r="C33" s="33">
        <v>341859.14766858099</v>
      </c>
      <c r="D33" s="34">
        <v>100.00000000007384</v>
      </c>
    </row>
    <row r="34" spans="1:4" x14ac:dyDescent="0.2">
      <c r="A34" s="162"/>
      <c r="B34" s="162"/>
      <c r="C34" s="163"/>
      <c r="D34" s="164"/>
    </row>
    <row r="35" spans="1:4" ht="15" customHeight="1" x14ac:dyDescent="0.2">
      <c r="A35" s="488" t="s">
        <v>200</v>
      </c>
      <c r="B35" s="29" t="s">
        <v>187</v>
      </c>
      <c r="C35" s="30">
        <v>340098.16861733905</v>
      </c>
      <c r="D35" s="31">
        <f>C35/$C$39*100</f>
        <v>99.484881693746814</v>
      </c>
    </row>
    <row r="36" spans="1:4" x14ac:dyDescent="0.2">
      <c r="A36" s="489"/>
      <c r="B36" s="29" t="s">
        <v>188</v>
      </c>
      <c r="C36" s="30">
        <v>1531.5209751462592</v>
      </c>
      <c r="D36" s="31">
        <f t="shared" ref="D36:D38" si="5">C36/$C$39*100</f>
        <v>0.44799765798018326</v>
      </c>
    </row>
    <row r="37" spans="1:4" x14ac:dyDescent="0.2">
      <c r="A37" s="489"/>
      <c r="B37" s="29" t="s">
        <v>189</v>
      </c>
      <c r="C37" s="30">
        <v>184.42014127318822</v>
      </c>
      <c r="D37" s="31">
        <f t="shared" si="5"/>
        <v>5.3946235615135951E-2</v>
      </c>
    </row>
    <row r="38" spans="1:4" x14ac:dyDescent="0.2">
      <c r="A38" s="489"/>
      <c r="B38" s="29" t="s">
        <v>201</v>
      </c>
      <c r="C38" s="30">
        <v>45.037934840683199</v>
      </c>
      <c r="D38" s="31">
        <f t="shared" si="5"/>
        <v>1.3174412663178377E-2</v>
      </c>
    </row>
    <row r="39" spans="1:4" x14ac:dyDescent="0.2">
      <c r="A39" s="490"/>
      <c r="B39" s="32" t="s">
        <v>1</v>
      </c>
      <c r="C39" s="33">
        <v>341859.14766858099</v>
      </c>
      <c r="D39" s="34">
        <v>100.00000000003276</v>
      </c>
    </row>
    <row r="40" spans="1:4" x14ac:dyDescent="0.2">
      <c r="A40" s="162"/>
      <c r="B40" s="162"/>
      <c r="C40" s="163"/>
      <c r="D40" s="164"/>
    </row>
    <row r="41" spans="1:4" ht="15" customHeight="1" x14ac:dyDescent="0.2">
      <c r="A41" s="491" t="s">
        <v>202</v>
      </c>
      <c r="B41" s="29" t="s">
        <v>187</v>
      </c>
      <c r="C41" s="30">
        <v>340775.10168305034</v>
      </c>
      <c r="D41" s="31">
        <f>C41/$C$45*100</f>
        <v>99.682896891037245</v>
      </c>
    </row>
    <row r="42" spans="1:4" x14ac:dyDescent="0.2">
      <c r="A42" s="492"/>
      <c r="B42" s="29" t="s">
        <v>188</v>
      </c>
      <c r="C42" s="30">
        <v>850.00969102218096</v>
      </c>
      <c r="D42" s="31">
        <f t="shared" ref="D42:D44" si="6">C42/$C$45*100</f>
        <v>0.24864324878216565</v>
      </c>
    </row>
    <row r="43" spans="1:4" x14ac:dyDescent="0.2">
      <c r="A43" s="492"/>
      <c r="B43" s="29" t="s">
        <v>189</v>
      </c>
      <c r="C43" s="30">
        <v>182.26916101114301</v>
      </c>
      <c r="D43" s="31">
        <f t="shared" si="6"/>
        <v>5.3317034882403032E-2</v>
      </c>
    </row>
    <row r="44" spans="1:4" x14ac:dyDescent="0.2">
      <c r="A44" s="492"/>
      <c r="B44" s="29" t="s">
        <v>203</v>
      </c>
      <c r="C44" s="30">
        <v>51.767133512821367</v>
      </c>
      <c r="D44" s="31">
        <f t="shared" si="6"/>
        <v>1.5142825302720162E-2</v>
      </c>
    </row>
    <row r="45" spans="1:4" x14ac:dyDescent="0.2">
      <c r="A45" s="493"/>
      <c r="B45" s="32" t="s">
        <v>1</v>
      </c>
      <c r="C45" s="33">
        <v>341859.14766858099</v>
      </c>
      <c r="D45" s="34">
        <v>100.00000000003834</v>
      </c>
    </row>
    <row r="46" spans="1:4" x14ac:dyDescent="0.2">
      <c r="A46" s="103" t="s">
        <v>204</v>
      </c>
      <c r="B46" s="103"/>
      <c r="C46" s="103"/>
      <c r="D46" s="103"/>
    </row>
    <row r="47" spans="1:4" ht="108" customHeight="1" x14ac:dyDescent="0.2">
      <c r="A47" s="104" t="s">
        <v>205</v>
      </c>
      <c r="B47" s="104"/>
      <c r="C47" s="104"/>
      <c r="D47" s="104"/>
    </row>
  </sheetData>
  <mergeCells count="8">
    <mergeCell ref="A1:D2"/>
    <mergeCell ref="A35:A39"/>
    <mergeCell ref="A41:A45"/>
    <mergeCell ref="A11:A15"/>
    <mergeCell ref="A5:A9"/>
    <mergeCell ref="A17:A21"/>
    <mergeCell ref="A23:A27"/>
    <mergeCell ref="A29:A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zoomScale="120" zoomScaleNormal="120" workbookViewId="0">
      <selection activeCell="C2" sqref="C2"/>
    </sheetView>
  </sheetViews>
  <sheetFormatPr defaultRowHeight="12" x14ac:dyDescent="0.2"/>
  <cols>
    <col min="1" max="1" width="21.7109375" style="322" customWidth="1"/>
    <col min="2" max="16384" width="9.140625" style="322"/>
  </cols>
  <sheetData>
    <row r="1" spans="1:5" ht="23.25" customHeight="1" x14ac:dyDescent="0.2">
      <c r="A1" s="494" t="s">
        <v>515</v>
      </c>
      <c r="B1" s="494"/>
      <c r="C1" s="494"/>
      <c r="D1" s="494"/>
      <c r="E1" s="494"/>
    </row>
    <row r="2" spans="1:5" ht="24" customHeight="1" x14ac:dyDescent="0.2">
      <c r="A2" s="375" t="s">
        <v>501</v>
      </c>
      <c r="B2" s="174" t="s">
        <v>8</v>
      </c>
      <c r="C2" s="174" t="s">
        <v>1</v>
      </c>
      <c r="D2" s="174" t="s">
        <v>2</v>
      </c>
      <c r="E2" s="174" t="s">
        <v>3</v>
      </c>
    </row>
    <row r="3" spans="1:5" x14ac:dyDescent="0.2">
      <c r="A3" s="376" t="s">
        <v>457</v>
      </c>
      <c r="B3" s="305">
        <v>411074.2679862901</v>
      </c>
      <c r="C3" s="305">
        <v>9273.716861523746</v>
      </c>
      <c r="D3" s="305">
        <v>4566.9921482697</v>
      </c>
      <c r="E3" s="305">
        <v>4706.7247132540451</v>
      </c>
    </row>
    <row r="4" spans="1:5" x14ac:dyDescent="0.2">
      <c r="A4" s="175"/>
      <c r="B4" s="176"/>
      <c r="C4" s="176"/>
      <c r="D4" s="176"/>
      <c r="E4" s="176"/>
    </row>
    <row r="5" spans="1:5" x14ac:dyDescent="0.2">
      <c r="A5" s="306" t="s">
        <v>283</v>
      </c>
      <c r="B5" s="177"/>
      <c r="C5" s="177"/>
      <c r="D5" s="177"/>
      <c r="E5" s="177"/>
    </row>
    <row r="6" spans="1:5" x14ac:dyDescent="0.2">
      <c r="A6" s="175" t="s">
        <v>5</v>
      </c>
      <c r="B6" s="178">
        <v>218934.65480222975</v>
      </c>
      <c r="C6" s="178">
        <v>6071.1509660928587</v>
      </c>
      <c r="D6" s="331">
        <v>3006.0286082321691</v>
      </c>
      <c r="E6" s="331">
        <v>3065.12235786069</v>
      </c>
    </row>
    <row r="7" spans="1:5" x14ac:dyDescent="0.2">
      <c r="A7" s="175" t="s">
        <v>6</v>
      </c>
      <c r="B7" s="178">
        <v>192139.61318732699</v>
      </c>
      <c r="C7" s="178">
        <v>3202.5658954312275</v>
      </c>
      <c r="D7" s="331">
        <v>1560.9635400376594</v>
      </c>
      <c r="E7" s="331">
        <v>1641.6023553935684</v>
      </c>
    </row>
    <row r="8" spans="1:5" x14ac:dyDescent="0.2">
      <c r="A8" s="306" t="s">
        <v>540</v>
      </c>
      <c r="B8" s="179"/>
      <c r="C8" s="179"/>
      <c r="D8" s="179"/>
      <c r="E8" s="179"/>
    </row>
    <row r="9" spans="1:5" s="335" customFormat="1" x14ac:dyDescent="0.2">
      <c r="A9" s="371" t="s">
        <v>458</v>
      </c>
      <c r="B9" s="180">
        <v>156975.07858168939</v>
      </c>
      <c r="C9" s="180">
        <v>2830.8498197692516</v>
      </c>
      <c r="D9" s="180">
        <v>1403.4870188941916</v>
      </c>
      <c r="E9" s="180">
        <v>1427.36280087506</v>
      </c>
    </row>
    <row r="10" spans="1:5" x14ac:dyDescent="0.2">
      <c r="A10" s="61" t="s">
        <v>458</v>
      </c>
      <c r="B10" s="178">
        <v>156975.07858168939</v>
      </c>
      <c r="C10" s="178">
        <v>2830.8498197692516</v>
      </c>
      <c r="D10" s="178">
        <v>1403.4870188941916</v>
      </c>
      <c r="E10" s="178">
        <v>1427.36280087506</v>
      </c>
    </row>
    <row r="11" spans="1:5" s="335" customFormat="1" x14ac:dyDescent="0.2">
      <c r="A11" s="371" t="s">
        <v>459</v>
      </c>
      <c r="B11" s="180">
        <v>100312.89173035449</v>
      </c>
      <c r="C11" s="180">
        <v>3653.5675832862912</v>
      </c>
      <c r="D11" s="180">
        <v>1799.911442732991</v>
      </c>
      <c r="E11" s="180">
        <v>1853.6561405533002</v>
      </c>
    </row>
    <row r="12" spans="1:5" x14ac:dyDescent="0.2">
      <c r="A12" s="61" t="s">
        <v>459</v>
      </c>
      <c r="B12" s="178">
        <v>83409.035278238909</v>
      </c>
      <c r="C12" s="178">
        <v>2898.2584105198002</v>
      </c>
      <c r="D12" s="178">
        <v>1433.0654677227637</v>
      </c>
      <c r="E12" s="178">
        <v>1465.1929427970367</v>
      </c>
    </row>
    <row r="13" spans="1:5" x14ac:dyDescent="0.2">
      <c r="A13" s="61" t="s">
        <v>460</v>
      </c>
      <c r="B13" s="178">
        <v>16903.856452115586</v>
      </c>
      <c r="C13" s="178">
        <v>755.30917276649063</v>
      </c>
      <c r="D13" s="178">
        <v>366.84597501022716</v>
      </c>
      <c r="E13" s="178">
        <v>388.46319775626347</v>
      </c>
    </row>
    <row r="14" spans="1:5" s="335" customFormat="1" x14ac:dyDescent="0.2">
      <c r="A14" s="371" t="s">
        <v>461</v>
      </c>
      <c r="B14" s="180">
        <v>27801.462012380616</v>
      </c>
      <c r="C14" s="180">
        <v>1952.5724595334464</v>
      </c>
      <c r="D14" s="180">
        <v>969.51311989211251</v>
      </c>
      <c r="E14" s="180">
        <v>983.05933964133396</v>
      </c>
    </row>
    <row r="15" spans="1:5" x14ac:dyDescent="0.2">
      <c r="A15" s="61" t="s">
        <v>461</v>
      </c>
      <c r="B15" s="178">
        <v>27801.462012380616</v>
      </c>
      <c r="C15" s="178">
        <v>1952.5724595334464</v>
      </c>
      <c r="D15" s="178">
        <v>969.51311989211251</v>
      </c>
      <c r="E15" s="178">
        <v>983.05933964133396</v>
      </c>
    </row>
    <row r="16" spans="1:5" s="335" customFormat="1" x14ac:dyDescent="0.2">
      <c r="A16" s="371" t="s">
        <v>462</v>
      </c>
      <c r="B16" s="180">
        <v>41266.431889501342</v>
      </c>
      <c r="C16" s="180">
        <v>286.56956389348557</v>
      </c>
      <c r="D16" s="180">
        <v>148.72003662061027</v>
      </c>
      <c r="E16" s="180">
        <v>137.84952727287526</v>
      </c>
    </row>
    <row r="17" spans="1:5" x14ac:dyDescent="0.2">
      <c r="A17" s="61" t="s">
        <v>462</v>
      </c>
      <c r="B17" s="178">
        <v>41266.431889501342</v>
      </c>
      <c r="C17" s="178">
        <v>286.56956389348557</v>
      </c>
      <c r="D17" s="178">
        <v>148.72003662061027</v>
      </c>
      <c r="E17" s="178">
        <v>137.84952727287526</v>
      </c>
    </row>
    <row r="18" spans="1:5" s="335" customFormat="1" x14ac:dyDescent="0.2">
      <c r="A18" s="371" t="s">
        <v>463</v>
      </c>
      <c r="B18" s="180">
        <v>40882.313347507588</v>
      </c>
      <c r="C18" s="180">
        <v>336.11532152294274</v>
      </c>
      <c r="D18" s="180">
        <v>130.68452467786386</v>
      </c>
      <c r="E18" s="180">
        <v>205.43079684507885</v>
      </c>
    </row>
    <row r="19" spans="1:5" x14ac:dyDescent="0.2">
      <c r="A19" s="61" t="s">
        <v>463</v>
      </c>
      <c r="B19" s="178">
        <v>40882.313347507588</v>
      </c>
      <c r="C19" s="178">
        <v>336.11532152294274</v>
      </c>
      <c r="D19" s="178">
        <v>130.68452467786386</v>
      </c>
      <c r="E19" s="178">
        <v>205.43079684507885</v>
      </c>
    </row>
    <row r="20" spans="1:5" s="335" customFormat="1" x14ac:dyDescent="0.2">
      <c r="A20" s="371" t="s">
        <v>464</v>
      </c>
      <c r="B20" s="180">
        <v>14466.306815180884</v>
      </c>
      <c r="C20" s="180">
        <v>62.200351887670578</v>
      </c>
      <c r="D20" s="180">
        <v>34.535713237417028</v>
      </c>
      <c r="E20" s="180">
        <v>27.664638650253551</v>
      </c>
    </row>
    <row r="21" spans="1:5" x14ac:dyDescent="0.2">
      <c r="A21" s="61" t="s">
        <v>464</v>
      </c>
      <c r="B21" s="178">
        <v>3485.7153016918178</v>
      </c>
      <c r="C21" s="178">
        <v>19.179637927019808</v>
      </c>
      <c r="D21" s="178">
        <v>13.507998557829119</v>
      </c>
      <c r="E21" s="178">
        <v>5.6716393691906886</v>
      </c>
    </row>
    <row r="22" spans="1:5" x14ac:dyDescent="0.2">
      <c r="A22" s="61" t="s">
        <v>465</v>
      </c>
      <c r="B22" s="178">
        <v>10980.591513489066</v>
      </c>
      <c r="C22" s="178">
        <v>43.020713960650767</v>
      </c>
      <c r="D22" s="178">
        <v>21.027714679587906</v>
      </c>
      <c r="E22" s="178">
        <v>21.992999281062861</v>
      </c>
    </row>
    <row r="23" spans="1:5" s="335" customFormat="1" x14ac:dyDescent="0.2">
      <c r="A23" s="371" t="s">
        <v>466</v>
      </c>
      <c r="B23" s="180">
        <v>8577.8196581575576</v>
      </c>
      <c r="C23" s="180">
        <v>28.833621748485029</v>
      </c>
      <c r="D23" s="180">
        <v>15.124974574291461</v>
      </c>
      <c r="E23" s="180">
        <v>13.708647174193569</v>
      </c>
    </row>
    <row r="24" spans="1:5" x14ac:dyDescent="0.2">
      <c r="A24" s="61" t="s">
        <v>466</v>
      </c>
      <c r="B24" s="178">
        <v>8577.8196581575576</v>
      </c>
      <c r="C24" s="178">
        <v>28.833621748485029</v>
      </c>
      <c r="D24" s="178">
        <v>15.124974574291461</v>
      </c>
      <c r="E24" s="178">
        <v>13.708647174193569</v>
      </c>
    </row>
    <row r="25" spans="1:5" s="335" customFormat="1" x14ac:dyDescent="0.2">
      <c r="A25" s="371" t="s">
        <v>467</v>
      </c>
      <c r="B25" s="180">
        <v>13445.093834174171</v>
      </c>
      <c r="C25" s="180">
        <v>92.806425491814849</v>
      </c>
      <c r="D25" s="180">
        <v>47.710308987306377</v>
      </c>
      <c r="E25" s="180">
        <v>45.096116504508466</v>
      </c>
    </row>
    <row r="26" spans="1:5" x14ac:dyDescent="0.2">
      <c r="A26" s="61" t="s">
        <v>467</v>
      </c>
      <c r="B26" s="178">
        <v>13445.093834174171</v>
      </c>
      <c r="C26" s="178">
        <v>92.806425491814849</v>
      </c>
      <c r="D26" s="178">
        <v>47.710308987306377</v>
      </c>
      <c r="E26" s="178">
        <v>45.096116504508466</v>
      </c>
    </row>
    <row r="27" spans="1:5" s="335" customFormat="1" x14ac:dyDescent="0.2">
      <c r="A27" s="371" t="s">
        <v>468</v>
      </c>
      <c r="B27" s="180">
        <v>7346.8701198701556</v>
      </c>
      <c r="C27" s="180">
        <v>30.201714390707235</v>
      </c>
      <c r="D27" s="180">
        <v>17.305008653052152</v>
      </c>
      <c r="E27" s="180">
        <v>12.896705737655083</v>
      </c>
    </row>
    <row r="28" spans="1:5" x14ac:dyDescent="0.2">
      <c r="A28" s="61" t="s">
        <v>468</v>
      </c>
      <c r="B28" s="178">
        <v>7346.8701198701556</v>
      </c>
      <c r="C28" s="178">
        <v>30.201714390707235</v>
      </c>
      <c r="D28" s="178">
        <v>17.305008653052152</v>
      </c>
      <c r="E28" s="178">
        <v>12.896705737655083</v>
      </c>
    </row>
  </sheetData>
  <mergeCells count="1">
    <mergeCell ref="A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120" zoomScaleNormal="120" workbookViewId="0">
      <selection activeCell="P18" sqref="P18"/>
    </sheetView>
  </sheetViews>
  <sheetFormatPr defaultRowHeight="12" x14ac:dyDescent="0.2"/>
  <cols>
    <col min="1" max="1" width="23" style="322" customWidth="1"/>
    <col min="2" max="2" width="9.140625" style="322"/>
    <col min="3" max="3" width="22.28515625" style="322" customWidth="1"/>
    <col min="4" max="16384" width="9.140625" style="322"/>
  </cols>
  <sheetData>
    <row r="1" spans="1:7" ht="15.75" customHeight="1" thickBot="1" x14ac:dyDescent="0.25">
      <c r="A1" s="496" t="s">
        <v>541</v>
      </c>
      <c r="B1" s="496"/>
      <c r="C1" s="496"/>
      <c r="D1" s="496"/>
      <c r="E1" s="496"/>
      <c r="F1" s="496"/>
      <c r="G1" s="496"/>
    </row>
    <row r="2" spans="1:7" x14ac:dyDescent="0.2">
      <c r="A2" s="497" t="s">
        <v>501</v>
      </c>
      <c r="B2" s="499" t="s">
        <v>8</v>
      </c>
      <c r="C2" s="499" t="s">
        <v>449</v>
      </c>
      <c r="D2" s="495" t="s">
        <v>9</v>
      </c>
      <c r="E2" s="495"/>
      <c r="F2" s="495"/>
      <c r="G2" s="495"/>
    </row>
    <row r="3" spans="1:7" ht="13.5" customHeight="1" x14ac:dyDescent="0.2">
      <c r="A3" s="498"/>
      <c r="B3" s="500"/>
      <c r="C3" s="500"/>
      <c r="D3" s="174" t="s">
        <v>10</v>
      </c>
      <c r="E3" s="174" t="s">
        <v>11</v>
      </c>
      <c r="F3" s="174" t="s">
        <v>12</v>
      </c>
      <c r="G3" s="181" t="s">
        <v>13</v>
      </c>
    </row>
    <row r="4" spans="1:7" x14ac:dyDescent="0.2">
      <c r="A4" s="304" t="s">
        <v>457</v>
      </c>
      <c r="B4" s="305">
        <v>411074.2679862901</v>
      </c>
      <c r="C4" s="305">
        <v>9273.7168615242845</v>
      </c>
      <c r="D4" s="305">
        <v>2605.0237136179289</v>
      </c>
      <c r="E4" s="305">
        <v>1904.5224164789827</v>
      </c>
      <c r="F4" s="305">
        <v>4526.8982575621203</v>
      </c>
      <c r="G4" s="305">
        <v>237.27247386525218</v>
      </c>
    </row>
    <row r="5" spans="1:7" x14ac:dyDescent="0.2">
      <c r="A5" s="175"/>
      <c r="B5" s="178"/>
      <c r="C5" s="178"/>
      <c r="D5" s="180"/>
      <c r="E5" s="178"/>
      <c r="F5" s="178"/>
      <c r="G5" s="178"/>
    </row>
    <row r="6" spans="1:7" x14ac:dyDescent="0.2">
      <c r="A6" s="304" t="s">
        <v>283</v>
      </c>
      <c r="B6" s="305"/>
      <c r="C6" s="305"/>
      <c r="D6" s="305"/>
      <c r="E6" s="305"/>
      <c r="F6" s="305"/>
      <c r="G6" s="305"/>
    </row>
    <row r="7" spans="1:7" x14ac:dyDescent="0.2">
      <c r="A7" s="175" t="s">
        <v>5</v>
      </c>
      <c r="B7" s="178">
        <v>218934.65480222975</v>
      </c>
      <c r="C7" s="178">
        <v>6071.1509660929441</v>
      </c>
      <c r="D7" s="178">
        <v>2067.5127280298252</v>
      </c>
      <c r="E7" s="178">
        <v>1119.520202660947</v>
      </c>
      <c r="F7" s="178">
        <v>2737.7409868484829</v>
      </c>
      <c r="G7" s="178">
        <v>146.37704855368847</v>
      </c>
    </row>
    <row r="8" spans="1:7" x14ac:dyDescent="0.2">
      <c r="A8" s="175" t="s">
        <v>6</v>
      </c>
      <c r="B8" s="178">
        <v>192139.61318732699</v>
      </c>
      <c r="C8" s="178">
        <v>3202.5658954312298</v>
      </c>
      <c r="D8" s="178">
        <v>537.51098558809724</v>
      </c>
      <c r="E8" s="178">
        <v>785.00221381803408</v>
      </c>
      <c r="F8" s="178">
        <v>1789.157270713534</v>
      </c>
      <c r="G8" s="178">
        <v>90.895425311564722</v>
      </c>
    </row>
    <row r="9" spans="1:7" x14ac:dyDescent="0.2">
      <c r="A9" s="304" t="s">
        <v>540</v>
      </c>
      <c r="B9" s="305"/>
      <c r="C9" s="305"/>
      <c r="D9" s="305"/>
      <c r="E9" s="305"/>
      <c r="F9" s="305"/>
      <c r="G9" s="305"/>
    </row>
    <row r="10" spans="1:7" s="335" customFormat="1" x14ac:dyDescent="0.2">
      <c r="A10" s="371" t="s">
        <v>458</v>
      </c>
      <c r="B10" s="180">
        <v>156975.07858168939</v>
      </c>
      <c r="C10" s="180">
        <v>2830.8498197692497</v>
      </c>
      <c r="D10" s="180">
        <v>472.96734361787225</v>
      </c>
      <c r="E10" s="180">
        <v>696.91247675606701</v>
      </c>
      <c r="F10" s="180">
        <v>1557.0895133249505</v>
      </c>
      <c r="G10" s="180">
        <v>103.88048607035969</v>
      </c>
    </row>
    <row r="11" spans="1:7" x14ac:dyDescent="0.2">
      <c r="A11" s="61" t="s">
        <v>458</v>
      </c>
      <c r="B11" s="178">
        <v>156975.07858168939</v>
      </c>
      <c r="C11" s="178">
        <v>2830.8498197692497</v>
      </c>
      <c r="D11" s="178">
        <v>472.96734361787225</v>
      </c>
      <c r="E11" s="178">
        <v>696.91247675606701</v>
      </c>
      <c r="F11" s="178">
        <v>1557.0895133249505</v>
      </c>
      <c r="G11" s="178">
        <v>103.88048607035969</v>
      </c>
    </row>
    <row r="12" spans="1:7" s="335" customFormat="1" x14ac:dyDescent="0.2">
      <c r="A12" s="371" t="s">
        <v>459</v>
      </c>
      <c r="B12" s="180">
        <v>100312.89173035404</v>
      </c>
      <c r="C12" s="180">
        <v>3653.5675832863044</v>
      </c>
      <c r="D12" s="180">
        <v>433.81792143921115</v>
      </c>
      <c r="E12" s="180">
        <v>937.76542872296432</v>
      </c>
      <c r="F12" s="180">
        <v>2173.3819067778436</v>
      </c>
      <c r="G12" s="180">
        <v>108.60232634628514</v>
      </c>
    </row>
    <row r="13" spans="1:7" x14ac:dyDescent="0.2">
      <c r="A13" s="61" t="s">
        <v>459</v>
      </c>
      <c r="B13" s="178">
        <v>83409.035278238909</v>
      </c>
      <c r="C13" s="178">
        <v>2898.2584105198002</v>
      </c>
      <c r="D13" s="178">
        <v>325.89248732506434</v>
      </c>
      <c r="E13" s="178">
        <v>743.74499519407482</v>
      </c>
      <c r="F13" s="178">
        <v>1742.4473429650216</v>
      </c>
      <c r="G13" s="178">
        <v>86.173585035639277</v>
      </c>
    </row>
    <row r="14" spans="1:7" x14ac:dyDescent="0.2">
      <c r="A14" s="61" t="s">
        <v>460</v>
      </c>
      <c r="B14" s="178">
        <v>16903.856452115586</v>
      </c>
      <c r="C14" s="178">
        <v>755.30917276648802</v>
      </c>
      <c r="D14" s="178">
        <v>107.92543411414434</v>
      </c>
      <c r="E14" s="178">
        <v>194.02043352888796</v>
      </c>
      <c r="F14" s="178">
        <v>430.93456381280981</v>
      </c>
      <c r="G14" s="178">
        <v>22.428741310645815</v>
      </c>
    </row>
    <row r="15" spans="1:7" s="335" customFormat="1" x14ac:dyDescent="0.2">
      <c r="A15" s="371" t="s">
        <v>461</v>
      </c>
      <c r="B15" s="180">
        <v>27801.462012380616</v>
      </c>
      <c r="C15" s="180">
        <v>1952.572459533445</v>
      </c>
      <c r="D15" s="180">
        <v>1445.3543431365085</v>
      </c>
      <c r="E15" s="180">
        <v>76.939137433869092</v>
      </c>
      <c r="F15" s="180">
        <v>420.83529841121651</v>
      </c>
      <c r="G15" s="180">
        <v>9.4436805518508731</v>
      </c>
    </row>
    <row r="16" spans="1:7" x14ac:dyDescent="0.2">
      <c r="A16" s="61" t="s">
        <v>461</v>
      </c>
      <c r="B16" s="178">
        <v>27801.462012380616</v>
      </c>
      <c r="C16" s="178">
        <v>1952.572459533445</v>
      </c>
      <c r="D16" s="178">
        <v>1445.3543431365085</v>
      </c>
      <c r="E16" s="178">
        <v>76.939137433869092</v>
      </c>
      <c r="F16" s="178">
        <v>420.83529841121651</v>
      </c>
      <c r="G16" s="178">
        <v>9.4436805518508731</v>
      </c>
    </row>
    <row r="17" spans="1:7" s="335" customFormat="1" x14ac:dyDescent="0.2">
      <c r="A17" s="371" t="s">
        <v>462</v>
      </c>
      <c r="B17" s="180">
        <v>41266.431889501342</v>
      </c>
      <c r="C17" s="180">
        <v>286.56956389348574</v>
      </c>
      <c r="D17" s="180">
        <v>60.311272004963172</v>
      </c>
      <c r="E17" s="180">
        <v>68.018657731391528</v>
      </c>
      <c r="F17" s="180">
        <v>151.15687374324293</v>
      </c>
      <c r="G17" s="180">
        <v>7.0827604138881544</v>
      </c>
    </row>
    <row r="18" spans="1:7" x14ac:dyDescent="0.2">
      <c r="A18" s="61" t="s">
        <v>462</v>
      </c>
      <c r="B18" s="178">
        <v>41266.431889501342</v>
      </c>
      <c r="C18" s="178">
        <v>286.56956389348574</v>
      </c>
      <c r="D18" s="178">
        <v>60.311272004963172</v>
      </c>
      <c r="E18" s="178">
        <v>68.018657731391528</v>
      </c>
      <c r="F18" s="178">
        <v>151.15687374324293</v>
      </c>
      <c r="G18" s="178">
        <v>7.0827604138881544</v>
      </c>
    </row>
    <row r="19" spans="1:7" s="335" customFormat="1" x14ac:dyDescent="0.2">
      <c r="A19" s="371" t="s">
        <v>463</v>
      </c>
      <c r="B19" s="180">
        <v>40882.313347507588</v>
      </c>
      <c r="C19" s="180">
        <v>336.11532152294279</v>
      </c>
      <c r="D19" s="180">
        <v>147.07485629280438</v>
      </c>
      <c r="E19" s="180">
        <v>75.824077471059397</v>
      </c>
      <c r="F19" s="180">
        <v>109.67500755213487</v>
      </c>
      <c r="G19" s="180">
        <v>3.5413802069440767</v>
      </c>
    </row>
    <row r="20" spans="1:7" x14ac:dyDescent="0.2">
      <c r="A20" s="61" t="s">
        <v>463</v>
      </c>
      <c r="B20" s="178">
        <v>40882.313347507588</v>
      </c>
      <c r="C20" s="178">
        <v>336.11532152294279</v>
      </c>
      <c r="D20" s="178">
        <v>147.07485629280438</v>
      </c>
      <c r="E20" s="178">
        <v>75.824077471059397</v>
      </c>
      <c r="F20" s="178">
        <v>109.67500755213487</v>
      </c>
      <c r="G20" s="178">
        <v>3.5413802069440767</v>
      </c>
    </row>
    <row r="21" spans="1:7" s="335" customFormat="1" x14ac:dyDescent="0.2">
      <c r="A21" s="371" t="s">
        <v>464</v>
      </c>
      <c r="B21" s="180">
        <v>14466.306815180857</v>
      </c>
      <c r="C21" s="180">
        <v>62.200351887670557</v>
      </c>
      <c r="D21" s="180">
        <v>14.813294878412002</v>
      </c>
      <c r="E21" s="180">
        <v>16.725899442145483</v>
      </c>
      <c r="F21" s="180">
        <v>28.300237429150357</v>
      </c>
      <c r="G21" s="180">
        <v>2.3609201379627178</v>
      </c>
    </row>
    <row r="22" spans="1:7" x14ac:dyDescent="0.2">
      <c r="A22" s="61" t="s">
        <v>464</v>
      </c>
      <c r="B22" s="178">
        <v>3485.7153016918178</v>
      </c>
      <c r="C22" s="178">
        <v>19.179637927019805</v>
      </c>
      <c r="D22" s="178">
        <v>6.3485549478908556</v>
      </c>
      <c r="E22" s="178">
        <v>6.6903597768581937</v>
      </c>
      <c r="F22" s="178">
        <v>3.7798030643080365</v>
      </c>
      <c r="G22" s="178">
        <v>2.3609201379627178</v>
      </c>
    </row>
    <row r="23" spans="1:7" x14ac:dyDescent="0.2">
      <c r="A23" s="61" t="s">
        <v>465</v>
      </c>
      <c r="B23" s="178">
        <v>10980.591513489066</v>
      </c>
      <c r="C23" s="178">
        <v>43.020713960650752</v>
      </c>
      <c r="D23" s="178">
        <v>8.4647399305211408</v>
      </c>
      <c r="E23" s="178">
        <v>10.03553966528729</v>
      </c>
      <c r="F23" s="178">
        <v>24.520434364842323</v>
      </c>
      <c r="G23" s="178">
        <v>0</v>
      </c>
    </row>
    <row r="24" spans="1:7" s="335" customFormat="1" x14ac:dyDescent="0.2">
      <c r="A24" s="371" t="s">
        <v>466</v>
      </c>
      <c r="B24" s="180">
        <v>8577.8196581575576</v>
      </c>
      <c r="C24" s="180">
        <v>28.833621748485019</v>
      </c>
      <c r="D24" s="180">
        <v>7.4066474392059982</v>
      </c>
      <c r="E24" s="180">
        <v>5.5752998140484946</v>
      </c>
      <c r="F24" s="180">
        <v>15.851674495230526</v>
      </c>
      <c r="G24" s="180">
        <v>0</v>
      </c>
    </row>
    <row r="25" spans="1:7" x14ac:dyDescent="0.2">
      <c r="A25" s="61" t="s">
        <v>466</v>
      </c>
      <c r="B25" s="178">
        <v>8577.8196581575576</v>
      </c>
      <c r="C25" s="178">
        <v>28.833621748485019</v>
      </c>
      <c r="D25" s="178">
        <v>7.4066474392059982</v>
      </c>
      <c r="E25" s="178">
        <v>5.5752998140484946</v>
      </c>
      <c r="F25" s="178">
        <v>15.851674495230526</v>
      </c>
      <c r="G25" s="178">
        <v>0</v>
      </c>
    </row>
    <row r="26" spans="1:7" s="335" customFormat="1" x14ac:dyDescent="0.2">
      <c r="A26" s="371" t="s">
        <v>467</v>
      </c>
      <c r="B26" s="180">
        <v>13445.093834174171</v>
      </c>
      <c r="C26" s="180">
        <v>92.806425491814878</v>
      </c>
      <c r="D26" s="180">
        <v>19.045664843672576</v>
      </c>
      <c r="E26" s="180">
        <v>17.840959404955182</v>
      </c>
      <c r="F26" s="180">
        <v>55.919801243187123</v>
      </c>
      <c r="G26" s="180">
        <v>0</v>
      </c>
    </row>
    <row r="27" spans="1:7" x14ac:dyDescent="0.2">
      <c r="A27" s="61" t="s">
        <v>467</v>
      </c>
      <c r="B27" s="178">
        <v>13445.093834174171</v>
      </c>
      <c r="C27" s="178">
        <v>92.806425491814878</v>
      </c>
      <c r="D27" s="178">
        <v>19.045664843672576</v>
      </c>
      <c r="E27" s="178">
        <v>17.840959404955182</v>
      </c>
      <c r="F27" s="178">
        <v>55.919801243187123</v>
      </c>
      <c r="G27" s="178">
        <v>0</v>
      </c>
    </row>
    <row r="28" spans="1:7" s="335" customFormat="1" x14ac:dyDescent="0.2">
      <c r="A28" s="371" t="s">
        <v>468</v>
      </c>
      <c r="B28" s="180">
        <v>7346.8701198701556</v>
      </c>
      <c r="C28" s="180">
        <v>30.201714390707235</v>
      </c>
      <c r="D28" s="180">
        <v>4.2323699652605704</v>
      </c>
      <c r="E28" s="180">
        <v>8.920479702477591</v>
      </c>
      <c r="F28" s="180">
        <v>14.687944585006353</v>
      </c>
      <c r="G28" s="180">
        <v>2.3609201379627178</v>
      </c>
    </row>
    <row r="29" spans="1:7" x14ac:dyDescent="0.2">
      <c r="A29" s="61" t="s">
        <v>468</v>
      </c>
      <c r="B29" s="178">
        <v>7346.8701198701556</v>
      </c>
      <c r="C29" s="178">
        <v>30.201714390707235</v>
      </c>
      <c r="D29" s="178">
        <v>4.2323699652605704</v>
      </c>
      <c r="E29" s="178">
        <v>8.920479702477591</v>
      </c>
      <c r="F29" s="178">
        <v>14.687944585006353</v>
      </c>
      <c r="G29" s="178">
        <v>2.3609201379627178</v>
      </c>
    </row>
  </sheetData>
  <mergeCells count="5">
    <mergeCell ref="D2:G2"/>
    <mergeCell ref="A1:G1"/>
    <mergeCell ref="A2:A3"/>
    <mergeCell ref="B2:B3"/>
    <mergeCell ref="C2:C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D4D4D"/>
  </sheetPr>
  <dimension ref="A1"/>
  <sheetViews>
    <sheetView workbookViewId="0">
      <selection activeCell="M3" sqref="M3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zoomScale="160" zoomScaleNormal="160" workbookViewId="0">
      <selection activeCell="B8" sqref="B8:B9"/>
    </sheetView>
  </sheetViews>
  <sheetFormatPr defaultRowHeight="12" x14ac:dyDescent="0.2"/>
  <cols>
    <col min="1" max="1" width="25.5703125" style="322" customWidth="1"/>
    <col min="2" max="2" width="12.85546875" style="409" customWidth="1"/>
    <col min="3" max="3" width="13.140625" style="409" customWidth="1"/>
    <col min="4" max="6" width="9.140625" style="322"/>
    <col min="7" max="7" width="1.42578125" style="322" customWidth="1"/>
    <col min="8" max="10" width="9.140625" style="322"/>
    <col min="11" max="11" width="2.140625" style="322" customWidth="1"/>
    <col min="12" max="16384" width="9.140625" style="322"/>
  </cols>
  <sheetData>
    <row r="1" spans="1:14" x14ac:dyDescent="0.2">
      <c r="A1" s="501" t="s">
        <v>516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</row>
    <row r="2" spans="1:14" x14ac:dyDescent="0.2">
      <c r="A2" s="257"/>
      <c r="B2" s="502" t="s">
        <v>470</v>
      </c>
      <c r="C2" s="503" t="s">
        <v>471</v>
      </c>
      <c r="D2" s="504" t="s">
        <v>206</v>
      </c>
      <c r="E2" s="504"/>
      <c r="F2" s="504"/>
      <c r="G2" s="382"/>
      <c r="H2" s="504" t="s">
        <v>207</v>
      </c>
      <c r="I2" s="504"/>
      <c r="J2" s="504"/>
      <c r="K2" s="382"/>
      <c r="L2" s="504" t="s">
        <v>208</v>
      </c>
      <c r="M2" s="504"/>
      <c r="N2" s="504"/>
    </row>
    <row r="3" spans="1:14" ht="9" customHeight="1" x14ac:dyDescent="0.2">
      <c r="A3" s="506" t="s">
        <v>501</v>
      </c>
      <c r="B3" s="502"/>
      <c r="C3" s="503"/>
      <c r="D3" s="505"/>
      <c r="E3" s="505"/>
      <c r="F3" s="505"/>
      <c r="G3" s="382"/>
      <c r="H3" s="505"/>
      <c r="I3" s="505"/>
      <c r="J3" s="505"/>
      <c r="K3" s="382"/>
      <c r="L3" s="505"/>
      <c r="M3" s="505"/>
      <c r="N3" s="505"/>
    </row>
    <row r="4" spans="1:14" ht="24" customHeight="1" x14ac:dyDescent="0.2">
      <c r="A4" s="506"/>
      <c r="B4" s="502"/>
      <c r="C4" s="503"/>
      <c r="D4" s="139" t="s">
        <v>1</v>
      </c>
      <c r="E4" s="139" t="s">
        <v>139</v>
      </c>
      <c r="F4" s="139" t="s">
        <v>140</v>
      </c>
      <c r="G4" s="139"/>
      <c r="H4" s="139" t="s">
        <v>1</v>
      </c>
      <c r="I4" s="139" t="s">
        <v>139</v>
      </c>
      <c r="J4" s="139" t="s">
        <v>140</v>
      </c>
      <c r="K4" s="139"/>
      <c r="L4" s="139" t="s">
        <v>1</v>
      </c>
      <c r="M4" s="139" t="s">
        <v>139</v>
      </c>
      <c r="N4" s="139" t="s">
        <v>140</v>
      </c>
    </row>
    <row r="5" spans="1:14" x14ac:dyDescent="0.2">
      <c r="A5" s="142" t="s">
        <v>457</v>
      </c>
      <c r="B5" s="410">
        <v>214780.49139935689</v>
      </c>
      <c r="C5" s="410">
        <f>D5+H5+L5</f>
        <v>93548.665071087802</v>
      </c>
      <c r="D5" s="158">
        <f>E5+F5</f>
        <v>18936.478377982079</v>
      </c>
      <c r="E5" s="158">
        <v>9044.1387905519587</v>
      </c>
      <c r="F5" s="158">
        <v>9892.3395874301223</v>
      </c>
      <c r="G5" s="158"/>
      <c r="H5" s="158">
        <f>I5+J5</f>
        <v>61200.25550985014</v>
      </c>
      <c r="I5" s="158">
        <v>29071.791852272891</v>
      </c>
      <c r="J5" s="158">
        <v>32128.463657577249</v>
      </c>
      <c r="K5" s="158"/>
      <c r="L5" s="158">
        <f>M5+N5</f>
        <v>13411.931183255583</v>
      </c>
      <c r="M5" s="158">
        <v>6246.8537767794624</v>
      </c>
      <c r="N5" s="158">
        <v>7165.0774064761199</v>
      </c>
    </row>
    <row r="6" spans="1:14" x14ac:dyDescent="0.2">
      <c r="A6" s="165"/>
      <c r="B6" s="413"/>
      <c r="C6" s="411"/>
      <c r="D6" s="167"/>
      <c r="E6" s="166"/>
      <c r="F6" s="166"/>
      <c r="G6" s="166"/>
      <c r="H6" s="167"/>
      <c r="I6" s="166"/>
      <c r="J6" s="166"/>
      <c r="K6" s="166"/>
      <c r="L6" s="167"/>
      <c r="M6" s="166"/>
      <c r="N6" s="166"/>
    </row>
    <row r="7" spans="1:14" x14ac:dyDescent="0.2">
      <c r="A7" s="142" t="s">
        <v>97</v>
      </c>
      <c r="B7" s="414"/>
      <c r="C7" s="410"/>
      <c r="D7" s="158"/>
      <c r="E7" s="168"/>
      <c r="F7" s="168"/>
      <c r="G7" s="168"/>
      <c r="H7" s="158"/>
      <c r="I7" s="168"/>
      <c r="J7" s="168"/>
      <c r="K7" s="168"/>
      <c r="L7" s="158"/>
      <c r="M7" s="168"/>
      <c r="N7" s="168"/>
    </row>
    <row r="8" spans="1:14" x14ac:dyDescent="0.2">
      <c r="A8" s="146" t="s">
        <v>209</v>
      </c>
      <c r="B8" s="412">
        <v>112498.81254006131</v>
      </c>
      <c r="C8" s="412">
        <f t="shared" ref="C8:C30" si="0">D8+H8+L8</f>
        <v>49526.833971291191</v>
      </c>
      <c r="D8" s="169">
        <f t="shared" ref="D8:D30" si="1">E8+F8</f>
        <v>9577.1991771528483</v>
      </c>
      <c r="E8" s="169">
        <v>4827.0296410227784</v>
      </c>
      <c r="F8" s="169">
        <v>4750.1695361300699</v>
      </c>
      <c r="G8" s="169"/>
      <c r="H8" s="169">
        <f t="shared" ref="H8:H30" si="2">I8+J8</f>
        <v>33538.265452011685</v>
      </c>
      <c r="I8" s="169">
        <v>16163.51761460898</v>
      </c>
      <c r="J8" s="169">
        <v>17374.747837402705</v>
      </c>
      <c r="K8" s="169"/>
      <c r="L8" s="169">
        <f t="shared" ref="L8:L30" si="3">M8+N8</f>
        <v>6411.369342126658</v>
      </c>
      <c r="M8" s="169">
        <v>3176.6462161067084</v>
      </c>
      <c r="N8" s="169">
        <v>3234.7231260199496</v>
      </c>
    </row>
    <row r="9" spans="1:14" x14ac:dyDescent="0.2">
      <c r="A9" s="146" t="s">
        <v>6</v>
      </c>
      <c r="B9" s="412">
        <v>102281.67885901053</v>
      </c>
      <c r="C9" s="412">
        <f t="shared" si="0"/>
        <v>44021.831099795374</v>
      </c>
      <c r="D9" s="169">
        <f t="shared" si="1"/>
        <v>9359.2792008296965</v>
      </c>
      <c r="E9" s="169">
        <v>4217.109149529153</v>
      </c>
      <c r="F9" s="169">
        <v>5142.1700513005444</v>
      </c>
      <c r="G9" s="169"/>
      <c r="H9" s="169">
        <f t="shared" si="2"/>
        <v>27661.990057837913</v>
      </c>
      <c r="I9" s="169">
        <v>12908.274237663994</v>
      </c>
      <c r="J9" s="169">
        <v>14753.715820173918</v>
      </c>
      <c r="K9" s="169"/>
      <c r="L9" s="169">
        <f t="shared" si="3"/>
        <v>7000.5618411277628</v>
      </c>
      <c r="M9" s="169">
        <v>3070.2075606721669</v>
      </c>
      <c r="N9" s="169">
        <v>3930.3542804555964</v>
      </c>
    </row>
    <row r="10" spans="1:14" x14ac:dyDescent="0.2">
      <c r="A10" s="142" t="s">
        <v>539</v>
      </c>
      <c r="B10" s="415"/>
      <c r="C10" s="410"/>
      <c r="D10" s="158"/>
      <c r="E10" s="170"/>
      <c r="F10" s="170"/>
      <c r="G10" s="170"/>
      <c r="H10" s="158"/>
      <c r="I10" s="170"/>
      <c r="J10" s="170"/>
      <c r="K10" s="170"/>
      <c r="L10" s="158"/>
      <c r="M10" s="170"/>
      <c r="N10" s="170"/>
    </row>
    <row r="11" spans="1:14" s="335" customFormat="1" x14ac:dyDescent="0.2">
      <c r="A11" s="371" t="s">
        <v>458</v>
      </c>
      <c r="B11" s="411">
        <v>81343.876779646409</v>
      </c>
      <c r="C11" s="411">
        <f t="shared" si="0"/>
        <v>31917.669938757739</v>
      </c>
      <c r="D11" s="167">
        <f t="shared" si="1"/>
        <v>5442.3496277151089</v>
      </c>
      <c r="E11" s="167">
        <v>2661.4280381642684</v>
      </c>
      <c r="F11" s="167">
        <v>2780.9215895508405</v>
      </c>
      <c r="G11" s="167"/>
      <c r="H11" s="167">
        <f t="shared" si="2"/>
        <v>22872.231950998117</v>
      </c>
      <c r="I11" s="167">
        <v>10775.26399156996</v>
      </c>
      <c r="J11" s="167">
        <v>12096.967959428159</v>
      </c>
      <c r="K11" s="167"/>
      <c r="L11" s="167">
        <f t="shared" si="3"/>
        <v>3603.088360044514</v>
      </c>
      <c r="M11" s="167">
        <v>1688.1777492992585</v>
      </c>
      <c r="N11" s="167">
        <v>1914.9106107452553</v>
      </c>
    </row>
    <row r="12" spans="1:14" x14ac:dyDescent="0.2">
      <c r="A12" s="61" t="s">
        <v>458</v>
      </c>
      <c r="B12" s="412">
        <v>81343.876779646409</v>
      </c>
      <c r="C12" s="412">
        <f t="shared" si="0"/>
        <v>31917.669938757739</v>
      </c>
      <c r="D12" s="169">
        <f t="shared" si="1"/>
        <v>5442.3496277151089</v>
      </c>
      <c r="E12" s="169">
        <v>2661.4280381642684</v>
      </c>
      <c r="F12" s="169">
        <v>2780.9215895508405</v>
      </c>
      <c r="G12" s="169"/>
      <c r="H12" s="169">
        <f t="shared" si="2"/>
        <v>22872.231950998117</v>
      </c>
      <c r="I12" s="169">
        <v>10775.26399156996</v>
      </c>
      <c r="J12" s="169">
        <v>12096.967959428159</v>
      </c>
      <c r="K12" s="169"/>
      <c r="L12" s="169">
        <f t="shared" si="3"/>
        <v>3603.088360044514</v>
      </c>
      <c r="M12" s="169">
        <v>1688.1777492992585</v>
      </c>
      <c r="N12" s="169">
        <v>1914.9106107452553</v>
      </c>
    </row>
    <row r="13" spans="1:14" s="335" customFormat="1" x14ac:dyDescent="0.2">
      <c r="A13" s="371" t="s">
        <v>459</v>
      </c>
      <c r="B13" s="411">
        <v>50474.593986120657</v>
      </c>
      <c r="C13" s="411">
        <f t="shared" si="0"/>
        <v>22790.252998540687</v>
      </c>
      <c r="D13" s="167">
        <f t="shared" si="1"/>
        <v>4606.538365846578</v>
      </c>
      <c r="E13" s="167">
        <v>2661.4280381642684</v>
      </c>
      <c r="F13" s="167">
        <v>1945.1103276823092</v>
      </c>
      <c r="G13" s="167"/>
      <c r="H13" s="167">
        <f t="shared" si="2"/>
        <v>15550.383071576722</v>
      </c>
      <c r="I13" s="167">
        <v>7522.5953930135356</v>
      </c>
      <c r="J13" s="167">
        <v>8027.7876785631852</v>
      </c>
      <c r="K13" s="167"/>
      <c r="L13" s="167">
        <f t="shared" si="3"/>
        <v>2633.3315611173903</v>
      </c>
      <c r="M13" s="167">
        <v>1329.0345323161532</v>
      </c>
      <c r="N13" s="167">
        <v>1304.2970288012368</v>
      </c>
    </row>
    <row r="14" spans="1:14" x14ac:dyDescent="0.2">
      <c r="A14" s="61" t="s">
        <v>459</v>
      </c>
      <c r="B14" s="412">
        <v>42539.884053448746</v>
      </c>
      <c r="C14" s="412">
        <f t="shared" si="0"/>
        <v>20206.058446496485</v>
      </c>
      <c r="D14" s="169">
        <f t="shared" si="1"/>
        <v>4336.1209994227629</v>
      </c>
      <c r="E14" s="169">
        <v>2661.4280381642684</v>
      </c>
      <c r="F14" s="169">
        <v>1674.6929612584947</v>
      </c>
      <c r="G14" s="169"/>
      <c r="H14" s="169">
        <f t="shared" si="2"/>
        <v>13571.716067989932</v>
      </c>
      <c r="I14" s="169">
        <v>6658.7222415213055</v>
      </c>
      <c r="J14" s="169">
        <v>6912.993826468627</v>
      </c>
      <c r="K14" s="169"/>
      <c r="L14" s="169">
        <f t="shared" si="3"/>
        <v>2298.2213790837932</v>
      </c>
      <c r="M14" s="169">
        <v>1181.3841271678748</v>
      </c>
      <c r="N14" s="169">
        <v>1116.8372519159182</v>
      </c>
    </row>
    <row r="15" spans="1:14" x14ac:dyDescent="0.2">
      <c r="A15" s="61" t="s">
        <v>460</v>
      </c>
      <c r="B15" s="412">
        <v>7934.7099326770231</v>
      </c>
      <c r="C15" s="412">
        <f t="shared" si="0"/>
        <v>5245.6225902085152</v>
      </c>
      <c r="D15" s="169">
        <f t="shared" si="1"/>
        <v>2931.8454045880826</v>
      </c>
      <c r="E15" s="169">
        <v>2661.4280381642684</v>
      </c>
      <c r="F15" s="169">
        <v>270.41736642381403</v>
      </c>
      <c r="G15" s="169"/>
      <c r="H15" s="169">
        <f t="shared" si="2"/>
        <v>1978.6670035868403</v>
      </c>
      <c r="I15" s="169">
        <v>863.87315149224241</v>
      </c>
      <c r="J15" s="169">
        <v>1114.7938520945979</v>
      </c>
      <c r="K15" s="169"/>
      <c r="L15" s="169">
        <f t="shared" si="3"/>
        <v>335.11018203359293</v>
      </c>
      <c r="M15" s="169">
        <v>147.65040514827686</v>
      </c>
      <c r="N15" s="169">
        <v>187.45977688531607</v>
      </c>
    </row>
    <row r="16" spans="1:14" s="335" customFormat="1" x14ac:dyDescent="0.2">
      <c r="A16" s="371" t="s">
        <v>461</v>
      </c>
      <c r="B16" s="411">
        <v>15316.113418379684</v>
      </c>
      <c r="C16" s="411">
        <f t="shared" si="0"/>
        <v>10342.495400518181</v>
      </c>
      <c r="D16" s="167">
        <f t="shared" si="1"/>
        <v>3842.5641555544953</v>
      </c>
      <c r="E16" s="167">
        <v>2661.4280381642684</v>
      </c>
      <c r="F16" s="167">
        <v>1181.1361173902269</v>
      </c>
      <c r="G16" s="167"/>
      <c r="H16" s="167">
        <f t="shared" si="2"/>
        <v>4837.0335674760308</v>
      </c>
      <c r="I16" s="167">
        <v>2392.0722537726174</v>
      </c>
      <c r="J16" s="167">
        <v>2444.9613137034135</v>
      </c>
      <c r="K16" s="167"/>
      <c r="L16" s="167">
        <f t="shared" si="3"/>
        <v>1662.8976774876551</v>
      </c>
      <c r="M16" s="167">
        <v>829.79655222874374</v>
      </c>
      <c r="N16" s="167">
        <v>833.10112525891134</v>
      </c>
    </row>
    <row r="17" spans="1:14" x14ac:dyDescent="0.2">
      <c r="A17" s="61" t="s">
        <v>461</v>
      </c>
      <c r="B17" s="412">
        <v>15316.113418379684</v>
      </c>
      <c r="C17" s="412">
        <f t="shared" si="0"/>
        <v>10342.495400518181</v>
      </c>
      <c r="D17" s="169">
        <f t="shared" si="1"/>
        <v>3842.5641555544953</v>
      </c>
      <c r="E17" s="169">
        <v>2661.4280381642684</v>
      </c>
      <c r="F17" s="169">
        <v>1181.1361173902269</v>
      </c>
      <c r="G17" s="169"/>
      <c r="H17" s="169">
        <f t="shared" si="2"/>
        <v>4837.0335674760308</v>
      </c>
      <c r="I17" s="169">
        <v>2392.0722537726174</v>
      </c>
      <c r="J17" s="169">
        <v>2444.9613137034135</v>
      </c>
      <c r="K17" s="169"/>
      <c r="L17" s="169">
        <f t="shared" si="3"/>
        <v>1662.8976774876551</v>
      </c>
      <c r="M17" s="169">
        <v>829.79655222874374</v>
      </c>
      <c r="N17" s="169">
        <v>833.10112525891134</v>
      </c>
    </row>
    <row r="18" spans="1:14" s="335" customFormat="1" x14ac:dyDescent="0.2">
      <c r="A18" s="371" t="s">
        <v>462</v>
      </c>
      <c r="B18" s="411">
        <v>19277.261907575488</v>
      </c>
      <c r="C18" s="411">
        <f t="shared" si="0"/>
        <v>10197.404079326294</v>
      </c>
      <c r="D18" s="167">
        <f t="shared" si="1"/>
        <v>3505.0215719293074</v>
      </c>
      <c r="E18" s="167">
        <v>2661.4280381642684</v>
      </c>
      <c r="F18" s="167">
        <v>843.59353376503884</v>
      </c>
      <c r="G18" s="167"/>
      <c r="H18" s="167">
        <f t="shared" si="2"/>
        <v>5571.093243833875</v>
      </c>
      <c r="I18" s="167">
        <v>2736.6486401245434</v>
      </c>
      <c r="J18" s="167">
        <v>2834.4446037093317</v>
      </c>
      <c r="K18" s="167"/>
      <c r="L18" s="167">
        <f t="shared" si="3"/>
        <v>1121.2892635631108</v>
      </c>
      <c r="M18" s="167">
        <v>519.86643665099962</v>
      </c>
      <c r="N18" s="167">
        <v>601.42282691211119</v>
      </c>
    </row>
    <row r="19" spans="1:14" x14ac:dyDescent="0.2">
      <c r="A19" s="61" t="s">
        <v>462</v>
      </c>
      <c r="B19" s="412">
        <v>19277.261907575488</v>
      </c>
      <c r="C19" s="412">
        <f t="shared" si="0"/>
        <v>10197.404079326294</v>
      </c>
      <c r="D19" s="169">
        <f t="shared" si="1"/>
        <v>3505.0215719293074</v>
      </c>
      <c r="E19" s="169">
        <v>2661.4280381642684</v>
      </c>
      <c r="F19" s="169">
        <v>843.59353376503884</v>
      </c>
      <c r="G19" s="169"/>
      <c r="H19" s="169">
        <f t="shared" si="2"/>
        <v>5571.093243833875</v>
      </c>
      <c r="I19" s="169">
        <v>2736.6486401245434</v>
      </c>
      <c r="J19" s="169">
        <v>2834.4446037093317</v>
      </c>
      <c r="K19" s="169"/>
      <c r="L19" s="169">
        <f t="shared" si="3"/>
        <v>1121.2892635631108</v>
      </c>
      <c r="M19" s="169">
        <v>519.86643665099962</v>
      </c>
      <c r="N19" s="169">
        <v>601.42282691211119</v>
      </c>
    </row>
    <row r="20" spans="1:14" s="335" customFormat="1" x14ac:dyDescent="0.2">
      <c r="A20" s="371" t="s">
        <v>463</v>
      </c>
      <c r="B20" s="411">
        <v>25442.840173662691</v>
      </c>
      <c r="C20" s="411">
        <f t="shared" si="0"/>
        <v>16152.64863736627</v>
      </c>
      <c r="D20" s="167">
        <f t="shared" si="1"/>
        <v>5207.7812664236117</v>
      </c>
      <c r="E20" s="167">
        <v>2661.4280381642684</v>
      </c>
      <c r="F20" s="167">
        <v>2546.3532282593433</v>
      </c>
      <c r="G20" s="167"/>
      <c r="H20" s="167">
        <f t="shared" si="2"/>
        <v>7324.7325290305025</v>
      </c>
      <c r="I20" s="167">
        <v>3253.2063481542878</v>
      </c>
      <c r="J20" s="167">
        <v>4071.5261808762148</v>
      </c>
      <c r="K20" s="167"/>
      <c r="L20" s="167">
        <f t="shared" si="3"/>
        <v>3620.1348419121559</v>
      </c>
      <c r="M20" s="167">
        <v>1513.7942239015117</v>
      </c>
      <c r="N20" s="167">
        <v>2106.3406180106444</v>
      </c>
    </row>
    <row r="21" spans="1:14" x14ac:dyDescent="0.2">
      <c r="A21" s="61" t="s">
        <v>463</v>
      </c>
      <c r="B21" s="412">
        <v>25442.840173662691</v>
      </c>
      <c r="C21" s="412">
        <f t="shared" si="0"/>
        <v>16152.64863736627</v>
      </c>
      <c r="D21" s="169">
        <f t="shared" si="1"/>
        <v>5207.7812664236117</v>
      </c>
      <c r="E21" s="169">
        <v>2661.4280381642684</v>
      </c>
      <c r="F21" s="169">
        <v>2546.3532282593433</v>
      </c>
      <c r="G21" s="169"/>
      <c r="H21" s="169">
        <f t="shared" si="2"/>
        <v>7324.7325290305025</v>
      </c>
      <c r="I21" s="169">
        <v>3253.2063481542878</v>
      </c>
      <c r="J21" s="169">
        <v>4071.5261808762148</v>
      </c>
      <c r="K21" s="169"/>
      <c r="L21" s="169">
        <f t="shared" si="3"/>
        <v>3620.1348419121559</v>
      </c>
      <c r="M21" s="169">
        <v>1513.7942239015117</v>
      </c>
      <c r="N21" s="169">
        <v>2106.3406180106444</v>
      </c>
    </row>
    <row r="22" spans="1:14" s="335" customFormat="1" x14ac:dyDescent="0.2">
      <c r="A22" s="371" t="s">
        <v>464</v>
      </c>
      <c r="B22" s="411">
        <v>7222.6438960558171</v>
      </c>
      <c r="C22" s="411">
        <f t="shared" si="0"/>
        <v>4505.9781363172096</v>
      </c>
      <c r="D22" s="167">
        <f t="shared" si="1"/>
        <v>2828.7570841666675</v>
      </c>
      <c r="E22" s="167">
        <v>2661.4280381642684</v>
      </c>
      <c r="F22" s="167">
        <v>167.32904600239908</v>
      </c>
      <c r="G22" s="167"/>
      <c r="H22" s="167">
        <f t="shared" si="2"/>
        <v>1440.1365979677662</v>
      </c>
      <c r="I22" s="167">
        <v>740.20167386432695</v>
      </c>
      <c r="J22" s="167">
        <v>699.93492410343924</v>
      </c>
      <c r="K22" s="167"/>
      <c r="L22" s="167">
        <f t="shared" si="3"/>
        <v>237.08445418277563</v>
      </c>
      <c r="M22" s="167">
        <v>121.42898312701277</v>
      </c>
      <c r="N22" s="167">
        <v>115.65547105576286</v>
      </c>
    </row>
    <row r="23" spans="1:14" x14ac:dyDescent="0.2">
      <c r="A23" s="61" t="s">
        <v>464</v>
      </c>
      <c r="B23" s="412">
        <v>1789.3868283058614</v>
      </c>
      <c r="C23" s="412">
        <f t="shared" si="0"/>
        <v>3173.4677490395625</v>
      </c>
      <c r="D23" s="169">
        <f t="shared" si="1"/>
        <v>2714.2503167404411</v>
      </c>
      <c r="E23" s="169">
        <v>2661.4280381642684</v>
      </c>
      <c r="F23" s="169">
        <v>52.82227857617287</v>
      </c>
      <c r="G23" s="169"/>
      <c r="H23" s="169">
        <f t="shared" si="2"/>
        <v>413.33670719055226</v>
      </c>
      <c r="I23" s="169">
        <v>197.12687446849532</v>
      </c>
      <c r="J23" s="169">
        <v>216.20983272205694</v>
      </c>
      <c r="K23" s="169"/>
      <c r="L23" s="169">
        <f t="shared" si="3"/>
        <v>45.880725108569145</v>
      </c>
      <c r="M23" s="169">
        <v>21.416693260210167</v>
      </c>
      <c r="N23" s="169">
        <v>24.464031848358978</v>
      </c>
    </row>
    <row r="24" spans="1:14" x14ac:dyDescent="0.2">
      <c r="A24" s="61" t="s">
        <v>465</v>
      </c>
      <c r="B24" s="412">
        <v>5433.2570677498579</v>
      </c>
      <c r="C24" s="412">
        <f t="shared" si="0"/>
        <v>3993.9384254419128</v>
      </c>
      <c r="D24" s="169">
        <f t="shared" si="1"/>
        <v>2775.9348055904943</v>
      </c>
      <c r="E24" s="169">
        <v>2661.4280381642684</v>
      </c>
      <c r="F24" s="169">
        <v>114.50676742622595</v>
      </c>
      <c r="G24" s="169"/>
      <c r="H24" s="169">
        <f t="shared" si="2"/>
        <v>1026.7998907772123</v>
      </c>
      <c r="I24" s="169">
        <v>543.0747993958305</v>
      </c>
      <c r="J24" s="169">
        <v>483.72509138138179</v>
      </c>
      <c r="K24" s="169"/>
      <c r="L24" s="169">
        <f t="shared" si="3"/>
        <v>191.20372907420654</v>
      </c>
      <c r="M24" s="169">
        <v>100.01228986680263</v>
      </c>
      <c r="N24" s="169">
        <v>91.191439207403917</v>
      </c>
    </row>
    <row r="25" spans="1:14" s="335" customFormat="1" x14ac:dyDescent="0.2">
      <c r="A25" s="371" t="s">
        <v>466</v>
      </c>
      <c r="B25" s="411">
        <v>4983.4202667753088</v>
      </c>
      <c r="C25" s="411">
        <f t="shared" si="0"/>
        <v>3624.8943605716663</v>
      </c>
      <c r="D25" s="167">
        <f t="shared" si="1"/>
        <v>2774.5891916608589</v>
      </c>
      <c r="E25" s="167">
        <v>2661.4280381642684</v>
      </c>
      <c r="F25" s="167">
        <v>113.16115349659037</v>
      </c>
      <c r="G25" s="167"/>
      <c r="H25" s="167">
        <f t="shared" si="2"/>
        <v>742.74263903303313</v>
      </c>
      <c r="I25" s="167">
        <v>309.70266522648609</v>
      </c>
      <c r="J25" s="167">
        <v>433.03997380654698</v>
      </c>
      <c r="K25" s="167"/>
      <c r="L25" s="167">
        <f t="shared" si="3"/>
        <v>107.56252987777455</v>
      </c>
      <c r="M25" s="167">
        <v>39.578817770212986</v>
      </c>
      <c r="N25" s="167">
        <v>67.983712107561573</v>
      </c>
    </row>
    <row r="26" spans="1:14" x14ac:dyDescent="0.2">
      <c r="A26" s="61" t="s">
        <v>466</v>
      </c>
      <c r="B26" s="412">
        <v>4983.4202667753088</v>
      </c>
      <c r="C26" s="412">
        <f t="shared" si="0"/>
        <v>3624.8943605716663</v>
      </c>
      <c r="D26" s="169">
        <f t="shared" si="1"/>
        <v>2774.5891916608589</v>
      </c>
      <c r="E26" s="169">
        <v>2661.4280381642684</v>
      </c>
      <c r="F26" s="169">
        <v>113.16115349659037</v>
      </c>
      <c r="G26" s="169"/>
      <c r="H26" s="169">
        <f t="shared" si="2"/>
        <v>742.74263903303313</v>
      </c>
      <c r="I26" s="169">
        <v>309.70266522648609</v>
      </c>
      <c r="J26" s="169">
        <v>433.03997380654698</v>
      </c>
      <c r="K26" s="169"/>
      <c r="L26" s="169">
        <f t="shared" si="3"/>
        <v>107.56252987777455</v>
      </c>
      <c r="M26" s="169">
        <v>39.578817770212986</v>
      </c>
      <c r="N26" s="169">
        <v>67.983712107561573</v>
      </c>
    </row>
    <row r="27" spans="1:14" s="335" customFormat="1" x14ac:dyDescent="0.2">
      <c r="A27" s="371" t="s">
        <v>467</v>
      </c>
      <c r="B27" s="411">
        <v>7045.1335735855937</v>
      </c>
      <c r="C27" s="411">
        <f t="shared" si="0"/>
        <v>4780.5029885338108</v>
      </c>
      <c r="D27" s="167">
        <f t="shared" si="1"/>
        <v>2815.9357194659369</v>
      </c>
      <c r="E27" s="167">
        <v>2661.4280381642684</v>
      </c>
      <c r="F27" s="167">
        <v>154.50768130166833</v>
      </c>
      <c r="G27" s="167"/>
      <c r="H27" s="167">
        <f t="shared" si="2"/>
        <v>1733.775704318597</v>
      </c>
      <c r="I27" s="167">
        <v>846.68849190250319</v>
      </c>
      <c r="J27" s="167">
        <v>887.08721241609373</v>
      </c>
      <c r="K27" s="167"/>
      <c r="L27" s="167">
        <f t="shared" si="3"/>
        <v>230.79156474927669</v>
      </c>
      <c r="M27" s="167">
        <v>126.92268970769663</v>
      </c>
      <c r="N27" s="167">
        <v>103.86887504158004</v>
      </c>
    </row>
    <row r="28" spans="1:14" x14ac:dyDescent="0.2">
      <c r="A28" s="61" t="s">
        <v>467</v>
      </c>
      <c r="B28" s="412">
        <v>7045.1335735855937</v>
      </c>
      <c r="C28" s="412">
        <f t="shared" si="0"/>
        <v>4780.5029885338108</v>
      </c>
      <c r="D28" s="169">
        <f t="shared" si="1"/>
        <v>2815.9357194659369</v>
      </c>
      <c r="E28" s="169">
        <v>2661.4280381642684</v>
      </c>
      <c r="F28" s="169">
        <v>154.50768130166833</v>
      </c>
      <c r="G28" s="169"/>
      <c r="H28" s="169">
        <f t="shared" si="2"/>
        <v>1733.775704318597</v>
      </c>
      <c r="I28" s="169">
        <v>846.68849190250319</v>
      </c>
      <c r="J28" s="169">
        <v>887.08721241609373</v>
      </c>
      <c r="K28" s="169"/>
      <c r="L28" s="169">
        <f t="shared" si="3"/>
        <v>230.79156474927669</v>
      </c>
      <c r="M28" s="169">
        <v>126.92268970769663</v>
      </c>
      <c r="N28" s="169">
        <v>103.86887504158004</v>
      </c>
    </row>
    <row r="29" spans="1:14" s="335" customFormat="1" x14ac:dyDescent="0.2">
      <c r="A29" s="371" t="s">
        <v>468</v>
      </c>
      <c r="B29" s="411">
        <v>3674.6073971469259</v>
      </c>
      <c r="C29" s="411">
        <f t="shared" si="0"/>
        <v>4145.532084087291</v>
      </c>
      <c r="D29" s="167">
        <f t="shared" si="1"/>
        <v>2821.6549481465399</v>
      </c>
      <c r="E29" s="167">
        <v>2661.4280381642684</v>
      </c>
      <c r="F29" s="167">
        <v>160.22690998227139</v>
      </c>
      <c r="G29" s="167"/>
      <c r="H29" s="167">
        <f t="shared" si="2"/>
        <v>1128.1262056202459</v>
      </c>
      <c r="I29" s="167">
        <v>495.41239464727465</v>
      </c>
      <c r="J29" s="167">
        <v>632.71381097297126</v>
      </c>
      <c r="K29" s="167"/>
      <c r="L29" s="167">
        <f t="shared" si="3"/>
        <v>195.75093032050546</v>
      </c>
      <c r="M29" s="167">
        <v>78.25379177762521</v>
      </c>
      <c r="N29" s="167">
        <v>117.49713854288024</v>
      </c>
    </row>
    <row r="30" spans="1:14" x14ac:dyDescent="0.2">
      <c r="A30" s="61" t="s">
        <v>468</v>
      </c>
      <c r="B30" s="412">
        <v>3674.6073971469259</v>
      </c>
      <c r="C30" s="412">
        <f t="shared" si="0"/>
        <v>4145.532084087291</v>
      </c>
      <c r="D30" s="169">
        <f t="shared" si="1"/>
        <v>2821.6549481465399</v>
      </c>
      <c r="E30" s="169">
        <v>2661.4280381642684</v>
      </c>
      <c r="F30" s="169">
        <v>160.22690998227139</v>
      </c>
      <c r="G30" s="169"/>
      <c r="H30" s="169">
        <f t="shared" si="2"/>
        <v>1128.1262056202459</v>
      </c>
      <c r="I30" s="169">
        <v>495.41239464727465</v>
      </c>
      <c r="J30" s="169">
        <v>632.71381097297126</v>
      </c>
      <c r="K30" s="169"/>
      <c r="L30" s="169">
        <f t="shared" si="3"/>
        <v>195.75093032050546</v>
      </c>
      <c r="M30" s="169">
        <v>78.25379177762521</v>
      </c>
      <c r="N30" s="169">
        <v>117.49713854288024</v>
      </c>
    </row>
  </sheetData>
  <mergeCells count="7">
    <mergeCell ref="A1:N1"/>
    <mergeCell ref="B2:B4"/>
    <mergeCell ref="C2:C4"/>
    <mergeCell ref="D2:F3"/>
    <mergeCell ref="H2:J3"/>
    <mergeCell ref="L2:N3"/>
    <mergeCell ref="A3:A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U14"/>
  <sheetViews>
    <sheetView workbookViewId="0">
      <selection activeCell="B24" sqref="B24"/>
    </sheetView>
  </sheetViews>
  <sheetFormatPr defaultRowHeight="12" x14ac:dyDescent="0.2"/>
  <cols>
    <col min="1" max="1" width="17.7109375" style="322" customWidth="1"/>
    <col min="2" max="14" width="9.140625" style="322"/>
    <col min="15" max="15" width="9.140625" style="409"/>
    <col min="16" max="16384" width="9.140625" style="322"/>
  </cols>
  <sheetData>
    <row r="1" spans="1:21" ht="12" customHeight="1" thickBot="1" x14ac:dyDescent="0.25">
      <c r="A1" s="507" t="s">
        <v>519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</row>
    <row r="2" spans="1:21" x14ac:dyDescent="0.2">
      <c r="A2" s="510" t="s">
        <v>517</v>
      </c>
      <c r="B2" s="511" t="s">
        <v>452</v>
      </c>
      <c r="C2" s="512" t="s">
        <v>210</v>
      </c>
      <c r="D2" s="513" t="s">
        <v>211</v>
      </c>
      <c r="E2" s="513"/>
      <c r="F2" s="513"/>
      <c r="G2" s="416"/>
      <c r="H2" s="513" t="s">
        <v>212</v>
      </c>
      <c r="I2" s="513"/>
      <c r="J2" s="513"/>
      <c r="K2" s="416"/>
      <c r="L2" s="513" t="s">
        <v>213</v>
      </c>
      <c r="M2" s="513"/>
      <c r="N2" s="513"/>
      <c r="O2" s="508" t="s">
        <v>214</v>
      </c>
    </row>
    <row r="3" spans="1:21" x14ac:dyDescent="0.2">
      <c r="A3" s="510"/>
      <c r="B3" s="511"/>
      <c r="C3" s="512"/>
      <c r="D3" s="514"/>
      <c r="E3" s="514"/>
      <c r="F3" s="514"/>
      <c r="G3" s="126"/>
      <c r="H3" s="514"/>
      <c r="I3" s="514"/>
      <c r="J3" s="514"/>
      <c r="K3" s="126"/>
      <c r="L3" s="514"/>
      <c r="M3" s="514"/>
      <c r="N3" s="514"/>
      <c r="O3" s="509"/>
    </row>
    <row r="4" spans="1:21" x14ac:dyDescent="0.2">
      <c r="A4" s="510"/>
      <c r="B4" s="511"/>
      <c r="C4" s="512"/>
      <c r="D4" s="258" t="s">
        <v>1</v>
      </c>
      <c r="E4" s="258" t="s">
        <v>139</v>
      </c>
      <c r="F4" s="258" t="s">
        <v>140</v>
      </c>
      <c r="G4" s="258"/>
      <c r="H4" s="258" t="s">
        <v>1</v>
      </c>
      <c r="I4" s="258" t="s">
        <v>139</v>
      </c>
      <c r="J4" s="258" t="s">
        <v>140</v>
      </c>
      <c r="K4" s="258"/>
      <c r="L4" s="258" t="s">
        <v>1</v>
      </c>
      <c r="M4" s="258" t="s">
        <v>139</v>
      </c>
      <c r="N4" s="258" t="s">
        <v>140</v>
      </c>
      <c r="O4" s="509"/>
    </row>
    <row r="5" spans="1:21" x14ac:dyDescent="0.2">
      <c r="A5" s="171" t="s">
        <v>457</v>
      </c>
      <c r="B5" s="172">
        <v>214780.49139935689</v>
      </c>
      <c r="C5" s="172">
        <f>+D5+H5+L5</f>
        <v>21388.234787048532</v>
      </c>
      <c r="D5" s="172">
        <f>E5+F5</f>
        <v>3715.6172689705063</v>
      </c>
      <c r="E5" s="172">
        <v>1840.1826875598356</v>
      </c>
      <c r="F5" s="172">
        <v>1875.4345814106709</v>
      </c>
      <c r="G5" s="172"/>
      <c r="H5" s="172">
        <f>I5+J5</f>
        <v>15495.898113911189</v>
      </c>
      <c r="I5" s="172">
        <v>7671.9920662171717</v>
      </c>
      <c r="J5" s="172">
        <v>7823.9060476940176</v>
      </c>
      <c r="K5" s="172"/>
      <c r="L5" s="172">
        <f>M5+N5</f>
        <v>2176.7194041668367</v>
      </c>
      <c r="M5" s="172">
        <v>1107.3413930420095</v>
      </c>
      <c r="N5" s="172">
        <v>1069.3780111248273</v>
      </c>
      <c r="O5" s="417">
        <f>C5/B5*100</f>
        <v>9.9581831886583405</v>
      </c>
    </row>
    <row r="6" spans="1:21" x14ac:dyDescent="0.2">
      <c r="A6" s="37"/>
      <c r="B6" s="38"/>
      <c r="C6" s="38"/>
      <c r="D6" s="38">
        <f t="shared" ref="D6:D14" si="0">E6+F6</f>
        <v>0</v>
      </c>
      <c r="E6" s="38"/>
      <c r="F6" s="38"/>
      <c r="G6" s="38"/>
      <c r="H6" s="38">
        <f t="shared" ref="H6:H14" si="1">I6+J6</f>
        <v>0</v>
      </c>
      <c r="I6" s="38"/>
      <c r="J6" s="38"/>
      <c r="K6" s="38"/>
      <c r="L6" s="39">
        <f t="shared" ref="L6:L14" si="2">M6+N6</f>
        <v>0</v>
      </c>
      <c r="M6" s="38"/>
      <c r="N6" s="38"/>
      <c r="O6" s="418"/>
    </row>
    <row r="7" spans="1:21" x14ac:dyDescent="0.2">
      <c r="A7" s="171" t="s">
        <v>453</v>
      </c>
      <c r="B7" s="172"/>
      <c r="C7" s="172"/>
      <c r="D7" s="172">
        <f t="shared" si="0"/>
        <v>0</v>
      </c>
      <c r="E7" s="172"/>
      <c r="F7" s="172"/>
      <c r="G7" s="172"/>
      <c r="H7" s="172">
        <f t="shared" si="1"/>
        <v>0</v>
      </c>
      <c r="I7" s="172"/>
      <c r="J7" s="172"/>
      <c r="K7" s="172"/>
      <c r="L7" s="172">
        <f t="shared" si="2"/>
        <v>0</v>
      </c>
      <c r="M7" s="172"/>
      <c r="N7" s="172"/>
      <c r="O7" s="417"/>
      <c r="U7" s="322" t="s">
        <v>472</v>
      </c>
    </row>
    <row r="8" spans="1:21" x14ac:dyDescent="0.2">
      <c r="A8" s="40" t="s">
        <v>5</v>
      </c>
      <c r="B8" s="39">
        <v>112498.81254006131</v>
      </c>
      <c r="C8" s="39">
        <f>SUM(L8,H8,D8)</f>
        <v>11930.727002783198</v>
      </c>
      <c r="D8" s="39">
        <f t="shared" si="0"/>
        <v>1920.0692784106113</v>
      </c>
      <c r="E8" s="39">
        <v>982.82907987406054</v>
      </c>
      <c r="F8" s="39">
        <v>937.24019853655079</v>
      </c>
      <c r="G8" s="39"/>
      <c r="H8" s="39">
        <f t="shared" si="1"/>
        <v>8908.8076901251989</v>
      </c>
      <c r="I8" s="39">
        <v>4550.2733888290286</v>
      </c>
      <c r="J8" s="39">
        <v>4358.5343012961712</v>
      </c>
      <c r="K8" s="39"/>
      <c r="L8" s="39">
        <f t="shared" si="2"/>
        <v>1101.8500342473881</v>
      </c>
      <c r="M8" s="39">
        <v>589.8470306365067</v>
      </c>
      <c r="N8" s="39">
        <v>512.00300361088136</v>
      </c>
      <c r="O8" s="419">
        <f>C8/B8*100</f>
        <v>10.605202609169421</v>
      </c>
    </row>
    <row r="9" spans="1:21" x14ac:dyDescent="0.2">
      <c r="A9" s="40" t="s">
        <v>6</v>
      </c>
      <c r="B9" s="39">
        <v>102281.67885901053</v>
      </c>
      <c r="C9" s="39">
        <f>SUM(L9,H9,D9)</f>
        <v>9457.5077842644514</v>
      </c>
      <c r="D9" s="39">
        <f t="shared" si="0"/>
        <v>1795.5479905598634</v>
      </c>
      <c r="E9" s="39">
        <v>857.35360768576015</v>
      </c>
      <c r="F9" s="39">
        <v>938.19438287410321</v>
      </c>
      <c r="G9" s="39"/>
      <c r="H9" s="39">
        <f t="shared" si="1"/>
        <v>6587.0904237851319</v>
      </c>
      <c r="I9" s="39">
        <v>3121.7186773877606</v>
      </c>
      <c r="J9" s="39">
        <v>3465.3717463973708</v>
      </c>
      <c r="K9" s="39"/>
      <c r="L9" s="39">
        <f t="shared" si="2"/>
        <v>1074.8693699194564</v>
      </c>
      <c r="M9" s="39">
        <v>517.49436240550631</v>
      </c>
      <c r="N9" s="39">
        <v>557.37500751394998</v>
      </c>
      <c r="O9" s="419">
        <f t="shared" ref="O9:O14" si="3">C9/B9*100</f>
        <v>9.2465316269408202</v>
      </c>
    </row>
    <row r="10" spans="1:21" x14ac:dyDescent="0.2">
      <c r="A10" s="171" t="s">
        <v>215</v>
      </c>
      <c r="B10" s="172"/>
      <c r="C10" s="172"/>
      <c r="D10" s="173">
        <f t="shared" si="0"/>
        <v>0</v>
      </c>
      <c r="E10" s="172"/>
      <c r="F10" s="172"/>
      <c r="G10" s="172"/>
      <c r="H10" s="173">
        <f t="shared" si="1"/>
        <v>0</v>
      </c>
      <c r="I10" s="172"/>
      <c r="J10" s="172"/>
      <c r="K10" s="172"/>
      <c r="L10" s="172">
        <f t="shared" si="2"/>
        <v>0</v>
      </c>
      <c r="M10" s="172"/>
      <c r="N10" s="172"/>
      <c r="O10" s="417"/>
    </row>
    <row r="11" spans="1:21" x14ac:dyDescent="0.2">
      <c r="A11" s="41" t="s">
        <v>10</v>
      </c>
      <c r="B11" s="39">
        <v>69215.120319380658</v>
      </c>
      <c r="C11" s="39">
        <f>+D11+H11+L11</f>
        <v>4082.1208314938795</v>
      </c>
      <c r="D11" s="39">
        <f t="shared" si="0"/>
        <v>394.6684992605467</v>
      </c>
      <c r="E11" s="39">
        <v>158.71387369727088</v>
      </c>
      <c r="F11" s="39">
        <v>235.95462556327584</v>
      </c>
      <c r="G11" s="39"/>
      <c r="H11" s="39">
        <f t="shared" si="1"/>
        <v>3526.6222735534311</v>
      </c>
      <c r="I11" s="39">
        <v>1664.3794888387476</v>
      </c>
      <c r="J11" s="39">
        <v>1862.2427847146835</v>
      </c>
      <c r="K11" s="39"/>
      <c r="L11" s="39">
        <f t="shared" si="2"/>
        <v>160.83005867990158</v>
      </c>
      <c r="M11" s="39">
        <v>69.834104426799428</v>
      </c>
      <c r="N11" s="39">
        <v>90.995954253102155</v>
      </c>
      <c r="O11" s="419">
        <f t="shared" si="3"/>
        <v>5.897729878468275</v>
      </c>
    </row>
    <row r="12" spans="1:21" x14ac:dyDescent="0.2">
      <c r="A12" s="41" t="s">
        <v>142</v>
      </c>
      <c r="B12" s="39">
        <v>62152.327267017819</v>
      </c>
      <c r="C12" s="39">
        <f>+D12+H12+L12</f>
        <v>6598.92485990778</v>
      </c>
      <c r="D12" s="39">
        <f t="shared" si="0"/>
        <v>1341.4171352600777</v>
      </c>
      <c r="E12" s="39">
        <v>685.76187712796991</v>
      </c>
      <c r="F12" s="39">
        <v>655.65525813210775</v>
      </c>
      <c r="G12" s="39"/>
      <c r="H12" s="39">
        <f t="shared" si="1"/>
        <v>4455.7796113875238</v>
      </c>
      <c r="I12" s="39">
        <v>2210.0488462888102</v>
      </c>
      <c r="J12" s="39">
        <v>2245.7307650987136</v>
      </c>
      <c r="K12" s="39"/>
      <c r="L12" s="39">
        <f t="shared" si="2"/>
        <v>801.72811326017825</v>
      </c>
      <c r="M12" s="39">
        <v>403.6517065371134</v>
      </c>
      <c r="N12" s="39">
        <v>398.07640672306485</v>
      </c>
      <c r="O12" s="419">
        <f t="shared" si="3"/>
        <v>10.617341538246164</v>
      </c>
    </row>
    <row r="13" spans="1:21" x14ac:dyDescent="0.2">
      <c r="A13" s="41" t="s">
        <v>143</v>
      </c>
      <c r="B13" s="39">
        <v>53948.831120631803</v>
      </c>
      <c r="C13" s="39">
        <f>+D13+H13+L13</f>
        <v>6152.9008747838679</v>
      </c>
      <c r="D13" s="39">
        <f t="shared" si="0"/>
        <v>979.0226473469221</v>
      </c>
      <c r="E13" s="39">
        <v>481.70590393379308</v>
      </c>
      <c r="F13" s="39">
        <v>497.31674341312902</v>
      </c>
      <c r="G13" s="39"/>
      <c r="H13" s="39">
        <f t="shared" si="1"/>
        <v>4588.4717469618517</v>
      </c>
      <c r="I13" s="39">
        <v>2341.6259219003291</v>
      </c>
      <c r="J13" s="39">
        <v>2246.8458250615231</v>
      </c>
      <c r="K13" s="39"/>
      <c r="L13" s="39">
        <f t="shared" si="2"/>
        <v>585.40648047509455</v>
      </c>
      <c r="M13" s="39">
        <v>294.37583018176184</v>
      </c>
      <c r="N13" s="39">
        <v>291.03065029333271</v>
      </c>
      <c r="O13" s="419">
        <f t="shared" si="3"/>
        <v>11.405068000501677</v>
      </c>
    </row>
    <row r="14" spans="1:21" x14ac:dyDescent="0.2">
      <c r="A14" s="41" t="s">
        <v>216</v>
      </c>
      <c r="B14" s="39">
        <v>29464.212691881945</v>
      </c>
      <c r="C14" s="39">
        <f>+D14+H14+L14</f>
        <v>4554.2882208628362</v>
      </c>
      <c r="D14" s="39">
        <f t="shared" si="0"/>
        <v>1000.5089871029395</v>
      </c>
      <c r="E14" s="39">
        <v>514.00103280079327</v>
      </c>
      <c r="F14" s="39">
        <v>486.50795430214629</v>
      </c>
      <c r="G14" s="39"/>
      <c r="H14" s="39">
        <f t="shared" si="1"/>
        <v>2925.0244820082289</v>
      </c>
      <c r="I14" s="39">
        <v>1455.9378091892204</v>
      </c>
      <c r="J14" s="39">
        <v>1469.0866728190088</v>
      </c>
      <c r="K14" s="39"/>
      <c r="L14" s="39">
        <f t="shared" si="2"/>
        <v>628.7547517516681</v>
      </c>
      <c r="M14" s="39">
        <v>339.47975189633792</v>
      </c>
      <c r="N14" s="39">
        <v>289.27499985533018</v>
      </c>
      <c r="O14" s="419">
        <f t="shared" si="3"/>
        <v>15.457016511822985</v>
      </c>
    </row>
  </sheetData>
  <mergeCells count="8">
    <mergeCell ref="A1:O1"/>
    <mergeCell ref="O2:O4"/>
    <mergeCell ref="A2:A4"/>
    <mergeCell ref="B2:B4"/>
    <mergeCell ref="C2:C4"/>
    <mergeCell ref="D2:F3"/>
    <mergeCell ref="H2:J3"/>
    <mergeCell ref="L2:N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D4D4D"/>
  </sheetPr>
  <dimension ref="A1"/>
  <sheetViews>
    <sheetView workbookViewId="0">
      <selection activeCell="W26" sqref="W26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zoomScale="120" zoomScaleNormal="120" workbookViewId="0">
      <selection activeCell="A10" sqref="A10"/>
    </sheetView>
  </sheetViews>
  <sheetFormatPr defaultRowHeight="12" x14ac:dyDescent="0.2"/>
  <cols>
    <col min="1" max="1" width="21.5703125" style="322" customWidth="1"/>
    <col min="2" max="4" width="9.140625" style="322"/>
    <col min="5" max="5" width="11.140625" style="322" customWidth="1"/>
    <col min="6" max="7" width="9.140625" style="322"/>
    <col min="8" max="8" width="12.140625" style="322" customWidth="1"/>
    <col min="9" max="9" width="9.140625" style="322"/>
    <col min="10" max="10" width="10.140625" style="322" customWidth="1"/>
    <col min="11" max="11" width="10.28515625" style="322" customWidth="1"/>
    <col min="12" max="12" width="10.42578125" style="322" customWidth="1"/>
    <col min="13" max="13" width="9.140625" style="322"/>
    <col min="14" max="14" width="10.85546875" style="322" customWidth="1"/>
    <col min="15" max="15" width="11.85546875" style="322" customWidth="1"/>
    <col min="16" max="16" width="13.42578125" style="322" customWidth="1"/>
    <col min="17" max="16384" width="9.140625" style="322"/>
  </cols>
  <sheetData>
    <row r="1" spans="1:16" ht="15" customHeight="1" x14ac:dyDescent="0.2">
      <c r="A1" s="515" t="s">
        <v>565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5"/>
      <c r="N1" s="515"/>
      <c r="O1" s="515"/>
      <c r="P1" s="515"/>
    </row>
    <row r="2" spans="1:16" ht="21" customHeight="1" x14ac:dyDescent="0.2">
      <c r="A2" s="506" t="s">
        <v>501</v>
      </c>
      <c r="B2" s="516" t="s">
        <v>450</v>
      </c>
      <c r="C2" s="516" t="s">
        <v>566</v>
      </c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</row>
    <row r="3" spans="1:16" ht="51" customHeight="1" thickBot="1" x14ac:dyDescent="0.25">
      <c r="A3" s="506"/>
      <c r="B3" s="517"/>
      <c r="C3" s="25" t="s">
        <v>155</v>
      </c>
      <c r="D3" s="25" t="s">
        <v>156</v>
      </c>
      <c r="E3" s="25" t="s">
        <v>157</v>
      </c>
      <c r="F3" s="25" t="s">
        <v>158</v>
      </c>
      <c r="G3" s="25" t="s">
        <v>159</v>
      </c>
      <c r="H3" s="25" t="s">
        <v>160</v>
      </c>
      <c r="I3" s="25" t="s">
        <v>161</v>
      </c>
      <c r="J3" s="25" t="s">
        <v>162</v>
      </c>
      <c r="K3" s="25" t="s">
        <v>163</v>
      </c>
      <c r="L3" s="25" t="s">
        <v>164</v>
      </c>
      <c r="M3" s="25" t="s">
        <v>165</v>
      </c>
      <c r="N3" s="25" t="s">
        <v>166</v>
      </c>
      <c r="O3" s="25" t="s">
        <v>167</v>
      </c>
      <c r="P3" s="25" t="s">
        <v>168</v>
      </c>
    </row>
    <row r="4" spans="1:16" x14ac:dyDescent="0.2">
      <c r="A4" s="200" t="s">
        <v>457</v>
      </c>
      <c r="B4" s="307">
        <v>382706.80829469865</v>
      </c>
      <c r="C4" s="307">
        <v>2299.0725505131386</v>
      </c>
      <c r="D4" s="307">
        <v>41016.179262571539</v>
      </c>
      <c r="E4" s="307">
        <v>217287.64733536603</v>
      </c>
      <c r="F4" s="307">
        <v>6529.9741379160141</v>
      </c>
      <c r="G4" s="307">
        <v>189.9531682916363</v>
      </c>
      <c r="H4" s="307">
        <v>118.35911280497977</v>
      </c>
      <c r="I4" s="307">
        <v>98.452665889222544</v>
      </c>
      <c r="J4" s="307">
        <v>18</v>
      </c>
      <c r="K4" s="307">
        <v>68</v>
      </c>
      <c r="L4" s="307">
        <v>311</v>
      </c>
      <c r="M4" s="307">
        <v>9</v>
      </c>
      <c r="N4" s="307">
        <v>15.242746805843645</v>
      </c>
      <c r="O4" s="307">
        <v>14269.699823675968</v>
      </c>
      <c r="P4" s="307">
        <v>100475.316062839</v>
      </c>
    </row>
    <row r="5" spans="1:16" x14ac:dyDescent="0.2">
      <c r="A5" s="18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</row>
    <row r="6" spans="1:16" x14ac:dyDescent="0.2">
      <c r="A6" s="200" t="s">
        <v>126</v>
      </c>
      <c r="B6" s="307"/>
      <c r="C6" s="307"/>
      <c r="D6" s="307"/>
      <c r="E6" s="307"/>
      <c r="F6" s="307"/>
      <c r="G6" s="307"/>
      <c r="H6" s="307"/>
      <c r="I6" s="307"/>
      <c r="J6" s="307"/>
      <c r="K6" s="307"/>
      <c r="L6" s="307"/>
      <c r="M6" s="307"/>
      <c r="N6" s="307"/>
      <c r="O6" s="307"/>
      <c r="P6" s="307"/>
    </row>
    <row r="7" spans="1:16" x14ac:dyDescent="0.2">
      <c r="A7" s="20" t="s">
        <v>5</v>
      </c>
      <c r="B7" s="133">
        <v>204822.87524545781</v>
      </c>
      <c r="C7" s="133">
        <v>1499.1844886555648</v>
      </c>
      <c r="D7" s="133">
        <v>22109.736395608274</v>
      </c>
      <c r="E7" s="133">
        <v>122551.47274991118</v>
      </c>
      <c r="F7" s="133">
        <v>4262.9394259721712</v>
      </c>
      <c r="G7" s="133">
        <v>142.57828731987729</v>
      </c>
      <c r="H7" s="133">
        <v>98.239573588778484</v>
      </c>
      <c r="I7" s="133">
        <v>63.639408302206768</v>
      </c>
      <c r="J7" s="133">
        <v>11.474308159075971</v>
      </c>
      <c r="K7" s="133">
        <v>29.869708335648177</v>
      </c>
      <c r="L7" s="133">
        <v>175.09355737383021</v>
      </c>
      <c r="M7" s="133">
        <v>5.8807567585319624</v>
      </c>
      <c r="N7" s="133">
        <v>11.569955377269849</v>
      </c>
      <c r="O7" s="133">
        <v>7803.7188429473717</v>
      </c>
      <c r="P7" s="133">
        <v>46057.477786781841</v>
      </c>
    </row>
    <row r="8" spans="1:16" x14ac:dyDescent="0.2">
      <c r="A8" s="20" t="s">
        <v>6</v>
      </c>
      <c r="B8" s="133">
        <v>177883.93305177451</v>
      </c>
      <c r="C8" s="133">
        <v>799.88806185756255</v>
      </c>
      <c r="D8" s="133">
        <v>18906.44286696491</v>
      </c>
      <c r="E8" s="133">
        <v>94736.174585008615</v>
      </c>
      <c r="F8" s="133">
        <v>2267.0347119437588</v>
      </c>
      <c r="G8" s="133">
        <v>47.374880971758827</v>
      </c>
      <c r="H8" s="133">
        <v>20.119539216201325</v>
      </c>
      <c r="I8" s="133">
        <v>34.813257587015897</v>
      </c>
      <c r="J8" s="133">
        <v>6.9376800407409798</v>
      </c>
      <c r="K8" s="133">
        <v>38.215398390942738</v>
      </c>
      <c r="L8" s="133">
        <v>135.86206011718363</v>
      </c>
      <c r="M8" s="133">
        <v>3.5779612008538337</v>
      </c>
      <c r="N8" s="133">
        <v>3.6727914285737926</v>
      </c>
      <c r="O8" s="133">
        <v>6465.9809807291413</v>
      </c>
      <c r="P8" s="133">
        <v>54417.838276009505</v>
      </c>
    </row>
    <row r="9" spans="1:16" x14ac:dyDescent="0.2">
      <c r="A9" s="200" t="s">
        <v>540</v>
      </c>
      <c r="B9" s="307"/>
      <c r="C9" s="307"/>
      <c r="D9" s="307"/>
      <c r="E9" s="307"/>
      <c r="F9" s="307"/>
      <c r="G9" s="307"/>
      <c r="H9" s="307"/>
      <c r="I9" s="307"/>
      <c r="J9" s="307"/>
      <c r="K9" s="307"/>
      <c r="L9" s="307"/>
      <c r="M9" s="307"/>
      <c r="N9" s="307"/>
      <c r="O9" s="307"/>
      <c r="P9" s="307"/>
    </row>
    <row r="10" spans="1:16" s="335" customFormat="1" x14ac:dyDescent="0.2">
      <c r="A10" s="371" t="s">
        <v>458</v>
      </c>
      <c r="B10" s="134">
        <v>146296.80915931551</v>
      </c>
      <c r="C10" s="134">
        <v>827.08820940564499</v>
      </c>
      <c r="D10" s="134">
        <v>13797.885885877637</v>
      </c>
      <c r="E10" s="134">
        <v>122463.81324969704</v>
      </c>
      <c r="F10" s="134">
        <v>5038.7064826350788</v>
      </c>
      <c r="G10" s="134">
        <v>138.89621012785278</v>
      </c>
      <c r="H10" s="134">
        <v>89.607365599692173</v>
      </c>
      <c r="I10" s="134">
        <v>61.466255848081929</v>
      </c>
      <c r="J10" s="134">
        <v>3.6379489704375412</v>
      </c>
      <c r="K10" s="134">
        <v>2.3325657975425367</v>
      </c>
      <c r="L10" s="134">
        <v>132.12468557291209</v>
      </c>
      <c r="M10" s="134">
        <v>0</v>
      </c>
      <c r="N10" s="134">
        <v>0</v>
      </c>
      <c r="O10" s="134">
        <v>1309.5381413426674</v>
      </c>
      <c r="P10" s="134">
        <v>2431.7121583647681</v>
      </c>
    </row>
    <row r="11" spans="1:16" x14ac:dyDescent="0.2">
      <c r="A11" s="61" t="s">
        <v>458</v>
      </c>
      <c r="B11" s="133">
        <v>146296.80915931551</v>
      </c>
      <c r="C11" s="133">
        <v>827.08820940564499</v>
      </c>
      <c r="D11" s="133">
        <v>13797.885885877637</v>
      </c>
      <c r="E11" s="133">
        <v>122463.81324969704</v>
      </c>
      <c r="F11" s="133">
        <v>5038.7064826350788</v>
      </c>
      <c r="G11" s="133">
        <v>138.89621012785278</v>
      </c>
      <c r="H11" s="133">
        <v>89.607365599692173</v>
      </c>
      <c r="I11" s="133">
        <v>61.466255848081929</v>
      </c>
      <c r="J11" s="133">
        <v>3.6379489704375412</v>
      </c>
      <c r="K11" s="133">
        <v>2.3325657975425367</v>
      </c>
      <c r="L11" s="133">
        <v>132.12468557291209</v>
      </c>
      <c r="M11" s="133">
        <v>0</v>
      </c>
      <c r="N11" s="133">
        <v>0</v>
      </c>
      <c r="O11" s="133">
        <v>1309.5381413426674</v>
      </c>
      <c r="P11" s="133">
        <v>2431.7121583647681</v>
      </c>
    </row>
    <row r="12" spans="1:16" s="335" customFormat="1" x14ac:dyDescent="0.2">
      <c r="A12" s="371" t="s">
        <v>459</v>
      </c>
      <c r="B12" s="134">
        <v>94599.192277287162</v>
      </c>
      <c r="C12" s="134">
        <v>861.51164578215401</v>
      </c>
      <c r="D12" s="134">
        <v>8343.7272976469558</v>
      </c>
      <c r="E12" s="134">
        <v>14164.915807954201</v>
      </c>
      <c r="F12" s="134">
        <v>592.14585027605006</v>
      </c>
      <c r="G12" s="134">
        <v>40.595264095593954</v>
      </c>
      <c r="H12" s="134">
        <v>23.963895813904177</v>
      </c>
      <c r="I12" s="134">
        <v>3.3906582888576793</v>
      </c>
      <c r="J12" s="134">
        <v>4.6505926436270251</v>
      </c>
      <c r="K12" s="134">
        <v>40.09471808224712</v>
      </c>
      <c r="L12" s="134">
        <v>3.6379489704375416</v>
      </c>
      <c r="M12" s="134">
        <v>8.1987836046164517</v>
      </c>
      <c r="N12" s="134">
        <v>6.846687101584096</v>
      </c>
      <c r="O12" s="134">
        <v>7196.4149322142212</v>
      </c>
      <c r="P12" s="134">
        <v>63309.09819477814</v>
      </c>
    </row>
    <row r="13" spans="1:16" x14ac:dyDescent="0.2">
      <c r="A13" s="61" t="s">
        <v>459</v>
      </c>
      <c r="B13" s="133">
        <v>78708.988431832026</v>
      </c>
      <c r="C13" s="133">
        <v>841.42660890577281</v>
      </c>
      <c r="D13" s="133">
        <v>5893.5056871595025</v>
      </c>
      <c r="E13" s="133">
        <v>12492.065441222629</v>
      </c>
      <c r="F13" s="133">
        <v>576.47254799639313</v>
      </c>
      <c r="G13" s="133">
        <v>37.102159934813145</v>
      </c>
      <c r="H13" s="133">
        <v>21.588901496325132</v>
      </c>
      <c r="I13" s="133">
        <v>3.3906582888576793</v>
      </c>
      <c r="J13" s="133">
        <v>3.433086808894187</v>
      </c>
      <c r="K13" s="133">
        <v>31.894083388647658</v>
      </c>
      <c r="L13" s="133">
        <v>3.6379489704375416</v>
      </c>
      <c r="M13" s="133">
        <v>7.0837236418067517</v>
      </c>
      <c r="N13" s="133">
        <v>6.846687101584096</v>
      </c>
      <c r="O13" s="133">
        <v>6276.9295669248977</v>
      </c>
      <c r="P13" s="133">
        <v>52513.61132997751</v>
      </c>
    </row>
    <row r="14" spans="1:16" x14ac:dyDescent="0.2">
      <c r="A14" s="61" t="s">
        <v>460</v>
      </c>
      <c r="B14" s="133">
        <v>15890.203845435361</v>
      </c>
      <c r="C14" s="133">
        <v>20.085036876381189</v>
      </c>
      <c r="D14" s="133">
        <v>2450.2216104873892</v>
      </c>
      <c r="E14" s="133">
        <v>1672.8503667316529</v>
      </c>
      <c r="F14" s="133">
        <v>15.673302279656919</v>
      </c>
      <c r="G14" s="133">
        <v>3.4931041607808178</v>
      </c>
      <c r="H14" s="133">
        <v>2.3749943175790444</v>
      </c>
      <c r="I14" s="133">
        <v>0</v>
      </c>
      <c r="J14" s="133">
        <v>1.2175058347328376</v>
      </c>
      <c r="K14" s="133">
        <v>8.2006346935994756</v>
      </c>
      <c r="L14" s="133">
        <v>0</v>
      </c>
      <c r="M14" s="133">
        <v>1.1150599628096989</v>
      </c>
      <c r="N14" s="133">
        <v>0</v>
      </c>
      <c r="O14" s="133">
        <v>919.4853652892466</v>
      </c>
      <c r="P14" s="133">
        <v>10795.486864801664</v>
      </c>
    </row>
    <row r="15" spans="1:16" s="335" customFormat="1" x14ac:dyDescent="0.2">
      <c r="A15" s="371" t="s">
        <v>461</v>
      </c>
      <c r="B15" s="134">
        <v>25072.641477277652</v>
      </c>
      <c r="C15" s="134">
        <v>369.75302372862581</v>
      </c>
      <c r="D15" s="134">
        <v>4350.1058842367438</v>
      </c>
      <c r="E15" s="134">
        <v>19343.696392491162</v>
      </c>
      <c r="F15" s="134">
        <v>44.58577132458484</v>
      </c>
      <c r="G15" s="134">
        <v>3.535532680817326</v>
      </c>
      <c r="H15" s="134">
        <v>0</v>
      </c>
      <c r="I15" s="134">
        <v>33.595751752283057</v>
      </c>
      <c r="J15" s="134">
        <v>5.6632067345135848</v>
      </c>
      <c r="K15" s="134">
        <v>1.1150599628096989</v>
      </c>
      <c r="L15" s="134">
        <v>0</v>
      </c>
      <c r="M15" s="134">
        <v>0</v>
      </c>
      <c r="N15" s="134">
        <v>2.4128570738044468</v>
      </c>
      <c r="O15" s="134">
        <v>910.83751623762294</v>
      </c>
      <c r="P15" s="134">
        <v>7.3404810565728189</v>
      </c>
    </row>
    <row r="16" spans="1:16" x14ac:dyDescent="0.2">
      <c r="A16" s="61" t="s">
        <v>461</v>
      </c>
      <c r="B16" s="133">
        <v>25072.641477277652</v>
      </c>
      <c r="C16" s="133">
        <v>369.75302372862581</v>
      </c>
      <c r="D16" s="133">
        <v>4350.1058842367438</v>
      </c>
      <c r="E16" s="133">
        <v>19343.696392491162</v>
      </c>
      <c r="F16" s="133">
        <v>44.58577132458484</v>
      </c>
      <c r="G16" s="133">
        <v>3.535532680817326</v>
      </c>
      <c r="H16" s="133">
        <v>0</v>
      </c>
      <c r="I16" s="133">
        <v>33.595751752283057</v>
      </c>
      <c r="J16" s="133">
        <v>5.6632067345135848</v>
      </c>
      <c r="K16" s="133">
        <v>1.1150599628096989</v>
      </c>
      <c r="L16" s="133">
        <v>0</v>
      </c>
      <c r="M16" s="133">
        <v>0</v>
      </c>
      <c r="N16" s="133">
        <v>2.4128570738044468</v>
      </c>
      <c r="O16" s="133">
        <v>910.83751623762294</v>
      </c>
      <c r="P16" s="133">
        <v>7.3404810565728189</v>
      </c>
    </row>
    <row r="17" spans="1:16" s="335" customFormat="1" x14ac:dyDescent="0.2">
      <c r="A17" s="371" t="s">
        <v>462</v>
      </c>
      <c r="B17" s="134">
        <v>38884.66569154989</v>
      </c>
      <c r="C17" s="134">
        <v>63.177734132142334</v>
      </c>
      <c r="D17" s="134">
        <v>3854.8683796931632</v>
      </c>
      <c r="E17" s="134">
        <v>33321.354571374271</v>
      </c>
      <c r="F17" s="134">
        <v>170.08746617608654</v>
      </c>
      <c r="G17" s="134">
        <v>4.608134541287594</v>
      </c>
      <c r="H17" s="134">
        <v>1.1150599628096989</v>
      </c>
      <c r="I17" s="134">
        <v>0</v>
      </c>
      <c r="J17" s="134">
        <v>0</v>
      </c>
      <c r="K17" s="134">
        <v>0</v>
      </c>
      <c r="L17" s="134">
        <v>171.45560840339266</v>
      </c>
      <c r="M17" s="134">
        <v>0</v>
      </c>
      <c r="N17" s="134">
        <v>1.2599343547693456</v>
      </c>
      <c r="O17" s="134">
        <v>1059.8097603804192</v>
      </c>
      <c r="P17" s="134">
        <v>236.92904253249483</v>
      </c>
    </row>
    <row r="18" spans="1:16" x14ac:dyDescent="0.2">
      <c r="A18" s="61" t="s">
        <v>462</v>
      </c>
      <c r="B18" s="133">
        <v>38884.66569154989</v>
      </c>
      <c r="C18" s="133">
        <v>63.177734132142334</v>
      </c>
      <c r="D18" s="133">
        <v>3854.8683796931632</v>
      </c>
      <c r="E18" s="133">
        <v>33321.354571374271</v>
      </c>
      <c r="F18" s="133">
        <v>170.08746617608654</v>
      </c>
      <c r="G18" s="133">
        <v>4.608134541287594</v>
      </c>
      <c r="H18" s="133">
        <v>1.1150599628096989</v>
      </c>
      <c r="I18" s="133">
        <v>0</v>
      </c>
      <c r="J18" s="133">
        <v>0</v>
      </c>
      <c r="K18" s="133">
        <v>0</v>
      </c>
      <c r="L18" s="133">
        <v>171.45560840339266</v>
      </c>
      <c r="M18" s="133">
        <v>0</v>
      </c>
      <c r="N18" s="133">
        <v>1.2599343547693456</v>
      </c>
      <c r="O18" s="133">
        <v>1059.8097603804192</v>
      </c>
      <c r="P18" s="133">
        <v>236.92904253249483</v>
      </c>
    </row>
    <row r="19" spans="1:16" s="335" customFormat="1" x14ac:dyDescent="0.2">
      <c r="A19" s="371" t="s">
        <v>463</v>
      </c>
      <c r="B19" s="182">
        <v>36622.432977470518</v>
      </c>
      <c r="C19" s="182">
        <v>155.85868261266981</v>
      </c>
      <c r="D19" s="182">
        <v>9258.8219301893405</v>
      </c>
      <c r="E19" s="182">
        <v>26204.03442603668</v>
      </c>
      <c r="F19" s="182">
        <v>664.08904271460869</v>
      </c>
      <c r="G19" s="182">
        <v>0</v>
      </c>
      <c r="H19" s="182">
        <v>1.2175058347328376</v>
      </c>
      <c r="I19" s="182">
        <v>0</v>
      </c>
      <c r="J19" s="182">
        <v>0</v>
      </c>
      <c r="K19" s="182">
        <v>0</v>
      </c>
      <c r="L19" s="182">
        <v>0</v>
      </c>
      <c r="M19" s="182">
        <v>0</v>
      </c>
      <c r="N19" s="182">
        <v>2.3104112018813083</v>
      </c>
      <c r="O19" s="182">
        <v>281.65033437152056</v>
      </c>
      <c r="P19" s="182">
        <v>54.450644511878309</v>
      </c>
    </row>
    <row r="20" spans="1:16" x14ac:dyDescent="0.2">
      <c r="A20" s="61" t="s">
        <v>463</v>
      </c>
      <c r="B20" s="133">
        <v>36622.432977470518</v>
      </c>
      <c r="C20" s="133">
        <v>155.85868261266981</v>
      </c>
      <c r="D20" s="133">
        <v>9258.8219301893405</v>
      </c>
      <c r="E20" s="133">
        <v>26204.03442603668</v>
      </c>
      <c r="F20" s="133">
        <v>664.08904271460869</v>
      </c>
      <c r="G20" s="133">
        <v>0</v>
      </c>
      <c r="H20" s="133">
        <v>1.2175058347328376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2.3104112018813083</v>
      </c>
      <c r="O20" s="133">
        <v>281.65033437152056</v>
      </c>
      <c r="P20" s="133">
        <v>54.450644511878309</v>
      </c>
    </row>
    <row r="21" spans="1:16" s="335" customFormat="1" x14ac:dyDescent="0.2">
      <c r="A21" s="371" t="s">
        <v>464</v>
      </c>
      <c r="B21" s="134">
        <v>13660.040336798367</v>
      </c>
      <c r="C21" s="134">
        <v>16.840487909191921</v>
      </c>
      <c r="D21" s="134">
        <v>283.9050573953682</v>
      </c>
      <c r="E21" s="134">
        <v>911.54758121676014</v>
      </c>
      <c r="F21" s="134">
        <v>4.7781838269976191</v>
      </c>
      <c r="G21" s="134">
        <v>1.0580924913151426</v>
      </c>
      <c r="H21" s="134">
        <v>2.455285593840955</v>
      </c>
      <c r="I21" s="134">
        <v>0</v>
      </c>
      <c r="J21" s="134">
        <v>0</v>
      </c>
      <c r="K21" s="134">
        <v>9.3187445368012476</v>
      </c>
      <c r="L21" s="134">
        <v>3.7373745442715287</v>
      </c>
      <c r="M21" s="134">
        <v>0</v>
      </c>
      <c r="N21" s="134">
        <v>2.4128570738044468</v>
      </c>
      <c r="O21" s="134">
        <v>94.37395556356239</v>
      </c>
      <c r="P21" s="134">
        <v>12329.612716646558</v>
      </c>
    </row>
    <row r="22" spans="1:16" x14ac:dyDescent="0.2">
      <c r="A22" s="61" t="s">
        <v>464</v>
      </c>
      <c r="B22" s="133">
        <v>3288.9100983071967</v>
      </c>
      <c r="C22" s="133">
        <v>0</v>
      </c>
      <c r="D22" s="133">
        <v>52.203202170447447</v>
      </c>
      <c r="E22" s="133">
        <v>25.067295456751157</v>
      </c>
      <c r="F22" s="133">
        <v>2.3653267531931723</v>
      </c>
      <c r="G22" s="133">
        <v>0</v>
      </c>
      <c r="H22" s="133">
        <v>0</v>
      </c>
      <c r="I22" s="133">
        <v>0</v>
      </c>
      <c r="J22" s="133">
        <v>0</v>
      </c>
      <c r="K22" s="133">
        <v>1.2175058347328376</v>
      </c>
      <c r="L22" s="133">
        <v>0</v>
      </c>
      <c r="M22" s="133">
        <v>0</v>
      </c>
      <c r="N22" s="133">
        <v>0</v>
      </c>
      <c r="O22" s="133">
        <v>83.70280398771564</v>
      </c>
      <c r="P22" s="133">
        <v>3124.3539641043535</v>
      </c>
    </row>
    <row r="23" spans="1:16" x14ac:dyDescent="0.2">
      <c r="A23" s="61" t="s">
        <v>465</v>
      </c>
      <c r="B23" s="133">
        <v>10371.130238491391</v>
      </c>
      <c r="C23" s="133">
        <v>16.840487909191921</v>
      </c>
      <c r="D23" s="133">
        <v>231.70185522492056</v>
      </c>
      <c r="E23" s="133">
        <v>886.480285760009</v>
      </c>
      <c r="F23" s="133">
        <v>2.4128570738044468</v>
      </c>
      <c r="G23" s="133">
        <v>1.0580924913151426</v>
      </c>
      <c r="H23" s="133">
        <v>2.455285593840955</v>
      </c>
      <c r="I23" s="133">
        <v>0</v>
      </c>
      <c r="J23" s="133">
        <v>0</v>
      </c>
      <c r="K23" s="133">
        <v>8.1012387020684109</v>
      </c>
      <c r="L23" s="133">
        <v>3.7373745442715287</v>
      </c>
      <c r="M23" s="133">
        <v>0</v>
      </c>
      <c r="N23" s="133">
        <v>2.4128570738044468</v>
      </c>
      <c r="O23" s="133">
        <v>10.671151575846793</v>
      </c>
      <c r="P23" s="133">
        <v>9205.2587525424915</v>
      </c>
    </row>
    <row r="24" spans="1:16" s="335" customFormat="1" x14ac:dyDescent="0.2">
      <c r="A24" s="371" t="s">
        <v>466</v>
      </c>
      <c r="B24" s="134">
        <v>8159.8731240882826</v>
      </c>
      <c r="C24" s="134">
        <v>0</v>
      </c>
      <c r="D24" s="134">
        <v>128.00559588053224</v>
      </c>
      <c r="E24" s="134">
        <v>185.5230799909464</v>
      </c>
      <c r="F24" s="134">
        <v>0</v>
      </c>
      <c r="G24" s="134">
        <v>0</v>
      </c>
      <c r="H24" s="134">
        <v>0</v>
      </c>
      <c r="I24" s="134">
        <v>0</v>
      </c>
      <c r="J24" s="134">
        <v>4.4602398512387955</v>
      </c>
      <c r="K24" s="134">
        <v>4.6854055194603532</v>
      </c>
      <c r="L24" s="134">
        <v>0</v>
      </c>
      <c r="M24" s="134">
        <v>1.2599343547693456</v>
      </c>
      <c r="N24" s="134">
        <v>0</v>
      </c>
      <c r="O24" s="134">
        <v>2262.8056479838779</v>
      </c>
      <c r="P24" s="134">
        <v>5573.1332205074168</v>
      </c>
    </row>
    <row r="25" spans="1:16" x14ac:dyDescent="0.2">
      <c r="A25" s="61" t="s">
        <v>466</v>
      </c>
      <c r="B25" s="133">
        <v>8159.8731240882826</v>
      </c>
      <c r="C25" s="133">
        <v>0</v>
      </c>
      <c r="D25" s="133">
        <v>128.00559588053224</v>
      </c>
      <c r="E25" s="133">
        <v>185.5230799909464</v>
      </c>
      <c r="F25" s="133">
        <v>0</v>
      </c>
      <c r="G25" s="133">
        <v>0</v>
      </c>
      <c r="H25" s="133">
        <v>0</v>
      </c>
      <c r="I25" s="133">
        <v>0</v>
      </c>
      <c r="J25" s="133">
        <v>4.4602398512387955</v>
      </c>
      <c r="K25" s="133">
        <v>4.6854055194603532</v>
      </c>
      <c r="L25" s="133">
        <v>0</v>
      </c>
      <c r="M25" s="133">
        <v>1.2599343547693456</v>
      </c>
      <c r="N25" s="133">
        <v>0</v>
      </c>
      <c r="O25" s="133">
        <v>2262.8056479838779</v>
      </c>
      <c r="P25" s="133">
        <v>5573.1332205074168</v>
      </c>
    </row>
    <row r="26" spans="1:16" s="335" customFormat="1" x14ac:dyDescent="0.2">
      <c r="A26" s="371" t="s">
        <v>467</v>
      </c>
      <c r="B26" s="134">
        <v>12557.35423396037</v>
      </c>
      <c r="C26" s="134">
        <v>3.6601035660987695</v>
      </c>
      <c r="D26" s="134">
        <v>951.00818192005238</v>
      </c>
      <c r="E26" s="134">
        <v>329.61228001284559</v>
      </c>
      <c r="F26" s="134">
        <v>13.21821751701563</v>
      </c>
      <c r="G26" s="134">
        <v>0</v>
      </c>
      <c r="H26" s="134">
        <v>0</v>
      </c>
      <c r="I26" s="134">
        <v>0</v>
      </c>
      <c r="J26" s="134">
        <v>0</v>
      </c>
      <c r="K26" s="134">
        <v>4.7159927497986853</v>
      </c>
      <c r="L26" s="134">
        <v>0</v>
      </c>
      <c r="M26" s="134">
        <v>0</v>
      </c>
      <c r="N26" s="134">
        <v>0</v>
      </c>
      <c r="O26" s="134">
        <v>468.74816388484913</v>
      </c>
      <c r="P26" s="134">
        <v>10786.391294309813</v>
      </c>
    </row>
    <row r="27" spans="1:16" x14ac:dyDescent="0.2">
      <c r="A27" s="61" t="s">
        <v>467</v>
      </c>
      <c r="B27" s="133">
        <v>12557.35423396037</v>
      </c>
      <c r="C27" s="133">
        <v>3.6601035660987695</v>
      </c>
      <c r="D27" s="133">
        <v>951.00818192005238</v>
      </c>
      <c r="E27" s="133">
        <v>329.61228001284559</v>
      </c>
      <c r="F27" s="133">
        <v>13.21821751701563</v>
      </c>
      <c r="G27" s="133">
        <v>0</v>
      </c>
      <c r="H27" s="133">
        <v>0</v>
      </c>
      <c r="I27" s="133">
        <v>0</v>
      </c>
      <c r="J27" s="133">
        <v>0</v>
      </c>
      <c r="K27" s="133">
        <v>4.7159927497986853</v>
      </c>
      <c r="L27" s="133">
        <v>0</v>
      </c>
      <c r="M27" s="133">
        <v>0</v>
      </c>
      <c r="N27" s="133">
        <v>0</v>
      </c>
      <c r="O27" s="133">
        <v>468.74816388484913</v>
      </c>
      <c r="P27" s="133">
        <v>10786.391294309813</v>
      </c>
    </row>
    <row r="28" spans="1:16" s="335" customFormat="1" x14ac:dyDescent="0.2">
      <c r="A28" s="371" t="s">
        <v>468</v>
      </c>
      <c r="B28" s="134">
        <v>6853.7990189174898</v>
      </c>
      <c r="C28" s="134">
        <v>1.1826633765965862</v>
      </c>
      <c r="D28" s="134">
        <v>47.851049736071026</v>
      </c>
      <c r="E28" s="134">
        <v>363.14994613894709</v>
      </c>
      <c r="F28" s="134">
        <v>2.3631234455779451</v>
      </c>
      <c r="G28" s="134">
        <v>1.2599343547693456</v>
      </c>
      <c r="H28" s="134">
        <v>0</v>
      </c>
      <c r="I28" s="134">
        <v>0</v>
      </c>
      <c r="J28" s="134">
        <v>0</v>
      </c>
      <c r="K28" s="134">
        <v>5.8226200779312807</v>
      </c>
      <c r="L28" s="134">
        <v>0</v>
      </c>
      <c r="M28" s="134">
        <v>0</v>
      </c>
      <c r="N28" s="134">
        <v>0</v>
      </c>
      <c r="O28" s="134">
        <v>685.52137169778678</v>
      </c>
      <c r="P28" s="134">
        <v>5746.6483100897967</v>
      </c>
    </row>
    <row r="29" spans="1:16" x14ac:dyDescent="0.2">
      <c r="A29" s="61" t="s">
        <v>468</v>
      </c>
      <c r="B29" s="133">
        <v>6853.7990189174898</v>
      </c>
      <c r="C29" s="133">
        <v>1.1826633765965862</v>
      </c>
      <c r="D29" s="133">
        <v>47.851049736071026</v>
      </c>
      <c r="E29" s="133">
        <v>363.14994613894709</v>
      </c>
      <c r="F29" s="133">
        <v>2.3631234455779451</v>
      </c>
      <c r="G29" s="133">
        <v>1.2599343547693456</v>
      </c>
      <c r="H29" s="133">
        <v>0</v>
      </c>
      <c r="I29" s="133">
        <v>0</v>
      </c>
      <c r="J29" s="133">
        <v>0</v>
      </c>
      <c r="K29" s="133">
        <v>5.8226200779312807</v>
      </c>
      <c r="L29" s="133">
        <v>0</v>
      </c>
      <c r="M29" s="133">
        <v>0</v>
      </c>
      <c r="N29" s="133">
        <v>0</v>
      </c>
      <c r="O29" s="133">
        <v>685.52137169778678</v>
      </c>
      <c r="P29" s="133">
        <v>5746.6483100897967</v>
      </c>
    </row>
  </sheetData>
  <mergeCells count="4">
    <mergeCell ref="A1:P1"/>
    <mergeCell ref="A2:A3"/>
    <mergeCell ref="B2:B3"/>
    <mergeCell ref="C2:P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zoomScale="120" zoomScaleNormal="120" workbookViewId="0">
      <selection activeCell="S25" sqref="S25"/>
    </sheetView>
  </sheetViews>
  <sheetFormatPr defaultRowHeight="12" x14ac:dyDescent="0.2"/>
  <cols>
    <col min="1" max="1" width="29.140625" style="322" customWidth="1"/>
    <col min="2" max="2" width="11" style="423" customWidth="1"/>
    <col min="3" max="3" width="11" style="423" bestFit="1" customWidth="1"/>
    <col min="4" max="4" width="9.28515625" style="423" bestFit="1" customWidth="1"/>
    <col min="5" max="5" width="10.140625" style="423" bestFit="1" customWidth="1"/>
    <col min="6" max="6" width="11.85546875" style="423" bestFit="1" customWidth="1"/>
    <col min="7" max="9" width="9.28515625" style="423" bestFit="1" customWidth="1"/>
    <col min="10" max="10" width="9.42578125" style="423" customWidth="1"/>
    <col min="11" max="12" width="9.28515625" style="423" bestFit="1" customWidth="1"/>
    <col min="13" max="13" width="11" style="423" bestFit="1" customWidth="1"/>
    <col min="14" max="17" width="9.28515625" style="423" bestFit="1" customWidth="1"/>
    <col min="18" max="16384" width="9.140625" style="322"/>
  </cols>
  <sheetData>
    <row r="1" spans="1:17" ht="18" customHeight="1" x14ac:dyDescent="0.2">
      <c r="A1" s="520" t="s">
        <v>518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</row>
    <row r="2" spans="1:17" ht="15" customHeight="1" x14ac:dyDescent="0.2">
      <c r="A2" s="506" t="s">
        <v>501</v>
      </c>
      <c r="B2" s="518" t="s">
        <v>450</v>
      </c>
      <c r="C2" s="521" t="s">
        <v>169</v>
      </c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</row>
    <row r="3" spans="1:17" ht="43.5" customHeight="1" x14ac:dyDescent="0.2">
      <c r="A3" s="506"/>
      <c r="B3" s="519"/>
      <c r="C3" s="381" t="s">
        <v>170</v>
      </c>
      <c r="D3" s="26" t="s">
        <v>171</v>
      </c>
      <c r="E3" s="26" t="s">
        <v>172</v>
      </c>
      <c r="F3" s="26" t="s">
        <v>173</v>
      </c>
      <c r="G3" s="26" t="s">
        <v>174</v>
      </c>
      <c r="H3" s="26" t="s">
        <v>175</v>
      </c>
      <c r="I3" s="26" t="s">
        <v>176</v>
      </c>
      <c r="J3" s="26" t="s">
        <v>177</v>
      </c>
      <c r="K3" s="26" t="s">
        <v>178</v>
      </c>
      <c r="L3" s="26" t="s">
        <v>179</v>
      </c>
      <c r="M3" s="26" t="s">
        <v>180</v>
      </c>
      <c r="N3" s="26" t="s">
        <v>163</v>
      </c>
      <c r="O3" s="26" t="s">
        <v>567</v>
      </c>
      <c r="P3" s="26" t="s">
        <v>181</v>
      </c>
      <c r="Q3" s="26" t="s">
        <v>167</v>
      </c>
    </row>
    <row r="4" spans="1:17" x14ac:dyDescent="0.2">
      <c r="A4" s="308" t="s">
        <v>457</v>
      </c>
      <c r="B4" s="420">
        <v>382706.80829469865</v>
      </c>
      <c r="C4" s="420">
        <v>59148.86668531999</v>
      </c>
      <c r="D4" s="420">
        <v>1533.4305514582416</v>
      </c>
      <c r="E4" s="420">
        <v>5291.9560948219805</v>
      </c>
      <c r="F4" s="420">
        <v>172430.67225935301</v>
      </c>
      <c r="G4" s="309">
        <v>152.48842672251965</v>
      </c>
      <c r="H4" s="309">
        <v>43.938900756461948</v>
      </c>
      <c r="I4" s="309">
        <v>926.55423104682279</v>
      </c>
      <c r="J4" s="309">
        <v>50</v>
      </c>
      <c r="K4" s="309">
        <v>159</v>
      </c>
      <c r="L4" s="309">
        <v>8</v>
      </c>
      <c r="M4" s="309">
        <v>141806.46292973732</v>
      </c>
      <c r="N4" s="309">
        <v>14</v>
      </c>
      <c r="O4" s="309">
        <v>127.05434575755866</v>
      </c>
      <c r="P4" s="309">
        <v>575.28849230098353</v>
      </c>
      <c r="Q4" s="420">
        <v>438.54608167104516</v>
      </c>
    </row>
    <row r="5" spans="1:17" x14ac:dyDescent="0.2">
      <c r="A5" s="27"/>
      <c r="B5" s="421"/>
      <c r="C5" s="421"/>
      <c r="D5" s="421"/>
      <c r="E5" s="421"/>
      <c r="F5" s="421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421"/>
    </row>
    <row r="6" spans="1:17" x14ac:dyDescent="0.2">
      <c r="A6" s="308" t="s">
        <v>126</v>
      </c>
      <c r="B6" s="420"/>
      <c r="C6" s="420"/>
      <c r="D6" s="420"/>
      <c r="E6" s="420"/>
      <c r="F6" s="420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420"/>
    </row>
    <row r="7" spans="1:17" x14ac:dyDescent="0.2">
      <c r="A7" s="62" t="s">
        <v>5</v>
      </c>
      <c r="B7" s="422">
        <v>204822.87524545781</v>
      </c>
      <c r="C7" s="422">
        <v>35669.504221192132</v>
      </c>
      <c r="D7" s="422">
        <v>1095.3645453201393</v>
      </c>
      <c r="E7" s="422">
        <v>3842.7936164383614</v>
      </c>
      <c r="F7" s="422">
        <v>88644.55742462218</v>
      </c>
      <c r="G7" s="118">
        <v>108.84009174045092</v>
      </c>
      <c r="H7" s="118">
        <v>30.753645026296642</v>
      </c>
      <c r="I7" s="118">
        <v>479.13034015122543</v>
      </c>
      <c r="J7" s="118">
        <v>36.397365244605936</v>
      </c>
      <c r="K7" s="118">
        <v>100.10607973107268</v>
      </c>
      <c r="L7" s="118">
        <v>8</v>
      </c>
      <c r="M7" s="118">
        <v>74035.401483538881</v>
      </c>
      <c r="N7" s="118">
        <v>11.635572591476688</v>
      </c>
      <c r="O7" s="118">
        <v>96.726139285427152</v>
      </c>
      <c r="P7" s="118">
        <v>382.40803179291453</v>
      </c>
      <c r="Q7" s="422">
        <v>280.97461213002811</v>
      </c>
    </row>
    <row r="8" spans="1:17" x14ac:dyDescent="0.2">
      <c r="A8" s="62" t="s">
        <v>6</v>
      </c>
      <c r="B8" s="422">
        <v>177883.93305177451</v>
      </c>
      <c r="C8" s="422">
        <v>23479.362464126865</v>
      </c>
      <c r="D8" s="422">
        <v>438.0660061380986</v>
      </c>
      <c r="E8" s="422">
        <v>1449.1624783835355</v>
      </c>
      <c r="F8" s="422">
        <v>83786.114834411375</v>
      </c>
      <c r="G8" s="118">
        <v>43.648334982068725</v>
      </c>
      <c r="H8" s="118">
        <v>13.185255730165327</v>
      </c>
      <c r="I8" s="118">
        <v>447.42389089559771</v>
      </c>
      <c r="J8" s="118">
        <v>14.0966227405378</v>
      </c>
      <c r="K8" s="118">
        <v>58.960796286487799</v>
      </c>
      <c r="L8" s="118">
        <v>0</v>
      </c>
      <c r="M8" s="118">
        <v>67771.061446064763</v>
      </c>
      <c r="N8" s="118">
        <v>2.2755983260479802</v>
      </c>
      <c r="O8" s="118">
        <v>30.123393333966689</v>
      </c>
      <c r="P8" s="118">
        <v>192.88046050806818</v>
      </c>
      <c r="Q8" s="422">
        <v>157.5714695410141</v>
      </c>
    </row>
    <row r="9" spans="1:17" x14ac:dyDescent="0.2">
      <c r="A9" s="308" t="s">
        <v>540</v>
      </c>
      <c r="B9" s="309"/>
      <c r="C9" s="420"/>
      <c r="D9" s="309"/>
      <c r="E9" s="309"/>
      <c r="F9" s="309"/>
      <c r="G9" s="309"/>
      <c r="H9" s="309"/>
      <c r="I9" s="309"/>
      <c r="J9" s="309">
        <v>1.2599343547693456</v>
      </c>
      <c r="K9" s="309"/>
      <c r="L9" s="309"/>
      <c r="M9" s="309"/>
      <c r="N9" s="309"/>
      <c r="O9" s="309"/>
      <c r="P9" s="309"/>
      <c r="Q9" s="309"/>
    </row>
    <row r="10" spans="1:17" s="335" customFormat="1" x14ac:dyDescent="0.2">
      <c r="A10" s="371" t="s">
        <v>458</v>
      </c>
      <c r="B10" s="445">
        <v>146296.80915931551</v>
      </c>
      <c r="C10" s="445">
        <v>19537.386105780646</v>
      </c>
      <c r="D10" s="445">
        <v>889.98801878923052</v>
      </c>
      <c r="E10" s="445">
        <v>4696.4421791519126</v>
      </c>
      <c r="F10" s="445">
        <v>101854.39945578953</v>
      </c>
      <c r="G10" s="445">
        <v>112.44164597246564</v>
      </c>
      <c r="H10" s="445">
        <v>17.62941116422412</v>
      </c>
      <c r="I10" s="445">
        <v>309.74128733895259</v>
      </c>
      <c r="J10" s="445">
        <v>31.789553339647632</v>
      </c>
      <c r="K10" s="445">
        <v>118.5107601481083</v>
      </c>
      <c r="L10" s="445">
        <v>8.2934130011367433</v>
      </c>
      <c r="M10" s="445">
        <v>18246.813338615528</v>
      </c>
      <c r="N10" s="445">
        <v>7.9754690253779188</v>
      </c>
      <c r="O10" s="445">
        <v>90.372471824741197</v>
      </c>
      <c r="P10" s="445">
        <v>265.67989725502196</v>
      </c>
      <c r="Q10" s="445">
        <v>109.34615200547569</v>
      </c>
    </row>
    <row r="11" spans="1:17" x14ac:dyDescent="0.2">
      <c r="A11" s="61" t="s">
        <v>458</v>
      </c>
      <c r="B11" s="446">
        <v>146296.80915931551</v>
      </c>
      <c r="C11" s="446">
        <v>19537.386105780646</v>
      </c>
      <c r="D11" s="446">
        <v>889.98801878923052</v>
      </c>
      <c r="E11" s="446">
        <v>4696.4421791519126</v>
      </c>
      <c r="F11" s="446">
        <v>101854.39945578953</v>
      </c>
      <c r="G11" s="446">
        <v>112.44164597246564</v>
      </c>
      <c r="H11" s="446">
        <v>17.62941116422412</v>
      </c>
      <c r="I11" s="446">
        <v>309.74128733895259</v>
      </c>
      <c r="J11" s="446">
        <v>31.789553339647632</v>
      </c>
      <c r="K11" s="446">
        <v>118.5107601481083</v>
      </c>
      <c r="L11" s="446">
        <v>8.2934130011367433</v>
      </c>
      <c r="M11" s="446">
        <v>18246.813338615528</v>
      </c>
      <c r="N11" s="446">
        <v>7.9754690253779188</v>
      </c>
      <c r="O11" s="446">
        <v>90.372471824741197</v>
      </c>
      <c r="P11" s="446">
        <v>265.67989725502196</v>
      </c>
      <c r="Q11" s="446">
        <v>109.34615200547569</v>
      </c>
    </row>
    <row r="12" spans="1:17" s="335" customFormat="1" x14ac:dyDescent="0.2">
      <c r="A12" s="371" t="s">
        <v>459</v>
      </c>
      <c r="B12" s="445">
        <v>94599.192277287162</v>
      </c>
      <c r="C12" s="445">
        <v>16190.735080100652</v>
      </c>
      <c r="D12" s="445">
        <v>530.01640438014454</v>
      </c>
      <c r="E12" s="445">
        <v>338.27040855057726</v>
      </c>
      <c r="F12" s="445">
        <v>19795.174416921222</v>
      </c>
      <c r="G12" s="445">
        <v>26.499071021607708</v>
      </c>
      <c r="H12" s="445">
        <v>17.634823500812072</v>
      </c>
      <c r="I12" s="445">
        <v>370.66715091546899</v>
      </c>
      <c r="J12" s="445">
        <v>12.93878203905939</v>
      </c>
      <c r="K12" s="445">
        <v>12.562677344716256</v>
      </c>
      <c r="L12" s="445">
        <v>0</v>
      </c>
      <c r="M12" s="445">
        <v>56874.763159713009</v>
      </c>
      <c r="N12" s="445">
        <v>3.6601035660987695</v>
      </c>
      <c r="O12" s="445">
        <v>18.30528442550462</v>
      </c>
      <c r="P12" s="445">
        <v>208.48954750343981</v>
      </c>
      <c r="Q12" s="445">
        <v>199.47536726974315</v>
      </c>
    </row>
    <row r="13" spans="1:17" x14ac:dyDescent="0.2">
      <c r="A13" s="61" t="s">
        <v>459</v>
      </c>
      <c r="B13" s="446">
        <v>78708.988431832026</v>
      </c>
      <c r="C13" s="446">
        <v>13379.344785968693</v>
      </c>
      <c r="D13" s="446">
        <v>520.27367260975643</v>
      </c>
      <c r="E13" s="446">
        <v>325.13912957612024</v>
      </c>
      <c r="F13" s="446">
        <v>17743.337520068719</v>
      </c>
      <c r="G13" s="446">
        <v>22.864142349259318</v>
      </c>
      <c r="H13" s="446">
        <v>15.33710016140579</v>
      </c>
      <c r="I13" s="446">
        <v>216.76874744333142</v>
      </c>
      <c r="J13" s="446">
        <v>11.823722076249691</v>
      </c>
      <c r="K13" s="446">
        <v>12.562677344716256</v>
      </c>
      <c r="L13" s="446">
        <v>0</v>
      </c>
      <c r="M13" s="446">
        <v>46056.768605752841</v>
      </c>
      <c r="N13" s="446">
        <v>3.6601035660987695</v>
      </c>
      <c r="O13" s="446">
        <v>17.045350070735275</v>
      </c>
      <c r="P13" s="446">
        <v>200.11886352413029</v>
      </c>
      <c r="Q13" s="446">
        <v>183.94401130678335</v>
      </c>
    </row>
    <row r="14" spans="1:17" x14ac:dyDescent="0.2">
      <c r="A14" s="61" t="s">
        <v>460</v>
      </c>
      <c r="B14" s="446">
        <v>15890.203845435361</v>
      </c>
      <c r="C14" s="446">
        <v>2811.3902941321185</v>
      </c>
      <c r="D14" s="446">
        <v>9.7427317703878593</v>
      </c>
      <c r="E14" s="446">
        <v>13.131278974457</v>
      </c>
      <c r="F14" s="446">
        <v>2051.836896852672</v>
      </c>
      <c r="G14" s="446">
        <v>3.6349286723483898</v>
      </c>
      <c r="H14" s="446">
        <v>2.2977233394062848</v>
      </c>
      <c r="I14" s="446">
        <v>153.89840347213641</v>
      </c>
      <c r="J14" s="446">
        <v>1.1150599628096989</v>
      </c>
      <c r="K14" s="446">
        <v>0</v>
      </c>
      <c r="L14" s="446">
        <v>0</v>
      </c>
      <c r="M14" s="446">
        <v>10817.994553962162</v>
      </c>
      <c r="N14" s="446">
        <v>0</v>
      </c>
      <c r="O14" s="446">
        <v>1.2599343547693456</v>
      </c>
      <c r="P14" s="446">
        <v>8.3706839793095025</v>
      </c>
      <c r="Q14" s="446">
        <v>15.531355962959736</v>
      </c>
    </row>
    <row r="15" spans="1:17" s="335" customFormat="1" x14ac:dyDescent="0.2">
      <c r="A15" s="371" t="s">
        <v>461</v>
      </c>
      <c r="B15" s="445">
        <v>25072.641477277652</v>
      </c>
      <c r="C15" s="445">
        <v>5449.9793011912971</v>
      </c>
      <c r="D15" s="445">
        <v>37.956615963705644</v>
      </c>
      <c r="E15" s="445">
        <v>49.11569609209613</v>
      </c>
      <c r="F15" s="445">
        <v>2272.047020712901</v>
      </c>
      <c r="G15" s="445">
        <v>4.9973088990408749</v>
      </c>
      <c r="H15" s="445">
        <v>3.7798030643080365</v>
      </c>
      <c r="I15" s="445">
        <v>74.56853226514491</v>
      </c>
      <c r="J15" s="445">
        <v>1.2599343547693456</v>
      </c>
      <c r="K15" s="445">
        <v>1.2175058347328376</v>
      </c>
      <c r="L15" s="445">
        <v>0</v>
      </c>
      <c r="M15" s="445">
        <v>17162.183484956207</v>
      </c>
      <c r="N15" s="445">
        <v>0</v>
      </c>
      <c r="O15" s="445">
        <v>2.5198687095386911</v>
      </c>
      <c r="P15" s="445">
        <v>4.8378955556231791</v>
      </c>
      <c r="Q15" s="445">
        <v>8.1785096802411701</v>
      </c>
    </row>
    <row r="16" spans="1:17" x14ac:dyDescent="0.2">
      <c r="A16" s="61" t="s">
        <v>461</v>
      </c>
      <c r="B16" s="446">
        <v>25072.641477277652</v>
      </c>
      <c r="C16" s="446">
        <v>5449.9793011912971</v>
      </c>
      <c r="D16" s="446">
        <v>37.956615963705644</v>
      </c>
      <c r="E16" s="446">
        <v>49.11569609209613</v>
      </c>
      <c r="F16" s="446">
        <v>2272.047020712901</v>
      </c>
      <c r="G16" s="446">
        <v>4.9973088990408749</v>
      </c>
      <c r="H16" s="446">
        <v>3.7798030643080365</v>
      </c>
      <c r="I16" s="446">
        <v>74.56853226514491</v>
      </c>
      <c r="J16" s="446">
        <v>1.2599343547693456</v>
      </c>
      <c r="K16" s="446">
        <v>1.2175058347328376</v>
      </c>
      <c r="L16" s="446">
        <v>0</v>
      </c>
      <c r="M16" s="446">
        <v>17162.183484956207</v>
      </c>
      <c r="N16" s="446">
        <v>0</v>
      </c>
      <c r="O16" s="446">
        <v>2.5198687095386911</v>
      </c>
      <c r="P16" s="446">
        <v>4.8378955556231791</v>
      </c>
      <c r="Q16" s="446">
        <v>8.1785096802411701</v>
      </c>
    </row>
    <row r="17" spans="1:17" s="335" customFormat="1" x14ac:dyDescent="0.2">
      <c r="A17" s="371" t="s">
        <v>462</v>
      </c>
      <c r="B17" s="445">
        <v>38884.66569154989</v>
      </c>
      <c r="C17" s="445">
        <v>6164.1296335103998</v>
      </c>
      <c r="D17" s="445">
        <v>59.244398540447058</v>
      </c>
      <c r="E17" s="445">
        <v>175.18792007723144</v>
      </c>
      <c r="F17" s="445">
        <v>22994.042380112107</v>
      </c>
      <c r="G17" s="445">
        <v>4.8554548051703783</v>
      </c>
      <c r="H17" s="445">
        <v>0</v>
      </c>
      <c r="I17" s="445">
        <v>49.1759586323927</v>
      </c>
      <c r="J17" s="445">
        <v>3.3906582888576793</v>
      </c>
      <c r="K17" s="445">
        <v>25.558426855270199</v>
      </c>
      <c r="L17" s="445">
        <v>0</v>
      </c>
      <c r="M17" s="445">
        <v>9363.0929883874524</v>
      </c>
      <c r="N17" s="445">
        <v>0</v>
      </c>
      <c r="O17" s="445">
        <v>2.4774401895021834</v>
      </c>
      <c r="P17" s="445">
        <v>11.926490584502108</v>
      </c>
      <c r="Q17" s="445">
        <v>31.583941571146774</v>
      </c>
    </row>
    <row r="18" spans="1:17" x14ac:dyDescent="0.2">
      <c r="A18" s="61" t="s">
        <v>462</v>
      </c>
      <c r="B18" s="446">
        <v>38884.66569154989</v>
      </c>
      <c r="C18" s="446">
        <v>6164.1296335103998</v>
      </c>
      <c r="D18" s="446">
        <v>59.244398540447058</v>
      </c>
      <c r="E18" s="446">
        <v>175.18792007723144</v>
      </c>
      <c r="F18" s="446">
        <v>22994.042380112107</v>
      </c>
      <c r="G18" s="446">
        <v>4.8554548051703783</v>
      </c>
      <c r="H18" s="446">
        <v>0</v>
      </c>
      <c r="I18" s="446">
        <v>49.1759586323927</v>
      </c>
      <c r="J18" s="446">
        <v>3.3906582888576793</v>
      </c>
      <c r="K18" s="446">
        <v>25.558426855270199</v>
      </c>
      <c r="L18" s="446">
        <v>0</v>
      </c>
      <c r="M18" s="446">
        <v>9363.0929883874524</v>
      </c>
      <c r="N18" s="446">
        <v>0</v>
      </c>
      <c r="O18" s="446">
        <v>2.4774401895021834</v>
      </c>
      <c r="P18" s="446">
        <v>11.926490584502108</v>
      </c>
      <c r="Q18" s="446">
        <v>31.583941571146774</v>
      </c>
    </row>
    <row r="19" spans="1:17" s="335" customFormat="1" x14ac:dyDescent="0.2">
      <c r="A19" s="371" t="s">
        <v>463</v>
      </c>
      <c r="B19" s="445">
        <v>36622.432977470518</v>
      </c>
      <c r="C19" s="445">
        <v>10118.504469914897</v>
      </c>
      <c r="D19" s="445">
        <v>10.437336164912953</v>
      </c>
      <c r="E19" s="445">
        <v>15.057806350043366</v>
      </c>
      <c r="F19" s="445">
        <v>2870.443218496961</v>
      </c>
      <c r="G19" s="445">
        <v>2.4350116694656752</v>
      </c>
      <c r="H19" s="445">
        <v>1.2599343547693456</v>
      </c>
      <c r="I19" s="445">
        <v>87.681370120896133</v>
      </c>
      <c r="J19" s="445">
        <v>1.1150599628096989</v>
      </c>
      <c r="K19" s="445">
        <v>1.2175058347328376</v>
      </c>
      <c r="L19" s="445">
        <v>0</v>
      </c>
      <c r="M19" s="445">
        <v>23499.279009825565</v>
      </c>
      <c r="N19" s="445">
        <v>1.2175058347328376</v>
      </c>
      <c r="O19" s="445">
        <v>0</v>
      </c>
      <c r="P19" s="445">
        <v>5.8459438826986343</v>
      </c>
      <c r="Q19" s="445">
        <v>7.9388050605615659</v>
      </c>
    </row>
    <row r="20" spans="1:17" x14ac:dyDescent="0.2">
      <c r="A20" s="61" t="s">
        <v>463</v>
      </c>
      <c r="B20" s="446">
        <v>36622.432977470518</v>
      </c>
      <c r="C20" s="446">
        <v>10118.504469914897</v>
      </c>
      <c r="D20" s="446">
        <v>10.437336164912953</v>
      </c>
      <c r="E20" s="446">
        <v>15.057806350043366</v>
      </c>
      <c r="F20" s="446">
        <v>2870.443218496961</v>
      </c>
      <c r="G20" s="446">
        <v>2.4350116694656752</v>
      </c>
      <c r="H20" s="446">
        <v>1.2599343547693456</v>
      </c>
      <c r="I20" s="446">
        <v>87.681370120896133</v>
      </c>
      <c r="J20" s="446">
        <v>1.1150599628096989</v>
      </c>
      <c r="K20" s="446">
        <v>1.2175058347328376</v>
      </c>
      <c r="L20" s="446">
        <v>0</v>
      </c>
      <c r="M20" s="446">
        <v>23499.279009825565</v>
      </c>
      <c r="N20" s="446">
        <v>1.2175058347328376</v>
      </c>
      <c r="O20" s="446">
        <v>0</v>
      </c>
      <c r="P20" s="446">
        <v>5.8459438826986343</v>
      </c>
      <c r="Q20" s="446">
        <v>7.9388050605615659</v>
      </c>
    </row>
    <row r="21" spans="1:17" s="335" customFormat="1" x14ac:dyDescent="0.2">
      <c r="A21" s="371" t="s">
        <v>464</v>
      </c>
      <c r="B21" s="445">
        <v>13660.040336798367</v>
      </c>
      <c r="C21" s="445">
        <v>420.36058994008727</v>
      </c>
      <c r="D21" s="445">
        <v>4.6051142431984422</v>
      </c>
      <c r="E21" s="445">
        <v>2.3780146156681958</v>
      </c>
      <c r="F21" s="445">
        <v>12887.192904284515</v>
      </c>
      <c r="G21" s="445">
        <v>1.2599343547693456</v>
      </c>
      <c r="H21" s="445">
        <v>0</v>
      </c>
      <c r="I21" s="445">
        <v>13.776932467857353</v>
      </c>
      <c r="J21" s="445">
        <v>0</v>
      </c>
      <c r="K21" s="445">
        <v>0</v>
      </c>
      <c r="L21" s="445">
        <v>0</v>
      </c>
      <c r="M21" s="445">
        <v>251.89340269574501</v>
      </c>
      <c r="N21" s="445">
        <v>0</v>
      </c>
      <c r="O21" s="445">
        <v>10.989978262682181</v>
      </c>
      <c r="P21" s="445">
        <v>50.315237680281044</v>
      </c>
      <c r="Q21" s="445">
        <v>17.268228253620755</v>
      </c>
    </row>
    <row r="22" spans="1:17" x14ac:dyDescent="0.2">
      <c r="A22" s="61" t="s">
        <v>464</v>
      </c>
      <c r="B22" s="446">
        <v>3288.9100983071967</v>
      </c>
      <c r="C22" s="446">
        <v>95.7582409217692</v>
      </c>
      <c r="D22" s="446">
        <v>0</v>
      </c>
      <c r="E22" s="446">
        <v>1.1826633765965862</v>
      </c>
      <c r="F22" s="446">
        <v>2898.2071879937489</v>
      </c>
      <c r="G22" s="446">
        <v>0</v>
      </c>
      <c r="H22" s="446">
        <v>0</v>
      </c>
      <c r="I22" s="446">
        <v>8.0664258262350828</v>
      </c>
      <c r="J22" s="446">
        <v>0</v>
      </c>
      <c r="K22" s="446">
        <v>0</v>
      </c>
      <c r="L22" s="446">
        <v>0</v>
      </c>
      <c r="M22" s="446">
        <v>248.23550243726149</v>
      </c>
      <c r="N22" s="446">
        <v>0</v>
      </c>
      <c r="O22" s="446">
        <v>1.1826633765965862</v>
      </c>
      <c r="P22" s="446">
        <v>32.943723557626214</v>
      </c>
      <c r="Q22" s="446">
        <v>3.3336908173631228</v>
      </c>
    </row>
    <row r="23" spans="1:17" x14ac:dyDescent="0.2">
      <c r="A23" s="61" t="s">
        <v>465</v>
      </c>
      <c r="B23" s="446">
        <v>10371.130238491391</v>
      </c>
      <c r="C23" s="446">
        <v>324.60234901831802</v>
      </c>
      <c r="D23" s="446">
        <v>4.6051142431984422</v>
      </c>
      <c r="E23" s="446">
        <v>1.1953512390716095</v>
      </c>
      <c r="F23" s="446">
        <v>9988.9857162909793</v>
      </c>
      <c r="G23" s="446">
        <v>1.2599343547693456</v>
      </c>
      <c r="H23" s="446">
        <v>0</v>
      </c>
      <c r="I23" s="446">
        <v>5.7105066416222696</v>
      </c>
      <c r="J23" s="446">
        <v>0</v>
      </c>
      <c r="K23" s="446">
        <v>0</v>
      </c>
      <c r="L23" s="446">
        <v>0</v>
      </c>
      <c r="M23" s="446">
        <v>3.6579002584835418</v>
      </c>
      <c r="N23" s="446">
        <v>0</v>
      </c>
      <c r="O23" s="446">
        <v>9.8073148860855941</v>
      </c>
      <c r="P23" s="446">
        <v>17.371514122654851</v>
      </c>
      <c r="Q23" s="446">
        <v>13.934537436257632</v>
      </c>
    </row>
    <row r="24" spans="1:17" s="335" customFormat="1" x14ac:dyDescent="0.2">
      <c r="A24" s="371" t="s">
        <v>466</v>
      </c>
      <c r="B24" s="445">
        <v>8159.8731240882826</v>
      </c>
      <c r="C24" s="445">
        <v>158.79374324664889</v>
      </c>
      <c r="D24" s="445">
        <v>0</v>
      </c>
      <c r="E24" s="445">
        <v>1.1826633765965862</v>
      </c>
      <c r="F24" s="445">
        <v>4912.3253793193917</v>
      </c>
      <c r="G24" s="445">
        <v>0</v>
      </c>
      <c r="H24" s="445">
        <v>2.3749943175790444</v>
      </c>
      <c r="I24" s="445">
        <v>6.9185457431689024</v>
      </c>
      <c r="J24" s="445">
        <v>0</v>
      </c>
      <c r="K24" s="445">
        <v>0</v>
      </c>
      <c r="L24" s="445">
        <v>0</v>
      </c>
      <c r="M24" s="445">
        <v>3071.3661460664962</v>
      </c>
      <c r="N24" s="445">
        <v>1.0580924913151426</v>
      </c>
      <c r="O24" s="445">
        <v>0</v>
      </c>
      <c r="P24" s="445">
        <v>3.535532680817326</v>
      </c>
      <c r="Q24" s="445">
        <v>2.3180268460844884</v>
      </c>
    </row>
    <row r="25" spans="1:17" x14ac:dyDescent="0.2">
      <c r="A25" s="61" t="s">
        <v>466</v>
      </c>
      <c r="B25" s="446">
        <v>8159.8731240882826</v>
      </c>
      <c r="C25" s="446">
        <v>158.79374324664889</v>
      </c>
      <c r="D25" s="446">
        <v>0</v>
      </c>
      <c r="E25" s="446">
        <v>1.1826633765965862</v>
      </c>
      <c r="F25" s="446">
        <v>4912.3253793193917</v>
      </c>
      <c r="G25" s="446">
        <v>0</v>
      </c>
      <c r="H25" s="446">
        <v>2.3749943175790444</v>
      </c>
      <c r="I25" s="446">
        <v>6.9185457431689024</v>
      </c>
      <c r="J25" s="446">
        <v>0</v>
      </c>
      <c r="K25" s="446">
        <v>0</v>
      </c>
      <c r="L25" s="446">
        <v>0</v>
      </c>
      <c r="M25" s="446">
        <v>3071.3661460664962</v>
      </c>
      <c r="N25" s="446">
        <v>1.0580924913151426</v>
      </c>
      <c r="O25" s="446">
        <v>0</v>
      </c>
      <c r="P25" s="446">
        <v>3.535532680817326</v>
      </c>
      <c r="Q25" s="446">
        <v>2.3180268460844884</v>
      </c>
    </row>
    <row r="26" spans="1:17" s="335" customFormat="1" x14ac:dyDescent="0.2">
      <c r="A26" s="371" t="s">
        <v>467</v>
      </c>
      <c r="B26" s="445">
        <v>12557.35423396037</v>
      </c>
      <c r="C26" s="445">
        <v>1052.873364965177</v>
      </c>
      <c r="D26" s="445">
        <v>1.1826633765965862</v>
      </c>
      <c r="E26" s="445">
        <v>11.958283162246284</v>
      </c>
      <c r="F26" s="445">
        <v>560.11786029485904</v>
      </c>
      <c r="G26" s="445">
        <v>0</v>
      </c>
      <c r="H26" s="445">
        <v>1.2599343547693456</v>
      </c>
      <c r="I26" s="445">
        <v>9.6211811831955671</v>
      </c>
      <c r="J26" s="445">
        <v>0</v>
      </c>
      <c r="K26" s="445">
        <v>0</v>
      </c>
      <c r="L26" s="445">
        <v>0</v>
      </c>
      <c r="M26" s="445">
        <v>10858.33762437694</v>
      </c>
      <c r="N26" s="445">
        <v>0</v>
      </c>
      <c r="O26" s="445">
        <v>2.1731524541248417</v>
      </c>
      <c r="P26" s="445">
        <v>22.282135850544435</v>
      </c>
      <c r="Q26" s="445">
        <v>37.548033942013419</v>
      </c>
    </row>
    <row r="27" spans="1:17" x14ac:dyDescent="0.2">
      <c r="A27" s="61" t="s">
        <v>467</v>
      </c>
      <c r="B27" s="446">
        <v>12557.35423396037</v>
      </c>
      <c r="C27" s="446">
        <v>1052.873364965177</v>
      </c>
      <c r="D27" s="446">
        <v>1.1826633765965862</v>
      </c>
      <c r="E27" s="446">
        <v>11.958283162246284</v>
      </c>
      <c r="F27" s="446">
        <v>560.11786029485904</v>
      </c>
      <c r="G27" s="446">
        <v>0</v>
      </c>
      <c r="H27" s="446">
        <v>1.2599343547693456</v>
      </c>
      <c r="I27" s="446">
        <v>9.6211811831955671</v>
      </c>
      <c r="J27" s="446">
        <v>0</v>
      </c>
      <c r="K27" s="446">
        <v>0</v>
      </c>
      <c r="L27" s="446">
        <v>0</v>
      </c>
      <c r="M27" s="446">
        <v>10858.33762437694</v>
      </c>
      <c r="N27" s="446">
        <v>0</v>
      </c>
      <c r="O27" s="446">
        <v>2.1731524541248417</v>
      </c>
      <c r="P27" s="446">
        <v>22.282135850544435</v>
      </c>
      <c r="Q27" s="446">
        <v>37.548033942013419</v>
      </c>
    </row>
    <row r="28" spans="1:17" s="335" customFormat="1" x14ac:dyDescent="0.2">
      <c r="A28" s="371" t="s">
        <v>468</v>
      </c>
      <c r="B28" s="445">
        <v>6853.7990189174898</v>
      </c>
      <c r="C28" s="445">
        <v>56.104396673367141</v>
      </c>
      <c r="D28" s="445">
        <v>0</v>
      </c>
      <c r="E28" s="445">
        <v>2.3631234455779451</v>
      </c>
      <c r="F28" s="445">
        <v>4284.929623106138</v>
      </c>
      <c r="G28" s="445">
        <v>0</v>
      </c>
      <c r="H28" s="445">
        <v>0</v>
      </c>
      <c r="I28" s="445">
        <v>4.403272379744239</v>
      </c>
      <c r="J28" s="445">
        <v>0</v>
      </c>
      <c r="K28" s="445">
        <v>0</v>
      </c>
      <c r="L28" s="445">
        <v>0</v>
      </c>
      <c r="M28" s="445">
        <v>2478.733774962353</v>
      </c>
      <c r="N28" s="445">
        <v>0</v>
      </c>
      <c r="O28" s="445">
        <v>0</v>
      </c>
      <c r="P28" s="445">
        <v>2.3758113080529686</v>
      </c>
      <c r="Q28" s="445">
        <v>24.889017042154968</v>
      </c>
    </row>
    <row r="29" spans="1:17" x14ac:dyDescent="0.2">
      <c r="A29" s="61" t="s">
        <v>468</v>
      </c>
      <c r="B29" s="446">
        <v>6853.7990189174898</v>
      </c>
      <c r="C29" s="446">
        <v>56.104396673367141</v>
      </c>
      <c r="D29" s="446">
        <v>0</v>
      </c>
      <c r="E29" s="446">
        <v>2.3631234455779451</v>
      </c>
      <c r="F29" s="446">
        <v>4284.929623106138</v>
      </c>
      <c r="G29" s="446">
        <v>0</v>
      </c>
      <c r="H29" s="446">
        <v>0</v>
      </c>
      <c r="I29" s="446">
        <v>4.403272379744239</v>
      </c>
      <c r="J29" s="446">
        <v>0</v>
      </c>
      <c r="K29" s="446">
        <v>0</v>
      </c>
      <c r="L29" s="446">
        <v>0</v>
      </c>
      <c r="M29" s="446">
        <v>2478.733774962353</v>
      </c>
      <c r="N29" s="446">
        <v>0</v>
      </c>
      <c r="O29" s="446">
        <v>0</v>
      </c>
      <c r="P29" s="446">
        <v>2.3758113080529686</v>
      </c>
      <c r="Q29" s="446">
        <v>24.889017042154968</v>
      </c>
    </row>
  </sheetData>
  <mergeCells count="4">
    <mergeCell ref="A2:A3"/>
    <mergeCell ref="B2:B3"/>
    <mergeCell ref="A1:Q1"/>
    <mergeCell ref="C2:Q2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D4D4D"/>
  </sheetPr>
  <dimension ref="A1"/>
  <sheetViews>
    <sheetView workbookViewId="0">
      <selection activeCell="L33" sqref="L33"/>
    </sheetView>
  </sheetViews>
  <sheetFormatPr defaultRowHeight="15" x14ac:dyDescent="0.25"/>
  <cols>
    <col min="1" max="16384" width="9.140625" style="1"/>
  </cols>
  <sheetData>
    <row r="1" spans="1:1" x14ac:dyDescent="0.25">
      <c r="A1" s="2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"/>
  <sheetViews>
    <sheetView workbookViewId="0">
      <selection activeCell="O34" sqref="O34"/>
    </sheetView>
  </sheetViews>
  <sheetFormatPr defaultRowHeight="12" x14ac:dyDescent="0.2"/>
  <cols>
    <col min="1" max="1" width="18.140625" style="320" customWidth="1"/>
    <col min="2" max="13" width="9.140625" style="320"/>
    <col min="14" max="14" width="10.7109375" style="320" customWidth="1"/>
    <col min="15" max="16384" width="9.140625" style="320"/>
  </cols>
  <sheetData>
    <row r="1" spans="1:26" ht="9" customHeight="1" x14ac:dyDescent="0.2">
      <c r="A1" s="56"/>
      <c r="B1" s="42"/>
      <c r="C1" s="57"/>
      <c r="D1" s="58"/>
      <c r="E1" s="58"/>
      <c r="F1" s="58"/>
      <c r="G1" s="58"/>
      <c r="H1" s="57"/>
      <c r="I1" s="57"/>
      <c r="J1" s="57"/>
      <c r="K1" s="57"/>
      <c r="L1" s="57"/>
      <c r="M1" s="57"/>
      <c r="N1" s="57"/>
      <c r="O1" s="57"/>
      <c r="P1" s="57"/>
      <c r="Q1" s="58"/>
      <c r="R1" s="58"/>
      <c r="S1" s="58"/>
      <c r="T1" s="57"/>
      <c r="U1" s="57"/>
      <c r="V1" s="55"/>
      <c r="W1" s="55"/>
    </row>
    <row r="2" spans="1:26" ht="14.25" customHeight="1" thickBot="1" x14ac:dyDescent="0.25">
      <c r="A2" s="522" t="s">
        <v>520</v>
      </c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  <c r="R2" s="522"/>
      <c r="S2" s="522"/>
      <c r="T2" s="522"/>
      <c r="U2" s="522"/>
      <c r="V2" s="522"/>
      <c r="W2" s="522"/>
    </row>
    <row r="3" spans="1:26" ht="48" x14ac:dyDescent="0.2">
      <c r="A3" s="99" t="s">
        <v>107</v>
      </c>
      <c r="B3" s="59" t="s">
        <v>450</v>
      </c>
      <c r="C3" s="98" t="s">
        <v>251</v>
      </c>
      <c r="D3" s="98" t="s">
        <v>252</v>
      </c>
      <c r="E3" s="98" t="s">
        <v>253</v>
      </c>
      <c r="F3" s="98" t="s">
        <v>254</v>
      </c>
      <c r="G3" s="130" t="s">
        <v>255</v>
      </c>
      <c r="H3" s="60" t="s">
        <v>256</v>
      </c>
      <c r="I3" s="60" t="s">
        <v>257</v>
      </c>
      <c r="J3" s="60" t="s">
        <v>258</v>
      </c>
      <c r="K3" s="60" t="s">
        <v>259</v>
      </c>
      <c r="L3" s="60" t="s">
        <v>260</v>
      </c>
      <c r="M3" s="59" t="s">
        <v>261</v>
      </c>
      <c r="N3" s="60" t="s">
        <v>262</v>
      </c>
      <c r="O3" s="60" t="s">
        <v>263</v>
      </c>
      <c r="P3" s="60" t="s">
        <v>264</v>
      </c>
      <c r="Q3" s="60" t="s">
        <v>265</v>
      </c>
      <c r="R3" s="60" t="s">
        <v>266</v>
      </c>
      <c r="S3" s="60" t="s">
        <v>267</v>
      </c>
      <c r="T3" s="60" t="s">
        <v>268</v>
      </c>
      <c r="U3" s="60" t="s">
        <v>269</v>
      </c>
      <c r="V3" s="60" t="s">
        <v>270</v>
      </c>
      <c r="W3" s="60" t="s">
        <v>271</v>
      </c>
    </row>
    <row r="4" spans="1:26" x14ac:dyDescent="0.2">
      <c r="A4" s="310" t="s">
        <v>457</v>
      </c>
      <c r="B4" s="311">
        <v>382706.80829469865</v>
      </c>
      <c r="C4" s="311">
        <v>85914.914538838522</v>
      </c>
      <c r="D4" s="311">
        <v>2490</v>
      </c>
      <c r="E4" s="312">
        <v>766.16740794650298</v>
      </c>
      <c r="F4" s="311">
        <v>1190.8729048832038</v>
      </c>
      <c r="G4" s="311">
        <v>1473.0616726353833</v>
      </c>
      <c r="H4" s="311">
        <v>51261.435370601532</v>
      </c>
      <c r="I4" s="311">
        <v>1817.0046116896585</v>
      </c>
      <c r="J4" s="311">
        <v>30630.631741719768</v>
      </c>
      <c r="K4" s="311">
        <v>697.91201172620185</v>
      </c>
      <c r="L4" s="311">
        <v>3955.274774429874</v>
      </c>
      <c r="M4" s="311">
        <v>329.80800794934873</v>
      </c>
      <c r="N4" s="311">
        <v>23553.860004504619</v>
      </c>
      <c r="O4" s="311">
        <v>1710.2373688293276</v>
      </c>
      <c r="P4" s="311">
        <v>6564.8053985454471</v>
      </c>
      <c r="Q4" s="311">
        <v>13320.599410012679</v>
      </c>
      <c r="R4" s="311">
        <v>31891.199041535754</v>
      </c>
      <c r="S4" s="311">
        <v>159</v>
      </c>
      <c r="T4" s="311">
        <v>1859</v>
      </c>
      <c r="U4" s="311">
        <v>95611.980301716278</v>
      </c>
      <c r="V4" s="311">
        <v>15557.321317953876</v>
      </c>
      <c r="W4" s="311">
        <v>11951.723372879362</v>
      </c>
      <c r="X4" s="403"/>
      <c r="Z4" s="403"/>
    </row>
    <row r="5" spans="1:26" x14ac:dyDescent="0.2">
      <c r="A5" s="61"/>
      <c r="B5" s="183"/>
      <c r="C5" s="183"/>
      <c r="D5" s="183"/>
      <c r="E5" s="184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</row>
    <row r="6" spans="1:26" ht="24" customHeight="1" x14ac:dyDescent="0.2">
      <c r="A6" s="310" t="s">
        <v>126</v>
      </c>
      <c r="B6" s="311"/>
      <c r="C6" s="311"/>
      <c r="D6" s="311"/>
      <c r="E6" s="312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</row>
    <row r="7" spans="1:26" x14ac:dyDescent="0.2">
      <c r="A7" s="332" t="s">
        <v>5</v>
      </c>
      <c r="B7" s="183">
        <v>204822.87524545781</v>
      </c>
      <c r="C7" s="183">
        <v>42146.378172780845</v>
      </c>
      <c r="D7" s="183">
        <v>1480.6101353172171</v>
      </c>
      <c r="E7" s="184">
        <v>556.43732536102334</v>
      </c>
      <c r="F7" s="183">
        <v>944.053545533597</v>
      </c>
      <c r="G7" s="183">
        <v>1073.0023236314776</v>
      </c>
      <c r="H7" s="183">
        <v>29096.656634202263</v>
      </c>
      <c r="I7" s="183">
        <v>1132.1744164052857</v>
      </c>
      <c r="J7" s="183">
        <v>14336.028220956558</v>
      </c>
      <c r="K7" s="183">
        <v>352.59787197760573</v>
      </c>
      <c r="L7" s="183">
        <v>2330.9895344532406</v>
      </c>
      <c r="M7" s="183">
        <v>111.48243080469885</v>
      </c>
      <c r="N7" s="183">
        <v>14853.172227242085</v>
      </c>
      <c r="O7" s="183">
        <v>1114.2737586025235</v>
      </c>
      <c r="P7" s="183">
        <v>4174.8084505520519</v>
      </c>
      <c r="Q7" s="185">
        <v>6924.5789225343615</v>
      </c>
      <c r="R7" s="183">
        <v>16366.084349068497</v>
      </c>
      <c r="S7" s="183">
        <v>120.75858516638812</v>
      </c>
      <c r="T7" s="183">
        <v>1466.1849789438522</v>
      </c>
      <c r="U7" s="183">
        <v>50084.222666545043</v>
      </c>
      <c r="V7" s="183">
        <v>8824.6773763275687</v>
      </c>
      <c r="W7" s="183">
        <v>7333.7033186141716</v>
      </c>
    </row>
    <row r="8" spans="1:26" x14ac:dyDescent="0.2">
      <c r="A8" s="332" t="s">
        <v>6</v>
      </c>
      <c r="B8" s="183">
        <v>177883.93305177451</v>
      </c>
      <c r="C8" s="183">
        <v>43768.536366052263</v>
      </c>
      <c r="D8" s="183">
        <v>1009.0622620811671</v>
      </c>
      <c r="E8" s="184">
        <v>209.73008258547785</v>
      </c>
      <c r="F8" s="183">
        <v>246.8193593496037</v>
      </c>
      <c r="G8" s="183">
        <v>400.05934900389639</v>
      </c>
      <c r="H8" s="183">
        <v>22164.778736404089</v>
      </c>
      <c r="I8" s="183">
        <v>684.8301952843716</v>
      </c>
      <c r="J8" s="183">
        <v>16294.60352076597</v>
      </c>
      <c r="K8" s="183">
        <v>345.31413974859544</v>
      </c>
      <c r="L8" s="183">
        <v>1624.2852399767148</v>
      </c>
      <c r="M8" s="183">
        <v>218.32557714464872</v>
      </c>
      <c r="N8" s="183">
        <v>8700.6877772634762</v>
      </c>
      <c r="O8" s="183">
        <v>595.96361022679923</v>
      </c>
      <c r="P8" s="183">
        <v>2389.9969479932365</v>
      </c>
      <c r="Q8" s="185">
        <v>6396.0204874785813</v>
      </c>
      <c r="R8" s="183">
        <v>15525.114692470457</v>
      </c>
      <c r="S8" s="183">
        <v>38.446699958248175</v>
      </c>
      <c r="T8" s="183">
        <v>392.93637664385227</v>
      </c>
      <c r="U8" s="183">
        <v>45527.757635136448</v>
      </c>
      <c r="V8" s="183">
        <v>6732.6439416284375</v>
      </c>
      <c r="W8" s="183">
        <v>4618.0200542652638</v>
      </c>
    </row>
    <row r="9" spans="1:26" ht="24" customHeight="1" x14ac:dyDescent="0.2">
      <c r="A9" s="310" t="s">
        <v>7</v>
      </c>
      <c r="B9" s="311"/>
      <c r="C9" s="311"/>
      <c r="D9" s="311"/>
      <c r="E9" s="312"/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1"/>
    </row>
    <row r="10" spans="1:26" x14ac:dyDescent="0.2">
      <c r="A10" s="332" t="s">
        <v>458</v>
      </c>
      <c r="B10" s="183">
        <v>146296.80915931551</v>
      </c>
      <c r="C10" s="183">
        <v>28797.985582764872</v>
      </c>
      <c r="D10" s="183">
        <v>1403.6102489718198</v>
      </c>
      <c r="E10" s="184">
        <v>413.37221357923704</v>
      </c>
      <c r="F10" s="183">
        <v>244.30219947545993</v>
      </c>
      <c r="G10" s="183">
        <v>260.55440760560731</v>
      </c>
      <c r="H10" s="183">
        <v>14239.844032486673</v>
      </c>
      <c r="I10" s="183">
        <v>716.78505793137435</v>
      </c>
      <c r="J10" s="183">
        <v>8120.0516998389685</v>
      </c>
      <c r="K10" s="183">
        <v>379.670322696759</v>
      </c>
      <c r="L10" s="183">
        <v>2929.8263244157861</v>
      </c>
      <c r="M10" s="183">
        <v>199.22923535301729</v>
      </c>
      <c r="N10" s="183">
        <v>15588.278243304931</v>
      </c>
      <c r="O10" s="183">
        <v>754.6994214772825</v>
      </c>
      <c r="P10" s="183">
        <v>4371.8321050701534</v>
      </c>
      <c r="Q10" s="183">
        <v>4411.16492180981</v>
      </c>
      <c r="R10" s="183">
        <v>12542.149036886654</v>
      </c>
      <c r="S10" s="183">
        <v>134.31219911017035</v>
      </c>
      <c r="T10" s="183">
        <v>768.50064430419297</v>
      </c>
      <c r="U10" s="183">
        <v>36049.143771326271</v>
      </c>
      <c r="V10" s="183">
        <v>7261.9666214019153</v>
      </c>
      <c r="W10" s="183">
        <v>6709.5308693567185</v>
      </c>
    </row>
    <row r="11" spans="1:26" x14ac:dyDescent="0.2">
      <c r="A11" s="332" t="s">
        <v>459</v>
      </c>
      <c r="B11" s="183">
        <v>94599.192277287162</v>
      </c>
      <c r="C11" s="183">
        <v>25599.672616096563</v>
      </c>
      <c r="D11" s="183">
        <v>501.66936865248749</v>
      </c>
      <c r="E11" s="184">
        <v>271.25962131015501</v>
      </c>
      <c r="F11" s="183">
        <v>736.45337590497058</v>
      </c>
      <c r="G11" s="183">
        <v>908.0914045550245</v>
      </c>
      <c r="H11" s="183">
        <v>16307.584842870596</v>
      </c>
      <c r="I11" s="183">
        <v>742.51071392172764</v>
      </c>
      <c r="J11" s="183">
        <v>13222.030039041292</v>
      </c>
      <c r="K11" s="183">
        <v>149.48812014277209</v>
      </c>
      <c r="L11" s="183">
        <v>298.30542169850844</v>
      </c>
      <c r="M11" s="183">
        <v>45.184169441891505</v>
      </c>
      <c r="N11" s="183">
        <v>3320.8368650757184</v>
      </c>
      <c r="O11" s="183">
        <v>667.04221596649222</v>
      </c>
      <c r="P11" s="183">
        <v>1060.4293077863947</v>
      </c>
      <c r="Q11" s="183">
        <v>4831.2161944228919</v>
      </c>
      <c r="R11" s="183">
        <v>1425.2563425246599</v>
      </c>
      <c r="S11" s="183">
        <v>21.232982448367132</v>
      </c>
      <c r="T11" s="183">
        <v>925.51735658812186</v>
      </c>
      <c r="U11" s="183">
        <v>15267.356558627302</v>
      </c>
      <c r="V11" s="183">
        <v>5997.0157766000193</v>
      </c>
      <c r="W11" s="183">
        <v>2301.0389835859796</v>
      </c>
    </row>
    <row r="12" spans="1:26" x14ac:dyDescent="0.2">
      <c r="A12" s="332" t="s">
        <v>461</v>
      </c>
      <c r="B12" s="183">
        <v>25072.641477277652</v>
      </c>
      <c r="C12" s="183">
        <v>3147.9600962038107</v>
      </c>
      <c r="D12" s="183">
        <v>175.72995099981378</v>
      </c>
      <c r="E12" s="184">
        <v>8.1436968044078419</v>
      </c>
      <c r="F12" s="183">
        <v>6.9407003388301298</v>
      </c>
      <c r="G12" s="183">
        <v>7.0485289650382974</v>
      </c>
      <c r="H12" s="183">
        <v>6073.2832155672959</v>
      </c>
      <c r="I12" s="183">
        <v>27.411935632085733</v>
      </c>
      <c r="J12" s="183">
        <v>1195.3283614774464</v>
      </c>
      <c r="K12" s="183">
        <v>27.887096199643818</v>
      </c>
      <c r="L12" s="183">
        <v>216.1211668173747</v>
      </c>
      <c r="M12" s="183">
        <v>4.7075601151215816</v>
      </c>
      <c r="N12" s="183">
        <v>1678.5607305595781</v>
      </c>
      <c r="O12" s="183">
        <v>25.869107405458049</v>
      </c>
      <c r="P12" s="183">
        <v>197.03252450410307</v>
      </c>
      <c r="Q12" s="183">
        <v>755.50199400869701</v>
      </c>
      <c r="R12" s="183">
        <v>1513.2154503859224</v>
      </c>
      <c r="S12" s="183">
        <v>1.2599343547693456</v>
      </c>
      <c r="T12" s="183">
        <v>37.486768528755327</v>
      </c>
      <c r="U12" s="183">
        <v>9186.6797175810152</v>
      </c>
      <c r="V12" s="183">
        <v>477.50824732454657</v>
      </c>
      <c r="W12" s="183">
        <v>308.96469350656935</v>
      </c>
    </row>
    <row r="13" spans="1:26" x14ac:dyDescent="0.2">
      <c r="A13" s="332" t="s">
        <v>462</v>
      </c>
      <c r="B13" s="183">
        <v>38884.66569154989</v>
      </c>
      <c r="C13" s="183">
        <v>8866.4585638227454</v>
      </c>
      <c r="D13" s="183">
        <v>191.89693184956306</v>
      </c>
      <c r="E13" s="184">
        <v>30.94743873060014</v>
      </c>
      <c r="F13" s="183">
        <v>99.343463467128814</v>
      </c>
      <c r="G13" s="183">
        <v>135.52979432337924</v>
      </c>
      <c r="H13" s="183">
        <v>5380.9405035837581</v>
      </c>
      <c r="I13" s="183">
        <v>126.40208669700391</v>
      </c>
      <c r="J13" s="183">
        <v>485.3659798835539</v>
      </c>
      <c r="K13" s="183">
        <v>23.729909154073596</v>
      </c>
      <c r="L13" s="183">
        <v>190.8532178639951</v>
      </c>
      <c r="M13" s="183">
        <v>5.5289682848462691</v>
      </c>
      <c r="N13" s="183">
        <v>750.59553127181834</v>
      </c>
      <c r="O13" s="183">
        <v>94.439022576333429</v>
      </c>
      <c r="P13" s="183">
        <v>178.64393905890088</v>
      </c>
      <c r="Q13" s="183">
        <v>585.40402889856477</v>
      </c>
      <c r="R13" s="183">
        <v>14549.169679607332</v>
      </c>
      <c r="S13" s="183">
        <v>0</v>
      </c>
      <c r="T13" s="183">
        <v>7.285565505260954</v>
      </c>
      <c r="U13" s="183">
        <v>5529.0769222531762</v>
      </c>
      <c r="V13" s="183">
        <v>77.433713526889107</v>
      </c>
      <c r="W13" s="183">
        <v>1575.6204311963413</v>
      </c>
    </row>
    <row r="14" spans="1:26" x14ac:dyDescent="0.2">
      <c r="A14" s="332" t="s">
        <v>463</v>
      </c>
      <c r="B14" s="183">
        <v>36622.432977470518</v>
      </c>
      <c r="C14" s="183">
        <v>4820.2896327725684</v>
      </c>
      <c r="D14" s="183">
        <v>54.310807232900302</v>
      </c>
      <c r="E14" s="184">
        <v>12.004146038201263</v>
      </c>
      <c r="F14" s="183">
        <v>47.635503987145619</v>
      </c>
      <c r="G14" s="183">
        <v>47.974127726198489</v>
      </c>
      <c r="H14" s="183">
        <v>4592.3465460811885</v>
      </c>
      <c r="I14" s="183">
        <v>90.921434414700414</v>
      </c>
      <c r="J14" s="183">
        <v>2984.2106305730827</v>
      </c>
      <c r="K14" s="183">
        <v>82.713810130815531</v>
      </c>
      <c r="L14" s="183">
        <v>240.46332784543148</v>
      </c>
      <c r="M14" s="183">
        <v>39.658069893897142</v>
      </c>
      <c r="N14" s="183">
        <v>788.38745537554348</v>
      </c>
      <c r="O14" s="183">
        <v>34.989637047012664</v>
      </c>
      <c r="P14" s="183">
        <v>214.79168082425662</v>
      </c>
      <c r="Q14" s="183">
        <v>552.38844299408322</v>
      </c>
      <c r="R14" s="183">
        <v>1256.2931103637791</v>
      </c>
      <c r="S14" s="183">
        <v>1.2175058347328376</v>
      </c>
      <c r="T14" s="183">
        <v>0</v>
      </c>
      <c r="U14" s="183">
        <v>20113.32002077514</v>
      </c>
      <c r="V14" s="183">
        <v>330.92331276320101</v>
      </c>
      <c r="W14" s="183">
        <v>317.59377479891185</v>
      </c>
    </row>
    <row r="15" spans="1:26" x14ac:dyDescent="0.2">
      <c r="A15" s="332" t="s">
        <v>464</v>
      </c>
      <c r="B15" s="183">
        <v>13660.040336798367</v>
      </c>
      <c r="C15" s="183">
        <v>6080.1784881771891</v>
      </c>
      <c r="D15" s="183">
        <v>33.87111582057284</v>
      </c>
      <c r="E15" s="184">
        <v>27.027508181683743</v>
      </c>
      <c r="F15" s="183">
        <v>44.384223357075008</v>
      </c>
      <c r="G15" s="183">
        <v>68.743908974565386</v>
      </c>
      <c r="H15" s="183">
        <v>1415.9919834252107</v>
      </c>
      <c r="I15" s="183">
        <v>58.087110888800531</v>
      </c>
      <c r="J15" s="183">
        <v>1623.704939312561</v>
      </c>
      <c r="K15" s="183">
        <v>24.871579771542109</v>
      </c>
      <c r="L15" s="183">
        <v>19.994968330919885</v>
      </c>
      <c r="M15" s="183">
        <v>25.13380377474985</v>
      </c>
      <c r="N15" s="183">
        <v>128.01783520451201</v>
      </c>
      <c r="O15" s="183">
        <v>16.059148477899132</v>
      </c>
      <c r="P15" s="183">
        <v>103.01211610251971</v>
      </c>
      <c r="Q15" s="183">
        <v>1298.7363485388125</v>
      </c>
      <c r="R15" s="183">
        <v>85.637193524038537</v>
      </c>
      <c r="S15" s="183">
        <v>0</v>
      </c>
      <c r="T15" s="183">
        <v>14.293898840180898</v>
      </c>
      <c r="U15" s="183">
        <v>1652.0857668016436</v>
      </c>
      <c r="V15" s="183">
        <v>619.16225299641815</v>
      </c>
      <c r="W15" s="183">
        <v>321.0461462980104</v>
      </c>
    </row>
    <row r="16" spans="1:26" x14ac:dyDescent="0.2">
      <c r="A16" s="332" t="s">
        <v>466</v>
      </c>
      <c r="B16" s="183">
        <v>8159.8731240882826</v>
      </c>
      <c r="C16" s="183">
        <v>2662.1990706659876</v>
      </c>
      <c r="D16" s="183">
        <v>0</v>
      </c>
      <c r="E16" s="184">
        <v>0</v>
      </c>
      <c r="F16" s="183">
        <v>3.5925001523118825</v>
      </c>
      <c r="G16" s="183">
        <v>1.2175058347328376</v>
      </c>
      <c r="H16" s="183">
        <v>843.55835802645674</v>
      </c>
      <c r="I16" s="183">
        <v>14.791598478926606</v>
      </c>
      <c r="J16" s="183">
        <v>1429.6856310770406</v>
      </c>
      <c r="K16" s="183">
        <v>0</v>
      </c>
      <c r="L16" s="183">
        <v>16.563762193311643</v>
      </c>
      <c r="M16" s="183">
        <v>0</v>
      </c>
      <c r="N16" s="183">
        <v>116.3529341114907</v>
      </c>
      <c r="O16" s="183">
        <v>38.140561133887807</v>
      </c>
      <c r="P16" s="183">
        <v>35.354980913854966</v>
      </c>
      <c r="Q16" s="183">
        <v>559.14229114468333</v>
      </c>
      <c r="R16" s="183">
        <v>310.46914569787572</v>
      </c>
      <c r="S16" s="183">
        <v>0</v>
      </c>
      <c r="T16" s="183">
        <v>0</v>
      </c>
      <c r="U16" s="183">
        <v>2021.4308353993381</v>
      </c>
      <c r="V16" s="183">
        <v>48.131516837139706</v>
      </c>
      <c r="W16" s="183">
        <v>59.242432421195012</v>
      </c>
    </row>
    <row r="17" spans="1:23" x14ac:dyDescent="0.2">
      <c r="A17" s="332" t="s">
        <v>467</v>
      </c>
      <c r="B17" s="183">
        <v>12557.35423396037</v>
      </c>
      <c r="C17" s="183">
        <v>3737.9742563495774</v>
      </c>
      <c r="D17" s="183">
        <v>78.635719451503746</v>
      </c>
      <c r="E17" s="184">
        <v>2.2977233394062848</v>
      </c>
      <c r="F17" s="183">
        <v>4.7878513913834917</v>
      </c>
      <c r="G17" s="183">
        <v>25.622192980494017</v>
      </c>
      <c r="H17" s="183">
        <v>2051.9707447520695</v>
      </c>
      <c r="I17" s="183">
        <v>29.472749322955821</v>
      </c>
      <c r="J17" s="183">
        <v>1266.0393236048417</v>
      </c>
      <c r="K17" s="183">
        <v>3.6579002584835418</v>
      </c>
      <c r="L17" s="183">
        <v>34.911108112825005</v>
      </c>
      <c r="M17" s="183">
        <v>1.2175058347328376</v>
      </c>
      <c r="N17" s="183">
        <v>870.64482767833874</v>
      </c>
      <c r="O17" s="183">
        <v>74.187431767439776</v>
      </c>
      <c r="P17" s="183">
        <v>388.55897661802783</v>
      </c>
      <c r="Q17" s="186">
        <v>223.88108298806637</v>
      </c>
      <c r="R17" s="186">
        <v>96.085264878985868</v>
      </c>
      <c r="S17" s="186">
        <v>1.1826633765965862</v>
      </c>
      <c r="T17" s="186">
        <v>106.03712182119511</v>
      </c>
      <c r="U17" s="186">
        <v>2920.4570465366633</v>
      </c>
      <c r="V17" s="186">
        <v>360.4892320907806</v>
      </c>
      <c r="W17" s="186">
        <v>279.24351080630765</v>
      </c>
    </row>
    <row r="18" spans="1:23" x14ac:dyDescent="0.2">
      <c r="A18" s="332" t="s">
        <v>468</v>
      </c>
      <c r="B18" s="183">
        <v>6853.7990189174898</v>
      </c>
      <c r="C18" s="183">
        <v>2202.1962319887689</v>
      </c>
      <c r="D18" s="183">
        <v>49.948254419722005</v>
      </c>
      <c r="E18" s="184">
        <v>1.1150599628096989</v>
      </c>
      <c r="F18" s="183">
        <v>3.433086808894187</v>
      </c>
      <c r="G18" s="183">
        <v>18.279801670332326</v>
      </c>
      <c r="H18" s="183">
        <v>355.91514381645572</v>
      </c>
      <c r="I18" s="183">
        <v>10.621924402081028</v>
      </c>
      <c r="J18" s="183">
        <v>304.21513691440214</v>
      </c>
      <c r="K18" s="183">
        <v>5.893273372110241</v>
      </c>
      <c r="L18" s="183">
        <v>8.2354771517357275</v>
      </c>
      <c r="M18" s="183">
        <v>9.1486952510912225</v>
      </c>
      <c r="N18" s="183">
        <v>312.18558192347234</v>
      </c>
      <c r="O18" s="183">
        <v>4.8108229775186437</v>
      </c>
      <c r="P18" s="183">
        <v>15.149767667106712</v>
      </c>
      <c r="Q18" s="186">
        <v>103.16410520720912</v>
      </c>
      <c r="R18" s="186">
        <v>112.92381766988869</v>
      </c>
      <c r="S18" s="186">
        <v>0</v>
      </c>
      <c r="T18" s="186">
        <v>0</v>
      </c>
      <c r="U18" s="186">
        <v>2872.4296623889722</v>
      </c>
      <c r="V18" s="186">
        <v>384.69064441533283</v>
      </c>
      <c r="W18" s="186">
        <v>79.442530909510495</v>
      </c>
    </row>
    <row r="22" spans="1:23" x14ac:dyDescent="0.2">
      <c r="J22" s="403"/>
    </row>
  </sheetData>
  <mergeCells count="1">
    <mergeCell ref="A2:W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D4D4D"/>
  </sheetPr>
  <dimension ref="A1"/>
  <sheetViews>
    <sheetView workbookViewId="0">
      <selection activeCell="M35" sqref="M35"/>
    </sheetView>
  </sheetViews>
  <sheetFormatPr defaultRowHeight="15" x14ac:dyDescent="0.25"/>
  <cols>
    <col min="1" max="16384" width="9.140625" style="1"/>
  </cols>
  <sheetData>
    <row r="1" spans="1:1" x14ac:dyDescent="0.25">
      <c r="A1" s="2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zoomScale="145" zoomScaleNormal="145" workbookViewId="0">
      <selection activeCell="J4" sqref="J4"/>
    </sheetView>
  </sheetViews>
  <sheetFormatPr defaultRowHeight="12" x14ac:dyDescent="0.2"/>
  <cols>
    <col min="1" max="1" width="23.7109375" style="322" customWidth="1"/>
    <col min="2" max="2" width="10.5703125" style="322" customWidth="1"/>
    <col min="3" max="3" width="10.140625" style="322" customWidth="1"/>
    <col min="4" max="4" width="10.85546875" style="322" customWidth="1"/>
    <col min="5" max="12" width="9.140625" style="322"/>
    <col min="13" max="13" width="10.42578125" style="322" customWidth="1"/>
    <col min="14" max="16384" width="9.140625" style="322"/>
  </cols>
  <sheetData>
    <row r="1" spans="1:13" ht="17.25" customHeight="1" x14ac:dyDescent="0.2">
      <c r="A1" s="523" t="s">
        <v>572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  <c r="L1" s="523"/>
      <c r="M1" s="523"/>
    </row>
    <row r="2" spans="1:13" ht="21" customHeight="1" x14ac:dyDescent="0.2">
      <c r="A2" s="527" t="s">
        <v>501</v>
      </c>
      <c r="B2" s="524" t="s">
        <v>217</v>
      </c>
      <c r="C2" s="524"/>
      <c r="D2" s="524"/>
      <c r="E2" s="260"/>
      <c r="F2" s="525" t="s">
        <v>218</v>
      </c>
      <c r="G2" s="525"/>
      <c r="H2" s="525"/>
      <c r="I2" s="260"/>
      <c r="J2" s="526" t="s">
        <v>219</v>
      </c>
      <c r="K2" s="526"/>
      <c r="L2" s="526"/>
      <c r="M2" s="524" t="s">
        <v>220</v>
      </c>
    </row>
    <row r="3" spans="1:13" x14ac:dyDescent="0.2">
      <c r="A3" s="528"/>
      <c r="B3" s="52" t="s">
        <v>1</v>
      </c>
      <c r="C3" s="43" t="s">
        <v>2</v>
      </c>
      <c r="D3" s="43" t="s">
        <v>3</v>
      </c>
      <c r="E3" s="43"/>
      <c r="F3" s="52" t="s">
        <v>1</v>
      </c>
      <c r="G3" s="43" t="s">
        <v>2</v>
      </c>
      <c r="H3" s="43" t="s">
        <v>3</v>
      </c>
      <c r="I3" s="43"/>
      <c r="J3" s="52" t="s">
        <v>1</v>
      </c>
      <c r="K3" s="52" t="s">
        <v>2</v>
      </c>
      <c r="L3" s="52" t="s">
        <v>3</v>
      </c>
      <c r="M3" s="505"/>
    </row>
    <row r="4" spans="1:13" x14ac:dyDescent="0.2">
      <c r="A4" s="228" t="s">
        <v>457</v>
      </c>
      <c r="B4" s="229">
        <v>225757.98928149743</v>
      </c>
      <c r="C4" s="229">
        <v>109937.20933465142</v>
      </c>
      <c r="D4" s="229">
        <v>115820.77994698389</v>
      </c>
      <c r="E4" s="229"/>
      <c r="F4" s="229">
        <v>91206.349748529174</v>
      </c>
      <c r="G4" s="229">
        <v>55633.683197254046</v>
      </c>
      <c r="H4" s="229">
        <v>35572.666551259324</v>
      </c>
      <c r="I4" s="229"/>
      <c r="J4" s="248">
        <v>40.400054075069484</v>
      </c>
      <c r="K4" s="248">
        <v>50.604962172450499</v>
      </c>
      <c r="L4" s="248">
        <v>30.713544294501983</v>
      </c>
      <c r="M4" s="388">
        <v>0.60692752204491385</v>
      </c>
    </row>
    <row r="5" spans="1:13" x14ac:dyDescent="0.2">
      <c r="A5" s="232" t="s">
        <v>14</v>
      </c>
      <c r="B5" s="69"/>
      <c r="C5" s="69"/>
      <c r="D5" s="69"/>
      <c r="E5" s="69"/>
      <c r="F5" s="69"/>
      <c r="G5" s="69"/>
      <c r="H5" s="69"/>
      <c r="I5" s="69"/>
      <c r="J5" s="245"/>
      <c r="K5" s="245"/>
      <c r="L5" s="245"/>
      <c r="M5" s="389"/>
    </row>
    <row r="6" spans="1:13" x14ac:dyDescent="0.2">
      <c r="A6" s="378" t="s">
        <v>5</v>
      </c>
      <c r="B6" s="68">
        <v>123079.91291457563</v>
      </c>
      <c r="C6" s="68">
        <v>59987.910699019165</v>
      </c>
      <c r="D6" s="68">
        <v>63092.002215500419</v>
      </c>
      <c r="E6" s="68"/>
      <c r="F6" s="68">
        <v>58074.281113284116</v>
      </c>
      <c r="G6" s="68">
        <v>34869.87041757875</v>
      </c>
      <c r="H6" s="68">
        <v>23204.410695713457</v>
      </c>
      <c r="I6" s="68"/>
      <c r="J6" s="246">
        <v>47.184207185446773</v>
      </c>
      <c r="K6" s="246">
        <v>58.128162843559252</v>
      </c>
      <c r="L6" s="246">
        <v>36.778688075956623</v>
      </c>
      <c r="M6" s="390">
        <v>0.63271719381428537</v>
      </c>
    </row>
    <row r="7" spans="1:13" x14ac:dyDescent="0.2">
      <c r="A7" s="72" t="s">
        <v>6</v>
      </c>
      <c r="B7" s="68">
        <v>102678.07636705932</v>
      </c>
      <c r="C7" s="68">
        <v>49949.298635590661</v>
      </c>
      <c r="D7" s="68">
        <v>52728.777731433882</v>
      </c>
      <c r="E7" s="68"/>
      <c r="F7" s="68">
        <v>33132.068635227472</v>
      </c>
      <c r="G7" s="68">
        <v>20763.812779680371</v>
      </c>
      <c r="H7" s="68">
        <v>12368.255855549614</v>
      </c>
      <c r="I7" s="68"/>
      <c r="J7" s="246">
        <v>32.267909379974249</v>
      </c>
      <c r="K7" s="246">
        <v>41.569778449076644</v>
      </c>
      <c r="L7" s="246">
        <v>23.456367448047548</v>
      </c>
      <c r="M7" s="390">
        <v>0.56426491367477005</v>
      </c>
    </row>
    <row r="8" spans="1:13" x14ac:dyDescent="0.2">
      <c r="A8" s="234" t="s">
        <v>542</v>
      </c>
      <c r="B8" s="235"/>
      <c r="C8" s="235"/>
      <c r="D8" s="235"/>
      <c r="E8" s="235"/>
      <c r="F8" s="235"/>
      <c r="G8" s="235"/>
      <c r="H8" s="235"/>
      <c r="I8" s="235"/>
      <c r="J8" s="247"/>
      <c r="K8" s="247"/>
      <c r="L8" s="247"/>
      <c r="M8" s="391"/>
    </row>
    <row r="9" spans="1:13" s="335" customFormat="1" x14ac:dyDescent="0.2">
      <c r="A9" s="371" t="s">
        <v>458</v>
      </c>
      <c r="B9" s="69">
        <v>87273.9228704423</v>
      </c>
      <c r="C9" s="69">
        <v>41531.723460839945</v>
      </c>
      <c r="D9" s="69">
        <v>45742.199409589026</v>
      </c>
      <c r="E9" s="69"/>
      <c r="F9" s="69">
        <v>43886.341191895284</v>
      </c>
      <c r="G9" s="69">
        <v>27117.022572138263</v>
      </c>
      <c r="H9" s="69">
        <v>16769.318619760637</v>
      </c>
      <c r="I9" s="69"/>
      <c r="J9" s="100">
        <v>50.285743723282614</v>
      </c>
      <c r="K9" s="100">
        <v>65.292312267526796</v>
      </c>
      <c r="L9" s="100">
        <v>36.660499136922802</v>
      </c>
      <c r="M9" s="389">
        <v>0.56148262886924805</v>
      </c>
    </row>
    <row r="10" spans="1:13" x14ac:dyDescent="0.2">
      <c r="A10" s="61" t="s">
        <v>458</v>
      </c>
      <c r="B10" s="68">
        <v>87273.9228704423</v>
      </c>
      <c r="C10" s="68">
        <v>41531.723460839945</v>
      </c>
      <c r="D10" s="68">
        <v>45742.199409589026</v>
      </c>
      <c r="E10" s="68"/>
      <c r="F10" s="68">
        <v>43886.341191895284</v>
      </c>
      <c r="G10" s="68">
        <v>27117.022572138263</v>
      </c>
      <c r="H10" s="68">
        <v>16769.318619760637</v>
      </c>
      <c r="I10" s="68"/>
      <c r="J10" s="246">
        <v>50.285743723282614</v>
      </c>
      <c r="K10" s="246">
        <v>65.292312267526796</v>
      </c>
      <c r="L10" s="246">
        <v>36.660499136922802</v>
      </c>
      <c r="M10" s="390">
        <v>0.56148262886924805</v>
      </c>
    </row>
    <row r="11" spans="1:13" s="335" customFormat="1" x14ac:dyDescent="0.2">
      <c r="A11" s="371" t="s">
        <v>459</v>
      </c>
      <c r="B11" s="69">
        <v>57516.0387527782</v>
      </c>
      <c r="C11" s="69">
        <v>27566.773774547379</v>
      </c>
      <c r="D11" s="69">
        <v>29949.26497823466</v>
      </c>
      <c r="E11" s="69"/>
      <c r="F11" s="69">
        <v>22455.347354786907</v>
      </c>
      <c r="G11" s="69">
        <v>13610.315619099398</v>
      </c>
      <c r="H11" s="69">
        <v>8845.0317356895466</v>
      </c>
      <c r="I11" s="69"/>
      <c r="J11" s="100">
        <v>39.041887865938797</v>
      </c>
      <c r="K11" s="100">
        <v>49.372174380686296</v>
      </c>
      <c r="L11" s="100">
        <v>29.533385016682708</v>
      </c>
      <c r="M11" s="389">
        <v>0.59817873908011954</v>
      </c>
    </row>
    <row r="12" spans="1:13" x14ac:dyDescent="0.2">
      <c r="A12" s="61" t="s">
        <v>459</v>
      </c>
      <c r="B12" s="68">
        <v>47292.968783556847</v>
      </c>
      <c r="C12" s="68">
        <v>22640.469149469951</v>
      </c>
      <c r="D12" s="68">
        <v>24652.4996340906</v>
      </c>
      <c r="E12" s="68"/>
      <c r="F12" s="68">
        <v>19739.005103839147</v>
      </c>
      <c r="G12" s="68">
        <v>12097.117813277178</v>
      </c>
      <c r="H12" s="68">
        <v>7641.887290563096</v>
      </c>
      <c r="I12" s="68"/>
      <c r="J12" s="246">
        <v>41.737716222004046</v>
      </c>
      <c r="K12" s="246">
        <v>53.431391961943788</v>
      </c>
      <c r="L12" s="246">
        <v>30.998427761843914</v>
      </c>
      <c r="M12" s="390">
        <v>0.58015385007978781</v>
      </c>
    </row>
    <row r="13" spans="1:13" x14ac:dyDescent="0.2">
      <c r="A13" s="61" t="s">
        <v>473</v>
      </c>
      <c r="B13" s="68">
        <v>10223.06996922496</v>
      </c>
      <c r="C13" s="68">
        <v>4926.3046250790212</v>
      </c>
      <c r="D13" s="68">
        <v>5296.765344145766</v>
      </c>
      <c r="E13" s="68"/>
      <c r="F13" s="68">
        <v>2716.3422509485608</v>
      </c>
      <c r="G13" s="68">
        <v>1513.1978058220809</v>
      </c>
      <c r="H13" s="68">
        <v>1203.1444451263771</v>
      </c>
      <c r="I13" s="68"/>
      <c r="J13" s="246">
        <v>26.570709768451053</v>
      </c>
      <c r="K13" s="246">
        <v>30.716691739252887</v>
      </c>
      <c r="L13" s="246">
        <v>22.714701651946047</v>
      </c>
      <c r="M13" s="390">
        <v>0.73949049737406813</v>
      </c>
    </row>
    <row r="14" spans="1:13" s="335" customFormat="1" x14ac:dyDescent="0.2">
      <c r="A14" s="371" t="s">
        <v>461</v>
      </c>
      <c r="B14" s="69">
        <v>14363.245390584792</v>
      </c>
      <c r="C14" s="69">
        <v>7748.3655622368951</v>
      </c>
      <c r="D14" s="69">
        <v>6614.8798283473634</v>
      </c>
      <c r="E14" s="69"/>
      <c r="F14" s="69">
        <v>5288.0325051489563</v>
      </c>
      <c r="G14" s="69">
        <v>3133.8566472868856</v>
      </c>
      <c r="H14" s="69">
        <v>2154.1758578620643</v>
      </c>
      <c r="I14" s="69"/>
      <c r="J14" s="100">
        <v>36.816418304843019</v>
      </c>
      <c r="K14" s="100">
        <v>40.445389703348688</v>
      </c>
      <c r="L14" s="100">
        <v>32.565608352105393</v>
      </c>
      <c r="M14" s="389">
        <v>0.80517479472843634</v>
      </c>
    </row>
    <row r="15" spans="1:13" x14ac:dyDescent="0.2">
      <c r="A15" s="61" t="s">
        <v>461</v>
      </c>
      <c r="B15" s="68">
        <v>14363.245390584792</v>
      </c>
      <c r="C15" s="68">
        <v>7748.3655622368951</v>
      </c>
      <c r="D15" s="68">
        <v>6614.8798283473634</v>
      </c>
      <c r="E15" s="68"/>
      <c r="F15" s="68">
        <v>5288.0325051489563</v>
      </c>
      <c r="G15" s="68">
        <v>3133.8566472868856</v>
      </c>
      <c r="H15" s="68">
        <v>2154.1758578620643</v>
      </c>
      <c r="I15" s="68"/>
      <c r="J15" s="246">
        <v>36.816418304843019</v>
      </c>
      <c r="K15" s="246">
        <v>40.445389703348688</v>
      </c>
      <c r="L15" s="246">
        <v>32.565608352105393</v>
      </c>
      <c r="M15" s="390">
        <v>0.80517479472843634</v>
      </c>
    </row>
    <row r="16" spans="1:13" s="335" customFormat="1" x14ac:dyDescent="0.2">
      <c r="A16" s="371" t="s">
        <v>462</v>
      </c>
      <c r="B16" s="69">
        <v>24752.822046660589</v>
      </c>
      <c r="C16" s="69">
        <v>12175.821578153211</v>
      </c>
      <c r="D16" s="69">
        <v>12577.000468510192</v>
      </c>
      <c r="E16" s="69"/>
      <c r="F16" s="69">
        <v>9166.8778149620721</v>
      </c>
      <c r="G16" s="69">
        <v>5476.5269924077775</v>
      </c>
      <c r="H16" s="69">
        <v>3690.3508225543164</v>
      </c>
      <c r="I16" s="69"/>
      <c r="J16" s="100">
        <v>37.033667505391037</v>
      </c>
      <c r="K16" s="100">
        <v>44.978706013843123</v>
      </c>
      <c r="L16" s="100">
        <v>29.34205840091985</v>
      </c>
      <c r="M16" s="389">
        <v>0.65235443616117428</v>
      </c>
    </row>
    <row r="17" spans="1:13" x14ac:dyDescent="0.2">
      <c r="A17" s="61" t="s">
        <v>462</v>
      </c>
      <c r="B17" s="68">
        <v>24752.822046660589</v>
      </c>
      <c r="C17" s="68">
        <v>12175.821578153211</v>
      </c>
      <c r="D17" s="68">
        <v>12577.000468510192</v>
      </c>
      <c r="E17" s="68"/>
      <c r="F17" s="68">
        <v>9166.8778149620721</v>
      </c>
      <c r="G17" s="68">
        <v>5476.5269924077775</v>
      </c>
      <c r="H17" s="68">
        <v>3690.3508225543164</v>
      </c>
      <c r="I17" s="68"/>
      <c r="J17" s="246">
        <v>37.033667505391037</v>
      </c>
      <c r="K17" s="246">
        <v>44.978706013843123</v>
      </c>
      <c r="L17" s="246">
        <v>29.34205840091985</v>
      </c>
      <c r="M17" s="390">
        <v>0.65235443616117428</v>
      </c>
    </row>
    <row r="18" spans="1:13" s="335" customFormat="1" x14ac:dyDescent="0.2">
      <c r="A18" s="371" t="s">
        <v>463</v>
      </c>
      <c r="B18" s="69">
        <v>17943.734019701802</v>
      </c>
      <c r="C18" s="69">
        <v>9076.599976904763</v>
      </c>
      <c r="D18" s="69">
        <v>8867.1340427970172</v>
      </c>
      <c r="E18" s="69"/>
      <c r="F18" s="69">
        <v>6015.8215161213875</v>
      </c>
      <c r="G18" s="69">
        <v>3306.118675461792</v>
      </c>
      <c r="H18" s="69">
        <v>2709.7028406596014</v>
      </c>
      <c r="I18" s="69"/>
      <c r="J18" s="100">
        <v>33.526029250745125</v>
      </c>
      <c r="K18" s="100">
        <v>36.424637902673439</v>
      </c>
      <c r="L18" s="100">
        <v>30.558947542477416</v>
      </c>
      <c r="M18" s="389">
        <v>0.83896366036996339</v>
      </c>
    </row>
    <row r="19" spans="1:13" x14ac:dyDescent="0.2">
      <c r="A19" s="61" t="s">
        <v>463</v>
      </c>
      <c r="B19" s="68">
        <v>17943.734019701802</v>
      </c>
      <c r="C19" s="68">
        <v>9076.599976904763</v>
      </c>
      <c r="D19" s="68">
        <v>8867.1340427970172</v>
      </c>
      <c r="E19" s="68"/>
      <c r="F19" s="68">
        <v>6015.8215161213875</v>
      </c>
      <c r="G19" s="68">
        <v>3306.118675461792</v>
      </c>
      <c r="H19" s="68">
        <v>2709.7028406596014</v>
      </c>
      <c r="I19" s="68"/>
      <c r="J19" s="246">
        <v>33.526029250745125</v>
      </c>
      <c r="K19" s="246">
        <v>36.424637902673439</v>
      </c>
      <c r="L19" s="246">
        <v>30.558947542477416</v>
      </c>
      <c r="M19" s="390">
        <v>0.83896366036996339</v>
      </c>
    </row>
    <row r="20" spans="1:13" s="335" customFormat="1" x14ac:dyDescent="0.2">
      <c r="A20" s="371" t="s">
        <v>464</v>
      </c>
      <c r="B20" s="69">
        <v>8228.6323401203299</v>
      </c>
      <c r="C20" s="69">
        <v>4213.088757348135</v>
      </c>
      <c r="D20" s="69">
        <v>4015.5435827722345</v>
      </c>
      <c r="E20" s="69"/>
      <c r="F20" s="69">
        <v>1367.6526507212425</v>
      </c>
      <c r="G20" s="69">
        <v>950.57095846473226</v>
      </c>
      <c r="H20" s="69">
        <v>417.08169225650965</v>
      </c>
      <c r="I20" s="69"/>
      <c r="J20" s="100">
        <v>16.620655707911364</v>
      </c>
      <c r="K20" s="100">
        <v>22.562329284110771</v>
      </c>
      <c r="L20" s="100">
        <v>10.386680748427221</v>
      </c>
      <c r="M20" s="389">
        <v>0.4603549845246655</v>
      </c>
    </row>
    <row r="21" spans="1:13" x14ac:dyDescent="0.2">
      <c r="A21" s="61" t="s">
        <v>464</v>
      </c>
      <c r="B21" s="68">
        <v>1955.7196922645915</v>
      </c>
      <c r="C21" s="68">
        <v>989.36106594916146</v>
      </c>
      <c r="D21" s="68">
        <v>966.35862631540692</v>
      </c>
      <c r="E21" s="68"/>
      <c r="F21" s="68">
        <v>326.95776621389558</v>
      </c>
      <c r="G21" s="68">
        <v>246.87121642200492</v>
      </c>
      <c r="H21" s="68">
        <v>80.086549791890832</v>
      </c>
      <c r="I21" s="68"/>
      <c r="J21" s="246">
        <v>16.718028023499674</v>
      </c>
      <c r="K21" s="246">
        <v>24.952590608077411</v>
      </c>
      <c r="L21" s="246">
        <v>8.2874563967261174</v>
      </c>
      <c r="M21" s="390">
        <v>0.33212809551098804</v>
      </c>
    </row>
    <row r="22" spans="1:13" x14ac:dyDescent="0.2">
      <c r="A22" s="61" t="s">
        <v>465</v>
      </c>
      <c r="B22" s="68">
        <v>6272.9126478556982</v>
      </c>
      <c r="C22" s="68">
        <v>3223.7276913989135</v>
      </c>
      <c r="D22" s="68">
        <v>3049.1849564567497</v>
      </c>
      <c r="E22" s="68"/>
      <c r="F22" s="68">
        <v>1040.6948845073437</v>
      </c>
      <c r="G22" s="68">
        <v>703.69974204272796</v>
      </c>
      <c r="H22" s="68">
        <v>336.99514246461831</v>
      </c>
      <c r="I22" s="68"/>
      <c r="J22" s="246">
        <v>16.590297728170935</v>
      </c>
      <c r="K22" s="246">
        <v>21.828758797470343</v>
      </c>
      <c r="L22" s="246">
        <v>11.051974454715188</v>
      </c>
      <c r="M22" s="390">
        <v>0.50630338432233546</v>
      </c>
    </row>
    <row r="23" spans="1:13" s="335" customFormat="1" x14ac:dyDescent="0.2">
      <c r="A23" s="371" t="s">
        <v>466</v>
      </c>
      <c r="B23" s="69">
        <v>4215.9820356995751</v>
      </c>
      <c r="C23" s="69">
        <v>2115.4665818181784</v>
      </c>
      <c r="D23" s="69">
        <v>2100.5154538813167</v>
      </c>
      <c r="E23" s="69"/>
      <c r="F23" s="69">
        <v>493.65606768166663</v>
      </c>
      <c r="G23" s="69">
        <v>331.20719418377183</v>
      </c>
      <c r="H23" s="69">
        <v>162.44887349789434</v>
      </c>
      <c r="I23" s="69"/>
      <c r="J23" s="100">
        <v>11.709159657264815</v>
      </c>
      <c r="K23" s="100">
        <v>15.656460708498155</v>
      </c>
      <c r="L23" s="100">
        <v>7.7337623580784625</v>
      </c>
      <c r="M23" s="389">
        <v>0.49396619721854895</v>
      </c>
    </row>
    <row r="24" spans="1:13" x14ac:dyDescent="0.2">
      <c r="A24" s="61" t="s">
        <v>466</v>
      </c>
      <c r="B24" s="68">
        <v>4215.9820356995751</v>
      </c>
      <c r="C24" s="68">
        <v>2115.4665818181784</v>
      </c>
      <c r="D24" s="68">
        <v>2100.5154538813167</v>
      </c>
      <c r="E24" s="68"/>
      <c r="F24" s="68">
        <v>493.65606768166663</v>
      </c>
      <c r="G24" s="68">
        <v>331.20719418377183</v>
      </c>
      <c r="H24" s="68">
        <v>162.44887349789434</v>
      </c>
      <c r="I24" s="68"/>
      <c r="J24" s="246">
        <v>11.709159657264815</v>
      </c>
      <c r="K24" s="246">
        <v>15.656460708498155</v>
      </c>
      <c r="L24" s="246">
        <v>7.7337623580784625</v>
      </c>
      <c r="M24" s="390">
        <v>0.49396619721854895</v>
      </c>
    </row>
    <row r="25" spans="1:13" s="335" customFormat="1" x14ac:dyDescent="0.2">
      <c r="A25" s="371" t="s">
        <v>467</v>
      </c>
      <c r="B25" s="69">
        <v>7337.1156320207801</v>
      </c>
      <c r="C25" s="69">
        <v>3518.9564200119239</v>
      </c>
      <c r="D25" s="69">
        <v>3818.1592120088626</v>
      </c>
      <c r="E25" s="69"/>
      <c r="F25" s="69">
        <v>2081.868240595426</v>
      </c>
      <c r="G25" s="69">
        <v>1362.8487795244132</v>
      </c>
      <c r="H25" s="69">
        <v>719.01946107099491</v>
      </c>
      <c r="I25" s="69"/>
      <c r="J25" s="100">
        <v>28.374477724048255</v>
      </c>
      <c r="K25" s="100">
        <v>38.728776854809652</v>
      </c>
      <c r="L25" s="100">
        <v>18.831573571095191</v>
      </c>
      <c r="M25" s="389">
        <v>0.4862424042384012</v>
      </c>
    </row>
    <row r="26" spans="1:13" x14ac:dyDescent="0.2">
      <c r="A26" s="61" t="s">
        <v>467</v>
      </c>
      <c r="B26" s="68">
        <v>7337.1156320207801</v>
      </c>
      <c r="C26" s="68">
        <v>3518.9564200119239</v>
      </c>
      <c r="D26" s="68">
        <v>3818.1592120088626</v>
      </c>
      <c r="E26" s="68"/>
      <c r="F26" s="68">
        <v>2081.868240595426</v>
      </c>
      <c r="G26" s="68">
        <v>1362.8487795244132</v>
      </c>
      <c r="H26" s="68">
        <v>719.01946107099491</v>
      </c>
      <c r="I26" s="68"/>
      <c r="J26" s="246">
        <v>28.374477724048255</v>
      </c>
      <c r="K26" s="246">
        <v>38.728776854809652</v>
      </c>
      <c r="L26" s="246">
        <v>18.831573571095191</v>
      </c>
      <c r="M26" s="390">
        <v>0.4862424042384012</v>
      </c>
    </row>
    <row r="27" spans="1:13" s="335" customFormat="1" x14ac:dyDescent="0.2">
      <c r="A27" s="371" t="s">
        <v>468</v>
      </c>
      <c r="B27" s="69">
        <v>4126.4961935706115</v>
      </c>
      <c r="C27" s="69">
        <v>1990.4132227631421</v>
      </c>
      <c r="D27" s="69">
        <v>2136.0829708073511</v>
      </c>
      <c r="E27" s="69"/>
      <c r="F27" s="69">
        <v>450.75240660718237</v>
      </c>
      <c r="G27" s="69">
        <v>345.2157586950442</v>
      </c>
      <c r="H27" s="69">
        <v>105.53664791213799</v>
      </c>
      <c r="I27" s="69"/>
      <c r="J27" s="100">
        <v>10.92336901484334</v>
      </c>
      <c r="K27" s="100">
        <v>17.343924103147156</v>
      </c>
      <c r="L27" s="100">
        <v>4.9406623878589109</v>
      </c>
      <c r="M27" s="389">
        <v>0.28486416098663619</v>
      </c>
    </row>
    <row r="28" spans="1:13" x14ac:dyDescent="0.2">
      <c r="A28" s="61" t="s">
        <v>468</v>
      </c>
      <c r="B28" s="68">
        <v>4126.4961935706115</v>
      </c>
      <c r="C28" s="68">
        <v>1990.4132227631421</v>
      </c>
      <c r="D28" s="68">
        <v>2136.0829708073511</v>
      </c>
      <c r="E28" s="68"/>
      <c r="F28" s="68">
        <v>450.75240660718237</v>
      </c>
      <c r="G28" s="68">
        <v>345.2157586950442</v>
      </c>
      <c r="H28" s="68">
        <v>105.53664791213799</v>
      </c>
      <c r="I28" s="68"/>
      <c r="J28" s="246">
        <v>10.92336901484334</v>
      </c>
      <c r="K28" s="246">
        <v>17.343924103147156</v>
      </c>
      <c r="L28" s="246">
        <v>4.9406623878589109</v>
      </c>
      <c r="M28" s="390">
        <v>0.28486416098663619</v>
      </c>
    </row>
  </sheetData>
  <mergeCells count="6">
    <mergeCell ref="A1:M1"/>
    <mergeCell ref="B2:D2"/>
    <mergeCell ref="F2:H2"/>
    <mergeCell ref="J2:L2"/>
    <mergeCell ref="M2:M3"/>
    <mergeCell ref="A2:A3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zoomScale="120" zoomScaleNormal="120" workbookViewId="0">
      <selection activeCell="K4" sqref="K4"/>
    </sheetView>
  </sheetViews>
  <sheetFormatPr defaultRowHeight="12" x14ac:dyDescent="0.2"/>
  <cols>
    <col min="1" max="1" width="15.7109375" style="322" customWidth="1"/>
    <col min="2" max="2" width="9" style="322" bestFit="1" customWidth="1"/>
    <col min="3" max="3" width="10.28515625" style="322" customWidth="1"/>
    <col min="4" max="5" width="9.140625" style="322"/>
    <col min="6" max="6" width="10.85546875" style="322" customWidth="1"/>
    <col min="7" max="16384" width="9.140625" style="322"/>
  </cols>
  <sheetData>
    <row r="1" spans="1:13" ht="15" customHeight="1" x14ac:dyDescent="0.2">
      <c r="A1" s="529" t="s">
        <v>521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</row>
    <row r="2" spans="1:13" ht="28.5" customHeight="1" x14ac:dyDescent="0.2">
      <c r="A2" s="530" t="s">
        <v>221</v>
      </c>
      <c r="B2" s="524" t="s">
        <v>217</v>
      </c>
      <c r="C2" s="524"/>
      <c r="D2" s="524"/>
      <c r="E2" s="261"/>
      <c r="F2" s="524" t="s">
        <v>218</v>
      </c>
      <c r="G2" s="524"/>
      <c r="H2" s="524"/>
      <c r="I2" s="261"/>
      <c r="J2" s="526" t="s">
        <v>219</v>
      </c>
      <c r="K2" s="526"/>
      <c r="L2" s="526"/>
      <c r="M2" s="524" t="s">
        <v>220</v>
      </c>
    </row>
    <row r="3" spans="1:13" ht="24.75" customHeight="1" x14ac:dyDescent="0.2">
      <c r="A3" s="531"/>
      <c r="B3" s="43" t="s">
        <v>1</v>
      </c>
      <c r="C3" s="43" t="s">
        <v>2</v>
      </c>
      <c r="D3" s="43" t="s">
        <v>3</v>
      </c>
      <c r="E3" s="43"/>
      <c r="F3" s="43" t="s">
        <v>1</v>
      </c>
      <c r="G3" s="43" t="s">
        <v>2</v>
      </c>
      <c r="H3" s="43" t="s">
        <v>3</v>
      </c>
      <c r="I3" s="43"/>
      <c r="J3" s="43" t="s">
        <v>1</v>
      </c>
      <c r="K3" s="43" t="s">
        <v>2</v>
      </c>
      <c r="L3" s="43" t="s">
        <v>3</v>
      </c>
      <c r="M3" s="505"/>
    </row>
    <row r="4" spans="1:13" x14ac:dyDescent="0.2">
      <c r="A4" s="228" t="s">
        <v>457</v>
      </c>
      <c r="B4" s="237">
        <v>225757.98928149743</v>
      </c>
      <c r="C4" s="237">
        <v>109937.20933465142</v>
      </c>
      <c r="D4" s="237">
        <v>115820.77994698389</v>
      </c>
      <c r="E4" s="237"/>
      <c r="F4" s="237">
        <v>91206.349748529174</v>
      </c>
      <c r="G4" s="237">
        <v>55633.683197254046</v>
      </c>
      <c r="H4" s="238">
        <v>35572.666551259324</v>
      </c>
      <c r="I4" s="238"/>
      <c r="J4" s="241">
        <v>40.400054075069484</v>
      </c>
      <c r="K4" s="241">
        <v>50.604962172450499</v>
      </c>
      <c r="L4" s="241">
        <v>30.713544294501983</v>
      </c>
      <c r="M4" s="242">
        <v>0.60692752204491385</v>
      </c>
    </row>
    <row r="5" spans="1:13" x14ac:dyDescent="0.2">
      <c r="A5" s="37"/>
      <c r="B5" s="8"/>
      <c r="C5" s="8"/>
      <c r="D5" s="8"/>
      <c r="E5" s="8"/>
      <c r="F5" s="8"/>
      <c r="G5" s="8"/>
      <c r="H5" s="45"/>
      <c r="I5" s="45"/>
      <c r="J5" s="46"/>
      <c r="K5" s="46"/>
      <c r="L5" s="46"/>
      <c r="M5" s="47"/>
    </row>
    <row r="6" spans="1:13" x14ac:dyDescent="0.2">
      <c r="A6" s="171" t="s">
        <v>215</v>
      </c>
      <c r="B6" s="237"/>
      <c r="C6" s="237"/>
      <c r="D6" s="237"/>
      <c r="E6" s="237"/>
      <c r="F6" s="237"/>
      <c r="G6" s="237"/>
      <c r="H6" s="238"/>
      <c r="I6" s="238"/>
      <c r="J6" s="239"/>
      <c r="K6" s="239"/>
      <c r="L6" s="239"/>
      <c r="M6" s="240"/>
    </row>
    <row r="7" spans="1:13" x14ac:dyDescent="0.2">
      <c r="A7" s="41" t="s">
        <v>144</v>
      </c>
      <c r="B7" s="50">
        <v>47392.090575437745</v>
      </c>
      <c r="C7" s="50">
        <v>23211.330360296852</v>
      </c>
      <c r="D7" s="50">
        <v>24180.76021518416</v>
      </c>
      <c r="E7" s="50"/>
      <c r="F7" s="50">
        <v>17382.797718582282</v>
      </c>
      <c r="G7" s="50">
        <v>9964.447928902091</v>
      </c>
      <c r="H7" s="51">
        <v>7418.3497896789513</v>
      </c>
      <c r="I7" s="51"/>
      <c r="J7" s="243">
        <v>36.678689434294526</v>
      </c>
      <c r="K7" s="243">
        <v>42.929240910484104</v>
      </c>
      <c r="L7" s="243">
        <v>30.678728558003133</v>
      </c>
      <c r="M7" s="244">
        <v>0.71463477823831789</v>
      </c>
    </row>
    <row r="8" spans="1:13" x14ac:dyDescent="0.2">
      <c r="A8" s="41" t="s">
        <v>145</v>
      </c>
      <c r="B8" s="50">
        <v>41935.770971530743</v>
      </c>
      <c r="C8" s="50">
        <v>19824.647506951336</v>
      </c>
      <c r="D8" s="50">
        <v>22111.123464576394</v>
      </c>
      <c r="E8" s="50"/>
      <c r="F8" s="50">
        <v>15798.355711494622</v>
      </c>
      <c r="G8" s="50">
        <v>9033.893293718369</v>
      </c>
      <c r="H8" s="51">
        <v>6764.4624177761571</v>
      </c>
      <c r="I8" s="51"/>
      <c r="J8" s="243">
        <v>37.672744164451743</v>
      </c>
      <c r="K8" s="243">
        <v>45.568998341832</v>
      </c>
      <c r="L8" s="243">
        <v>30.59302901823412</v>
      </c>
      <c r="M8" s="244">
        <v>0.67135618801060959</v>
      </c>
    </row>
    <row r="9" spans="1:13" x14ac:dyDescent="0.2">
      <c r="A9" s="41" t="s">
        <v>146</v>
      </c>
      <c r="B9" s="50">
        <v>29582.956772321326</v>
      </c>
      <c r="C9" s="50">
        <v>14792.695892005207</v>
      </c>
      <c r="D9" s="50">
        <v>14790.260880335742</v>
      </c>
      <c r="E9" s="50"/>
      <c r="F9" s="50">
        <v>12431.952078458024</v>
      </c>
      <c r="G9" s="50">
        <v>7722.6395097109862</v>
      </c>
      <c r="H9" s="51">
        <v>4709.3125687469428</v>
      </c>
      <c r="I9" s="51"/>
      <c r="J9" s="243">
        <v>42.024034900015415</v>
      </c>
      <c r="K9" s="243">
        <v>52.205761316864496</v>
      </c>
      <c r="L9" s="243">
        <v>31.840632202830477</v>
      </c>
      <c r="M9" s="244">
        <v>0.60990648157724903</v>
      </c>
    </row>
    <row r="10" spans="1:13" x14ac:dyDescent="0.2">
      <c r="A10" s="41" t="s">
        <v>147</v>
      </c>
      <c r="B10" s="50">
        <v>23909.774250464416</v>
      </c>
      <c r="C10" s="50">
        <v>11927.798536602295</v>
      </c>
      <c r="D10" s="50">
        <v>11981.975713857402</v>
      </c>
      <c r="E10" s="50"/>
      <c r="F10" s="50">
        <v>9726.6932188192113</v>
      </c>
      <c r="G10" s="50">
        <v>6271.9532180414244</v>
      </c>
      <c r="H10" s="51">
        <v>3454.7400007776432</v>
      </c>
      <c r="I10" s="51"/>
      <c r="J10" s="243">
        <v>40.680824155539092</v>
      </c>
      <c r="K10" s="243">
        <v>52.582655540287305</v>
      </c>
      <c r="L10" s="243">
        <v>28.832807570974328</v>
      </c>
      <c r="M10" s="244">
        <v>0.54833304394228377</v>
      </c>
    </row>
    <row r="11" spans="1:13" x14ac:dyDescent="0.2">
      <c r="A11" s="41" t="s">
        <v>148</v>
      </c>
      <c r="B11" s="50">
        <v>17232.122170183738</v>
      </c>
      <c r="C11" s="50">
        <v>8105.1577042303625</v>
      </c>
      <c r="D11" s="50">
        <v>9126.9644659487203</v>
      </c>
      <c r="E11" s="50"/>
      <c r="F11" s="50">
        <v>6688.9914894699732</v>
      </c>
      <c r="G11" s="50">
        <v>4291.3364123445099</v>
      </c>
      <c r="H11" s="51">
        <v>2397.6550771260459</v>
      </c>
      <c r="I11" s="51"/>
      <c r="J11" s="243">
        <v>38.816992030403263</v>
      </c>
      <c r="K11" s="243">
        <v>52.945748484378598</v>
      </c>
      <c r="L11" s="243">
        <v>26.270016565434883</v>
      </c>
      <c r="M11" s="244">
        <v>0.49616857476640891</v>
      </c>
    </row>
    <row r="12" spans="1:13" x14ac:dyDescent="0.2">
      <c r="A12" s="41" t="s">
        <v>149</v>
      </c>
      <c r="B12" s="50">
        <v>15752.95923768383</v>
      </c>
      <c r="C12" s="50">
        <v>7613.7833058704409</v>
      </c>
      <c r="D12" s="50">
        <v>8139.1759318091263</v>
      </c>
      <c r="E12" s="50"/>
      <c r="F12" s="50">
        <v>5901.5325177393297</v>
      </c>
      <c r="G12" s="50">
        <v>3823.9007667251021</v>
      </c>
      <c r="H12" s="51">
        <v>2077.6317510145968</v>
      </c>
      <c r="I12" s="51"/>
      <c r="J12" s="243">
        <v>37.463008877858407</v>
      </c>
      <c r="K12" s="243">
        <v>50.223398974021023</v>
      </c>
      <c r="L12" s="243">
        <v>25.526315789476545</v>
      </c>
      <c r="M12" s="244">
        <v>0.50825544090873864</v>
      </c>
    </row>
    <row r="13" spans="1:13" x14ac:dyDescent="0.2">
      <c r="A13" s="41" t="s">
        <v>150</v>
      </c>
      <c r="B13" s="50">
        <v>11959.09206414348</v>
      </c>
      <c r="C13" s="50">
        <v>5770.2146144153621</v>
      </c>
      <c r="D13" s="50">
        <v>6188.8774497306267</v>
      </c>
      <c r="E13" s="50"/>
      <c r="F13" s="50">
        <v>4831.1798933975087</v>
      </c>
      <c r="G13" s="50">
        <v>3141.1539282406925</v>
      </c>
      <c r="H13" s="51">
        <v>1690.0259651564968</v>
      </c>
      <c r="I13" s="51"/>
      <c r="J13" s="243">
        <v>40.39754746836018</v>
      </c>
      <c r="K13" s="243">
        <v>54.437384709975028</v>
      </c>
      <c r="L13" s="243">
        <v>27.307471813487936</v>
      </c>
      <c r="M13" s="244">
        <v>0.50163085458593226</v>
      </c>
    </row>
    <row r="14" spans="1:13" x14ac:dyDescent="0.2">
      <c r="A14" s="41" t="s">
        <v>151</v>
      </c>
      <c r="B14" s="50">
        <v>9993.5055322411226</v>
      </c>
      <c r="C14" s="50">
        <v>5068.8952320934641</v>
      </c>
      <c r="D14" s="50">
        <v>4924.6103001486554</v>
      </c>
      <c r="E14" s="50"/>
      <c r="F14" s="50">
        <v>4374.6718300311468</v>
      </c>
      <c r="G14" s="50">
        <v>2827.7481334425424</v>
      </c>
      <c r="H14" s="51">
        <v>1546.9236965883124</v>
      </c>
      <c r="I14" s="51"/>
      <c r="J14" s="243">
        <v>43.775147928995594</v>
      </c>
      <c r="K14" s="243">
        <v>55.786280914598557</v>
      </c>
      <c r="L14" s="243">
        <v>31.412103746394589</v>
      </c>
      <c r="M14" s="244">
        <v>0.56307936703080064</v>
      </c>
    </row>
    <row r="15" spans="1:13" x14ac:dyDescent="0.2">
      <c r="A15" s="41" t="s">
        <v>152</v>
      </c>
      <c r="B15" s="50">
        <v>6902.0234658184927</v>
      </c>
      <c r="C15" s="50">
        <v>3284.2561968089044</v>
      </c>
      <c r="D15" s="50">
        <v>3617.7672690091999</v>
      </c>
      <c r="E15" s="50"/>
      <c r="F15" s="50">
        <v>3401.3398710919869</v>
      </c>
      <c r="G15" s="50">
        <v>2144.1687017695963</v>
      </c>
      <c r="H15" s="51">
        <v>1257.1711693221539</v>
      </c>
      <c r="I15" s="51"/>
      <c r="J15" s="243">
        <v>49.280328992454727</v>
      </c>
      <c r="K15" s="243">
        <v>65.286280158438686</v>
      </c>
      <c r="L15" s="243">
        <v>34.749918273943898</v>
      </c>
      <c r="M15" s="244">
        <v>0.53226984581770875</v>
      </c>
    </row>
    <row r="16" spans="1:13" x14ac:dyDescent="0.2">
      <c r="A16" s="41" t="s">
        <v>153</v>
      </c>
      <c r="B16" s="50">
        <v>6611.0882751756817</v>
      </c>
      <c r="C16" s="50">
        <v>3147.0672451236765</v>
      </c>
      <c r="D16" s="50">
        <v>3464.0210300516169</v>
      </c>
      <c r="E16" s="50"/>
      <c r="F16" s="50">
        <v>3080.8380960342561</v>
      </c>
      <c r="G16" s="50">
        <v>1998.7011064482003</v>
      </c>
      <c r="H16" s="51">
        <v>1082.1369895858622</v>
      </c>
      <c r="I16" s="51"/>
      <c r="J16" s="243">
        <v>46.601073345253262</v>
      </c>
      <c r="K16" s="243">
        <v>63.509958662152215</v>
      </c>
      <c r="L16" s="243">
        <v>31.239330829633154</v>
      </c>
      <c r="M16" s="244">
        <v>0.49188082448319642</v>
      </c>
    </row>
    <row r="17" spans="1:13" x14ac:dyDescent="0.2">
      <c r="A17" s="41" t="s">
        <v>222</v>
      </c>
      <c r="B17" s="50">
        <v>4324.025232679026</v>
      </c>
      <c r="C17" s="50">
        <v>2188.5729678914458</v>
      </c>
      <c r="D17" s="50">
        <v>2135.452264787275</v>
      </c>
      <c r="E17" s="50"/>
      <c r="F17" s="50">
        <v>2266.4833324442297</v>
      </c>
      <c r="G17" s="50">
        <v>1423.634843191506</v>
      </c>
      <c r="H17" s="51">
        <v>842.84848925268318</v>
      </c>
      <c r="I17" s="51"/>
      <c r="J17" s="243">
        <v>52.416052416047926</v>
      </c>
      <c r="K17" s="243">
        <v>65.048543689319388</v>
      </c>
      <c r="L17" s="243">
        <v>39.46932006633471</v>
      </c>
      <c r="M17" s="244">
        <v>0.60676715922873692</v>
      </c>
    </row>
    <row r="18" spans="1:13" x14ac:dyDescent="0.2">
      <c r="A18" s="41" t="s">
        <v>223</v>
      </c>
      <c r="B18" s="50">
        <v>4233.1298073674798</v>
      </c>
      <c r="C18" s="50">
        <v>2187.3925078224643</v>
      </c>
      <c r="D18" s="50">
        <v>2045.7372995446758</v>
      </c>
      <c r="E18" s="50"/>
      <c r="F18" s="50">
        <v>1984.3533759576458</v>
      </c>
      <c r="G18" s="50">
        <v>1206.4301904989381</v>
      </c>
      <c r="H18" s="51">
        <v>777.9231854587091</v>
      </c>
      <c r="I18" s="51"/>
      <c r="J18" s="243">
        <v>46.876742889008561</v>
      </c>
      <c r="K18" s="243">
        <v>55.153804641121717</v>
      </c>
      <c r="L18" s="243">
        <v>38.026543566070451</v>
      </c>
      <c r="M18" s="244">
        <v>0.68946365193668835</v>
      </c>
    </row>
    <row r="19" spans="1:13" x14ac:dyDescent="0.2">
      <c r="A19" s="41" t="s">
        <v>224</v>
      </c>
      <c r="B19" s="50">
        <v>2658.3960753461124</v>
      </c>
      <c r="C19" s="50">
        <v>1259.5508936030988</v>
      </c>
      <c r="D19" s="50">
        <v>1398.8451817428977</v>
      </c>
      <c r="E19" s="50"/>
      <c r="F19" s="50">
        <v>1665.6291573326821</v>
      </c>
      <c r="G19" s="50">
        <v>880.62321146008628</v>
      </c>
      <c r="H19" s="51">
        <v>785.00594587259718</v>
      </c>
      <c r="I19" s="51"/>
      <c r="J19" s="243">
        <v>62.655417406746558</v>
      </c>
      <c r="K19" s="243">
        <v>69.915651358950313</v>
      </c>
      <c r="L19" s="243">
        <v>56.118143459915665</v>
      </c>
      <c r="M19" s="244">
        <v>0.80265494734222553</v>
      </c>
    </row>
    <row r="20" spans="1:13" x14ac:dyDescent="0.2">
      <c r="A20" s="41" t="s">
        <v>225</v>
      </c>
      <c r="B20" s="50">
        <v>2568.6811101035128</v>
      </c>
      <c r="C20" s="50">
        <v>1234.7612321544905</v>
      </c>
      <c r="D20" s="50">
        <v>1333.9198779489236</v>
      </c>
      <c r="E20" s="50"/>
      <c r="F20" s="50">
        <v>1585.3578726419505</v>
      </c>
      <c r="G20" s="50">
        <v>832.22434863185106</v>
      </c>
      <c r="H20" s="51">
        <v>753.13352401010081</v>
      </c>
      <c r="I20" s="51"/>
      <c r="J20" s="243">
        <v>61.718749999997385</v>
      </c>
      <c r="K20" s="243">
        <v>67.399617590822203</v>
      </c>
      <c r="L20" s="243">
        <v>56.460176991150519</v>
      </c>
      <c r="M20" s="244">
        <v>0.83769283876231804</v>
      </c>
    </row>
    <row r="21" spans="1:13" x14ac:dyDescent="0.2">
      <c r="A21" s="41" t="s">
        <v>226</v>
      </c>
      <c r="B21" s="50">
        <v>324.62651896987188</v>
      </c>
      <c r="C21" s="50">
        <v>136.93336800183769</v>
      </c>
      <c r="D21" s="50">
        <v>187.69315096803561</v>
      </c>
      <c r="E21" s="50"/>
      <c r="F21" s="50">
        <v>35.413802069440756</v>
      </c>
      <c r="G21" s="50">
        <v>27.150581586571246</v>
      </c>
      <c r="H21" s="51">
        <v>8.2632204828695137</v>
      </c>
      <c r="I21" s="51"/>
      <c r="J21" s="243">
        <v>10.909090909090976</v>
      </c>
      <c r="K21" s="243">
        <v>19.827586206896548</v>
      </c>
      <c r="L21" s="243">
        <v>4.4025157232704517</v>
      </c>
      <c r="M21" s="244">
        <v>0.22203992343450979</v>
      </c>
    </row>
    <row r="22" spans="1:13" x14ac:dyDescent="0.2">
      <c r="A22" s="41" t="s">
        <v>227</v>
      </c>
      <c r="B22" s="50">
        <v>271.50581586571127</v>
      </c>
      <c r="C22" s="50">
        <v>125.12876731202419</v>
      </c>
      <c r="D22" s="50">
        <v>146.37704855368847</v>
      </c>
      <c r="E22" s="50"/>
      <c r="F22" s="50">
        <v>35.413802069440756</v>
      </c>
      <c r="G22" s="50">
        <v>31.872421862496676</v>
      </c>
      <c r="H22" s="51">
        <v>3.5413802069440767</v>
      </c>
      <c r="I22" s="51"/>
      <c r="J22" s="243">
        <v>13.043478260869634</v>
      </c>
      <c r="K22" s="243">
        <v>25.471698113207527</v>
      </c>
      <c r="L22" s="243">
        <v>2.4193548387096779</v>
      </c>
      <c r="M22" s="244">
        <v>9.4982078853046686E-2</v>
      </c>
    </row>
    <row r="23" spans="1:13" x14ac:dyDescent="0.2">
      <c r="A23" s="40" t="s">
        <v>228</v>
      </c>
      <c r="B23" s="50">
        <v>106.24140620832242</v>
      </c>
      <c r="C23" s="50">
        <v>59.023003449067978</v>
      </c>
      <c r="D23" s="50">
        <v>47.218402759254367</v>
      </c>
      <c r="E23" s="50"/>
      <c r="F23" s="50">
        <v>15.34598089675767</v>
      </c>
      <c r="G23" s="50">
        <v>11.804600689813592</v>
      </c>
      <c r="H23" s="51">
        <v>3.5413802069440767</v>
      </c>
      <c r="I23" s="51"/>
      <c r="J23" s="243">
        <v>14.444444444444427</v>
      </c>
      <c r="K23" s="243">
        <v>20</v>
      </c>
      <c r="L23" s="243">
        <v>7.5</v>
      </c>
      <c r="M23" s="244">
        <v>0.375</v>
      </c>
    </row>
    <row r="24" spans="1:13" x14ac:dyDescent="0.2">
      <c r="A24" s="171" t="s">
        <v>5</v>
      </c>
      <c r="B24" s="237">
        <v>123079.91291457563</v>
      </c>
      <c r="C24" s="237">
        <v>59987.910699019165</v>
      </c>
      <c r="D24" s="237">
        <v>63092.002215500419</v>
      </c>
      <c r="E24" s="237"/>
      <c r="F24" s="237">
        <v>58074.281113284116</v>
      </c>
      <c r="G24" s="237">
        <v>34869.87041757875</v>
      </c>
      <c r="H24" s="238">
        <v>23204.410695713457</v>
      </c>
      <c r="I24" s="238"/>
      <c r="J24" s="241">
        <v>47.184207185446773</v>
      </c>
      <c r="K24" s="241">
        <v>58.128162843559252</v>
      </c>
      <c r="L24" s="241">
        <v>36.778688075956623</v>
      </c>
      <c r="M24" s="242">
        <v>0.63271719381428537</v>
      </c>
    </row>
    <row r="25" spans="1:13" x14ac:dyDescent="0.2">
      <c r="A25" s="49" t="s">
        <v>144</v>
      </c>
      <c r="B25" s="10">
        <v>26755.546784145026</v>
      </c>
      <c r="C25" s="10">
        <v>13273.180158653102</v>
      </c>
      <c r="D25" s="10">
        <v>13482.366625490684</v>
      </c>
      <c r="E25" s="10"/>
      <c r="F25" s="10">
        <v>12096.954539406355</v>
      </c>
      <c r="G25" s="10">
        <v>6839.7997899681532</v>
      </c>
      <c r="H25" s="48">
        <v>5257.1547494369615</v>
      </c>
      <c r="I25" s="48"/>
      <c r="J25" s="243">
        <v>45.212884778619888</v>
      </c>
      <c r="K25" s="243">
        <v>51.530979827078951</v>
      </c>
      <c r="L25" s="243">
        <v>38.992818512272365</v>
      </c>
      <c r="M25" s="244">
        <v>0.75668692198594822</v>
      </c>
    </row>
    <row r="26" spans="1:13" x14ac:dyDescent="0.2">
      <c r="A26" s="49" t="s">
        <v>145</v>
      </c>
      <c r="B26" s="10">
        <v>22863.542070440231</v>
      </c>
      <c r="C26" s="10">
        <v>10903.982255868175</v>
      </c>
      <c r="D26" s="10">
        <v>11959.55981458164</v>
      </c>
      <c r="E26" s="10"/>
      <c r="F26" s="10">
        <v>10493.682789563172</v>
      </c>
      <c r="G26" s="10">
        <v>5842.8105008833163</v>
      </c>
      <c r="H26" s="48">
        <v>4650.8722886797614</v>
      </c>
      <c r="I26" s="48"/>
      <c r="J26" s="243">
        <v>45.897012620489562</v>
      </c>
      <c r="K26" s="243">
        <v>53.584189370251039</v>
      </c>
      <c r="L26" s="243">
        <v>38.888323322812269</v>
      </c>
      <c r="M26" s="244">
        <v>0.72574249568478788</v>
      </c>
    </row>
    <row r="27" spans="1:13" x14ac:dyDescent="0.2">
      <c r="A27" s="49" t="s">
        <v>146</v>
      </c>
      <c r="B27" s="10">
        <v>16194.045107782829</v>
      </c>
      <c r="C27" s="10">
        <v>8100.0663184781997</v>
      </c>
      <c r="D27" s="10">
        <v>8093.978789304535</v>
      </c>
      <c r="E27" s="10"/>
      <c r="F27" s="10">
        <v>8008.7533808732287</v>
      </c>
      <c r="G27" s="10">
        <v>4929.6811248336062</v>
      </c>
      <c r="H27" s="48">
        <v>3079.072256039527</v>
      </c>
      <c r="I27" s="48"/>
      <c r="J27" s="243">
        <v>49.454928200879152</v>
      </c>
      <c r="K27" s="243">
        <v>60.859762513150152</v>
      </c>
      <c r="L27" s="243">
        <v>38.041516245483919</v>
      </c>
      <c r="M27" s="244">
        <v>0.62506843067723394</v>
      </c>
    </row>
    <row r="28" spans="1:13" x14ac:dyDescent="0.2">
      <c r="A28" s="49" t="s">
        <v>147</v>
      </c>
      <c r="B28" s="10">
        <v>13123.476239278967</v>
      </c>
      <c r="C28" s="10">
        <v>6610.8755594742934</v>
      </c>
      <c r="D28" s="10">
        <v>6512.6006798023091</v>
      </c>
      <c r="E28" s="10"/>
      <c r="F28" s="10">
        <v>6149.7395856288285</v>
      </c>
      <c r="G28" s="10">
        <v>3888.1574188183458</v>
      </c>
      <c r="H28" s="48">
        <v>2261.5821668109415</v>
      </c>
      <c r="I28" s="48"/>
      <c r="J28" s="243">
        <v>46.86059907832999</v>
      </c>
      <c r="K28" s="243">
        <v>58.814560701353351</v>
      </c>
      <c r="L28" s="243">
        <v>34.72625266009161</v>
      </c>
      <c r="M28" s="244">
        <v>0.59043631791153617</v>
      </c>
    </row>
    <row r="29" spans="1:13" x14ac:dyDescent="0.2">
      <c r="A29" s="49" t="s">
        <v>148</v>
      </c>
      <c r="B29" s="10">
        <v>9391.5506804504075</v>
      </c>
      <c r="C29" s="10">
        <v>4457.6477471740218</v>
      </c>
      <c r="D29" s="10">
        <v>4933.902933276715</v>
      </c>
      <c r="E29" s="10"/>
      <c r="F29" s="10">
        <v>4174.1625173509901</v>
      </c>
      <c r="G29" s="10">
        <v>2644.6022106608648</v>
      </c>
      <c r="H29" s="48">
        <v>1529.5603066899646</v>
      </c>
      <c r="I29" s="48"/>
      <c r="J29" s="243">
        <v>44.445935068417597</v>
      </c>
      <c r="K29" s="243">
        <v>59.327303561333437</v>
      </c>
      <c r="L29" s="243">
        <v>31.001021450460158</v>
      </c>
      <c r="M29" s="244">
        <v>0.52254222911733794</v>
      </c>
    </row>
    <row r="30" spans="1:13" x14ac:dyDescent="0.2">
      <c r="A30" s="49" t="s">
        <v>149</v>
      </c>
      <c r="B30" s="10">
        <v>8449.1197830824931</v>
      </c>
      <c r="C30" s="10">
        <v>4001.5515107475994</v>
      </c>
      <c r="D30" s="10">
        <v>4447.5682723358696</v>
      </c>
      <c r="E30" s="10"/>
      <c r="F30" s="10">
        <v>3711.766609150618</v>
      </c>
      <c r="G30" s="10">
        <v>2356.0772434186529</v>
      </c>
      <c r="H30" s="48">
        <v>1355.6893657318071</v>
      </c>
      <c r="I30" s="48"/>
      <c r="J30" s="243">
        <v>43.930808231435769</v>
      </c>
      <c r="K30" s="243">
        <v>58.879093198990603</v>
      </c>
      <c r="L30" s="243">
        <v>30.481586402265975</v>
      </c>
      <c r="M30" s="244">
        <v>0.51769795943101482</v>
      </c>
    </row>
    <row r="31" spans="1:13" x14ac:dyDescent="0.2">
      <c r="A31" s="49" t="s">
        <v>150</v>
      </c>
      <c r="B31" s="10">
        <v>6385.1995702456943</v>
      </c>
      <c r="C31" s="10">
        <v>3132.8752846045149</v>
      </c>
      <c r="D31" s="10">
        <v>3252.324285640791</v>
      </c>
      <c r="E31" s="10"/>
      <c r="F31" s="10">
        <v>2995.686332919287</v>
      </c>
      <c r="G31" s="10">
        <v>1956.125224890724</v>
      </c>
      <c r="H31" s="48">
        <v>1039.5611080283859</v>
      </c>
      <c r="I31" s="48"/>
      <c r="J31" s="243">
        <v>46.916095573248022</v>
      </c>
      <c r="K31" s="243">
        <v>62.43865609663559</v>
      </c>
      <c r="L31" s="243">
        <v>31.963636363635018</v>
      </c>
      <c r="M31" s="244">
        <v>0.51192063317578884</v>
      </c>
    </row>
    <row r="32" spans="1:13" x14ac:dyDescent="0.2">
      <c r="A32" s="49" t="s">
        <v>151</v>
      </c>
      <c r="B32" s="10">
        <v>5310.1585609192098</v>
      </c>
      <c r="C32" s="10">
        <v>2617.2340524083133</v>
      </c>
      <c r="D32" s="10">
        <v>2692.9245085105081</v>
      </c>
      <c r="E32" s="10"/>
      <c r="F32" s="10">
        <v>2625.5126960444909</v>
      </c>
      <c r="G32" s="10">
        <v>1673.4686778841449</v>
      </c>
      <c r="H32" s="48">
        <v>952.04401816024006</v>
      </c>
      <c r="I32" s="48"/>
      <c r="J32" s="243">
        <v>49.443207126941616</v>
      </c>
      <c r="K32" s="243">
        <v>63.940352462717932</v>
      </c>
      <c r="L32" s="243">
        <v>35.353535353534717</v>
      </c>
      <c r="M32" s="244">
        <v>0.55291430203092018</v>
      </c>
    </row>
    <row r="33" spans="1:13" x14ac:dyDescent="0.2">
      <c r="A33" s="49" t="s">
        <v>152</v>
      </c>
      <c r="B33" s="10">
        <v>3666.2564674496684</v>
      </c>
      <c r="C33" s="10">
        <v>1729.0538565841834</v>
      </c>
      <c r="D33" s="10">
        <v>1937.2026108651789</v>
      </c>
      <c r="E33" s="10"/>
      <c r="F33" s="10">
        <v>1976.2305022928656</v>
      </c>
      <c r="G33" s="10">
        <v>1231.1525750370295</v>
      </c>
      <c r="H33" s="48">
        <v>745.07792725584113</v>
      </c>
      <c r="I33" s="48"/>
      <c r="J33" s="243">
        <v>53.903225806446585</v>
      </c>
      <c r="K33" s="243">
        <v>71.20383036935911</v>
      </c>
      <c r="L33" s="243">
        <v>38.461538461539419</v>
      </c>
      <c r="M33" s="244">
        <v>0.54016108771151772</v>
      </c>
    </row>
    <row r="34" spans="1:13" x14ac:dyDescent="0.2">
      <c r="A34" s="49" t="s">
        <v>153</v>
      </c>
      <c r="B34" s="10">
        <v>3443.9157526494714</v>
      </c>
      <c r="C34" s="10">
        <v>1520.905102303188</v>
      </c>
      <c r="D34" s="10">
        <v>1923.0106503460202</v>
      </c>
      <c r="E34" s="10"/>
      <c r="F34" s="10">
        <v>1737.3325002203594</v>
      </c>
      <c r="G34" s="10">
        <v>1089.2329698454416</v>
      </c>
      <c r="H34" s="48">
        <v>648.09953037492278</v>
      </c>
      <c r="I34" s="48"/>
      <c r="J34" s="243">
        <v>50.446428571424747</v>
      </c>
      <c r="K34" s="243">
        <v>71.617418351479429</v>
      </c>
      <c r="L34" s="243">
        <v>33.702337023371022</v>
      </c>
      <c r="M34" s="244">
        <v>0.47058854953370183</v>
      </c>
    </row>
    <row r="35" spans="1:13" x14ac:dyDescent="0.2">
      <c r="A35" s="49" t="s">
        <v>222</v>
      </c>
      <c r="B35" s="10">
        <v>2202.7384887192247</v>
      </c>
      <c r="C35" s="10">
        <v>1126.1589058082066</v>
      </c>
      <c r="D35" s="10">
        <v>1076.57958291099</v>
      </c>
      <c r="E35" s="10"/>
      <c r="F35" s="10">
        <v>1233.5807720855091</v>
      </c>
      <c r="G35" s="10">
        <v>789.72778614852257</v>
      </c>
      <c r="H35" s="48">
        <v>443.85298593698792</v>
      </c>
      <c r="I35" s="48"/>
      <c r="J35" s="243">
        <v>56.002143622721519</v>
      </c>
      <c r="K35" s="243">
        <v>70.125786163522065</v>
      </c>
      <c r="L35" s="243">
        <v>41.228070175438937</v>
      </c>
      <c r="M35" s="244">
        <v>0.58791597828652786</v>
      </c>
    </row>
    <row r="36" spans="1:13" x14ac:dyDescent="0.2">
      <c r="A36" s="49" t="s">
        <v>223</v>
      </c>
      <c r="B36" s="10">
        <v>2229.8890703058009</v>
      </c>
      <c r="C36" s="10">
        <v>1141.5048867049641</v>
      </c>
      <c r="D36" s="10">
        <v>1088.3841836008035</v>
      </c>
      <c r="E36" s="10"/>
      <c r="F36" s="10">
        <v>1077.7600429799713</v>
      </c>
      <c r="G36" s="10">
        <v>665.77947890548114</v>
      </c>
      <c r="H36" s="48">
        <v>411.98056407449155</v>
      </c>
      <c r="I36" s="48"/>
      <c r="J36" s="243">
        <v>48.332451032291395</v>
      </c>
      <c r="K36" s="243">
        <v>58.324715615305209</v>
      </c>
      <c r="L36" s="243">
        <v>37.852494577006873</v>
      </c>
      <c r="M36" s="244">
        <v>0.64899578468024033</v>
      </c>
    </row>
    <row r="37" spans="1:13" x14ac:dyDescent="0.2">
      <c r="A37" s="49" t="s">
        <v>224</v>
      </c>
      <c r="B37" s="10">
        <v>1355.1681591905879</v>
      </c>
      <c r="C37" s="10">
        <v>611.47831573233918</v>
      </c>
      <c r="D37" s="10">
        <v>743.68984345825004</v>
      </c>
      <c r="E37" s="10"/>
      <c r="F37" s="10">
        <v>900.69103263276918</v>
      </c>
      <c r="G37" s="10">
        <v>474.54494773050294</v>
      </c>
      <c r="H37" s="48">
        <v>426.14608490226772</v>
      </c>
      <c r="I37" s="48"/>
      <c r="J37" s="243">
        <v>66.463414634146318</v>
      </c>
      <c r="K37" s="243">
        <v>77.606177606178079</v>
      </c>
      <c r="L37" s="243">
        <v>57.30158730158778</v>
      </c>
      <c r="M37" s="244">
        <v>0.73836373687120127</v>
      </c>
    </row>
    <row r="38" spans="1:13" x14ac:dyDescent="0.2">
      <c r="A38" s="49" t="s">
        <v>225</v>
      </c>
      <c r="B38" s="10">
        <v>1326.8371175350355</v>
      </c>
      <c r="C38" s="10">
        <v>607.93693552539514</v>
      </c>
      <c r="D38" s="10">
        <v>718.90018200964175</v>
      </c>
      <c r="E38" s="10"/>
      <c r="F38" s="10">
        <v>831.04388856286971</v>
      </c>
      <c r="G38" s="10">
        <v>437.95068559208119</v>
      </c>
      <c r="H38" s="48">
        <v>393.09320297079</v>
      </c>
      <c r="I38" s="48"/>
      <c r="J38" s="243">
        <v>62.633451957295399</v>
      </c>
      <c r="K38" s="243">
        <v>72.038834951456849</v>
      </c>
      <c r="L38" s="243">
        <v>54.679802955665565</v>
      </c>
      <c r="M38" s="244">
        <v>0.75903230517971843</v>
      </c>
    </row>
    <row r="39" spans="1:13" x14ac:dyDescent="0.2">
      <c r="A39" s="49" t="s">
        <v>226</v>
      </c>
      <c r="B39" s="10">
        <v>177.06901034720349</v>
      </c>
      <c r="C39" s="10">
        <v>59.023003449067978</v>
      </c>
      <c r="D39" s="10">
        <v>118.04600689813603</v>
      </c>
      <c r="E39" s="10"/>
      <c r="F39" s="10">
        <v>28.331041655552603</v>
      </c>
      <c r="G39" s="10">
        <v>22.428741310645815</v>
      </c>
      <c r="H39" s="48">
        <v>5.902300344906795</v>
      </c>
      <c r="I39" s="48"/>
      <c r="J39" s="243">
        <v>16.000000000000036</v>
      </c>
      <c r="K39" s="243">
        <v>38</v>
      </c>
      <c r="L39" s="243">
        <v>5</v>
      </c>
      <c r="M39" s="244">
        <v>0.13157894736842105</v>
      </c>
    </row>
    <row r="40" spans="1:13" x14ac:dyDescent="0.2">
      <c r="A40" s="49" t="s">
        <v>227</v>
      </c>
      <c r="B40" s="10">
        <v>144.01612841572577</v>
      </c>
      <c r="C40" s="10">
        <v>64.925303793974777</v>
      </c>
      <c r="D40" s="10">
        <v>79.090824621751111</v>
      </c>
      <c r="E40" s="10"/>
      <c r="F40" s="10">
        <v>23.609201379627173</v>
      </c>
      <c r="G40" s="10">
        <v>21.248281241664458</v>
      </c>
      <c r="H40" s="48">
        <v>2.3609201379627178</v>
      </c>
      <c r="I40" s="48"/>
      <c r="J40" s="243">
        <v>16.393442622950822</v>
      </c>
      <c r="K40" s="243">
        <v>32.727272727272705</v>
      </c>
      <c r="L40" s="243">
        <v>2.9850746268656692</v>
      </c>
      <c r="M40" s="244">
        <v>9.1210613598673287E-2</v>
      </c>
    </row>
    <row r="41" spans="1:13" x14ac:dyDescent="0.2">
      <c r="A41" s="49" t="s">
        <v>228</v>
      </c>
      <c r="B41" s="10">
        <v>61.383923587030701</v>
      </c>
      <c r="C41" s="10">
        <v>29.511501724533961</v>
      </c>
      <c r="D41" s="10">
        <v>31.872421862496676</v>
      </c>
      <c r="E41" s="10"/>
      <c r="F41" s="10">
        <v>9.4436805518508731</v>
      </c>
      <c r="G41" s="10">
        <v>7.0827604138881544</v>
      </c>
      <c r="H41" s="48">
        <v>2.3609201379627178</v>
      </c>
      <c r="I41" s="48"/>
      <c r="J41" s="243">
        <v>15.384615384615378</v>
      </c>
      <c r="K41" s="243">
        <v>24.000000000000014</v>
      </c>
      <c r="L41" s="243">
        <v>7.4074074074074101</v>
      </c>
      <c r="M41" s="244">
        <v>0.3086419753086419</v>
      </c>
    </row>
    <row r="42" spans="1:13" x14ac:dyDescent="0.2">
      <c r="A42" s="171" t="s">
        <v>6</v>
      </c>
      <c r="B42" s="237">
        <v>102678.07636705932</v>
      </c>
      <c r="C42" s="237">
        <v>49949.298635590661</v>
      </c>
      <c r="D42" s="237">
        <v>52728.777731433882</v>
      </c>
      <c r="E42" s="237"/>
      <c r="F42" s="237">
        <v>33132.068635227472</v>
      </c>
      <c r="G42" s="237">
        <v>20763.812779680371</v>
      </c>
      <c r="H42" s="238">
        <v>12368.255855549614</v>
      </c>
      <c r="I42" s="238"/>
      <c r="J42" s="241">
        <v>32.267909379974249</v>
      </c>
      <c r="K42" s="241">
        <v>41.569778449076644</v>
      </c>
      <c r="L42" s="241">
        <v>23.456367448047548</v>
      </c>
      <c r="M42" s="242">
        <v>0.56426491367477005</v>
      </c>
    </row>
    <row r="43" spans="1:13" x14ac:dyDescent="0.2">
      <c r="A43" s="49" t="s">
        <v>144</v>
      </c>
      <c r="B43" s="10">
        <v>20636.543791335986</v>
      </c>
      <c r="C43" s="10">
        <v>9938.1502016425093</v>
      </c>
      <c r="D43" s="10">
        <v>10698.393589692236</v>
      </c>
      <c r="E43" s="10"/>
      <c r="F43" s="10">
        <v>5285.8431791746871</v>
      </c>
      <c r="G43" s="10">
        <v>3124.6481389330665</v>
      </c>
      <c r="H43" s="48">
        <v>2161.1950402414841</v>
      </c>
      <c r="I43" s="48"/>
      <c r="J43" s="243">
        <v>25.61399443929016</v>
      </c>
      <c r="K43" s="243">
        <v>31.440942987728807</v>
      </c>
      <c r="L43" s="243">
        <v>20.20111731843415</v>
      </c>
      <c r="M43" s="244">
        <v>0.64250990583579226</v>
      </c>
    </row>
    <row r="44" spans="1:13" x14ac:dyDescent="0.2">
      <c r="A44" s="49" t="s">
        <v>145</v>
      </c>
      <c r="B44" s="10">
        <v>19072.228901087499</v>
      </c>
      <c r="C44" s="10">
        <v>8920.665251088205</v>
      </c>
      <c r="D44" s="10">
        <v>10151.563650003214</v>
      </c>
      <c r="E44" s="10"/>
      <c r="F44" s="10">
        <v>5304.6729219313538</v>
      </c>
      <c r="G44" s="10">
        <v>3191.0827928349581</v>
      </c>
      <c r="H44" s="48">
        <v>2113.5901290963002</v>
      </c>
      <c r="I44" s="48"/>
      <c r="J44" s="243">
        <v>27.813597191195438</v>
      </c>
      <c r="K44" s="243">
        <v>35.77180292070117</v>
      </c>
      <c r="L44" s="243">
        <v>20.820340609256533</v>
      </c>
      <c r="M44" s="244">
        <v>0.58203218483035379</v>
      </c>
    </row>
    <row r="45" spans="1:13" x14ac:dyDescent="0.2">
      <c r="A45" s="49" t="s">
        <v>146</v>
      </c>
      <c r="B45" s="10">
        <v>13388.91166455812</v>
      </c>
      <c r="C45" s="10">
        <v>6692.6295735269132</v>
      </c>
      <c r="D45" s="10">
        <v>6696.282091031112</v>
      </c>
      <c r="E45" s="10"/>
      <c r="F45" s="10">
        <v>4423.1986975847003</v>
      </c>
      <c r="G45" s="10">
        <v>2792.9583848772845</v>
      </c>
      <c r="H45" s="48">
        <v>1630.2403127073205</v>
      </c>
      <c r="I45" s="48"/>
      <c r="J45" s="243">
        <v>33.0362826225319</v>
      </c>
      <c r="K45" s="243">
        <v>41.731853738398392</v>
      </c>
      <c r="L45" s="243">
        <v>24.345454545452426</v>
      </c>
      <c r="M45" s="244">
        <v>0.58337821986210114</v>
      </c>
    </row>
    <row r="46" spans="1:13" x14ac:dyDescent="0.2">
      <c r="A46" s="49" t="s">
        <v>147</v>
      </c>
      <c r="B46" s="10">
        <v>10786.29801118073</v>
      </c>
      <c r="C46" s="10">
        <v>5316.9229771265</v>
      </c>
      <c r="D46" s="10">
        <v>5469.3750340535526</v>
      </c>
      <c r="E46" s="10"/>
      <c r="F46" s="10">
        <v>3576.9536331902832</v>
      </c>
      <c r="G46" s="10">
        <v>2383.7957992235815</v>
      </c>
      <c r="H46" s="48">
        <v>1193.157833966573</v>
      </c>
      <c r="I46" s="48"/>
      <c r="J46" s="243">
        <v>33.162013783433636</v>
      </c>
      <c r="K46" s="243">
        <v>44.83412322275035</v>
      </c>
      <c r="L46" s="243">
        <v>21.81524994241045</v>
      </c>
      <c r="M46" s="244">
        <v>0.48657692789095636</v>
      </c>
    </row>
    <row r="47" spans="1:13" x14ac:dyDescent="0.2">
      <c r="A47" s="49" t="s">
        <v>148</v>
      </c>
      <c r="B47" s="10">
        <v>7840.5714897288663</v>
      </c>
      <c r="C47" s="10">
        <v>3647.5099570573743</v>
      </c>
      <c r="D47" s="10">
        <v>4193.0615326725256</v>
      </c>
      <c r="E47" s="10"/>
      <c r="F47" s="10">
        <v>2514.8289721196079</v>
      </c>
      <c r="G47" s="10">
        <v>1646.7342016835055</v>
      </c>
      <c r="H47" s="48">
        <v>868.0947704360907</v>
      </c>
      <c r="I47" s="48"/>
      <c r="J47" s="243">
        <v>32.074562108311312</v>
      </c>
      <c r="K47" s="243">
        <v>45.146804835922886</v>
      </c>
      <c r="L47" s="243">
        <v>20.703124999999435</v>
      </c>
      <c r="M47" s="244">
        <v>0.45857342674062629</v>
      </c>
    </row>
    <row r="48" spans="1:13" x14ac:dyDescent="0.2">
      <c r="A48" s="49" t="s">
        <v>149</v>
      </c>
      <c r="B48" s="10">
        <v>7303.8394545972596</v>
      </c>
      <c r="C48" s="10">
        <v>3612.2317951238288</v>
      </c>
      <c r="D48" s="10">
        <v>3691.6076594743063</v>
      </c>
      <c r="E48" s="10"/>
      <c r="F48" s="10">
        <v>2189.7659085890809</v>
      </c>
      <c r="G48" s="10">
        <v>1467.823523306271</v>
      </c>
      <c r="H48" s="48">
        <v>721.9423852828437</v>
      </c>
      <c r="I48" s="48"/>
      <c r="J48" s="243">
        <v>29.981024667934548</v>
      </c>
      <c r="K48" s="243">
        <v>40.634809905823921</v>
      </c>
      <c r="L48" s="243">
        <v>19.556313993173532</v>
      </c>
      <c r="M48" s="244">
        <v>0.48126997612386158</v>
      </c>
    </row>
    <row r="49" spans="1:13" x14ac:dyDescent="0.2">
      <c r="A49" s="49" t="s">
        <v>150</v>
      </c>
      <c r="B49" s="10">
        <v>5573.8924939002945</v>
      </c>
      <c r="C49" s="10">
        <v>2637.3393298104588</v>
      </c>
      <c r="D49" s="10">
        <v>2936.5531640894474</v>
      </c>
      <c r="E49" s="10"/>
      <c r="F49" s="10">
        <v>1835.4935604778743</v>
      </c>
      <c r="G49" s="10">
        <v>1185.0287033497634</v>
      </c>
      <c r="H49" s="48">
        <v>650.46485712811591</v>
      </c>
      <c r="I49" s="48"/>
      <c r="J49" s="243">
        <v>32.930193082957949</v>
      </c>
      <c r="K49" s="243">
        <v>44.932735426008371</v>
      </c>
      <c r="L49" s="243">
        <v>22.150624244864332</v>
      </c>
      <c r="M49" s="244">
        <v>0.49297297471105905</v>
      </c>
    </row>
    <row r="50" spans="1:13" x14ac:dyDescent="0.2">
      <c r="A50" s="49" t="s">
        <v>151</v>
      </c>
      <c r="B50" s="10">
        <v>4683.3469713229097</v>
      </c>
      <c r="C50" s="10">
        <v>2451.6611796847624</v>
      </c>
      <c r="D50" s="10">
        <v>2231.6857916377589</v>
      </c>
      <c r="E50" s="10"/>
      <c r="F50" s="10">
        <v>1749.1591339863251</v>
      </c>
      <c r="G50" s="10">
        <v>1154.2794555582527</v>
      </c>
      <c r="H50" s="48">
        <v>594.87967842807734</v>
      </c>
      <c r="I50" s="48"/>
      <c r="J50" s="243">
        <v>37.348484848480879</v>
      </c>
      <c r="K50" s="243">
        <v>47.081524360829611</v>
      </c>
      <c r="L50" s="243">
        <v>26.656067832538604</v>
      </c>
      <c r="M50" s="244">
        <v>0.56616832599234268</v>
      </c>
    </row>
    <row r="51" spans="1:13" x14ac:dyDescent="0.2">
      <c r="A51" s="49" t="s">
        <v>152</v>
      </c>
      <c r="B51" s="10">
        <v>3235.7669983684359</v>
      </c>
      <c r="C51" s="10">
        <v>1555.2023402244884</v>
      </c>
      <c r="D51" s="10">
        <v>1680.5646581437243</v>
      </c>
      <c r="E51" s="10"/>
      <c r="F51" s="10">
        <v>1425.1093687988662</v>
      </c>
      <c r="G51" s="10">
        <v>913.0161267325534</v>
      </c>
      <c r="H51" s="48">
        <v>512.09324206631777</v>
      </c>
      <c r="I51" s="48"/>
      <c r="J51" s="243">
        <v>44.04239766081654</v>
      </c>
      <c r="K51" s="243">
        <v>58.707224334602301</v>
      </c>
      <c r="L51" s="243">
        <v>30.471498944405948</v>
      </c>
      <c r="M51" s="244">
        <v>0.51904172424731565</v>
      </c>
    </row>
    <row r="52" spans="1:13" x14ac:dyDescent="0.2">
      <c r="A52" s="49" t="s">
        <v>153</v>
      </c>
      <c r="B52" s="10">
        <v>3167.1725225258219</v>
      </c>
      <c r="C52" s="10">
        <v>1626.1621428202823</v>
      </c>
      <c r="D52" s="10">
        <v>1541.0103797053296</v>
      </c>
      <c r="E52" s="10"/>
      <c r="F52" s="10">
        <v>1343.5055958137032</v>
      </c>
      <c r="G52" s="10">
        <v>909.46813660276371</v>
      </c>
      <c r="H52" s="48">
        <v>434.03745921094446</v>
      </c>
      <c r="I52" s="48"/>
      <c r="J52" s="243">
        <v>42.419716206122267</v>
      </c>
      <c r="K52" s="243">
        <v>55.927272727274207</v>
      </c>
      <c r="L52" s="243">
        <v>28.165771297007375</v>
      </c>
      <c r="M52" s="244">
        <v>0.50361424620785589</v>
      </c>
    </row>
    <row r="53" spans="1:13" x14ac:dyDescent="0.2">
      <c r="A53" s="49" t="s">
        <v>222</v>
      </c>
      <c r="B53" s="10">
        <v>2121.2867439594961</v>
      </c>
      <c r="C53" s="10">
        <v>1062.4140620832138</v>
      </c>
      <c r="D53" s="10">
        <v>1058.8726818762698</v>
      </c>
      <c r="E53" s="10"/>
      <c r="F53" s="10">
        <v>1032.9025603586801</v>
      </c>
      <c r="G53" s="10">
        <v>633.90705704298477</v>
      </c>
      <c r="H53" s="48">
        <v>398.99550331569674</v>
      </c>
      <c r="I53" s="48"/>
      <c r="J53" s="243">
        <v>48.692264885920608</v>
      </c>
      <c r="K53" s="243">
        <v>59.666666666666842</v>
      </c>
      <c r="L53" s="243">
        <v>37.681159420290236</v>
      </c>
      <c r="M53" s="244">
        <v>0.63152781151324233</v>
      </c>
    </row>
    <row r="54" spans="1:13" x14ac:dyDescent="0.2">
      <c r="A54" s="49" t="s">
        <v>223</v>
      </c>
      <c r="B54" s="10">
        <v>2003.2407370613473</v>
      </c>
      <c r="C54" s="10">
        <v>1045.887621117475</v>
      </c>
      <c r="D54" s="10">
        <v>957.35311594387383</v>
      </c>
      <c r="E54" s="10"/>
      <c r="F54" s="10">
        <v>906.59333297767591</v>
      </c>
      <c r="G54" s="10">
        <v>540.65071159345837</v>
      </c>
      <c r="H54" s="48">
        <v>365.94262138421902</v>
      </c>
      <c r="I54" s="48"/>
      <c r="J54" s="243">
        <v>45.256334708308778</v>
      </c>
      <c r="K54" s="243">
        <v>51.693002257336602</v>
      </c>
      <c r="L54" s="243">
        <v>38.224414303329674</v>
      </c>
      <c r="M54" s="244">
        <v>0.73945046010371007</v>
      </c>
    </row>
    <row r="55" spans="1:13" x14ac:dyDescent="0.2">
      <c r="A55" s="49" t="s">
        <v>224</v>
      </c>
      <c r="B55" s="10">
        <v>1303.2279161554086</v>
      </c>
      <c r="C55" s="10">
        <v>648.07257787076094</v>
      </c>
      <c r="D55" s="10">
        <v>655.15533828464902</v>
      </c>
      <c r="E55" s="10"/>
      <c r="F55" s="10">
        <v>764.93812469991428</v>
      </c>
      <c r="G55" s="10">
        <v>406.07826372958482</v>
      </c>
      <c r="H55" s="48">
        <v>358.85986097033094</v>
      </c>
      <c r="I55" s="48"/>
      <c r="J55" s="243">
        <v>58.695652173913111</v>
      </c>
      <c r="K55" s="243">
        <v>62.659380692168142</v>
      </c>
      <c r="L55" s="243">
        <v>54.774774774775409</v>
      </c>
      <c r="M55" s="244">
        <v>0.87416719044626245</v>
      </c>
    </row>
    <row r="56" spans="1:13" x14ac:dyDescent="0.2">
      <c r="A56" s="49" t="s">
        <v>225</v>
      </c>
      <c r="B56" s="10">
        <v>1241.8439925683786</v>
      </c>
      <c r="C56" s="10">
        <v>626.82429662909669</v>
      </c>
      <c r="D56" s="10">
        <v>615.01969593928322</v>
      </c>
      <c r="E56" s="10"/>
      <c r="F56" s="10">
        <v>754.31398407908216</v>
      </c>
      <c r="G56" s="10">
        <v>394.27366303977135</v>
      </c>
      <c r="H56" s="48">
        <v>360.04032103931229</v>
      </c>
      <c r="I56" s="48"/>
      <c r="J56" s="243">
        <v>60.741444866920226</v>
      </c>
      <c r="K56" s="243">
        <v>62.900188323917732</v>
      </c>
      <c r="L56" s="243">
        <v>58.541266794626381</v>
      </c>
      <c r="M56" s="244">
        <v>0.93070097808222496</v>
      </c>
    </row>
    <row r="57" spans="1:13" x14ac:dyDescent="0.2">
      <c r="A57" s="49" t="s">
        <v>226</v>
      </c>
      <c r="B57" s="10">
        <v>147.55750862266981</v>
      </c>
      <c r="C57" s="10">
        <v>77.910364552769749</v>
      </c>
      <c r="D57" s="10">
        <v>69.647144069900222</v>
      </c>
      <c r="E57" s="10"/>
      <c r="F57" s="10">
        <v>7.0827604138881544</v>
      </c>
      <c r="G57" s="10">
        <v>4.7218402759254356</v>
      </c>
      <c r="H57" s="48">
        <v>2.3609201379627178</v>
      </c>
      <c r="I57" s="48"/>
      <c r="J57" s="243">
        <v>4.8000000000000025</v>
      </c>
      <c r="K57" s="243">
        <v>6.0606060606060552</v>
      </c>
      <c r="L57" s="243">
        <v>3.3898305084745739</v>
      </c>
      <c r="M57" s="244">
        <v>0.55932203389830515</v>
      </c>
    </row>
    <row r="58" spans="1:13" x14ac:dyDescent="0.2">
      <c r="A58" s="49" t="s">
        <v>227</v>
      </c>
      <c r="B58" s="10">
        <v>127.48968744998692</v>
      </c>
      <c r="C58" s="10">
        <v>60.20346351804934</v>
      </c>
      <c r="D58" s="10">
        <v>67.286223931937499</v>
      </c>
      <c r="E58" s="10"/>
      <c r="F58" s="10">
        <v>11.804600689813592</v>
      </c>
      <c r="G58" s="10">
        <v>10.624140620832232</v>
      </c>
      <c r="H58" s="48">
        <v>1.1804600689813589</v>
      </c>
      <c r="I58" s="48"/>
      <c r="J58" s="243">
        <v>9.2592592592592489</v>
      </c>
      <c r="K58" s="243">
        <v>17.647058823529402</v>
      </c>
      <c r="L58" s="243">
        <v>1.7543859649122795</v>
      </c>
      <c r="M58" s="244">
        <v>9.9415204678362554E-2</v>
      </c>
    </row>
    <row r="59" spans="1:13" x14ac:dyDescent="0.2">
      <c r="A59" s="49" t="s">
        <v>228</v>
      </c>
      <c r="B59" s="10">
        <v>44.857482621291645</v>
      </c>
      <c r="C59" s="10">
        <v>29.511501724533961</v>
      </c>
      <c r="D59" s="10">
        <v>15.34598089675767</v>
      </c>
      <c r="E59" s="10"/>
      <c r="F59" s="10">
        <v>5.902300344906795</v>
      </c>
      <c r="G59" s="10">
        <v>4.7218402759254356</v>
      </c>
      <c r="H59" s="48">
        <v>1.1804600689813589</v>
      </c>
      <c r="I59" s="48"/>
      <c r="J59" s="243">
        <v>13.157894736842104</v>
      </c>
      <c r="K59" s="243">
        <v>16.000000000000007</v>
      </c>
      <c r="L59" s="243">
        <v>7.6923076923076898</v>
      </c>
      <c r="M59" s="244">
        <v>0.48076923076923039</v>
      </c>
    </row>
  </sheetData>
  <mergeCells count="6">
    <mergeCell ref="A1:M1"/>
    <mergeCell ref="A2:A3"/>
    <mergeCell ref="B2:D2"/>
    <mergeCell ref="F2:H2"/>
    <mergeCell ref="J2:L2"/>
    <mergeCell ref="M2:M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zoomScale="120" zoomScaleNormal="120" workbookViewId="0">
      <selection activeCell="D15" sqref="D15"/>
    </sheetView>
  </sheetViews>
  <sheetFormatPr defaultRowHeight="12" x14ac:dyDescent="0.2"/>
  <cols>
    <col min="1" max="1" width="21.7109375" style="326" customWidth="1"/>
    <col min="2" max="4" width="12" style="322" bestFit="1" customWidth="1"/>
    <col min="5" max="5" width="9.140625" style="322"/>
    <col min="6" max="8" width="12" style="322" bestFit="1" customWidth="1"/>
    <col min="9" max="9" width="9.140625" style="322"/>
    <col min="10" max="13" width="9.28515625" style="322" bestFit="1" customWidth="1"/>
    <col min="14" max="16384" width="9.140625" style="322"/>
  </cols>
  <sheetData>
    <row r="1" spans="1:11" ht="22.5" customHeight="1" x14ac:dyDescent="0.2">
      <c r="A1" s="532" t="s">
        <v>522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</row>
    <row r="2" spans="1:11" ht="27.75" customHeight="1" x14ac:dyDescent="0.2">
      <c r="A2" s="527" t="s">
        <v>501</v>
      </c>
      <c r="B2" s="524" t="s">
        <v>498</v>
      </c>
      <c r="C2" s="524"/>
      <c r="D2" s="524"/>
      <c r="E2" s="524" t="s">
        <v>499</v>
      </c>
      <c r="F2" s="524"/>
      <c r="G2" s="524"/>
      <c r="H2" s="526" t="s">
        <v>219</v>
      </c>
      <c r="I2" s="526"/>
      <c r="J2" s="526"/>
      <c r="K2" s="524" t="s">
        <v>220</v>
      </c>
    </row>
    <row r="3" spans="1:11" x14ac:dyDescent="0.2">
      <c r="A3" s="528"/>
      <c r="B3" s="52" t="s">
        <v>1</v>
      </c>
      <c r="C3" s="43" t="s">
        <v>2</v>
      </c>
      <c r="D3" s="43" t="s">
        <v>3</v>
      </c>
      <c r="E3" s="52" t="s">
        <v>1</v>
      </c>
      <c r="F3" s="43" t="s">
        <v>2</v>
      </c>
      <c r="G3" s="43" t="s">
        <v>3</v>
      </c>
      <c r="H3" s="52" t="s">
        <v>1</v>
      </c>
      <c r="I3" s="43" t="s">
        <v>2</v>
      </c>
      <c r="J3" s="43" t="s">
        <v>3</v>
      </c>
      <c r="K3" s="505"/>
    </row>
    <row r="4" spans="1:11" x14ac:dyDescent="0.2">
      <c r="A4" s="228" t="s">
        <v>457</v>
      </c>
      <c r="B4" s="229">
        <v>89327.861547040549</v>
      </c>
      <c r="C4" s="229">
        <v>43035.977867231333</v>
      </c>
      <c r="D4" s="229">
        <v>46291.883679744038</v>
      </c>
      <c r="E4" s="229">
        <v>33181.153430065751</v>
      </c>
      <c r="F4" s="229">
        <v>18998.341222619205</v>
      </c>
      <c r="G4" s="229">
        <v>14182.812207455787</v>
      </c>
      <c r="H4" s="230">
        <v>37.145357400715838</v>
      </c>
      <c r="I4" s="230">
        <v>44.145252795776706</v>
      </c>
      <c r="J4" s="230">
        <v>30.637794533432885</v>
      </c>
      <c r="K4" s="231">
        <v>0.69402240542529969</v>
      </c>
    </row>
    <row r="5" spans="1:11" x14ac:dyDescent="0.2">
      <c r="A5" s="232" t="s">
        <v>14</v>
      </c>
      <c r="B5" s="69"/>
      <c r="C5" s="69"/>
      <c r="D5" s="69"/>
      <c r="E5" s="69"/>
      <c r="F5" s="69"/>
      <c r="G5" s="69"/>
      <c r="H5" s="236"/>
      <c r="I5" s="236"/>
      <c r="J5" s="236"/>
      <c r="K5" s="249"/>
    </row>
    <row r="6" spans="1:11" x14ac:dyDescent="0.2">
      <c r="A6" s="370" t="s">
        <v>5</v>
      </c>
      <c r="B6" s="68">
        <v>49619.088854566093</v>
      </c>
      <c r="C6" s="68">
        <v>24177.162414516904</v>
      </c>
      <c r="D6" s="68">
        <v>25441.926440066934</v>
      </c>
      <c r="E6" s="68">
        <v>22590.637328965848</v>
      </c>
      <c r="F6" s="68">
        <v>12682.610290852084</v>
      </c>
      <c r="G6" s="68">
        <v>9908.0270381173941</v>
      </c>
      <c r="H6" s="117">
        <v>45.528118009552998</v>
      </c>
      <c r="I6" s="117">
        <v>52.456984295378021</v>
      </c>
      <c r="J6" s="117">
        <v>38.943698156881155</v>
      </c>
      <c r="K6" s="250">
        <v>0.74239300409635789</v>
      </c>
    </row>
    <row r="7" spans="1:11" x14ac:dyDescent="0.2">
      <c r="A7" s="72" t="s">
        <v>6</v>
      </c>
      <c r="B7" s="68">
        <v>39708.772692408915</v>
      </c>
      <c r="C7" s="68">
        <v>18858.81545272981</v>
      </c>
      <c r="D7" s="68">
        <v>20849.957239693191</v>
      </c>
      <c r="E7" s="68">
        <v>10590.516101106712</v>
      </c>
      <c r="F7" s="68">
        <v>6315.7309317683257</v>
      </c>
      <c r="G7" s="68">
        <v>4274.7851693377106</v>
      </c>
      <c r="H7" s="117">
        <v>26.670469478219744</v>
      </c>
      <c r="I7" s="117">
        <v>33.489542053149393</v>
      </c>
      <c r="J7" s="117">
        <v>20.502608807271645</v>
      </c>
      <c r="K7" s="250">
        <v>0.61220929132841218</v>
      </c>
    </row>
    <row r="8" spans="1:11" x14ac:dyDescent="0.2">
      <c r="A8" s="234" t="s">
        <v>542</v>
      </c>
      <c r="B8" s="235"/>
      <c r="C8" s="235"/>
      <c r="D8" s="235"/>
      <c r="E8" s="235"/>
      <c r="F8" s="235"/>
      <c r="G8" s="235"/>
      <c r="H8" s="251"/>
      <c r="I8" s="251"/>
      <c r="J8" s="251"/>
      <c r="K8" s="252"/>
    </row>
    <row r="9" spans="1:11" s="335" customFormat="1" x14ac:dyDescent="0.2">
      <c r="A9" s="371" t="s">
        <v>458</v>
      </c>
      <c r="B9" s="69">
        <v>32717.84277876838</v>
      </c>
      <c r="C9" s="69">
        <v>15452.826097461695</v>
      </c>
      <c r="D9" s="69">
        <v>17265.016681315799</v>
      </c>
      <c r="E9" s="69">
        <v>14767.783052201723</v>
      </c>
      <c r="F9" s="69">
        <v>8615.9763039149748</v>
      </c>
      <c r="G9" s="69">
        <v>6151.8067482860579</v>
      </c>
      <c r="H9" s="236">
        <v>45.136787141068048</v>
      </c>
      <c r="I9" s="236">
        <v>55.756637974000213</v>
      </c>
      <c r="J9" s="236">
        <v>35.631629333686263</v>
      </c>
      <c r="K9" s="249">
        <v>0.63905627434533607</v>
      </c>
    </row>
    <row r="10" spans="1:11" x14ac:dyDescent="0.2">
      <c r="A10" s="61" t="s">
        <v>458</v>
      </c>
      <c r="B10" s="68">
        <v>32717.84277876838</v>
      </c>
      <c r="C10" s="68">
        <v>15452.826097461695</v>
      </c>
      <c r="D10" s="68">
        <v>17265.016681315799</v>
      </c>
      <c r="E10" s="68">
        <v>14767.783052201723</v>
      </c>
      <c r="F10" s="68">
        <v>8615.9763039149748</v>
      </c>
      <c r="G10" s="68">
        <v>6151.8067482860579</v>
      </c>
      <c r="H10" s="117">
        <v>45.136787141068048</v>
      </c>
      <c r="I10" s="117">
        <v>55.756637974000213</v>
      </c>
      <c r="J10" s="117">
        <v>35.631629333686263</v>
      </c>
      <c r="K10" s="250">
        <v>0.63905627434533607</v>
      </c>
    </row>
    <row r="11" spans="1:11" s="335" customFormat="1" x14ac:dyDescent="0.2">
      <c r="A11" s="371" t="s">
        <v>459</v>
      </c>
      <c r="B11" s="69">
        <v>23888.869195356703</v>
      </c>
      <c r="C11" s="69">
        <v>11349.984078308309</v>
      </c>
      <c r="D11" s="69">
        <v>12538.885117053034</v>
      </c>
      <c r="E11" s="69">
        <v>8888.2545189819521</v>
      </c>
      <c r="F11" s="69">
        <v>5055.065506414513</v>
      </c>
      <c r="G11" s="69">
        <v>3833.1890125667965</v>
      </c>
      <c r="H11" s="236">
        <v>37.206677496094905</v>
      </c>
      <c r="I11" s="236">
        <v>44.538084560625123</v>
      </c>
      <c r="J11" s="236">
        <v>30.570413372347073</v>
      </c>
      <c r="K11" s="249">
        <v>0.68638814789474623</v>
      </c>
    </row>
    <row r="12" spans="1:11" x14ac:dyDescent="0.2">
      <c r="A12" s="61" t="s">
        <v>459</v>
      </c>
      <c r="B12" s="68">
        <v>19630.265078476714</v>
      </c>
      <c r="C12" s="68">
        <v>9471.3865322880611</v>
      </c>
      <c r="D12" s="68">
        <v>10158.878546190308</v>
      </c>
      <c r="E12" s="68">
        <v>7866.2655433537766</v>
      </c>
      <c r="F12" s="68">
        <v>4566.2957895015734</v>
      </c>
      <c r="G12" s="68">
        <v>3299.9697538516857</v>
      </c>
      <c r="H12" s="117">
        <v>40.072131027804872</v>
      </c>
      <c r="I12" s="117">
        <v>48.211481750164367</v>
      </c>
      <c r="J12" s="117">
        <v>32.483602780045196</v>
      </c>
      <c r="K12" s="250">
        <v>0.67377316773580498</v>
      </c>
    </row>
    <row r="13" spans="1:11" x14ac:dyDescent="0.2">
      <c r="A13" s="61" t="s">
        <v>473</v>
      </c>
      <c r="B13" s="68">
        <v>4258.6041168822321</v>
      </c>
      <c r="C13" s="68">
        <v>1878.59754601993</v>
      </c>
      <c r="D13" s="68">
        <v>2380.0065708623729</v>
      </c>
      <c r="E13" s="68">
        <v>1021.9889756279697</v>
      </c>
      <c r="F13" s="68">
        <v>488.76971691285951</v>
      </c>
      <c r="G13" s="68">
        <v>533.21925871512133</v>
      </c>
      <c r="H13" s="117">
        <v>23.998215085937353</v>
      </c>
      <c r="I13" s="117">
        <v>26.017798114789581</v>
      </c>
      <c r="J13" s="117">
        <v>22.404108679494552</v>
      </c>
      <c r="K13" s="250">
        <v>0.86110702299435327</v>
      </c>
    </row>
    <row r="14" spans="1:11" s="335" customFormat="1" x14ac:dyDescent="0.2">
      <c r="A14" s="371" t="s">
        <v>461</v>
      </c>
      <c r="B14" s="69">
        <v>6030.548550550423</v>
      </c>
      <c r="C14" s="69">
        <v>3245.0269091190739</v>
      </c>
      <c r="D14" s="69">
        <v>2785.5216414311394</v>
      </c>
      <c r="E14" s="69">
        <v>2316.0980933734108</v>
      </c>
      <c r="F14" s="69">
        <v>1248.7522344476438</v>
      </c>
      <c r="G14" s="69">
        <v>1067.3458589257093</v>
      </c>
      <c r="H14" s="236">
        <v>38.406093143251084</v>
      </c>
      <c r="I14" s="236">
        <v>38.48203017788358</v>
      </c>
      <c r="J14" s="236">
        <v>38.317629382241748</v>
      </c>
      <c r="K14" s="249">
        <v>0.99572785544624631</v>
      </c>
    </row>
    <row r="15" spans="1:11" x14ac:dyDescent="0.2">
      <c r="A15" s="61" t="s">
        <v>461</v>
      </c>
      <c r="B15" s="68">
        <v>6030.548550550423</v>
      </c>
      <c r="C15" s="68">
        <v>3245.0269091190739</v>
      </c>
      <c r="D15" s="68">
        <v>2785.5216414311394</v>
      </c>
      <c r="E15" s="68">
        <v>2316.0980933734108</v>
      </c>
      <c r="F15" s="68">
        <v>1248.7522344476438</v>
      </c>
      <c r="G15" s="68">
        <v>1067.3458589257093</v>
      </c>
      <c r="H15" s="117">
        <v>38.406093143251084</v>
      </c>
      <c r="I15" s="117">
        <v>38.48203017788358</v>
      </c>
      <c r="J15" s="117">
        <v>38.317629382241748</v>
      </c>
      <c r="K15" s="250">
        <v>0.99572785544624631</v>
      </c>
    </row>
    <row r="16" spans="1:11" s="335" customFormat="1" x14ac:dyDescent="0.2">
      <c r="A16" s="371" t="s">
        <v>462</v>
      </c>
      <c r="B16" s="69">
        <v>8893.2131607035353</v>
      </c>
      <c r="C16" s="69">
        <v>4228.5642568091635</v>
      </c>
      <c r="D16" s="69">
        <v>4664.6489038936606</v>
      </c>
      <c r="E16" s="69">
        <v>2852.0182189059256</v>
      </c>
      <c r="F16" s="69">
        <v>1610.3716281057161</v>
      </c>
      <c r="G16" s="69">
        <v>1241.6465908001981</v>
      </c>
      <c r="H16" s="236">
        <v>32.069603723299316</v>
      </c>
      <c r="I16" s="236">
        <v>38.083177416839376</v>
      </c>
      <c r="J16" s="236">
        <v>26.618221786505192</v>
      </c>
      <c r="K16" s="249">
        <v>0.69894960431361797</v>
      </c>
    </row>
    <row r="17" spans="1:11" x14ac:dyDescent="0.2">
      <c r="A17" s="61" t="s">
        <v>462</v>
      </c>
      <c r="B17" s="68">
        <v>8893.2131607035353</v>
      </c>
      <c r="C17" s="68">
        <v>4228.5642568091635</v>
      </c>
      <c r="D17" s="68">
        <v>4664.6489038936606</v>
      </c>
      <c r="E17" s="68">
        <v>2852.0182189059256</v>
      </c>
      <c r="F17" s="68">
        <v>1610.3716281057161</v>
      </c>
      <c r="G17" s="68">
        <v>1241.6465908001981</v>
      </c>
      <c r="H17" s="117">
        <v>32.069603723299316</v>
      </c>
      <c r="I17" s="117">
        <v>38.083177416839376</v>
      </c>
      <c r="J17" s="117">
        <v>26.618221786505192</v>
      </c>
      <c r="K17" s="250">
        <v>0.69894960431361797</v>
      </c>
    </row>
    <row r="18" spans="1:11" s="335" customFormat="1" x14ac:dyDescent="0.2">
      <c r="A18" s="371" t="s">
        <v>463</v>
      </c>
      <c r="B18" s="69">
        <v>8259.298382015937</v>
      </c>
      <c r="C18" s="69">
        <v>4231.4856726565567</v>
      </c>
      <c r="D18" s="69">
        <v>4027.8127093587732</v>
      </c>
      <c r="E18" s="69">
        <v>2902.9540726037612</v>
      </c>
      <c r="F18" s="69">
        <v>1584.6489234066955</v>
      </c>
      <c r="G18" s="69">
        <v>1318.3051491970516</v>
      </c>
      <c r="H18" s="236">
        <v>35.147707932731173</v>
      </c>
      <c r="I18" s="236">
        <v>37.44899654621333</v>
      </c>
      <c r="J18" s="236">
        <v>32.730050881807756</v>
      </c>
      <c r="K18" s="249">
        <v>0.8739900638303556</v>
      </c>
    </row>
    <row r="19" spans="1:11" x14ac:dyDescent="0.2">
      <c r="A19" s="61" t="s">
        <v>463</v>
      </c>
      <c r="B19" s="68">
        <v>8259.298382015937</v>
      </c>
      <c r="C19" s="68">
        <v>4231.4856726565567</v>
      </c>
      <c r="D19" s="68">
        <v>4027.8127093587732</v>
      </c>
      <c r="E19" s="68">
        <v>2902.9540726037612</v>
      </c>
      <c r="F19" s="68">
        <v>1584.6489234066955</v>
      </c>
      <c r="G19" s="68">
        <v>1318.3051491970516</v>
      </c>
      <c r="H19" s="117">
        <v>35.147707932731173</v>
      </c>
      <c r="I19" s="117">
        <v>37.44899654621333</v>
      </c>
      <c r="J19" s="117">
        <v>32.730050881807756</v>
      </c>
      <c r="K19" s="250">
        <v>0.8739900638303556</v>
      </c>
    </row>
    <row r="20" spans="1:11" s="335" customFormat="1" x14ac:dyDescent="0.2">
      <c r="A20" s="371" t="s">
        <v>464</v>
      </c>
      <c r="B20" s="69">
        <v>3244.3854227715451</v>
      </c>
      <c r="C20" s="69">
        <v>1588.6116052501511</v>
      </c>
      <c r="D20" s="69">
        <v>1655.7738175214126</v>
      </c>
      <c r="E20" s="69">
        <v>402.99144051666497</v>
      </c>
      <c r="F20" s="69">
        <v>251.07006324962978</v>
      </c>
      <c r="G20" s="69">
        <v>151.92137726703527</v>
      </c>
      <c r="H20" s="236">
        <v>12.421195018574716</v>
      </c>
      <c r="I20" s="236">
        <v>15.804370459077365</v>
      </c>
      <c r="J20" s="236">
        <v>9.1752494005764422</v>
      </c>
      <c r="K20" s="249">
        <v>0.58055140028096253</v>
      </c>
    </row>
    <row r="21" spans="1:11" x14ac:dyDescent="0.2">
      <c r="A21" s="61" t="s">
        <v>464</v>
      </c>
      <c r="B21" s="68">
        <v>815.72292771118646</v>
      </c>
      <c r="C21" s="68">
        <v>403.9874003947856</v>
      </c>
      <c r="D21" s="68">
        <v>411.73552731640706</v>
      </c>
      <c r="E21" s="68">
        <v>91.622105017585355</v>
      </c>
      <c r="F21" s="68">
        <v>62.667820131932004</v>
      </c>
      <c r="G21" s="68">
        <v>28.954284885653355</v>
      </c>
      <c r="H21" s="117">
        <v>11.232012967278619</v>
      </c>
      <c r="I21" s="117">
        <v>15.512320451254547</v>
      </c>
      <c r="J21" s="117">
        <v>7.0322532219578964</v>
      </c>
      <c r="K21" s="250">
        <v>0.4533334161098489</v>
      </c>
    </row>
    <row r="22" spans="1:11" x14ac:dyDescent="0.2">
      <c r="A22" s="61" t="s">
        <v>465</v>
      </c>
      <c r="B22" s="68">
        <v>2428.6624950603668</v>
      </c>
      <c r="C22" s="68">
        <v>1184.6242048553377</v>
      </c>
      <c r="D22" s="68">
        <v>1244.0382902049778</v>
      </c>
      <c r="E22" s="68">
        <v>311.36933549907968</v>
      </c>
      <c r="F22" s="68">
        <v>188.40224311769788</v>
      </c>
      <c r="G22" s="68">
        <v>122.96709238138193</v>
      </c>
      <c r="H22" s="117">
        <v>12.82060953847521</v>
      </c>
      <c r="I22" s="117">
        <v>15.903967042502295</v>
      </c>
      <c r="J22" s="117">
        <v>9.8845102557993396</v>
      </c>
      <c r="K22" s="250">
        <v>0.62151224467352351</v>
      </c>
    </row>
    <row r="23" spans="1:11" s="335" customFormat="1" x14ac:dyDescent="0.2">
      <c r="A23" s="371" t="s">
        <v>466</v>
      </c>
      <c r="B23" s="69">
        <v>1761.2517393766818</v>
      </c>
      <c r="C23" s="69">
        <v>851.36191892672036</v>
      </c>
      <c r="D23" s="69">
        <v>909.88982044990519</v>
      </c>
      <c r="E23" s="69">
        <v>136.27103818079823</v>
      </c>
      <c r="F23" s="69">
        <v>80.952562248585778</v>
      </c>
      <c r="G23" s="69">
        <v>55.318475932212507</v>
      </c>
      <c r="H23" s="236">
        <v>7.7371698283758823</v>
      </c>
      <c r="I23" s="236">
        <v>9.5085956335279267</v>
      </c>
      <c r="J23" s="236">
        <v>6.0796895062370968</v>
      </c>
      <c r="K23" s="249">
        <v>0.63938879520753999</v>
      </c>
    </row>
    <row r="24" spans="1:11" x14ac:dyDescent="0.2">
      <c r="A24" s="61" t="s">
        <v>466</v>
      </c>
      <c r="B24" s="68">
        <v>1761.2517393766818</v>
      </c>
      <c r="C24" s="68">
        <v>851.36191892672036</v>
      </c>
      <c r="D24" s="68">
        <v>909.88982044990519</v>
      </c>
      <c r="E24" s="68">
        <v>136.27103818079823</v>
      </c>
      <c r="F24" s="68">
        <v>80.952562248585778</v>
      </c>
      <c r="G24" s="68">
        <v>55.318475932212507</v>
      </c>
      <c r="H24" s="117">
        <v>7.7371698283758823</v>
      </c>
      <c r="I24" s="117">
        <v>9.5085956335279267</v>
      </c>
      <c r="J24" s="117">
        <v>6.0796895062370968</v>
      </c>
      <c r="K24" s="250">
        <v>0.63938879520753999</v>
      </c>
    </row>
    <row r="25" spans="1:11" s="335" customFormat="1" x14ac:dyDescent="0.2">
      <c r="A25" s="371" t="s">
        <v>467</v>
      </c>
      <c r="B25" s="69">
        <v>2847.0817317800047</v>
      </c>
      <c r="C25" s="69">
        <v>1356.2240699124243</v>
      </c>
      <c r="D25" s="69">
        <v>1490.8576618675709</v>
      </c>
      <c r="E25" s="69">
        <v>783.04966153435043</v>
      </c>
      <c r="F25" s="69">
        <v>459.50526768794919</v>
      </c>
      <c r="G25" s="69">
        <v>323.54439384640813</v>
      </c>
      <c r="H25" s="236">
        <v>27.503589124039273</v>
      </c>
      <c r="I25" s="236">
        <v>33.881220506403373</v>
      </c>
      <c r="J25" s="236">
        <v>21.70189697661073</v>
      </c>
      <c r="K25" s="249">
        <v>0.64052878415372272</v>
      </c>
    </row>
    <row r="26" spans="1:11" x14ac:dyDescent="0.2">
      <c r="A26" s="61" t="s">
        <v>467</v>
      </c>
      <c r="B26" s="68">
        <v>2847.0817317800047</v>
      </c>
      <c r="C26" s="68">
        <v>1356.2240699124243</v>
      </c>
      <c r="D26" s="68">
        <v>1490.8576618675709</v>
      </c>
      <c r="E26" s="68">
        <v>783.04966153435043</v>
      </c>
      <c r="F26" s="68">
        <v>459.50526768794919</v>
      </c>
      <c r="G26" s="68">
        <v>323.54439384640813</v>
      </c>
      <c r="H26" s="117">
        <v>27.503589124039273</v>
      </c>
      <c r="I26" s="117">
        <v>33.881220506403373</v>
      </c>
      <c r="J26" s="117">
        <v>21.70189697661073</v>
      </c>
      <c r="K26" s="250">
        <v>0.64052878415372272</v>
      </c>
    </row>
    <row r="27" spans="1:11" s="335" customFormat="1" x14ac:dyDescent="0.2">
      <c r="A27" s="371" t="s">
        <v>468</v>
      </c>
      <c r="B27" s="69">
        <v>1685.3705856812467</v>
      </c>
      <c r="C27" s="69">
        <v>731.89325880654678</v>
      </c>
      <c r="D27" s="69">
        <v>953.4773268746485</v>
      </c>
      <c r="E27" s="69">
        <v>131.7333337767852</v>
      </c>
      <c r="F27" s="69">
        <v>91.998733143826172</v>
      </c>
      <c r="G27" s="69">
        <v>39.734600632959086</v>
      </c>
      <c r="H27" s="236">
        <v>7.8162829526027968</v>
      </c>
      <c r="I27" s="236">
        <v>12.569965911947712</v>
      </c>
      <c r="J27" s="236">
        <v>4.1673356579125986</v>
      </c>
      <c r="K27" s="249">
        <v>0.33153118211335481</v>
      </c>
    </row>
    <row r="28" spans="1:11" x14ac:dyDescent="0.2">
      <c r="A28" s="61" t="s">
        <v>468</v>
      </c>
      <c r="B28" s="68">
        <v>1685.3705856812467</v>
      </c>
      <c r="C28" s="68">
        <v>731.89325880654678</v>
      </c>
      <c r="D28" s="68">
        <v>953.4773268746485</v>
      </c>
      <c r="E28" s="68">
        <v>131.7333337767852</v>
      </c>
      <c r="F28" s="68">
        <v>91.998733143826172</v>
      </c>
      <c r="G28" s="68">
        <v>39.734600632959086</v>
      </c>
      <c r="H28" s="117">
        <v>7.8162829526027968</v>
      </c>
      <c r="I28" s="117">
        <v>12.569965911947712</v>
      </c>
      <c r="J28" s="117">
        <v>4.1673356579125986</v>
      </c>
      <c r="K28" s="250">
        <v>0.33153118211335481</v>
      </c>
    </row>
    <row r="29" spans="1:11" x14ac:dyDescent="0.2">
      <c r="A29" s="322"/>
    </row>
    <row r="30" spans="1:11" x14ac:dyDescent="0.2">
      <c r="A30" s="322"/>
    </row>
    <row r="31" spans="1:11" x14ac:dyDescent="0.2">
      <c r="A31" s="322"/>
    </row>
    <row r="32" spans="1:11" x14ac:dyDescent="0.2">
      <c r="A32" s="322"/>
    </row>
    <row r="33" s="322" customFormat="1" x14ac:dyDescent="0.2"/>
    <row r="34" s="322" customFormat="1" x14ac:dyDescent="0.2"/>
    <row r="35" s="322" customFormat="1" x14ac:dyDescent="0.2"/>
    <row r="36" s="322" customFormat="1" x14ac:dyDescent="0.2"/>
    <row r="37" s="322" customFormat="1" x14ac:dyDescent="0.2"/>
    <row r="38" s="322" customFormat="1" x14ac:dyDescent="0.2"/>
    <row r="39" s="322" customFormat="1" x14ac:dyDescent="0.2"/>
    <row r="40" s="322" customFormat="1" x14ac:dyDescent="0.2"/>
    <row r="41" s="322" customFormat="1" x14ac:dyDescent="0.2"/>
    <row r="42" s="322" customFormat="1" x14ac:dyDescent="0.2"/>
    <row r="43" s="322" customFormat="1" x14ac:dyDescent="0.2"/>
    <row r="44" s="322" customFormat="1" x14ac:dyDescent="0.2"/>
    <row r="45" s="322" customFormat="1" x14ac:dyDescent="0.2"/>
    <row r="46" s="322" customFormat="1" x14ac:dyDescent="0.2"/>
    <row r="47" s="322" customFormat="1" x14ac:dyDescent="0.2"/>
    <row r="48" s="322" customFormat="1" x14ac:dyDescent="0.2"/>
    <row r="49" s="322" customFormat="1" x14ac:dyDescent="0.2"/>
    <row r="50" s="322" customFormat="1" x14ac:dyDescent="0.2"/>
    <row r="51" s="322" customFormat="1" x14ac:dyDescent="0.2"/>
    <row r="52" s="322" customFormat="1" x14ac:dyDescent="0.2"/>
    <row r="53" s="322" customFormat="1" x14ac:dyDescent="0.2"/>
    <row r="54" s="322" customFormat="1" x14ac:dyDescent="0.2"/>
    <row r="55" s="322" customFormat="1" x14ac:dyDescent="0.2"/>
    <row r="56" s="322" customFormat="1" x14ac:dyDescent="0.2"/>
    <row r="57" s="322" customFormat="1" x14ac:dyDescent="0.2"/>
    <row r="58" s="322" customFormat="1" x14ac:dyDescent="0.2"/>
    <row r="59" s="322" customFormat="1" x14ac:dyDescent="0.2"/>
  </sheetData>
  <mergeCells count="6">
    <mergeCell ref="A2:A3"/>
    <mergeCell ref="B2:D2"/>
    <mergeCell ref="A1:K1"/>
    <mergeCell ref="E2:G2"/>
    <mergeCell ref="H2:J2"/>
    <mergeCell ref="K2:K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zoomScale="120" zoomScaleNormal="120" workbookViewId="0">
      <selection activeCell="B7" sqref="B7:B8"/>
    </sheetView>
  </sheetViews>
  <sheetFormatPr defaultRowHeight="12" x14ac:dyDescent="0.2"/>
  <cols>
    <col min="1" max="1" width="23.85546875" style="322" customWidth="1"/>
    <col min="2" max="2" width="9.85546875" style="322" bestFit="1" customWidth="1"/>
    <col min="3" max="5" width="9.28515625" style="322" bestFit="1" customWidth="1"/>
    <col min="6" max="6" width="2.7109375" style="322" customWidth="1"/>
    <col min="7" max="9" width="9.28515625" style="322" bestFit="1" customWidth="1"/>
    <col min="10" max="10" width="9.140625" style="322"/>
    <col min="11" max="11" width="9.85546875" style="322" bestFit="1" customWidth="1"/>
    <col min="12" max="12" width="9.28515625" style="322" bestFit="1" customWidth="1"/>
    <col min="13" max="13" width="9.85546875" style="322" bestFit="1" customWidth="1"/>
    <col min="14" max="16384" width="9.140625" style="322"/>
  </cols>
  <sheetData>
    <row r="1" spans="1:13" x14ac:dyDescent="0.2">
      <c r="A1" s="523" t="s">
        <v>523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  <c r="L1" s="523"/>
      <c r="M1" s="523"/>
    </row>
    <row r="2" spans="1:13" ht="15" customHeight="1" x14ac:dyDescent="0.2">
      <c r="A2" s="527" t="s">
        <v>501</v>
      </c>
      <c r="B2" s="524" t="s">
        <v>229</v>
      </c>
      <c r="C2" s="534" t="s">
        <v>543</v>
      </c>
      <c r="D2" s="534"/>
      <c r="E2" s="534"/>
      <c r="F2" s="534"/>
      <c r="G2" s="534"/>
      <c r="H2" s="534"/>
      <c r="I2" s="534"/>
      <c r="J2" s="534"/>
      <c r="K2" s="534"/>
      <c r="L2" s="534"/>
      <c r="M2" s="534"/>
    </row>
    <row r="3" spans="1:13" x14ac:dyDescent="0.2">
      <c r="A3" s="533"/>
      <c r="B3" s="502"/>
      <c r="C3" s="502" t="s">
        <v>230</v>
      </c>
      <c r="D3" s="502"/>
      <c r="E3" s="502"/>
      <c r="F3" s="139"/>
      <c r="G3" s="502" t="s">
        <v>231</v>
      </c>
      <c r="H3" s="502"/>
      <c r="I3" s="502"/>
      <c r="J3" s="139"/>
      <c r="K3" s="502" t="s">
        <v>232</v>
      </c>
      <c r="L3" s="502"/>
      <c r="M3" s="502"/>
    </row>
    <row r="4" spans="1:13" x14ac:dyDescent="0.2">
      <c r="A4" s="528"/>
      <c r="B4" s="505"/>
      <c r="C4" s="141" t="s">
        <v>1</v>
      </c>
      <c r="D4" s="141" t="s">
        <v>2</v>
      </c>
      <c r="E4" s="141" t="s">
        <v>3</v>
      </c>
      <c r="F4" s="141"/>
      <c r="G4" s="141" t="s">
        <v>1</v>
      </c>
      <c r="H4" s="141" t="s">
        <v>2</v>
      </c>
      <c r="I4" s="141" t="s">
        <v>3</v>
      </c>
      <c r="J4" s="141"/>
      <c r="K4" s="141" t="s">
        <v>1</v>
      </c>
      <c r="L4" s="141" t="s">
        <v>2</v>
      </c>
      <c r="M4" s="141" t="s">
        <v>3</v>
      </c>
    </row>
    <row r="5" spans="1:13" x14ac:dyDescent="0.2">
      <c r="A5" s="228" t="s">
        <v>457</v>
      </c>
      <c r="B5" s="229">
        <v>341859.14766862482</v>
      </c>
      <c r="C5" s="229">
        <v>90730.223480643297</v>
      </c>
      <c r="D5" s="229">
        <v>48325.162844194121</v>
      </c>
      <c r="E5" s="229">
        <v>42405.060636371745</v>
      </c>
      <c r="F5" s="229"/>
      <c r="G5" s="229">
        <v>60671.682019651431</v>
      </c>
      <c r="H5" s="229">
        <v>35887.020938011818</v>
      </c>
      <c r="I5" s="229">
        <v>24784.661081634829</v>
      </c>
      <c r="J5" s="229"/>
      <c r="K5" s="229">
        <v>190457.24216927605</v>
      </c>
      <c r="L5" s="229">
        <v>83681.382179437001</v>
      </c>
      <c r="M5" s="229">
        <v>106775.85998972337</v>
      </c>
    </row>
    <row r="6" spans="1:13" x14ac:dyDescent="0.2">
      <c r="A6" s="232" t="s">
        <v>14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</row>
    <row r="7" spans="1:13" x14ac:dyDescent="0.2">
      <c r="A7" s="380" t="s">
        <v>5</v>
      </c>
      <c r="B7" s="68">
        <v>185958.14421759563</v>
      </c>
      <c r="C7" s="68">
        <v>56757.961840570293</v>
      </c>
      <c r="D7" s="68">
        <v>30402.59223433035</v>
      </c>
      <c r="E7" s="68">
        <v>26355.369606257646</v>
      </c>
      <c r="F7" s="68"/>
      <c r="G7" s="68">
        <v>38772.167484200691</v>
      </c>
      <c r="H7" s="68">
        <v>22019.244478338005</v>
      </c>
      <c r="I7" s="68">
        <v>16752.923005867568</v>
      </c>
      <c r="J7" s="68"/>
      <c r="K7" s="68">
        <v>90428.014892632185</v>
      </c>
      <c r="L7" s="68">
        <v>39257.193189358833</v>
      </c>
      <c r="M7" s="68">
        <v>51170.821703194866</v>
      </c>
    </row>
    <row r="8" spans="1:13" x14ac:dyDescent="0.2">
      <c r="A8" s="72" t="s">
        <v>6</v>
      </c>
      <c r="B8" s="68">
        <v>155901.00345208531</v>
      </c>
      <c r="C8" s="68">
        <v>33972.261639995922</v>
      </c>
      <c r="D8" s="68">
        <v>17922.570609875926</v>
      </c>
      <c r="E8" s="68">
        <v>16049.691030122462</v>
      </c>
      <c r="F8" s="68"/>
      <c r="G8" s="68">
        <v>21899.514535447066</v>
      </c>
      <c r="H8" s="68">
        <v>13867.776459678218</v>
      </c>
      <c r="I8" s="68">
        <v>8031.7380757714882</v>
      </c>
      <c r="J8" s="68"/>
      <c r="K8" s="68">
        <v>100029.22727653295</v>
      </c>
      <c r="L8" s="68">
        <v>44424.188990012684</v>
      </c>
      <c r="M8" s="68">
        <v>55605.038286419869</v>
      </c>
    </row>
    <row r="9" spans="1:13" x14ac:dyDescent="0.2">
      <c r="A9" s="234" t="s">
        <v>542</v>
      </c>
      <c r="B9" s="235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</row>
    <row r="10" spans="1:13" s="335" customFormat="1" x14ac:dyDescent="0.2">
      <c r="A10" s="371" t="s">
        <v>458</v>
      </c>
      <c r="B10" s="69">
        <v>132285.54838931988</v>
      </c>
      <c r="C10" s="69">
        <v>40604.774367941805</v>
      </c>
      <c r="D10" s="69">
        <v>21715.111256203971</v>
      </c>
      <c r="E10" s="69">
        <v>18889.663111743343</v>
      </c>
      <c r="F10" s="69"/>
      <c r="G10" s="69">
        <v>33873.170302704799</v>
      </c>
      <c r="H10" s="69">
        <v>19334.930444631962</v>
      </c>
      <c r="I10" s="69">
        <v>14538.239858079061</v>
      </c>
      <c r="J10" s="69"/>
      <c r="K10" s="69">
        <v>57807.603718498176</v>
      </c>
      <c r="L10" s="69">
        <v>22794.031615823842</v>
      </c>
      <c r="M10" s="69">
        <v>35013.572102680715</v>
      </c>
    </row>
    <row r="11" spans="1:13" x14ac:dyDescent="0.2">
      <c r="A11" s="61" t="s">
        <v>458</v>
      </c>
      <c r="B11" s="68">
        <v>132285.54838931988</v>
      </c>
      <c r="C11" s="68">
        <v>40604.774367941805</v>
      </c>
      <c r="D11" s="68">
        <v>21715.111256203971</v>
      </c>
      <c r="E11" s="68">
        <v>18889.663111743343</v>
      </c>
      <c r="F11" s="68"/>
      <c r="G11" s="68">
        <v>33873.170302704799</v>
      </c>
      <c r="H11" s="68">
        <v>19334.930444631962</v>
      </c>
      <c r="I11" s="68">
        <v>14538.239858079061</v>
      </c>
      <c r="J11" s="68"/>
      <c r="K11" s="68">
        <v>57807.603718498176</v>
      </c>
      <c r="L11" s="68">
        <v>22794.031615823842</v>
      </c>
      <c r="M11" s="68">
        <v>35013.572102680715</v>
      </c>
    </row>
    <row r="12" spans="1:13" s="335" customFormat="1" x14ac:dyDescent="0.2">
      <c r="A12" s="371" t="s">
        <v>459</v>
      </c>
      <c r="B12" s="69">
        <v>85996.900322903442</v>
      </c>
      <c r="C12" s="69">
        <v>20878.016579981959</v>
      </c>
      <c r="D12" s="69">
        <v>11145.811061852628</v>
      </c>
      <c r="E12" s="69">
        <v>9732.2055181322157</v>
      </c>
      <c r="F12" s="69"/>
      <c r="G12" s="69">
        <v>14311.195549016882</v>
      </c>
      <c r="H12" s="69">
        <v>8636.6659022331642</v>
      </c>
      <c r="I12" s="69">
        <v>5674.5296467837416</v>
      </c>
      <c r="J12" s="69"/>
      <c r="K12" s="69">
        <v>50807.688193857415</v>
      </c>
      <c r="L12" s="69">
        <v>21821.786682271722</v>
      </c>
      <c r="M12" s="69">
        <v>28985.901511590357</v>
      </c>
    </row>
    <row r="13" spans="1:13" x14ac:dyDescent="0.2">
      <c r="A13" s="61" t="s">
        <v>459</v>
      </c>
      <c r="B13" s="68">
        <v>71507.610935935067</v>
      </c>
      <c r="C13" s="68">
        <v>18063.049697782346</v>
      </c>
      <c r="D13" s="68">
        <v>9841.9903558904207</v>
      </c>
      <c r="E13" s="68">
        <v>8221.0593418942408</v>
      </c>
      <c r="F13" s="68"/>
      <c r="G13" s="68">
        <v>13124.623203162784</v>
      </c>
      <c r="H13" s="68">
        <v>7800.3561582373377</v>
      </c>
      <c r="I13" s="68">
        <v>5324.2670449254274</v>
      </c>
      <c r="J13" s="68"/>
      <c r="K13" s="68">
        <v>40319.938034981722</v>
      </c>
      <c r="L13" s="68">
        <v>17007.31843480231</v>
      </c>
      <c r="M13" s="68">
        <v>23312.61960018444</v>
      </c>
    </row>
    <row r="14" spans="1:13" x14ac:dyDescent="0.2">
      <c r="A14" s="61" t="s">
        <v>473</v>
      </c>
      <c r="B14" s="68">
        <v>14489.289386934133</v>
      </c>
      <c r="C14" s="68">
        <v>2814.9668822008284</v>
      </c>
      <c r="D14" s="68">
        <v>1303.8207059624292</v>
      </c>
      <c r="E14" s="68">
        <v>1511.1461762383531</v>
      </c>
      <c r="F14" s="68"/>
      <c r="G14" s="68">
        <v>1186.5723458541065</v>
      </c>
      <c r="H14" s="68">
        <v>836.30974399580805</v>
      </c>
      <c r="I14" s="68">
        <v>350.26260185829796</v>
      </c>
      <c r="J14" s="68"/>
      <c r="K14" s="68">
        <v>10487.750158879508</v>
      </c>
      <c r="L14" s="68">
        <v>4814.4682474715009</v>
      </c>
      <c r="M14" s="68">
        <v>5673.2819114081922</v>
      </c>
    </row>
    <row r="15" spans="1:13" s="335" customFormat="1" x14ac:dyDescent="0.2">
      <c r="A15" s="371" t="s">
        <v>461</v>
      </c>
      <c r="B15" s="69">
        <v>22034.857934711072</v>
      </c>
      <c r="C15" s="69">
        <v>7330.3822075139969</v>
      </c>
      <c r="D15" s="69">
        <v>3779.5319995315913</v>
      </c>
      <c r="E15" s="69">
        <v>3550.8502079821255</v>
      </c>
      <c r="F15" s="69"/>
      <c r="G15" s="69">
        <v>2650.9049949549226</v>
      </c>
      <c r="H15" s="69">
        <v>1544.2294028099743</v>
      </c>
      <c r="I15" s="69">
        <v>1106.675592144928</v>
      </c>
      <c r="J15" s="69"/>
      <c r="K15" s="69">
        <v>12053.570732245465</v>
      </c>
      <c r="L15" s="69">
        <v>6340.6947492828494</v>
      </c>
      <c r="M15" s="69">
        <v>5712.875982963259</v>
      </c>
    </row>
    <row r="16" spans="1:13" x14ac:dyDescent="0.2">
      <c r="A16" s="61" t="s">
        <v>461</v>
      </c>
      <c r="B16" s="68">
        <v>22034.857934711072</v>
      </c>
      <c r="C16" s="68">
        <v>7330.3822075139969</v>
      </c>
      <c r="D16" s="68">
        <v>3779.5319995315913</v>
      </c>
      <c r="E16" s="68">
        <v>3550.8502079821255</v>
      </c>
      <c r="F16" s="68"/>
      <c r="G16" s="68">
        <v>2650.9049949549226</v>
      </c>
      <c r="H16" s="68">
        <v>1544.2294028099743</v>
      </c>
      <c r="I16" s="68">
        <v>1106.675592144928</v>
      </c>
      <c r="J16" s="68"/>
      <c r="K16" s="68">
        <v>12053.570732245465</v>
      </c>
      <c r="L16" s="68">
        <v>6340.6947492828494</v>
      </c>
      <c r="M16" s="68">
        <v>5712.875982963259</v>
      </c>
    </row>
    <row r="17" spans="1:13" s="335" customFormat="1" x14ac:dyDescent="0.2">
      <c r="A17" s="371" t="s">
        <v>462</v>
      </c>
      <c r="B17" s="69">
        <v>35355.927233013295</v>
      </c>
      <c r="C17" s="69">
        <v>9095.7633987400914</v>
      </c>
      <c r="D17" s="69">
        <v>4879.7597389220591</v>
      </c>
      <c r="E17" s="69">
        <v>4216.0036598175366</v>
      </c>
      <c r="F17" s="69"/>
      <c r="G17" s="69">
        <v>5378.437307387735</v>
      </c>
      <c r="H17" s="69">
        <v>3234.537348157844</v>
      </c>
      <c r="I17" s="69">
        <v>2143.8999592298496</v>
      </c>
      <c r="J17" s="69"/>
      <c r="K17" s="69">
        <v>20881.726526889786</v>
      </c>
      <c r="L17" s="69">
        <v>9519.7430090266462</v>
      </c>
      <c r="M17" s="69">
        <v>11361.98351786628</v>
      </c>
    </row>
    <row r="18" spans="1:13" x14ac:dyDescent="0.2">
      <c r="A18" s="61" t="s">
        <v>462</v>
      </c>
      <c r="B18" s="68">
        <v>35355.927233013295</v>
      </c>
      <c r="C18" s="68">
        <v>9095.7633987400914</v>
      </c>
      <c r="D18" s="68">
        <v>4879.7597389220591</v>
      </c>
      <c r="E18" s="68">
        <v>4216.0036598175366</v>
      </c>
      <c r="F18" s="68"/>
      <c r="G18" s="68">
        <v>5378.437307387735</v>
      </c>
      <c r="H18" s="68">
        <v>3234.537348157844</v>
      </c>
      <c r="I18" s="68">
        <v>2143.8999592298496</v>
      </c>
      <c r="J18" s="68"/>
      <c r="K18" s="68">
        <v>20881.726526889786</v>
      </c>
      <c r="L18" s="68">
        <v>9519.7430090266462</v>
      </c>
      <c r="M18" s="68">
        <v>11361.98351786628</v>
      </c>
    </row>
    <row r="19" spans="1:13" s="335" customFormat="1" x14ac:dyDescent="0.2">
      <c r="A19" s="371" t="s">
        <v>463</v>
      </c>
      <c r="B19" s="69">
        <v>29234.831203104419</v>
      </c>
      <c r="C19" s="69">
        <v>8992.5213480078201</v>
      </c>
      <c r="D19" s="69">
        <v>4727.597759065492</v>
      </c>
      <c r="E19" s="69">
        <v>4264.9235889417068</v>
      </c>
      <c r="F19" s="69"/>
      <c r="G19" s="69">
        <v>1235.0775531327401</v>
      </c>
      <c r="H19" s="69">
        <v>817.96240861529589</v>
      </c>
      <c r="I19" s="69">
        <v>417.11514451744171</v>
      </c>
      <c r="J19" s="69"/>
      <c r="K19" s="69">
        <v>19007.232301969791</v>
      </c>
      <c r="L19" s="69">
        <v>9304.8202966521658</v>
      </c>
      <c r="M19" s="69">
        <v>9702.4120053198531</v>
      </c>
    </row>
    <row r="20" spans="1:13" x14ac:dyDescent="0.2">
      <c r="A20" s="61" t="s">
        <v>463</v>
      </c>
      <c r="B20" s="68">
        <v>29234.831203104419</v>
      </c>
      <c r="C20" s="68">
        <v>8992.5213480078201</v>
      </c>
      <c r="D20" s="68">
        <v>4727.597759065492</v>
      </c>
      <c r="E20" s="68">
        <v>4264.9235889417068</v>
      </c>
      <c r="F20" s="68"/>
      <c r="G20" s="68">
        <v>1235.0775531327401</v>
      </c>
      <c r="H20" s="68">
        <v>817.96240861529589</v>
      </c>
      <c r="I20" s="68">
        <v>417.11514451744171</v>
      </c>
      <c r="J20" s="68"/>
      <c r="K20" s="68">
        <v>19007.232301969791</v>
      </c>
      <c r="L20" s="68">
        <v>9304.8202966521658</v>
      </c>
      <c r="M20" s="68">
        <v>9702.4120053198531</v>
      </c>
    </row>
    <row r="21" spans="1:13" s="335" customFormat="1" x14ac:dyDescent="0.2">
      <c r="A21" s="371" t="s">
        <v>464</v>
      </c>
      <c r="B21" s="69">
        <v>12354.354202515939</v>
      </c>
      <c r="C21" s="69">
        <v>1073.9058587014918</v>
      </c>
      <c r="D21" s="69">
        <v>592.92768942231885</v>
      </c>
      <c r="E21" s="69">
        <v>480.97816927917609</v>
      </c>
      <c r="F21" s="69"/>
      <c r="G21" s="69">
        <v>1014.1737633754852</v>
      </c>
      <c r="H21" s="69">
        <v>748.74074523929221</v>
      </c>
      <c r="I21" s="69">
        <v>265.43301813619297</v>
      </c>
      <c r="J21" s="69"/>
      <c r="K21" s="69">
        <v>10266.274580439076</v>
      </c>
      <c r="L21" s="69">
        <v>4979.9987123595483</v>
      </c>
      <c r="M21" s="69">
        <v>5286.2758680795587</v>
      </c>
    </row>
    <row r="22" spans="1:13" x14ac:dyDescent="0.2">
      <c r="A22" s="61" t="s">
        <v>464</v>
      </c>
      <c r="B22" s="68">
        <v>2970.4242584214112</v>
      </c>
      <c r="C22" s="68">
        <v>305.49836083471007</v>
      </c>
      <c r="D22" s="68">
        <v>164.81980979893862</v>
      </c>
      <c r="E22" s="68">
        <v>140.67855103577048</v>
      </c>
      <c r="F22" s="68"/>
      <c r="G22" s="68">
        <v>273.48109392217316</v>
      </c>
      <c r="H22" s="68">
        <v>211.44276120547687</v>
      </c>
      <c r="I22" s="68">
        <v>62.038332716696452</v>
      </c>
      <c r="J22" s="68"/>
      <c r="K22" s="68">
        <v>2391.4448036645294</v>
      </c>
      <c r="L22" s="68">
        <v>1130.4863176884526</v>
      </c>
      <c r="M22" s="68">
        <v>1260.9584859760748</v>
      </c>
    </row>
    <row r="23" spans="1:13" x14ac:dyDescent="0.2">
      <c r="A23" s="61" t="s">
        <v>465</v>
      </c>
      <c r="B23" s="68">
        <v>9383.9299440948344</v>
      </c>
      <c r="C23" s="68">
        <v>768.40749786678373</v>
      </c>
      <c r="D23" s="68">
        <v>428.10787962338043</v>
      </c>
      <c r="E23" s="68">
        <v>340.29961824340484</v>
      </c>
      <c r="F23" s="68"/>
      <c r="G23" s="68">
        <v>740.69266945331174</v>
      </c>
      <c r="H23" s="68">
        <v>537.29798403381528</v>
      </c>
      <c r="I23" s="68">
        <v>203.39468541949645</v>
      </c>
      <c r="J23" s="68"/>
      <c r="K23" s="68">
        <v>7874.8297767747381</v>
      </c>
      <c r="L23" s="68">
        <v>3849.512394671056</v>
      </c>
      <c r="M23" s="68">
        <v>4025.3173821033733</v>
      </c>
    </row>
    <row r="24" spans="1:13" s="335" customFormat="1" x14ac:dyDescent="0.2">
      <c r="A24" s="371" t="s">
        <v>466</v>
      </c>
      <c r="B24" s="69">
        <v>7267.9011539098419</v>
      </c>
      <c r="C24" s="69">
        <v>496.01403879409645</v>
      </c>
      <c r="D24" s="69">
        <v>258.51595071354899</v>
      </c>
      <c r="E24" s="69">
        <v>237.49808808054652</v>
      </c>
      <c r="F24" s="69"/>
      <c r="G24" s="69">
        <v>411.34403316038424</v>
      </c>
      <c r="H24" s="69">
        <v>280.56861459726531</v>
      </c>
      <c r="I24" s="69">
        <v>130.77541856311842</v>
      </c>
      <c r="J24" s="69"/>
      <c r="K24" s="69">
        <v>6360.5430819552921</v>
      </c>
      <c r="L24" s="69">
        <v>3017.0394884574453</v>
      </c>
      <c r="M24" s="69">
        <v>3343.5035934975895</v>
      </c>
    </row>
    <row r="25" spans="1:13" x14ac:dyDescent="0.2">
      <c r="A25" s="61" t="s">
        <v>466</v>
      </c>
      <c r="B25" s="68">
        <v>7267.9011539098419</v>
      </c>
      <c r="C25" s="68">
        <v>496.01403879409645</v>
      </c>
      <c r="D25" s="68">
        <v>258.51595071354899</v>
      </c>
      <c r="E25" s="68">
        <v>237.49808808054652</v>
      </c>
      <c r="F25" s="68"/>
      <c r="G25" s="68">
        <v>411.34403316038424</v>
      </c>
      <c r="H25" s="68">
        <v>280.56861459726531</v>
      </c>
      <c r="I25" s="68">
        <v>130.77541856311842</v>
      </c>
      <c r="J25" s="68"/>
      <c r="K25" s="68">
        <v>6360.5430819552921</v>
      </c>
      <c r="L25" s="68">
        <v>3017.0394884574453</v>
      </c>
      <c r="M25" s="68">
        <v>3343.5035934975895</v>
      </c>
    </row>
    <row r="26" spans="1:13" s="335" customFormat="1" x14ac:dyDescent="0.2">
      <c r="A26" s="371" t="s">
        <v>467</v>
      </c>
      <c r="B26" s="69">
        <v>11223.099602412276</v>
      </c>
      <c r="C26" s="69">
        <v>2005.1549995246592</v>
      </c>
      <c r="D26" s="69">
        <v>1082.4833845142077</v>
      </c>
      <c r="E26" s="69">
        <v>922.67161501043483</v>
      </c>
      <c r="F26" s="69"/>
      <c r="G26" s="69">
        <v>1374.5588791221714</v>
      </c>
      <c r="H26" s="69">
        <v>970.29106549843107</v>
      </c>
      <c r="I26" s="69">
        <v>404.26781362373532</v>
      </c>
      <c r="J26" s="69"/>
      <c r="K26" s="69">
        <v>7843.3857237658294</v>
      </c>
      <c r="L26" s="69">
        <v>3434.2628043582354</v>
      </c>
      <c r="M26" s="69">
        <v>4409.1229194072484</v>
      </c>
    </row>
    <row r="27" spans="1:13" x14ac:dyDescent="0.2">
      <c r="A27" s="61" t="s">
        <v>467</v>
      </c>
      <c r="B27" s="68">
        <v>11223.099602412276</v>
      </c>
      <c r="C27" s="68">
        <v>2005.1549995246592</v>
      </c>
      <c r="D27" s="68">
        <v>1082.4833845142077</v>
      </c>
      <c r="E27" s="68">
        <v>922.67161501043483</v>
      </c>
      <c r="F27" s="68"/>
      <c r="G27" s="68">
        <v>1374.5588791221714</v>
      </c>
      <c r="H27" s="68">
        <v>970.29106549843107</v>
      </c>
      <c r="I27" s="68">
        <v>404.26781362373532</v>
      </c>
      <c r="J27" s="68"/>
      <c r="K27" s="68">
        <v>7843.3857237658294</v>
      </c>
      <c r="L27" s="68">
        <v>3434.2628043582354</v>
      </c>
      <c r="M27" s="68">
        <v>4409.1229194072484</v>
      </c>
    </row>
    <row r="28" spans="1:13" s="335" customFormat="1" x14ac:dyDescent="0.2">
      <c r="A28" s="371" t="s">
        <v>468</v>
      </c>
      <c r="B28" s="69">
        <v>6105.7276275577933</v>
      </c>
      <c r="C28" s="69">
        <v>253.69068138039813</v>
      </c>
      <c r="D28" s="69">
        <v>143.42400398433273</v>
      </c>
      <c r="E28" s="69">
        <v>110.26667739606475</v>
      </c>
      <c r="F28" s="69"/>
      <c r="G28" s="69">
        <v>422.81963679498483</v>
      </c>
      <c r="H28" s="69">
        <v>319.09500623410634</v>
      </c>
      <c r="I28" s="69">
        <v>103.72463056087825</v>
      </c>
      <c r="J28" s="69"/>
      <c r="K28" s="69">
        <v>5429.2173093823476</v>
      </c>
      <c r="L28" s="69">
        <v>2469.0048211560861</v>
      </c>
      <c r="M28" s="69">
        <v>2960.2124882262183</v>
      </c>
    </row>
    <row r="29" spans="1:13" x14ac:dyDescent="0.2">
      <c r="A29" s="61" t="s">
        <v>468</v>
      </c>
      <c r="B29" s="68">
        <v>6105.7276275577933</v>
      </c>
      <c r="C29" s="68">
        <v>253.69068138039813</v>
      </c>
      <c r="D29" s="68">
        <v>143.42400398433273</v>
      </c>
      <c r="E29" s="68">
        <v>110.26667739606475</v>
      </c>
      <c r="F29" s="68"/>
      <c r="G29" s="68">
        <v>422.81963679498483</v>
      </c>
      <c r="H29" s="68">
        <v>319.09500623410634</v>
      </c>
      <c r="I29" s="68">
        <v>103.72463056087825</v>
      </c>
      <c r="J29" s="68"/>
      <c r="K29" s="68">
        <v>5429.2173093823476</v>
      </c>
      <c r="L29" s="68">
        <v>2469.0048211560861</v>
      </c>
      <c r="M29" s="68">
        <v>2960.2124882262183</v>
      </c>
    </row>
    <row r="36" spans="4:4" x14ac:dyDescent="0.2">
      <c r="D36" s="326"/>
    </row>
  </sheetData>
  <mergeCells count="7">
    <mergeCell ref="A2:A4"/>
    <mergeCell ref="B2:B4"/>
    <mergeCell ref="A1:M1"/>
    <mergeCell ref="C2:M2"/>
    <mergeCell ref="C3:E3"/>
    <mergeCell ref="G3:I3"/>
    <mergeCell ref="K3:M3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="120" zoomScaleNormal="120" workbookViewId="0">
      <selection activeCell="B6" sqref="B6:B7"/>
    </sheetView>
  </sheetViews>
  <sheetFormatPr defaultRowHeight="12" x14ac:dyDescent="0.2"/>
  <cols>
    <col min="1" max="1" width="22" style="322" customWidth="1"/>
    <col min="2" max="16384" width="9.140625" style="322"/>
  </cols>
  <sheetData>
    <row r="1" spans="1:8" ht="21" customHeight="1" x14ac:dyDescent="0.2">
      <c r="A1" s="535" t="s">
        <v>524</v>
      </c>
      <c r="B1" s="535"/>
      <c r="C1" s="535"/>
      <c r="D1" s="535"/>
      <c r="E1" s="535"/>
      <c r="F1" s="535"/>
      <c r="G1" s="535"/>
      <c r="H1" s="535"/>
    </row>
    <row r="2" spans="1:8" ht="23.25" customHeight="1" x14ac:dyDescent="0.2">
      <c r="A2" s="536" t="s">
        <v>501</v>
      </c>
      <c r="B2" s="538" t="s">
        <v>476</v>
      </c>
      <c r="C2" s="538"/>
      <c r="D2" s="538"/>
      <c r="E2" s="262"/>
      <c r="F2" s="539" t="s">
        <v>233</v>
      </c>
      <c r="G2" s="539"/>
      <c r="H2" s="539"/>
    </row>
    <row r="3" spans="1:8" x14ac:dyDescent="0.2">
      <c r="A3" s="537"/>
      <c r="B3" s="52" t="s">
        <v>1</v>
      </c>
      <c r="C3" s="43" t="s">
        <v>139</v>
      </c>
      <c r="D3" s="43" t="s">
        <v>140</v>
      </c>
      <c r="E3" s="43"/>
      <c r="F3" s="141" t="s">
        <v>1</v>
      </c>
      <c r="G3" s="141" t="s">
        <v>2</v>
      </c>
      <c r="H3" s="141" t="s">
        <v>3</v>
      </c>
    </row>
    <row r="4" spans="1:8" x14ac:dyDescent="0.2">
      <c r="A4" s="379" t="s">
        <v>457</v>
      </c>
      <c r="B4" s="229">
        <v>84778.008972501353</v>
      </c>
      <c r="C4" s="229">
        <v>42026.60999827768</v>
      </c>
      <c r="D4" s="229">
        <v>42751.398974103548</v>
      </c>
      <c r="E4" s="229"/>
      <c r="F4" s="229">
        <v>56224.668504725028</v>
      </c>
      <c r="G4" s="229">
        <v>27578.778060161108</v>
      </c>
      <c r="H4" s="229">
        <v>28645.890444569348</v>
      </c>
    </row>
    <row r="5" spans="1:8" x14ac:dyDescent="0.2">
      <c r="A5" s="232" t="s">
        <v>14</v>
      </c>
      <c r="B5" s="71"/>
      <c r="C5" s="71"/>
      <c r="D5" s="71"/>
      <c r="E5" s="71"/>
      <c r="F5" s="71"/>
      <c r="G5" s="71"/>
      <c r="H5" s="71"/>
    </row>
    <row r="6" spans="1:8" x14ac:dyDescent="0.2">
      <c r="A6" s="380" t="s">
        <v>5</v>
      </c>
      <c r="B6" s="70">
        <v>45409.701925440269</v>
      </c>
      <c r="C6" s="70">
        <v>22710.426262536894</v>
      </c>
      <c r="D6" s="70">
        <v>22699.275662908803</v>
      </c>
      <c r="E6" s="70"/>
      <c r="F6" s="70">
        <v>27114.913115632553</v>
      </c>
      <c r="G6" s="70">
        <v>13357.30329449477</v>
      </c>
      <c r="H6" s="70">
        <v>13757.609821143211</v>
      </c>
    </row>
    <row r="7" spans="1:8" x14ac:dyDescent="0.2">
      <c r="A7" s="72" t="s">
        <v>6</v>
      </c>
      <c r="B7" s="70">
        <v>39368.307046940958</v>
      </c>
      <c r="C7" s="70">
        <v>19316.183735746214</v>
      </c>
      <c r="D7" s="70">
        <v>20052.123311200172</v>
      </c>
      <c r="E7" s="70"/>
      <c r="F7" s="70">
        <v>29109.755389097903</v>
      </c>
      <c r="G7" s="70">
        <v>14221.474765671766</v>
      </c>
      <c r="H7" s="70">
        <v>14888.280623431565</v>
      </c>
    </row>
    <row r="8" spans="1:8" x14ac:dyDescent="0.2">
      <c r="A8" s="234" t="s">
        <v>542</v>
      </c>
      <c r="B8" s="253"/>
      <c r="C8" s="253"/>
      <c r="D8" s="253"/>
      <c r="E8" s="253"/>
      <c r="F8" s="253"/>
      <c r="G8" s="253"/>
      <c r="H8" s="253"/>
    </row>
    <row r="9" spans="1:8" s="335" customFormat="1" x14ac:dyDescent="0.2">
      <c r="A9" s="371" t="s">
        <v>458</v>
      </c>
      <c r="B9" s="71">
        <v>32931.065881644441</v>
      </c>
      <c r="C9" s="71">
        <v>16313.327255901502</v>
      </c>
      <c r="D9" s="71">
        <v>16617.738625748367</v>
      </c>
      <c r="E9" s="71"/>
      <c r="F9" s="71">
        <v>19631.745705221168</v>
      </c>
      <c r="G9" s="71">
        <v>9562.7542410556489</v>
      </c>
      <c r="H9" s="71">
        <v>10068.991464170947</v>
      </c>
    </row>
    <row r="10" spans="1:8" x14ac:dyDescent="0.2">
      <c r="A10" s="61" t="s">
        <v>458</v>
      </c>
      <c r="B10" s="70">
        <v>32931.065881644441</v>
      </c>
      <c r="C10" s="70">
        <v>16313.327255901502</v>
      </c>
      <c r="D10" s="70">
        <v>16617.738625748367</v>
      </c>
      <c r="E10" s="70"/>
      <c r="F10" s="70">
        <v>19631.745705221168</v>
      </c>
      <c r="G10" s="70">
        <v>9562.7542410556489</v>
      </c>
      <c r="H10" s="70">
        <v>10068.991464170947</v>
      </c>
    </row>
    <row r="11" spans="1:8" s="335" customFormat="1" x14ac:dyDescent="0.2">
      <c r="A11" s="371" t="s">
        <v>459</v>
      </c>
      <c r="B11" s="71">
        <v>20546.094874724571</v>
      </c>
      <c r="C11" s="71">
        <v>9974.2113673321801</v>
      </c>
      <c r="D11" s="71">
        <v>10571.883507397819</v>
      </c>
      <c r="E11" s="71"/>
      <c r="F11" s="71">
        <v>14288.378363440308</v>
      </c>
      <c r="G11" s="71">
        <v>6875.4597306848182</v>
      </c>
      <c r="H11" s="71">
        <v>7412.9186327592079</v>
      </c>
    </row>
    <row r="12" spans="1:8" x14ac:dyDescent="0.2">
      <c r="A12" s="61" t="s">
        <v>459</v>
      </c>
      <c r="B12" s="70">
        <v>17522.052255586488</v>
      </c>
      <c r="C12" s="70">
        <v>8539.1291951969615</v>
      </c>
      <c r="D12" s="70">
        <v>8982.9230603949545</v>
      </c>
      <c r="E12" s="70"/>
      <c r="F12" s="70">
        <v>11922.221122359551</v>
      </c>
      <c r="G12" s="70">
        <v>5744.7889283955419</v>
      </c>
      <c r="H12" s="70">
        <v>6177.4321939657975</v>
      </c>
    </row>
    <row r="13" spans="1:8" x14ac:dyDescent="0.2">
      <c r="A13" s="61" t="s">
        <v>473</v>
      </c>
      <c r="B13" s="70">
        <v>3024.0426191397323</v>
      </c>
      <c r="C13" s="70">
        <v>1435.0821721360949</v>
      </c>
      <c r="D13" s="70">
        <v>1588.9604470038348</v>
      </c>
      <c r="E13" s="70"/>
      <c r="F13" s="70">
        <v>2366.1572410821377</v>
      </c>
      <c r="G13" s="70">
        <v>1130.6708022890441</v>
      </c>
      <c r="H13" s="70">
        <v>1235.4864387931568</v>
      </c>
    </row>
    <row r="14" spans="1:8" s="335" customFormat="1" x14ac:dyDescent="0.2">
      <c r="A14" s="371" t="s">
        <v>461</v>
      </c>
      <c r="B14" s="71">
        <v>5488.3251369492564</v>
      </c>
      <c r="C14" s="71">
        <v>2754.1981081398376</v>
      </c>
      <c r="D14" s="71">
        <v>2734.1270288092669</v>
      </c>
      <c r="E14" s="71"/>
      <c r="F14" s="71">
        <v>2784.3047271356936</v>
      </c>
      <c r="G14" s="71">
        <v>1496.4104700906289</v>
      </c>
      <c r="H14" s="71">
        <v>1287.8942570452132</v>
      </c>
    </row>
    <row r="15" spans="1:8" x14ac:dyDescent="0.2">
      <c r="A15" s="61" t="s">
        <v>461</v>
      </c>
      <c r="B15" s="70">
        <v>5488.3251369492564</v>
      </c>
      <c r="C15" s="70">
        <v>2754.1981081398376</v>
      </c>
      <c r="D15" s="70">
        <v>2734.1270288092669</v>
      </c>
      <c r="E15" s="70"/>
      <c r="F15" s="70">
        <v>2784.3047271356936</v>
      </c>
      <c r="G15" s="70">
        <v>1496.4104700906289</v>
      </c>
      <c r="H15" s="70">
        <v>1287.8942570452132</v>
      </c>
    </row>
    <row r="16" spans="1:8" s="335" customFormat="1" x14ac:dyDescent="0.2">
      <c r="A16" s="371" t="s">
        <v>462</v>
      </c>
      <c r="B16" s="71">
        <v>7741.8613217881393</v>
      </c>
      <c r="C16" s="71">
        <v>3980.7640672302682</v>
      </c>
      <c r="D16" s="71">
        <v>3761.0972545568002</v>
      </c>
      <c r="E16" s="71"/>
      <c r="F16" s="71">
        <v>5420.3064792178502</v>
      </c>
      <c r="G16" s="71">
        <v>2746.3926884001712</v>
      </c>
      <c r="H16" s="71">
        <v>2673.9137908175549</v>
      </c>
    </row>
    <row r="17" spans="1:8" x14ac:dyDescent="0.2">
      <c r="A17" s="61" t="s">
        <v>462</v>
      </c>
      <c r="B17" s="70">
        <v>7741.8613217881393</v>
      </c>
      <c r="C17" s="70">
        <v>3980.7640672302682</v>
      </c>
      <c r="D17" s="70">
        <v>3761.0972545568002</v>
      </c>
      <c r="E17" s="70"/>
      <c r="F17" s="70">
        <v>5420.3064792178502</v>
      </c>
      <c r="G17" s="70">
        <v>2746.3926884001712</v>
      </c>
      <c r="H17" s="70">
        <v>2673.9137908175549</v>
      </c>
    </row>
    <row r="18" spans="1:8" s="335" customFormat="1" x14ac:dyDescent="0.2">
      <c r="A18" s="371" t="s">
        <v>463</v>
      </c>
      <c r="B18" s="71">
        <v>8453.2695780606664</v>
      </c>
      <c r="C18" s="71">
        <v>4228.3073789740274</v>
      </c>
      <c r="D18" s="71">
        <v>4224.9621990855976</v>
      </c>
      <c r="E18" s="71"/>
      <c r="F18" s="71">
        <v>5690.150990217855</v>
      </c>
      <c r="G18" s="71">
        <v>2745.2776284373617</v>
      </c>
      <c r="H18" s="71">
        <v>2944.8733617802591</v>
      </c>
    </row>
    <row r="19" spans="1:8" x14ac:dyDescent="0.2">
      <c r="A19" s="61" t="s">
        <v>463</v>
      </c>
      <c r="B19" s="70">
        <v>8453.2695780606664</v>
      </c>
      <c r="C19" s="70">
        <v>4228.3073789740274</v>
      </c>
      <c r="D19" s="70">
        <v>4224.9621990855976</v>
      </c>
      <c r="E19" s="70"/>
      <c r="F19" s="70">
        <v>5690.150990217855</v>
      </c>
      <c r="G19" s="70">
        <v>2745.2776284373617</v>
      </c>
      <c r="H19" s="70">
        <v>2944.8733617802591</v>
      </c>
    </row>
    <row r="20" spans="1:8" s="335" customFormat="1" x14ac:dyDescent="0.2">
      <c r="A20" s="371" t="s">
        <v>464</v>
      </c>
      <c r="B20" s="71">
        <v>2985.0155204414004</v>
      </c>
      <c r="C20" s="71">
        <v>1547.7032283798756</v>
      </c>
      <c r="D20" s="71">
        <v>1437.3122920617143</v>
      </c>
      <c r="E20" s="71"/>
      <c r="F20" s="71">
        <v>2687.2945103712686</v>
      </c>
      <c r="G20" s="71">
        <v>1392.7098935493259</v>
      </c>
      <c r="H20" s="71">
        <v>1294.5846168220714</v>
      </c>
    </row>
    <row r="21" spans="1:8" x14ac:dyDescent="0.2">
      <c r="A21" s="61" t="s">
        <v>464</v>
      </c>
      <c r="B21" s="70">
        <v>737.05463541721656</v>
      </c>
      <c r="C21" s="70">
        <v>381.3505072809192</v>
      </c>
      <c r="D21" s="70">
        <v>355.70412813629588</v>
      </c>
      <c r="E21" s="70"/>
      <c r="F21" s="70">
        <v>622.20345924781645</v>
      </c>
      <c r="G21" s="70">
        <v>322.25232925200459</v>
      </c>
      <c r="H21" s="70">
        <v>299.95112999581039</v>
      </c>
    </row>
    <row r="22" spans="1:8" x14ac:dyDescent="0.2">
      <c r="A22" s="61" t="s">
        <v>465</v>
      </c>
      <c r="B22" s="70">
        <v>2247.9608850243326</v>
      </c>
      <c r="C22" s="70">
        <v>1166.3527210989548</v>
      </c>
      <c r="D22" s="70">
        <v>1081.6081639254169</v>
      </c>
      <c r="E22" s="70"/>
      <c r="F22" s="70">
        <v>2065.0910511235775</v>
      </c>
      <c r="G22" s="70">
        <v>1070.4575642973198</v>
      </c>
      <c r="H22" s="70">
        <v>994.63348682625951</v>
      </c>
    </row>
    <row r="23" spans="1:8" s="335" customFormat="1" x14ac:dyDescent="0.2">
      <c r="A23" s="371" t="s">
        <v>466</v>
      </c>
      <c r="B23" s="71">
        <v>2284.7578637970455</v>
      </c>
      <c r="C23" s="71">
        <v>1060.4220246320324</v>
      </c>
      <c r="D23" s="71">
        <v>1224.3358391650597</v>
      </c>
      <c r="E23" s="71"/>
      <c r="F23" s="71">
        <v>2079.5868306401007</v>
      </c>
      <c r="G23" s="71">
        <v>966.75698775601677</v>
      </c>
      <c r="H23" s="71">
        <v>1112.8298428840887</v>
      </c>
    </row>
    <row r="24" spans="1:8" x14ac:dyDescent="0.2">
      <c r="A24" s="61" t="s">
        <v>466</v>
      </c>
      <c r="B24" s="70">
        <v>2284.7578637970455</v>
      </c>
      <c r="C24" s="70">
        <v>1060.4220246320324</v>
      </c>
      <c r="D24" s="70">
        <v>1224.3358391650597</v>
      </c>
      <c r="E24" s="70"/>
      <c r="F24" s="70">
        <v>2079.5868306401007</v>
      </c>
      <c r="G24" s="70">
        <v>966.75698775601677</v>
      </c>
      <c r="H24" s="70">
        <v>1112.8298428840887</v>
      </c>
    </row>
    <row r="25" spans="1:8" s="335" customFormat="1" x14ac:dyDescent="0.2">
      <c r="A25" s="371" t="s">
        <v>467</v>
      </c>
      <c r="B25" s="71">
        <v>2863.4739844951669</v>
      </c>
      <c r="C25" s="71">
        <v>1451.8080715782405</v>
      </c>
      <c r="D25" s="71">
        <v>1411.665912917091</v>
      </c>
      <c r="E25" s="71"/>
      <c r="F25" s="71">
        <v>2251.306064912761</v>
      </c>
      <c r="G25" s="71">
        <v>1130.6708022890441</v>
      </c>
      <c r="H25" s="71">
        <v>1120.6352626237567</v>
      </c>
    </row>
    <row r="26" spans="1:8" x14ac:dyDescent="0.2">
      <c r="A26" s="61" t="s">
        <v>467</v>
      </c>
      <c r="B26" s="70">
        <v>2863.4739844951669</v>
      </c>
      <c r="C26" s="70">
        <v>1451.8080715782405</v>
      </c>
      <c r="D26" s="70">
        <v>1411.665912917091</v>
      </c>
      <c r="E26" s="70"/>
      <c r="F26" s="70">
        <v>2251.306064912761</v>
      </c>
      <c r="G26" s="70">
        <v>1130.6708022890441</v>
      </c>
      <c r="H26" s="70">
        <v>1120.6352626237567</v>
      </c>
    </row>
    <row r="27" spans="1:8" s="335" customFormat="1" x14ac:dyDescent="0.2">
      <c r="A27" s="371" t="s">
        <v>468</v>
      </c>
      <c r="B27" s="71">
        <v>1484.1448104997221</v>
      </c>
      <c r="C27" s="71">
        <v>715.86849612383207</v>
      </c>
      <c r="D27" s="71">
        <v>768.27631437588843</v>
      </c>
      <c r="E27" s="71"/>
      <c r="F27" s="71">
        <v>1391.5948335865162</v>
      </c>
      <c r="G27" s="71">
        <v>662.34561790896601</v>
      </c>
      <c r="H27" s="71">
        <v>729.24921567754859</v>
      </c>
    </row>
    <row r="28" spans="1:8" x14ac:dyDescent="0.2">
      <c r="A28" s="61" t="s">
        <v>468</v>
      </c>
      <c r="B28" s="70">
        <v>1484.1448104997221</v>
      </c>
      <c r="C28" s="70">
        <v>715.86849612383207</v>
      </c>
      <c r="D28" s="70">
        <v>768.27631437588843</v>
      </c>
      <c r="E28" s="70"/>
      <c r="F28" s="70">
        <v>1391.5948335865162</v>
      </c>
      <c r="G28" s="70">
        <v>662.34561790896601</v>
      </c>
      <c r="H28" s="70">
        <v>729.24921567754859</v>
      </c>
    </row>
  </sheetData>
  <mergeCells count="4">
    <mergeCell ref="A1:H1"/>
    <mergeCell ref="A2:A3"/>
    <mergeCell ref="B2:D2"/>
    <mergeCell ref="F2:H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zoomScale="120" zoomScaleNormal="120" workbookViewId="0">
      <selection activeCell="F2" sqref="F2:H2"/>
    </sheetView>
  </sheetViews>
  <sheetFormatPr defaultRowHeight="12" x14ac:dyDescent="0.2"/>
  <cols>
    <col min="1" max="1" width="22" style="322" customWidth="1"/>
    <col min="2" max="7" width="9.140625" style="322"/>
    <col min="8" max="8" width="15.5703125" style="322" customWidth="1"/>
    <col min="9" max="16384" width="9.140625" style="322"/>
  </cols>
  <sheetData>
    <row r="1" spans="1:8" ht="28.5" customHeight="1" x14ac:dyDescent="0.2">
      <c r="A1" s="532" t="s">
        <v>525</v>
      </c>
      <c r="B1" s="532"/>
      <c r="C1" s="532"/>
      <c r="D1" s="532"/>
      <c r="E1" s="532"/>
      <c r="F1" s="532"/>
      <c r="G1" s="532"/>
      <c r="H1" s="532"/>
    </row>
    <row r="2" spans="1:8" ht="21.75" customHeight="1" x14ac:dyDescent="0.2">
      <c r="A2" s="536" t="s">
        <v>501</v>
      </c>
      <c r="B2" s="540" t="s">
        <v>234</v>
      </c>
      <c r="C2" s="540"/>
      <c r="D2" s="540"/>
      <c r="E2" s="333"/>
      <c r="F2" s="539" t="s">
        <v>235</v>
      </c>
      <c r="G2" s="539"/>
      <c r="H2" s="539"/>
    </row>
    <row r="3" spans="1:8" x14ac:dyDescent="0.2">
      <c r="A3" s="537"/>
      <c r="B3" s="141" t="s">
        <v>1</v>
      </c>
      <c r="C3" s="141" t="s">
        <v>2</v>
      </c>
      <c r="D3" s="141" t="s">
        <v>3</v>
      </c>
      <c r="E3" s="141"/>
      <c r="F3" s="141" t="s">
        <v>1</v>
      </c>
      <c r="G3" s="141" t="s">
        <v>2</v>
      </c>
      <c r="H3" s="141" t="s">
        <v>3</v>
      </c>
    </row>
    <row r="4" spans="1:8" x14ac:dyDescent="0.2">
      <c r="A4" s="228" t="s">
        <v>457</v>
      </c>
      <c r="B4" s="279">
        <v>31323.149415273823</v>
      </c>
      <c r="C4" s="279">
        <v>15929.746628695197</v>
      </c>
      <c r="D4" s="229">
        <v>15393.402786584054</v>
      </c>
      <c r="E4" s="229"/>
      <c r="F4" s="229">
        <v>18543.447181519557</v>
      </c>
      <c r="G4" s="229">
        <v>9017.4899192420344</v>
      </c>
      <c r="H4" s="279">
        <v>9525.957262282951</v>
      </c>
    </row>
    <row r="5" spans="1:8" x14ac:dyDescent="0.2">
      <c r="A5" s="232" t="s">
        <v>14</v>
      </c>
      <c r="B5" s="71"/>
      <c r="C5" s="71"/>
      <c r="D5" s="69"/>
      <c r="E5" s="69"/>
      <c r="F5" s="69"/>
      <c r="G5" s="69"/>
      <c r="H5" s="71"/>
    </row>
    <row r="6" spans="1:8" x14ac:dyDescent="0.2">
      <c r="A6" s="378" t="s">
        <v>5</v>
      </c>
      <c r="B6" s="70">
        <v>17468.529377371655</v>
      </c>
      <c r="C6" s="70">
        <v>8980.6929404693365</v>
      </c>
      <c r="D6" s="68">
        <v>8487.8364369077462</v>
      </c>
      <c r="E6" s="68"/>
      <c r="F6" s="68">
        <v>9134.5712153369823</v>
      </c>
      <c r="G6" s="68">
        <v>4488.1163503087428</v>
      </c>
      <c r="H6" s="70">
        <v>4646.4548650277538</v>
      </c>
    </row>
    <row r="7" spans="1:8" x14ac:dyDescent="0.2">
      <c r="A7" s="72" t="s">
        <v>6</v>
      </c>
      <c r="B7" s="70">
        <v>13854.620037907596</v>
      </c>
      <c r="C7" s="70">
        <v>6949.053688230274</v>
      </c>
      <c r="D7" s="68">
        <v>6905.5663496806865</v>
      </c>
      <c r="E7" s="68"/>
      <c r="F7" s="68">
        <v>9408.8759661880031</v>
      </c>
      <c r="G7" s="68">
        <v>4529.3735689327104</v>
      </c>
      <c r="H7" s="70">
        <v>4879.5023972550307</v>
      </c>
    </row>
    <row r="8" spans="1:8" x14ac:dyDescent="0.2">
      <c r="A8" s="234" t="s">
        <v>542</v>
      </c>
      <c r="B8" s="253"/>
      <c r="C8" s="253"/>
      <c r="D8" s="235"/>
      <c r="E8" s="235"/>
      <c r="F8" s="235"/>
      <c r="G8" s="235"/>
      <c r="H8" s="253"/>
    </row>
    <row r="9" spans="1:8" s="335" customFormat="1" x14ac:dyDescent="0.2">
      <c r="A9" s="371" t="s">
        <v>458</v>
      </c>
      <c r="B9" s="71">
        <v>12080.559637078433</v>
      </c>
      <c r="C9" s="71">
        <v>5999.0225999162076</v>
      </c>
      <c r="D9" s="69">
        <v>6081.5370371641429</v>
      </c>
      <c r="E9" s="69"/>
      <c r="F9" s="69">
        <v>6057.0057179823243</v>
      </c>
      <c r="G9" s="69">
        <v>2796.5703867265979</v>
      </c>
      <c r="H9" s="71">
        <v>3260.4353312553426</v>
      </c>
    </row>
    <row r="10" spans="1:8" x14ac:dyDescent="0.2">
      <c r="A10" s="61" t="s">
        <v>458</v>
      </c>
      <c r="B10" s="70">
        <v>12080.559637078433</v>
      </c>
      <c r="C10" s="70">
        <v>5999.0225999162076</v>
      </c>
      <c r="D10" s="68">
        <v>6081.5370371641429</v>
      </c>
      <c r="E10" s="68"/>
      <c r="F10" s="68">
        <v>6057.0057179823243</v>
      </c>
      <c r="G10" s="68">
        <v>2796.5703867265979</v>
      </c>
      <c r="H10" s="70">
        <v>3260.4353312553426</v>
      </c>
    </row>
    <row r="11" spans="1:8" s="335" customFormat="1" x14ac:dyDescent="0.2">
      <c r="A11" s="371" t="s">
        <v>459</v>
      </c>
      <c r="B11" s="71">
        <v>7934.7666953542584</v>
      </c>
      <c r="C11" s="71">
        <v>4063.2785044781699</v>
      </c>
      <c r="D11" s="69">
        <v>3871.4881908749389</v>
      </c>
      <c r="E11" s="69"/>
      <c r="F11" s="69">
        <v>4964.2469544285859</v>
      </c>
      <c r="G11" s="69">
        <v>2398.4939800036127</v>
      </c>
      <c r="H11" s="71">
        <v>2565.7529744250351</v>
      </c>
    </row>
    <row r="12" spans="1:8" x14ac:dyDescent="0.2">
      <c r="A12" s="61" t="s">
        <v>459</v>
      </c>
      <c r="B12" s="70">
        <v>6692.5898967839885</v>
      </c>
      <c r="C12" s="70">
        <v>3470.0666042635253</v>
      </c>
      <c r="D12" s="68">
        <v>3222.5232925198202</v>
      </c>
      <c r="E12" s="68"/>
      <c r="F12" s="68">
        <v>4036.5170653707423</v>
      </c>
      <c r="G12" s="68">
        <v>1956.930234731039</v>
      </c>
      <c r="H12" s="70">
        <v>2079.5868306401007</v>
      </c>
    </row>
    <row r="13" spans="1:8" x14ac:dyDescent="0.2">
      <c r="A13" s="61" t="s">
        <v>473</v>
      </c>
      <c r="B13" s="70">
        <v>1242.1767985700151</v>
      </c>
      <c r="C13" s="70">
        <v>593.211900214764</v>
      </c>
      <c r="D13" s="68">
        <v>648.96489835524949</v>
      </c>
      <c r="E13" s="68"/>
      <c r="F13" s="68">
        <v>927.72988905767693</v>
      </c>
      <c r="G13" s="68">
        <v>441.56374527264353</v>
      </c>
      <c r="H13" s="70">
        <v>486.16614378503192</v>
      </c>
    </row>
    <row r="14" spans="1:8" s="335" customFormat="1" x14ac:dyDescent="0.2">
      <c r="A14" s="371" t="s">
        <v>461</v>
      </c>
      <c r="B14" s="71">
        <v>2183.2874071813826</v>
      </c>
      <c r="C14" s="71">
        <v>1161.892481247716</v>
      </c>
      <c r="D14" s="69">
        <v>1021.3949259336925</v>
      </c>
      <c r="E14" s="69"/>
      <c r="F14" s="69">
        <v>1129.5557423262344</v>
      </c>
      <c r="G14" s="69">
        <v>609.93779965690965</v>
      </c>
      <c r="H14" s="71">
        <v>519.61794266932316</v>
      </c>
    </row>
    <row r="15" spans="1:8" x14ac:dyDescent="0.2">
      <c r="A15" s="61" t="s">
        <v>461</v>
      </c>
      <c r="B15" s="70">
        <v>2183.2874071813826</v>
      </c>
      <c r="C15" s="70">
        <v>1161.892481247716</v>
      </c>
      <c r="D15" s="68">
        <v>1021.3949259336925</v>
      </c>
      <c r="E15" s="68"/>
      <c r="F15" s="68">
        <v>1129.5557423262344</v>
      </c>
      <c r="G15" s="68">
        <v>609.93779965690965</v>
      </c>
      <c r="H15" s="70">
        <v>519.61794266932316</v>
      </c>
    </row>
    <row r="16" spans="1:8" s="335" customFormat="1" x14ac:dyDescent="0.2">
      <c r="A16" s="371" t="s">
        <v>462</v>
      </c>
      <c r="B16" s="71">
        <v>2861.2438645695479</v>
      </c>
      <c r="C16" s="71">
        <v>1477.4544507228638</v>
      </c>
      <c r="D16" s="69">
        <v>1383.7894138468482</v>
      </c>
      <c r="E16" s="69"/>
      <c r="F16" s="69">
        <v>1751.7592015740524</v>
      </c>
      <c r="G16" s="69">
        <v>866.40159110314289</v>
      </c>
      <c r="H16" s="71">
        <v>885.35761047090796</v>
      </c>
    </row>
    <row r="17" spans="1:8" x14ac:dyDescent="0.2">
      <c r="A17" s="61" t="s">
        <v>462</v>
      </c>
      <c r="B17" s="70">
        <v>2861.2438645695479</v>
      </c>
      <c r="C17" s="70">
        <v>1477.4544507228638</v>
      </c>
      <c r="D17" s="68">
        <v>1383.7894138468482</v>
      </c>
      <c r="E17" s="68"/>
      <c r="F17" s="68">
        <v>1751.7592015740524</v>
      </c>
      <c r="G17" s="68">
        <v>866.40159110314289</v>
      </c>
      <c r="H17" s="70">
        <v>885.35761047090796</v>
      </c>
    </row>
    <row r="18" spans="1:8" s="335" customFormat="1" x14ac:dyDescent="0.2">
      <c r="A18" s="371" t="s">
        <v>463</v>
      </c>
      <c r="B18" s="71">
        <v>2837.8276053505488</v>
      </c>
      <c r="C18" s="71">
        <v>1545.4731084542561</v>
      </c>
      <c r="D18" s="69">
        <v>1292.354496896452</v>
      </c>
      <c r="E18" s="69"/>
      <c r="F18" s="69">
        <v>1809.7423196401573</v>
      </c>
      <c r="G18" s="69">
        <v>991.28830693783038</v>
      </c>
      <c r="H18" s="71">
        <v>818.45401270232537</v>
      </c>
    </row>
    <row r="19" spans="1:8" x14ac:dyDescent="0.2">
      <c r="A19" s="61" t="s">
        <v>463</v>
      </c>
      <c r="B19" s="70">
        <v>2837.8276053505488</v>
      </c>
      <c r="C19" s="70">
        <v>1545.4731084542561</v>
      </c>
      <c r="D19" s="68">
        <v>1292.354496896452</v>
      </c>
      <c r="E19" s="68"/>
      <c r="F19" s="68">
        <v>1809.7423196401573</v>
      </c>
      <c r="G19" s="68">
        <v>991.28830693783038</v>
      </c>
      <c r="H19" s="70">
        <v>818.45401270232537</v>
      </c>
    </row>
    <row r="20" spans="1:8" s="335" customFormat="1" x14ac:dyDescent="0.2">
      <c r="A20" s="371" t="s">
        <v>464</v>
      </c>
      <c r="B20" s="71">
        <v>1140.7063419543315</v>
      </c>
      <c r="C20" s="71">
        <v>560.87516129328242</v>
      </c>
      <c r="D20" s="69">
        <v>579.83118066104748</v>
      </c>
      <c r="E20" s="69"/>
      <c r="F20" s="69">
        <v>996.86360675187893</v>
      </c>
      <c r="G20" s="69">
        <v>480.59084397098337</v>
      </c>
      <c r="H20" s="71">
        <v>516.27276278089403</v>
      </c>
    </row>
    <row r="21" spans="1:8" x14ac:dyDescent="0.2">
      <c r="A21" s="61" t="s">
        <v>464</v>
      </c>
      <c r="B21" s="70">
        <v>277.6499307396162</v>
      </c>
      <c r="C21" s="70">
        <v>136.03731546278306</v>
      </c>
      <c r="D21" s="68">
        <v>141.6126152768316</v>
      </c>
      <c r="E21" s="68"/>
      <c r="F21" s="68">
        <v>233.0475322272278</v>
      </c>
      <c r="G21" s="68">
        <v>117.08129609501813</v>
      </c>
      <c r="H21" s="70">
        <v>115.96623613220844</v>
      </c>
    </row>
    <row r="22" spans="1:8" x14ac:dyDescent="0.2">
      <c r="A22" s="61" t="s">
        <v>465</v>
      </c>
      <c r="B22" s="70">
        <v>863.05641121471376</v>
      </c>
      <c r="C22" s="70">
        <v>424.83784583049788</v>
      </c>
      <c r="D22" s="68">
        <v>438.2185653842144</v>
      </c>
      <c r="E22" s="68"/>
      <c r="F22" s="68">
        <v>763.81607452464959</v>
      </c>
      <c r="G22" s="68">
        <v>363.50954787596385</v>
      </c>
      <c r="H22" s="70">
        <v>400.30652664868427</v>
      </c>
    </row>
    <row r="23" spans="1:8" s="335" customFormat="1" x14ac:dyDescent="0.2">
      <c r="A23" s="371" t="s">
        <v>466</v>
      </c>
      <c r="B23" s="71">
        <v>767.16125441307872</v>
      </c>
      <c r="C23" s="71">
        <v>380.23544731810949</v>
      </c>
      <c r="D23" s="69">
        <v>386.92580709496775</v>
      </c>
      <c r="E23" s="69"/>
      <c r="F23" s="69">
        <v>694.68235683044759</v>
      </c>
      <c r="G23" s="69">
        <v>343.43846854538907</v>
      </c>
      <c r="H23" s="71">
        <v>351.24388828505704</v>
      </c>
    </row>
    <row r="24" spans="1:8" x14ac:dyDescent="0.2">
      <c r="A24" s="61" t="s">
        <v>466</v>
      </c>
      <c r="B24" s="70">
        <v>767.16125441307872</v>
      </c>
      <c r="C24" s="70">
        <v>380.23544731810949</v>
      </c>
      <c r="D24" s="68">
        <v>386.92580709496775</v>
      </c>
      <c r="E24" s="68"/>
      <c r="F24" s="68">
        <v>694.68235683044759</v>
      </c>
      <c r="G24" s="68">
        <v>343.43846854538907</v>
      </c>
      <c r="H24" s="70">
        <v>351.24388828505704</v>
      </c>
    </row>
    <row r="25" spans="1:8" s="335" customFormat="1" x14ac:dyDescent="0.2">
      <c r="A25" s="371" t="s">
        <v>467</v>
      </c>
      <c r="B25" s="71">
        <v>1022.5099858965023</v>
      </c>
      <c r="C25" s="71">
        <v>516.27276278089403</v>
      </c>
      <c r="D25" s="69">
        <v>506.2372231156067</v>
      </c>
      <c r="E25" s="69"/>
      <c r="F25" s="69">
        <v>694.68235683044759</v>
      </c>
      <c r="G25" s="69">
        <v>328.94268902886284</v>
      </c>
      <c r="H25" s="71">
        <v>365.73966780158327</v>
      </c>
    </row>
    <row r="26" spans="1:8" x14ac:dyDescent="0.2">
      <c r="A26" s="61" t="s">
        <v>467</v>
      </c>
      <c r="B26" s="70">
        <v>1022.5099858965023</v>
      </c>
      <c r="C26" s="70">
        <v>516.27276278089403</v>
      </c>
      <c r="D26" s="68">
        <v>506.2372231156067</v>
      </c>
      <c r="E26" s="68"/>
      <c r="F26" s="68">
        <v>694.68235683044759</v>
      </c>
      <c r="G26" s="68">
        <v>328.94268902886284</v>
      </c>
      <c r="H26" s="70">
        <v>365.73966780158327</v>
      </c>
    </row>
    <row r="27" spans="1:8" s="335" customFormat="1" x14ac:dyDescent="0.2">
      <c r="A27" s="371" t="s">
        <v>468</v>
      </c>
      <c r="B27" s="71">
        <v>495.0866234875096</v>
      </c>
      <c r="C27" s="71">
        <v>225.24211248755984</v>
      </c>
      <c r="D27" s="69">
        <v>269.84451099994823</v>
      </c>
      <c r="E27" s="69"/>
      <c r="F27" s="69">
        <v>444.90892516107266</v>
      </c>
      <c r="G27" s="69">
        <v>201.82585326855593</v>
      </c>
      <c r="H27" s="71">
        <v>243.08307189251519</v>
      </c>
    </row>
    <row r="28" spans="1:8" x14ac:dyDescent="0.2">
      <c r="A28" s="61" t="s">
        <v>468</v>
      </c>
      <c r="B28" s="70">
        <v>495.0866234875096</v>
      </c>
      <c r="C28" s="70">
        <v>225.24211248755984</v>
      </c>
      <c r="D28" s="68">
        <v>269.84451099994823</v>
      </c>
      <c r="E28" s="68"/>
      <c r="F28" s="68">
        <v>444.90892516107266</v>
      </c>
      <c r="G28" s="68">
        <v>201.82585326855593</v>
      </c>
      <c r="H28" s="70">
        <v>243.08307189251519</v>
      </c>
    </row>
    <row r="32" spans="1:8" x14ac:dyDescent="0.2">
      <c r="C32" s="322" t="s">
        <v>472</v>
      </c>
    </row>
  </sheetData>
  <mergeCells count="4">
    <mergeCell ref="A1:H1"/>
    <mergeCell ref="A2:A3"/>
    <mergeCell ref="B2:D2"/>
    <mergeCell ref="F2:H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zoomScale="120" zoomScaleNormal="120" workbookViewId="0">
      <selection activeCell="T27" sqref="T27"/>
    </sheetView>
  </sheetViews>
  <sheetFormatPr defaultRowHeight="12" x14ac:dyDescent="0.2"/>
  <cols>
    <col min="1" max="1" width="21.42578125" style="322" customWidth="1"/>
    <col min="2" max="16384" width="9.140625" style="322"/>
  </cols>
  <sheetData>
    <row r="1" spans="1:8" ht="21" customHeight="1" x14ac:dyDescent="0.2">
      <c r="A1" s="541" t="s">
        <v>526</v>
      </c>
      <c r="B1" s="541"/>
      <c r="C1" s="541"/>
      <c r="D1" s="541"/>
      <c r="E1" s="541"/>
      <c r="F1" s="541"/>
      <c r="G1" s="541"/>
      <c r="H1" s="541"/>
    </row>
    <row r="2" spans="1:8" ht="24" customHeight="1" x14ac:dyDescent="0.2">
      <c r="A2" s="527" t="s">
        <v>501</v>
      </c>
      <c r="B2" s="542" t="s">
        <v>236</v>
      </c>
      <c r="C2" s="542"/>
      <c r="D2" s="542"/>
      <c r="E2" s="334"/>
      <c r="F2" s="539" t="s">
        <v>237</v>
      </c>
      <c r="G2" s="539"/>
      <c r="H2" s="539"/>
    </row>
    <row r="3" spans="1:8" x14ac:dyDescent="0.2">
      <c r="A3" s="528"/>
      <c r="B3" s="141" t="s">
        <v>1</v>
      </c>
      <c r="C3" s="141" t="s">
        <v>2</v>
      </c>
      <c r="D3" s="141" t="s">
        <v>3</v>
      </c>
      <c r="E3" s="141"/>
      <c r="F3" s="141" t="s">
        <v>1</v>
      </c>
      <c r="G3" s="141" t="s">
        <v>2</v>
      </c>
      <c r="H3" s="141" t="s">
        <v>3</v>
      </c>
    </row>
    <row r="4" spans="1:8" ht="24.75" customHeight="1" x14ac:dyDescent="0.2">
      <c r="A4" s="392" t="s">
        <v>457</v>
      </c>
      <c r="B4" s="229">
        <v>38553.663513767038</v>
      </c>
      <c r="C4" s="229">
        <v>19074.219721869016</v>
      </c>
      <c r="D4" s="229">
        <v>19479.443791914389</v>
      </c>
      <c r="E4" s="229"/>
      <c r="F4" s="229">
        <v>25413.167342667286</v>
      </c>
      <c r="G4" s="229">
        <v>11357.032122420851</v>
      </c>
      <c r="H4" s="229">
        <v>14056.135220245194</v>
      </c>
    </row>
    <row r="5" spans="1:8" x14ac:dyDescent="0.2">
      <c r="A5" s="232" t="s">
        <v>14</v>
      </c>
      <c r="B5" s="69"/>
      <c r="C5" s="69"/>
      <c r="D5" s="69"/>
      <c r="E5" s="69"/>
      <c r="F5" s="69"/>
      <c r="G5" s="69"/>
      <c r="H5" s="69"/>
    </row>
    <row r="6" spans="1:8" x14ac:dyDescent="0.2">
      <c r="A6" s="378" t="s">
        <v>5</v>
      </c>
      <c r="B6" s="68">
        <v>21831.895030407883</v>
      </c>
      <c r="C6" s="68">
        <v>10944.635944941047</v>
      </c>
      <c r="D6" s="68">
        <v>10887.259085465595</v>
      </c>
      <c r="E6" s="68"/>
      <c r="F6" s="68">
        <v>12919.35619188782</v>
      </c>
      <c r="G6" s="68">
        <v>5762.788323564374</v>
      </c>
      <c r="H6" s="68">
        <v>7156.5678683222059</v>
      </c>
    </row>
    <row r="7" spans="1:8" x14ac:dyDescent="0.2">
      <c r="A7" s="72" t="s">
        <v>6</v>
      </c>
      <c r="B7" s="68">
        <v>16721.768483375523</v>
      </c>
      <c r="C7" s="68">
        <v>8129.58377692673</v>
      </c>
      <c r="D7" s="68">
        <v>8592.1847064475533</v>
      </c>
      <c r="E7" s="68"/>
      <c r="F7" s="68">
        <v>12493.811150778225</v>
      </c>
      <c r="G7" s="68">
        <v>5594.2437988552365</v>
      </c>
      <c r="H7" s="68">
        <v>6899.567351921748</v>
      </c>
    </row>
    <row r="8" spans="1:8" ht="12.75" customHeight="1" x14ac:dyDescent="0.2">
      <c r="A8" s="234" t="s">
        <v>542</v>
      </c>
      <c r="B8" s="235"/>
      <c r="C8" s="235"/>
      <c r="D8" s="235"/>
      <c r="E8" s="235"/>
      <c r="F8" s="235"/>
      <c r="G8" s="235"/>
      <c r="H8" s="235"/>
    </row>
    <row r="9" spans="1:8" s="335" customFormat="1" x14ac:dyDescent="0.2">
      <c r="A9" s="371" t="s">
        <v>458</v>
      </c>
      <c r="B9" s="69">
        <v>15134.342037888046</v>
      </c>
      <c r="C9" s="69">
        <v>7317.940285596912</v>
      </c>
      <c r="D9" s="69">
        <v>7816.401752289893</v>
      </c>
      <c r="E9" s="69"/>
      <c r="F9" s="69">
        <v>9298.6372887390444</v>
      </c>
      <c r="G9" s="69">
        <v>3859.7891509620035</v>
      </c>
      <c r="H9" s="69">
        <v>5438.8481377758899</v>
      </c>
    </row>
    <row r="10" spans="1:8" x14ac:dyDescent="0.2">
      <c r="A10" s="61" t="s">
        <v>458</v>
      </c>
      <c r="B10" s="68">
        <v>15134.342037888046</v>
      </c>
      <c r="C10" s="68">
        <v>7317.940285596912</v>
      </c>
      <c r="D10" s="68">
        <v>7816.401752289893</v>
      </c>
      <c r="E10" s="68"/>
      <c r="F10" s="68">
        <v>9298.6372887390444</v>
      </c>
      <c r="G10" s="68">
        <v>3859.7891509620035</v>
      </c>
      <c r="H10" s="68">
        <v>5438.8481377758899</v>
      </c>
    </row>
    <row r="11" spans="1:8" s="335" customFormat="1" x14ac:dyDescent="0.2">
      <c r="A11" s="371" t="s">
        <v>459</v>
      </c>
      <c r="B11" s="69">
        <v>10039.755056963621</v>
      </c>
      <c r="C11" s="69">
        <v>4959.5122909080592</v>
      </c>
      <c r="D11" s="69">
        <v>5080.2427660543208</v>
      </c>
      <c r="E11" s="69"/>
      <c r="F11" s="69">
        <v>6662.8878065855124</v>
      </c>
      <c r="G11" s="69">
        <v>2916.6570233346356</v>
      </c>
      <c r="H11" s="69">
        <v>3746.2307832502165</v>
      </c>
    </row>
    <row r="12" spans="1:8" x14ac:dyDescent="0.2">
      <c r="A12" s="61" t="s">
        <v>459</v>
      </c>
      <c r="B12" s="68">
        <v>8377.0214834146118</v>
      </c>
      <c r="C12" s="68">
        <v>4245.8876011821367</v>
      </c>
      <c r="D12" s="68">
        <v>4131.1338822312346</v>
      </c>
      <c r="E12" s="68"/>
      <c r="F12" s="68">
        <v>5393.4247906911578</v>
      </c>
      <c r="G12" s="68">
        <v>2389.5071269041296</v>
      </c>
      <c r="H12" s="68">
        <v>3003.9176637868509</v>
      </c>
    </row>
    <row r="13" spans="1:8" x14ac:dyDescent="0.2">
      <c r="A13" s="61" t="s">
        <v>473</v>
      </c>
      <c r="B13" s="68">
        <v>1662.7335735486192</v>
      </c>
      <c r="C13" s="68">
        <v>713.62468972574311</v>
      </c>
      <c r="D13" s="68">
        <v>949.10888382283963</v>
      </c>
      <c r="E13" s="68"/>
      <c r="F13" s="68">
        <v>1269.4630158940399</v>
      </c>
      <c r="G13" s="68">
        <v>527.14989643058038</v>
      </c>
      <c r="H13" s="68">
        <v>742.31311946346045</v>
      </c>
    </row>
    <row r="14" spans="1:8" s="335" customFormat="1" x14ac:dyDescent="0.2">
      <c r="A14" s="371" t="s">
        <v>461</v>
      </c>
      <c r="B14" s="69">
        <v>2558.0516516132029</v>
      </c>
      <c r="C14" s="69">
        <v>1397.3655984747086</v>
      </c>
      <c r="D14" s="69">
        <v>1160.686053138518</v>
      </c>
      <c r="E14" s="69"/>
      <c r="F14" s="69">
        <v>1506.1425612302305</v>
      </c>
      <c r="G14" s="69">
        <v>823.59700372032626</v>
      </c>
      <c r="H14" s="69">
        <v>682.54555750988266</v>
      </c>
    </row>
    <row r="15" spans="1:8" x14ac:dyDescent="0.2">
      <c r="A15" s="61" t="s">
        <v>461</v>
      </c>
      <c r="B15" s="68">
        <v>2558.0516516132029</v>
      </c>
      <c r="C15" s="68">
        <v>1397.3655984747086</v>
      </c>
      <c r="D15" s="68">
        <v>1160.686053138518</v>
      </c>
      <c r="E15" s="68"/>
      <c r="F15" s="68">
        <v>1506.1425612302305</v>
      </c>
      <c r="G15" s="68">
        <v>823.59700372032626</v>
      </c>
      <c r="H15" s="68">
        <v>682.54555750988266</v>
      </c>
    </row>
    <row r="16" spans="1:8" s="335" customFormat="1" x14ac:dyDescent="0.2">
      <c r="A16" s="371" t="s">
        <v>462</v>
      </c>
      <c r="B16" s="69">
        <v>3644.6259279291439</v>
      </c>
      <c r="C16" s="69">
        <v>1704.5708669161277</v>
      </c>
      <c r="D16" s="69">
        <v>1940.0550610132466</v>
      </c>
      <c r="E16" s="69"/>
      <c r="F16" s="69">
        <v>2530.5585731145597</v>
      </c>
      <c r="G16" s="69">
        <v>1088.9649787942178</v>
      </c>
      <c r="H16" s="69">
        <v>1441.5935943203604</v>
      </c>
    </row>
    <row r="17" spans="1:8" x14ac:dyDescent="0.2">
      <c r="A17" s="61" t="s">
        <v>462</v>
      </c>
      <c r="B17" s="68">
        <v>3644.6259279291439</v>
      </c>
      <c r="C17" s="68">
        <v>1704.5708669161277</v>
      </c>
      <c r="D17" s="68">
        <v>1940.0550610132466</v>
      </c>
      <c r="E17" s="68"/>
      <c r="F17" s="68">
        <v>2530.5585731145597</v>
      </c>
      <c r="G17" s="68">
        <v>1088.9649787942178</v>
      </c>
      <c r="H17" s="68">
        <v>1441.5935943203604</v>
      </c>
    </row>
    <row r="18" spans="1:8" s="335" customFormat="1" x14ac:dyDescent="0.2">
      <c r="A18" s="371" t="s">
        <v>463</v>
      </c>
      <c r="B18" s="69">
        <v>3246.5739653183537</v>
      </c>
      <c r="C18" s="69">
        <v>1785.8547511730012</v>
      </c>
      <c r="D18" s="69">
        <v>1460.7192141455071</v>
      </c>
      <c r="E18" s="69"/>
      <c r="F18" s="69">
        <v>2071.5436973111259</v>
      </c>
      <c r="G18" s="69">
        <v>1127.2162184445112</v>
      </c>
      <c r="H18" s="69">
        <v>944.32747886655341</v>
      </c>
    </row>
    <row r="19" spans="1:8" x14ac:dyDescent="0.2">
      <c r="A19" s="61" t="s">
        <v>463</v>
      </c>
      <c r="B19" s="68">
        <v>3246.5739653183537</v>
      </c>
      <c r="C19" s="68">
        <v>1785.8547511730012</v>
      </c>
      <c r="D19" s="68">
        <v>1460.7192141455071</v>
      </c>
      <c r="E19" s="68"/>
      <c r="F19" s="68">
        <v>2071.5436973111259</v>
      </c>
      <c r="G19" s="68">
        <v>1127.2162184445112</v>
      </c>
      <c r="H19" s="68">
        <v>944.32747886655341</v>
      </c>
    </row>
    <row r="20" spans="1:8" s="335" customFormat="1" x14ac:dyDescent="0.2">
      <c r="A20" s="371" t="s">
        <v>464</v>
      </c>
      <c r="B20" s="69">
        <v>1290.97933819733</v>
      </c>
      <c r="C20" s="69">
        <v>646.68502033773598</v>
      </c>
      <c r="D20" s="69">
        <v>644.29431785959287</v>
      </c>
      <c r="E20" s="69"/>
      <c r="F20" s="69">
        <v>1116.4580572928662</v>
      </c>
      <c r="G20" s="69">
        <v>537.90805758222439</v>
      </c>
      <c r="H20" s="69">
        <v>578.54999971065729</v>
      </c>
    </row>
    <row r="21" spans="1:8" x14ac:dyDescent="0.2">
      <c r="A21" s="61" t="s">
        <v>464</v>
      </c>
      <c r="B21" s="68">
        <v>328.7215907446934</v>
      </c>
      <c r="C21" s="68">
        <v>176.91198338259858</v>
      </c>
      <c r="D21" s="68">
        <v>151.80960736209471</v>
      </c>
      <c r="E21" s="68"/>
      <c r="F21" s="68">
        <v>272.5400825083276</v>
      </c>
      <c r="G21" s="68">
        <v>135.07469001509213</v>
      </c>
      <c r="H21" s="68">
        <v>137.46539249323536</v>
      </c>
    </row>
    <row r="22" spans="1:8" x14ac:dyDescent="0.2">
      <c r="A22" s="61" t="s">
        <v>465</v>
      </c>
      <c r="B22" s="68">
        <v>962.25774745262675</v>
      </c>
      <c r="C22" s="68">
        <v>469.77303695514371</v>
      </c>
      <c r="D22" s="68">
        <v>492.48471049750435</v>
      </c>
      <c r="E22" s="68"/>
      <c r="F22" s="68">
        <v>843.91797478454271</v>
      </c>
      <c r="G22" s="68">
        <v>402.83336756713339</v>
      </c>
      <c r="H22" s="68">
        <v>441.084607217425</v>
      </c>
    </row>
    <row r="23" spans="1:8" s="335" customFormat="1" x14ac:dyDescent="0.2">
      <c r="A23" s="371" t="s">
        <v>466</v>
      </c>
      <c r="B23" s="69">
        <v>799.68997893889514</v>
      </c>
      <c r="C23" s="69">
        <v>378.92634278570114</v>
      </c>
      <c r="D23" s="69">
        <v>420.76363615320759</v>
      </c>
      <c r="E23" s="69"/>
      <c r="F23" s="69">
        <v>741.1177682243889</v>
      </c>
      <c r="G23" s="69">
        <v>343.06580561355275</v>
      </c>
      <c r="H23" s="69">
        <v>398.05196261084694</v>
      </c>
    </row>
    <row r="24" spans="1:8" x14ac:dyDescent="0.2">
      <c r="A24" s="61" t="s">
        <v>466</v>
      </c>
      <c r="B24" s="68">
        <v>799.68997893889514</v>
      </c>
      <c r="C24" s="68">
        <v>378.92634278570114</v>
      </c>
      <c r="D24" s="68">
        <v>420.76363615320759</v>
      </c>
      <c r="E24" s="68"/>
      <c r="F24" s="68">
        <v>741.1177682243889</v>
      </c>
      <c r="G24" s="68">
        <v>343.06580561355275</v>
      </c>
      <c r="H24" s="68">
        <v>398.05196261084694</v>
      </c>
    </row>
    <row r="25" spans="1:8" s="335" customFormat="1" x14ac:dyDescent="0.2">
      <c r="A25" s="371" t="s">
        <v>467</v>
      </c>
      <c r="B25" s="69">
        <v>1221.6489663311731</v>
      </c>
      <c r="C25" s="69">
        <v>620.38729307816175</v>
      </c>
      <c r="D25" s="69">
        <v>601.26167325301685</v>
      </c>
      <c r="E25" s="69"/>
      <c r="F25" s="69">
        <v>906.07623921626362</v>
      </c>
      <c r="G25" s="69">
        <v>419.56828491413597</v>
      </c>
      <c r="H25" s="69">
        <v>486.50795430214629</v>
      </c>
    </row>
    <row r="26" spans="1:8" x14ac:dyDescent="0.2">
      <c r="A26" s="61" t="s">
        <v>467</v>
      </c>
      <c r="B26" s="68">
        <v>1221.6489663311731</v>
      </c>
      <c r="C26" s="68">
        <v>620.38729307816175</v>
      </c>
      <c r="D26" s="68">
        <v>601.26167325301685</v>
      </c>
      <c r="E26" s="68"/>
      <c r="F26" s="68">
        <v>906.07623921626362</v>
      </c>
      <c r="G26" s="68">
        <v>419.56828491413597</v>
      </c>
      <c r="H26" s="68">
        <v>486.50795430214629</v>
      </c>
    </row>
    <row r="27" spans="1:8" s="335" customFormat="1" x14ac:dyDescent="0.2">
      <c r="A27" s="371" t="s">
        <v>468</v>
      </c>
      <c r="B27" s="69">
        <v>617.99659060001864</v>
      </c>
      <c r="C27" s="69">
        <v>262.9772725957547</v>
      </c>
      <c r="D27" s="69">
        <v>355.01931800426888</v>
      </c>
      <c r="E27" s="69"/>
      <c r="F27" s="69">
        <v>579.74535094972885</v>
      </c>
      <c r="G27" s="69">
        <v>240.26559905339406</v>
      </c>
      <c r="H27" s="69">
        <v>339.47975189633792</v>
      </c>
    </row>
    <row r="28" spans="1:8" x14ac:dyDescent="0.2">
      <c r="A28" s="61" t="s">
        <v>468</v>
      </c>
      <c r="B28" s="68">
        <v>617.99659060001864</v>
      </c>
      <c r="C28" s="68">
        <v>262.9772725957547</v>
      </c>
      <c r="D28" s="68">
        <v>355.01931800426888</v>
      </c>
      <c r="E28" s="68"/>
      <c r="F28" s="68">
        <v>579.74535094972885</v>
      </c>
      <c r="G28" s="68">
        <v>240.26559905339406</v>
      </c>
      <c r="H28" s="68">
        <v>339.47975189633792</v>
      </c>
    </row>
    <row r="43" s="335" customFormat="1" x14ac:dyDescent="0.2"/>
    <row r="46" s="335" customFormat="1" x14ac:dyDescent="0.2"/>
    <row r="49" s="335" customFormat="1" x14ac:dyDescent="0.2"/>
    <row r="52" s="335" customFormat="1" x14ac:dyDescent="0.2"/>
    <row r="55" s="335" customFormat="1" x14ac:dyDescent="0.2"/>
    <row r="57" s="335" customFormat="1" x14ac:dyDescent="0.2"/>
    <row r="59" s="335" customFormat="1" x14ac:dyDescent="0.2"/>
  </sheetData>
  <mergeCells count="4">
    <mergeCell ref="A1:H1"/>
    <mergeCell ref="A2:A3"/>
    <mergeCell ref="B2:D2"/>
    <mergeCell ref="F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zoomScale="120" zoomScaleNormal="120" workbookViewId="0">
      <selection activeCell="L16" sqref="L16"/>
    </sheetView>
  </sheetViews>
  <sheetFormatPr defaultRowHeight="12" x14ac:dyDescent="0.2"/>
  <cols>
    <col min="1" max="1" width="16.28515625" style="322" customWidth="1"/>
    <col min="2" max="2" width="12" style="322" bestFit="1" customWidth="1"/>
    <col min="3" max="5" width="11.140625" style="322" bestFit="1" customWidth="1"/>
    <col min="6" max="6" width="9.140625" style="322"/>
    <col min="7" max="9" width="11.140625" style="322" bestFit="1" customWidth="1"/>
    <col min="10" max="10" width="9.140625" style="322"/>
    <col min="11" max="11" width="11.85546875" style="322" bestFit="1" customWidth="1"/>
    <col min="12" max="12" width="11.140625" style="322" bestFit="1" customWidth="1"/>
    <col min="13" max="13" width="12.7109375" style="322" bestFit="1" customWidth="1"/>
    <col min="14" max="16384" width="9.140625" style="322"/>
  </cols>
  <sheetData>
    <row r="1" spans="1:13" ht="18.75" customHeight="1" x14ac:dyDescent="0.2">
      <c r="A1" s="543" t="s">
        <v>527</v>
      </c>
      <c r="B1" s="543"/>
      <c r="C1" s="543"/>
      <c r="D1" s="543"/>
      <c r="E1" s="543"/>
      <c r="F1" s="543"/>
      <c r="G1" s="543"/>
      <c r="H1" s="543"/>
      <c r="I1" s="543"/>
      <c r="J1" s="543"/>
      <c r="K1" s="543"/>
      <c r="L1" s="543"/>
      <c r="M1" s="543"/>
    </row>
    <row r="2" spans="1:13" ht="21.75" customHeight="1" x14ac:dyDescent="0.2">
      <c r="A2" s="527" t="s">
        <v>528</v>
      </c>
      <c r="B2" s="544" t="s">
        <v>229</v>
      </c>
      <c r="C2" s="547" t="s">
        <v>568</v>
      </c>
      <c r="D2" s="547"/>
      <c r="E2" s="547"/>
      <c r="F2" s="547"/>
      <c r="G2" s="547"/>
      <c r="H2" s="547"/>
      <c r="I2" s="547"/>
      <c r="J2" s="547"/>
      <c r="K2" s="547"/>
      <c r="L2" s="547"/>
      <c r="M2" s="547"/>
    </row>
    <row r="3" spans="1:13" x14ac:dyDescent="0.2">
      <c r="A3" s="533"/>
      <c r="B3" s="545"/>
      <c r="C3" s="548" t="s">
        <v>230</v>
      </c>
      <c r="D3" s="548"/>
      <c r="E3" s="548"/>
      <c r="F3" s="263"/>
      <c r="G3" s="548" t="s">
        <v>231</v>
      </c>
      <c r="H3" s="548"/>
      <c r="I3" s="548"/>
      <c r="J3" s="263"/>
      <c r="K3" s="548" t="s">
        <v>232</v>
      </c>
      <c r="L3" s="548"/>
      <c r="M3" s="548"/>
    </row>
    <row r="4" spans="1:13" x14ac:dyDescent="0.2">
      <c r="A4" s="533"/>
      <c r="B4" s="546"/>
      <c r="C4" s="141" t="s">
        <v>1</v>
      </c>
      <c r="D4" s="141" t="s">
        <v>2</v>
      </c>
      <c r="E4" s="141" t="s">
        <v>3</v>
      </c>
      <c r="F4" s="141"/>
      <c r="G4" s="141" t="s">
        <v>1</v>
      </c>
      <c r="H4" s="141" t="s">
        <v>2</v>
      </c>
      <c r="I4" s="141" t="s">
        <v>3</v>
      </c>
      <c r="J4" s="141"/>
      <c r="K4" s="141" t="s">
        <v>1</v>
      </c>
      <c r="L4" s="141" t="s">
        <v>2</v>
      </c>
      <c r="M4" s="141" t="s">
        <v>3</v>
      </c>
    </row>
    <row r="5" spans="1:13" s="335" customFormat="1" x14ac:dyDescent="0.2">
      <c r="A5" s="228" t="s">
        <v>457</v>
      </c>
      <c r="B5" s="424">
        <v>341859.14766862482</v>
      </c>
      <c r="C5" s="424">
        <v>90730.223480643297</v>
      </c>
      <c r="D5" s="424">
        <v>48325.162844194121</v>
      </c>
      <c r="E5" s="424">
        <v>42405.060636371745</v>
      </c>
      <c r="F5" s="424"/>
      <c r="G5" s="424">
        <v>60671.682019651431</v>
      </c>
      <c r="H5" s="424">
        <v>35887.020938011818</v>
      </c>
      <c r="I5" s="424">
        <v>24784.661081634829</v>
      </c>
      <c r="J5" s="424"/>
      <c r="K5" s="424">
        <v>190457.24216927605</v>
      </c>
      <c r="L5" s="424">
        <v>83681.382179437001</v>
      </c>
      <c r="M5" s="424">
        <v>106775.85998972337</v>
      </c>
    </row>
    <row r="6" spans="1:13" x14ac:dyDescent="0.2">
      <c r="A6" s="336"/>
      <c r="B6" s="425"/>
      <c r="C6" s="425"/>
      <c r="D6" s="425"/>
      <c r="E6" s="425"/>
      <c r="F6" s="425"/>
      <c r="G6" s="425"/>
      <c r="H6" s="425"/>
      <c r="I6" s="425"/>
      <c r="J6" s="425"/>
      <c r="K6" s="425"/>
      <c r="L6" s="425"/>
      <c r="M6" s="425"/>
    </row>
    <row r="7" spans="1:13" x14ac:dyDescent="0.2">
      <c r="A7" s="171" t="s">
        <v>215</v>
      </c>
      <c r="B7" s="427"/>
      <c r="C7" s="427"/>
      <c r="D7" s="427"/>
      <c r="E7" s="427"/>
      <c r="F7" s="427"/>
      <c r="G7" s="427"/>
      <c r="H7" s="427"/>
      <c r="I7" s="427"/>
      <c r="J7" s="427"/>
      <c r="K7" s="427"/>
      <c r="L7" s="427"/>
      <c r="M7" s="427"/>
    </row>
    <row r="8" spans="1:13" x14ac:dyDescent="0.2">
      <c r="A8" s="36" t="s">
        <v>142</v>
      </c>
      <c r="B8" s="428">
        <v>62152.327267017819</v>
      </c>
      <c r="C8" s="428">
        <v>19368.591553998238</v>
      </c>
      <c r="D8" s="428">
        <v>9726.668055588576</v>
      </c>
      <c r="E8" s="428">
        <v>9641.9234984150899</v>
      </c>
      <c r="F8" s="428"/>
      <c r="G8" s="428">
        <v>2131.9946488921464</v>
      </c>
      <c r="H8" s="428">
        <v>1115.0599628097082</v>
      </c>
      <c r="I8" s="428">
        <v>1016.9346860824537</v>
      </c>
      <c r="J8" s="428"/>
      <c r="K8" s="428">
        <v>40651.741064134148</v>
      </c>
      <c r="L8" s="428">
        <v>19856.987817708592</v>
      </c>
      <c r="M8" s="428">
        <v>20794.753246430984</v>
      </c>
    </row>
    <row r="9" spans="1:13" x14ac:dyDescent="0.2">
      <c r="A9" s="36" t="s">
        <v>143</v>
      </c>
      <c r="B9" s="428">
        <v>53948.831120631803</v>
      </c>
      <c r="C9" s="428">
        <v>21964.451147417654</v>
      </c>
      <c r="D9" s="428">
        <v>11633.420591992013</v>
      </c>
      <c r="E9" s="428">
        <v>10331.030555431069</v>
      </c>
      <c r="F9" s="428"/>
      <c r="G9" s="428">
        <v>3105.4419964248245</v>
      </c>
      <c r="H9" s="428">
        <v>1483.0297505369124</v>
      </c>
      <c r="I9" s="428">
        <v>1622.4122458881261</v>
      </c>
      <c r="J9" s="428"/>
      <c r="K9" s="428">
        <v>28878.937976796435</v>
      </c>
      <c r="L9" s="428">
        <v>14141.190448349516</v>
      </c>
      <c r="M9" s="428">
        <v>14737.747528452346</v>
      </c>
    </row>
    <row r="10" spans="1:13" x14ac:dyDescent="0.2">
      <c r="A10" s="36" t="s">
        <v>144</v>
      </c>
      <c r="B10" s="428">
        <v>47392.090575437745</v>
      </c>
      <c r="C10" s="428">
        <v>15312.449372509758</v>
      </c>
      <c r="D10" s="428">
        <v>9036.8553673822989</v>
      </c>
      <c r="E10" s="428">
        <v>6275.5940051262178</v>
      </c>
      <c r="F10" s="428"/>
      <c r="G10" s="428">
        <v>7398.0288186147291</v>
      </c>
      <c r="H10" s="428">
        <v>3272.8716925779254</v>
      </c>
      <c r="I10" s="428">
        <v>4125.1571260358751</v>
      </c>
      <c r="J10" s="428"/>
      <c r="K10" s="428">
        <v>24681.612384355285</v>
      </c>
      <c r="L10" s="428">
        <v>10901.603300334458</v>
      </c>
      <c r="M10" s="428">
        <v>13780.009084019586</v>
      </c>
    </row>
    <row r="11" spans="1:13" x14ac:dyDescent="0.2">
      <c r="A11" s="36" t="s">
        <v>145</v>
      </c>
      <c r="B11" s="428">
        <v>41935.770971530743</v>
      </c>
      <c r="C11" s="428">
        <v>7507.1409769632546</v>
      </c>
      <c r="D11" s="428">
        <v>4144.3898614308555</v>
      </c>
      <c r="E11" s="428">
        <v>3362.7511155323036</v>
      </c>
      <c r="F11" s="428"/>
      <c r="G11" s="428">
        <v>11061.040508548725</v>
      </c>
      <c r="H11" s="428">
        <v>5739.3225049310158</v>
      </c>
      <c r="I11" s="428">
        <v>5321.7180036176151</v>
      </c>
      <c r="J11" s="428"/>
      <c r="K11" s="428">
        <v>23367.589486018918</v>
      </c>
      <c r="L11" s="428">
        <v>9940.9351405944144</v>
      </c>
      <c r="M11" s="428">
        <v>13426.654345434841</v>
      </c>
    </row>
    <row r="12" spans="1:13" x14ac:dyDescent="0.2">
      <c r="A12" s="36" t="s">
        <v>146</v>
      </c>
      <c r="B12" s="428">
        <v>29582.956772321326</v>
      </c>
      <c r="C12" s="428">
        <v>4688.6149695564827</v>
      </c>
      <c r="D12" s="428">
        <v>2453.2742569867924</v>
      </c>
      <c r="E12" s="428">
        <v>2235.3407125695949</v>
      </c>
      <c r="F12" s="428"/>
      <c r="G12" s="428">
        <v>9231.1292389451064</v>
      </c>
      <c r="H12" s="428">
        <v>5613.9194039535223</v>
      </c>
      <c r="I12" s="428">
        <v>3617.2098349914895</v>
      </c>
      <c r="J12" s="428"/>
      <c r="K12" s="428">
        <v>15663.212563839264</v>
      </c>
      <c r="L12" s="428">
        <v>6725.5022310647028</v>
      </c>
      <c r="M12" s="428">
        <v>8937.7103327744662</v>
      </c>
    </row>
    <row r="13" spans="1:13" x14ac:dyDescent="0.2">
      <c r="A13" s="36" t="s">
        <v>147</v>
      </c>
      <c r="B13" s="428">
        <v>23909.774250464416</v>
      </c>
      <c r="C13" s="428">
        <v>3670.188775443225</v>
      </c>
      <c r="D13" s="428">
        <v>1969.2773965044353</v>
      </c>
      <c r="E13" s="428">
        <v>1700.9113789385835</v>
      </c>
      <c r="F13" s="428"/>
      <c r="G13" s="428">
        <v>7220.6837871825037</v>
      </c>
      <c r="H13" s="428">
        <v>4586.1610513604628</v>
      </c>
      <c r="I13" s="428">
        <v>2634.5227358227089</v>
      </c>
      <c r="J13" s="428"/>
      <c r="K13" s="428">
        <v>13018.901687833062</v>
      </c>
      <c r="L13" s="428">
        <v>5372.3600887363373</v>
      </c>
      <c r="M13" s="428">
        <v>7646.5415990944357</v>
      </c>
    </row>
    <row r="14" spans="1:13" x14ac:dyDescent="0.2">
      <c r="A14" s="36" t="s">
        <v>148</v>
      </c>
      <c r="B14" s="428">
        <v>17232.122170183738</v>
      </c>
      <c r="C14" s="428">
        <v>2475.7710071217539</v>
      </c>
      <c r="D14" s="428">
        <v>1293.9525823481135</v>
      </c>
      <c r="E14" s="428">
        <v>1181.8184247736497</v>
      </c>
      <c r="F14" s="428"/>
      <c r="G14" s="428">
        <v>4940.2026050505601</v>
      </c>
      <c r="H14" s="428">
        <v>3202.7531298237463</v>
      </c>
      <c r="I14" s="428">
        <v>1737.449475226892</v>
      </c>
      <c r="J14" s="428"/>
      <c r="K14" s="428">
        <v>9816.148558007877</v>
      </c>
      <c r="L14" s="428">
        <v>3608.4519920595203</v>
      </c>
      <c r="M14" s="428">
        <v>6207.6965659482039</v>
      </c>
    </row>
    <row r="15" spans="1:13" x14ac:dyDescent="0.2">
      <c r="A15" s="36" t="s">
        <v>149</v>
      </c>
      <c r="B15" s="428">
        <v>15752.95923768383</v>
      </c>
      <c r="C15" s="428">
        <v>2429.153435995283</v>
      </c>
      <c r="D15" s="428">
        <v>1275.0535670265747</v>
      </c>
      <c r="E15" s="428">
        <v>1154.099868968726</v>
      </c>
      <c r="F15" s="428"/>
      <c r="G15" s="428">
        <v>3938.5547930091252</v>
      </c>
      <c r="H15" s="428">
        <v>2676.1005695301019</v>
      </c>
      <c r="I15" s="428">
        <v>1262.4542234788821</v>
      </c>
      <c r="J15" s="428"/>
      <c r="K15" s="428">
        <v>9385.2510086765578</v>
      </c>
      <c r="L15" s="428">
        <v>3662.6291693146081</v>
      </c>
      <c r="M15" s="428">
        <v>5722.6218393621275</v>
      </c>
    </row>
    <row r="16" spans="1:13" x14ac:dyDescent="0.2">
      <c r="A16" s="36" t="s">
        <v>150</v>
      </c>
      <c r="B16" s="428">
        <v>11959.09206414348</v>
      </c>
      <c r="C16" s="428">
        <v>1969.1345220332862</v>
      </c>
      <c r="D16" s="428">
        <v>1030.0998010156134</v>
      </c>
      <c r="E16" s="428">
        <v>939.03472101767784</v>
      </c>
      <c r="F16" s="428"/>
      <c r="G16" s="428">
        <v>3396.6092175855997</v>
      </c>
      <c r="H16" s="428">
        <v>2237.5991085207429</v>
      </c>
      <c r="I16" s="428">
        <v>1159.010109064639</v>
      </c>
      <c r="J16" s="428"/>
      <c r="K16" s="428">
        <v>6593.3483245267298</v>
      </c>
      <c r="L16" s="428">
        <v>2502.5157048784245</v>
      </c>
      <c r="M16" s="428">
        <v>4090.832619647917</v>
      </c>
    </row>
    <row r="17" spans="1:13" x14ac:dyDescent="0.2">
      <c r="A17" s="36" t="s">
        <v>151</v>
      </c>
      <c r="B17" s="428">
        <v>9993.5055322411226</v>
      </c>
      <c r="C17" s="428">
        <v>1953.7598981375309</v>
      </c>
      <c r="D17" s="428">
        <v>989.88924621133015</v>
      </c>
      <c r="E17" s="428">
        <v>963.87065192620571</v>
      </c>
      <c r="F17" s="428"/>
      <c r="G17" s="428">
        <v>2808.8255194169938</v>
      </c>
      <c r="H17" s="428">
        <v>1912.3666799566511</v>
      </c>
      <c r="I17" s="428">
        <v>896.45883946020149</v>
      </c>
      <c r="J17" s="428"/>
      <c r="K17" s="428">
        <v>5230.9201146872247</v>
      </c>
      <c r="L17" s="428">
        <v>2166.6393059249353</v>
      </c>
      <c r="M17" s="428">
        <v>3064.280808761901</v>
      </c>
    </row>
    <row r="18" spans="1:13" x14ac:dyDescent="0.2">
      <c r="A18" s="36" t="s">
        <v>152</v>
      </c>
      <c r="B18" s="428">
        <v>6902.0234658184927</v>
      </c>
      <c r="C18" s="428">
        <v>1642.7194300926342</v>
      </c>
      <c r="D18" s="428">
        <v>805.39375946226596</v>
      </c>
      <c r="E18" s="428">
        <v>837.32567063037322</v>
      </c>
      <c r="F18" s="428"/>
      <c r="G18" s="428">
        <v>2042.4596513822733</v>
      </c>
      <c r="H18" s="428">
        <v>1418.0133885392868</v>
      </c>
      <c r="I18" s="428">
        <v>624.44626284299147</v>
      </c>
      <c r="J18" s="428"/>
      <c r="K18" s="428">
        <v>3216.8443843428872</v>
      </c>
      <c r="L18" s="428">
        <v>1060.8490488071241</v>
      </c>
      <c r="M18" s="428">
        <v>2155.9953355355642</v>
      </c>
    </row>
    <row r="19" spans="1:13" x14ac:dyDescent="0.2">
      <c r="A19" s="36" t="s">
        <v>153</v>
      </c>
      <c r="B19" s="428">
        <v>6611.0882751756817</v>
      </c>
      <c r="C19" s="428">
        <v>1744.4284804799388</v>
      </c>
      <c r="D19" s="428">
        <v>924.84276049851906</v>
      </c>
      <c r="E19" s="428">
        <v>819.58571998142475</v>
      </c>
      <c r="F19" s="428"/>
      <c r="G19" s="428">
        <v>1550.4716867181021</v>
      </c>
      <c r="H19" s="428">
        <v>1137.7221682859008</v>
      </c>
      <c r="I19" s="428">
        <v>412.74951843220629</v>
      </c>
      <c r="J19" s="428"/>
      <c r="K19" s="428">
        <v>3316.1881079770178</v>
      </c>
      <c r="L19" s="428">
        <v>1084.5023163390554</v>
      </c>
      <c r="M19" s="428">
        <v>2231.6857916377589</v>
      </c>
    </row>
    <row r="20" spans="1:13" x14ac:dyDescent="0.2">
      <c r="A20" s="36" t="s">
        <v>154</v>
      </c>
      <c r="B20" s="428">
        <v>14486.605966537485</v>
      </c>
      <c r="C20" s="428">
        <v>6003.8199108391591</v>
      </c>
      <c r="D20" s="428">
        <v>3042.0455977651241</v>
      </c>
      <c r="E20" s="428">
        <v>2961.774313074377</v>
      </c>
      <c r="F20" s="428"/>
      <c r="G20" s="428">
        <v>1846.2395478868282</v>
      </c>
      <c r="H20" s="428">
        <v>1492.1015271924241</v>
      </c>
      <c r="I20" s="428">
        <v>354.13802069440555</v>
      </c>
      <c r="J20" s="428"/>
      <c r="K20" s="428">
        <v>6636.5465078130392</v>
      </c>
      <c r="L20" s="428">
        <v>2657.2156152771308</v>
      </c>
      <c r="M20" s="428">
        <v>3979.330892536494</v>
      </c>
    </row>
    <row r="21" spans="1:13" x14ac:dyDescent="0.2">
      <c r="A21" s="337" t="s">
        <v>5</v>
      </c>
      <c r="B21" s="426">
        <v>185958.14421759563</v>
      </c>
      <c r="C21" s="426">
        <v>56757.961840570293</v>
      </c>
      <c r="D21" s="426">
        <v>30402.59223433035</v>
      </c>
      <c r="E21" s="426">
        <v>26355.369606257646</v>
      </c>
      <c r="F21" s="426"/>
      <c r="G21" s="426">
        <v>38772.167484200691</v>
      </c>
      <c r="H21" s="426">
        <v>22019.244478338005</v>
      </c>
      <c r="I21" s="426">
        <v>16752.923005867568</v>
      </c>
      <c r="J21" s="426"/>
      <c r="K21" s="426">
        <v>90428.014892632185</v>
      </c>
      <c r="L21" s="426">
        <v>39257.193189358833</v>
      </c>
      <c r="M21" s="426">
        <v>51170.821703194866</v>
      </c>
    </row>
    <row r="22" spans="1:13" x14ac:dyDescent="0.2">
      <c r="A22" s="36" t="s">
        <v>142</v>
      </c>
      <c r="B22" s="428">
        <v>32937.756241421295</v>
      </c>
      <c r="C22" s="428">
        <v>12342.598728338555</v>
      </c>
      <c r="D22" s="428">
        <v>6290.0532502096012</v>
      </c>
      <c r="E22" s="428">
        <v>6052.5454781310846</v>
      </c>
      <c r="F22" s="428"/>
      <c r="G22" s="428">
        <v>1275.6285974543064</v>
      </c>
      <c r="H22" s="428">
        <v>662.34561790896601</v>
      </c>
      <c r="I22" s="428">
        <v>613.28297954533878</v>
      </c>
      <c r="J22" s="428"/>
      <c r="K22" s="428">
        <v>19319.528915634641</v>
      </c>
      <c r="L22" s="428">
        <v>9434.5223453326107</v>
      </c>
      <c r="M22" s="428">
        <v>9885.0065703074579</v>
      </c>
    </row>
    <row r="23" spans="1:13" x14ac:dyDescent="0.2">
      <c r="A23" s="36" t="s">
        <v>143</v>
      </c>
      <c r="B23" s="428">
        <v>29940.475061390629</v>
      </c>
      <c r="C23" s="428">
        <v>14286.14824351469</v>
      </c>
      <c r="D23" s="428">
        <v>7555.6463079988798</v>
      </c>
      <c r="E23" s="428">
        <v>6730.5019355195263</v>
      </c>
      <c r="F23" s="428"/>
      <c r="G23" s="428">
        <v>2002.6476932062371</v>
      </c>
      <c r="H23" s="428">
        <v>922.15458924362838</v>
      </c>
      <c r="I23" s="428">
        <v>1080.4931039626072</v>
      </c>
      <c r="J23" s="428"/>
      <c r="K23" s="428">
        <v>13651.679124676353</v>
      </c>
      <c r="L23" s="428">
        <v>6826.3970923211809</v>
      </c>
      <c r="M23" s="428">
        <v>6825.282032358371</v>
      </c>
    </row>
    <row r="24" spans="1:13" x14ac:dyDescent="0.2">
      <c r="A24" s="36" t="s">
        <v>144</v>
      </c>
      <c r="B24" s="428">
        <v>26755.546784145026</v>
      </c>
      <c r="C24" s="428">
        <v>10380.430160099111</v>
      </c>
      <c r="D24" s="428">
        <v>6071.1889432449234</v>
      </c>
      <c r="E24" s="428">
        <v>4309.2412168529472</v>
      </c>
      <c r="F24" s="428"/>
      <c r="G24" s="428">
        <v>4763.4746877002681</v>
      </c>
      <c r="H24" s="428">
        <v>2057.1994824422686</v>
      </c>
      <c r="I24" s="428">
        <v>2706.2752052580618</v>
      </c>
      <c r="J24" s="428"/>
      <c r="K24" s="428">
        <v>11611.641936343165</v>
      </c>
      <c r="L24" s="428">
        <v>5144.7917329642032</v>
      </c>
      <c r="M24" s="428">
        <v>6466.8502033777213</v>
      </c>
    </row>
    <row r="25" spans="1:13" x14ac:dyDescent="0.2">
      <c r="A25" s="36" t="s">
        <v>145</v>
      </c>
      <c r="B25" s="428">
        <v>22863.542070440231</v>
      </c>
      <c r="C25" s="428">
        <v>4865.15331559276</v>
      </c>
      <c r="D25" s="428">
        <v>2706.5154706112453</v>
      </c>
      <c r="E25" s="428">
        <v>2158.6378449814192</v>
      </c>
      <c r="F25" s="428"/>
      <c r="G25" s="428">
        <v>7095.6240048235186</v>
      </c>
      <c r="H25" s="428">
        <v>3488.1542165097972</v>
      </c>
      <c r="I25" s="428">
        <v>3607.4697883136259</v>
      </c>
      <c r="J25" s="428"/>
      <c r="K25" s="428">
        <v>10902.764750033442</v>
      </c>
      <c r="L25" s="428">
        <v>4709.3125687469428</v>
      </c>
      <c r="M25" s="428">
        <v>6193.452181286405</v>
      </c>
    </row>
    <row r="26" spans="1:13" x14ac:dyDescent="0.2">
      <c r="A26" s="36" t="s">
        <v>146</v>
      </c>
      <c r="B26" s="428">
        <v>16194.045107782829</v>
      </c>
      <c r="C26" s="428">
        <v>2732.0830931406372</v>
      </c>
      <c r="D26" s="428">
        <v>1484.1396125393669</v>
      </c>
      <c r="E26" s="428">
        <v>1247.9434806011752</v>
      </c>
      <c r="F26" s="428"/>
      <c r="G26" s="428">
        <v>6107.0092670203658</v>
      </c>
      <c r="H26" s="428">
        <v>3563.6395782632399</v>
      </c>
      <c r="I26" s="428">
        <v>2543.3696887570304</v>
      </c>
      <c r="J26" s="428"/>
      <c r="K26" s="428">
        <v>7354.9527476216363</v>
      </c>
      <c r="L26" s="428">
        <v>3052.2871276754022</v>
      </c>
      <c r="M26" s="428">
        <v>4302.6656199461386</v>
      </c>
    </row>
    <row r="27" spans="1:13" x14ac:dyDescent="0.2">
      <c r="A27" s="36" t="s">
        <v>147</v>
      </c>
      <c r="B27" s="428">
        <v>13123.476239278967</v>
      </c>
      <c r="C27" s="428">
        <v>2106.610241174295</v>
      </c>
      <c r="D27" s="428">
        <v>1125.1213788090331</v>
      </c>
      <c r="E27" s="428">
        <v>981.48886236533406</v>
      </c>
      <c r="F27" s="428"/>
      <c r="G27" s="428">
        <v>4631.5186881321479</v>
      </c>
      <c r="H27" s="428">
        <v>2851.2314448430602</v>
      </c>
      <c r="I27" s="428">
        <v>1780.2872432890467</v>
      </c>
      <c r="J27" s="428"/>
      <c r="K27" s="428">
        <v>6385.3473099706371</v>
      </c>
      <c r="L27" s="428">
        <v>2634.5227358227089</v>
      </c>
      <c r="M27" s="428">
        <v>3750.824574148472</v>
      </c>
    </row>
    <row r="28" spans="1:13" x14ac:dyDescent="0.2">
      <c r="A28" s="36" t="s">
        <v>148</v>
      </c>
      <c r="B28" s="428">
        <v>9391.5506804504075</v>
      </c>
      <c r="C28" s="428">
        <v>1437.5850987918088</v>
      </c>
      <c r="D28" s="428">
        <v>767.30002205454105</v>
      </c>
      <c r="E28" s="428">
        <v>670.28507673729951</v>
      </c>
      <c r="F28" s="428"/>
      <c r="G28" s="428">
        <v>3192.6736549855905</v>
      </c>
      <c r="H28" s="428">
        <v>1986.9164774712049</v>
      </c>
      <c r="I28" s="428">
        <v>1205.7571775142655</v>
      </c>
      <c r="J28" s="428"/>
      <c r="K28" s="428">
        <v>4761.2919266733579</v>
      </c>
      <c r="L28" s="428">
        <v>1703.4312476481221</v>
      </c>
      <c r="M28" s="428">
        <v>3057.8606790252556</v>
      </c>
    </row>
    <row r="29" spans="1:13" x14ac:dyDescent="0.2">
      <c r="A29" s="36" t="s">
        <v>149</v>
      </c>
      <c r="B29" s="428">
        <v>8449.1197830824931</v>
      </c>
      <c r="C29" s="428">
        <v>1424.9857552441163</v>
      </c>
      <c r="D29" s="428">
        <v>735.80166318530678</v>
      </c>
      <c r="E29" s="428">
        <v>689.18409205884006</v>
      </c>
      <c r="F29" s="428"/>
      <c r="G29" s="428">
        <v>2556.4068058270009</v>
      </c>
      <c r="H29" s="428">
        <v>1656.8136765216595</v>
      </c>
      <c r="I29" s="428">
        <v>899.59312930532496</v>
      </c>
      <c r="J29" s="428"/>
      <c r="K29" s="428">
        <v>4467.727222012174</v>
      </c>
      <c r="L29" s="428">
        <v>1608.9361710404278</v>
      </c>
      <c r="M29" s="428">
        <v>2858.7910509716771</v>
      </c>
    </row>
    <row r="30" spans="1:13" x14ac:dyDescent="0.2">
      <c r="A30" s="36" t="s">
        <v>150</v>
      </c>
      <c r="B30" s="428">
        <v>6385.1995702456943</v>
      </c>
      <c r="C30" s="428">
        <v>1121.1648810135489</v>
      </c>
      <c r="D30" s="428">
        <v>604.34098544084986</v>
      </c>
      <c r="E30" s="428">
        <v>516.82389557270403</v>
      </c>
      <c r="F30" s="428"/>
      <c r="G30" s="428">
        <v>2161.9086524185482</v>
      </c>
      <c r="H30" s="428">
        <v>1400.2734378903383</v>
      </c>
      <c r="I30" s="428">
        <v>761.63521452819305</v>
      </c>
      <c r="J30" s="428"/>
      <c r="K30" s="428">
        <v>3102.1260368129983</v>
      </c>
      <c r="L30" s="428">
        <v>1128.2608612731283</v>
      </c>
      <c r="M30" s="428">
        <v>1973.8651755396725</v>
      </c>
    </row>
    <row r="31" spans="1:13" x14ac:dyDescent="0.2">
      <c r="A31" s="36" t="s">
        <v>151</v>
      </c>
      <c r="B31" s="428">
        <v>5310.1585609192098</v>
      </c>
      <c r="C31" s="428">
        <v>1085.6849797156519</v>
      </c>
      <c r="D31" s="428">
        <v>553.48646024719756</v>
      </c>
      <c r="E31" s="428">
        <v>532.19851946845938</v>
      </c>
      <c r="F31" s="428"/>
      <c r="G31" s="428">
        <v>1736.1498368437628</v>
      </c>
      <c r="H31" s="428">
        <v>1129.4435246497248</v>
      </c>
      <c r="I31" s="428">
        <v>606.70631219404299</v>
      </c>
      <c r="J31" s="428"/>
      <c r="K31" s="428">
        <v>2488.3237443592629</v>
      </c>
      <c r="L31" s="428">
        <v>934.30406751129158</v>
      </c>
      <c r="M31" s="428">
        <v>1554.0196768478918</v>
      </c>
    </row>
    <row r="32" spans="1:13" x14ac:dyDescent="0.2">
      <c r="A32" s="36" t="s">
        <v>152</v>
      </c>
      <c r="B32" s="428">
        <v>3666.2564674496684</v>
      </c>
      <c r="C32" s="428">
        <v>896.45883946020149</v>
      </c>
      <c r="D32" s="428">
        <v>442.31610284712042</v>
      </c>
      <c r="E32" s="428">
        <v>454.14273661308607</v>
      </c>
      <c r="F32" s="428"/>
      <c r="G32" s="428">
        <v>1244.1618721795917</v>
      </c>
      <c r="H32" s="428">
        <v>813.67240309844192</v>
      </c>
      <c r="I32" s="428">
        <v>430.48946908115477</v>
      </c>
      <c r="J32" s="428"/>
      <c r="K32" s="428">
        <v>1525.6357558095742</v>
      </c>
      <c r="L32" s="428">
        <v>473.06535063863112</v>
      </c>
      <c r="M32" s="428">
        <v>1052.5704051709481</v>
      </c>
    </row>
    <row r="33" spans="1:13" x14ac:dyDescent="0.2">
      <c r="A33" s="36" t="s">
        <v>153</v>
      </c>
      <c r="B33" s="428">
        <v>3443.9157526494714</v>
      </c>
      <c r="C33" s="428">
        <v>939.03472101767784</v>
      </c>
      <c r="D33" s="428">
        <v>470.70002388543799</v>
      </c>
      <c r="E33" s="428">
        <v>468.33469713224486</v>
      </c>
      <c r="F33" s="428"/>
      <c r="G33" s="428">
        <v>924.84276049851906</v>
      </c>
      <c r="H33" s="428">
        <v>644.55154024513308</v>
      </c>
      <c r="I33" s="428">
        <v>280.29122025339097</v>
      </c>
      <c r="J33" s="428"/>
      <c r="K33" s="428">
        <v>1580.0382711330162</v>
      </c>
      <c r="L33" s="428">
        <v>405.6535381726269</v>
      </c>
      <c r="M33" s="428">
        <v>1174.3847329603943</v>
      </c>
    </row>
    <row r="34" spans="1:13" x14ac:dyDescent="0.2">
      <c r="A34" s="36" t="s">
        <v>154</v>
      </c>
      <c r="B34" s="428">
        <v>7497.1018981002753</v>
      </c>
      <c r="C34" s="428">
        <v>3140.0237834905947</v>
      </c>
      <c r="D34" s="428">
        <v>1595.9820132627826</v>
      </c>
      <c r="E34" s="428">
        <v>1544.0417702276034</v>
      </c>
      <c r="F34" s="428"/>
      <c r="G34" s="428">
        <v>1080.120963117934</v>
      </c>
      <c r="H34" s="428">
        <v>842.84848925268318</v>
      </c>
      <c r="I34" s="428">
        <v>237.27247386525218</v>
      </c>
      <c r="J34" s="428"/>
      <c r="K34" s="428">
        <v>3276.9571514924573</v>
      </c>
      <c r="L34" s="428">
        <v>1201.7083502230128</v>
      </c>
      <c r="M34" s="428">
        <v>2075.2488012692147</v>
      </c>
    </row>
    <row r="35" spans="1:13" x14ac:dyDescent="0.2">
      <c r="A35" s="337" t="s">
        <v>6</v>
      </c>
      <c r="B35" s="426">
        <v>155901.00345208531</v>
      </c>
      <c r="C35" s="426">
        <v>33972.261639995922</v>
      </c>
      <c r="D35" s="426">
        <v>17922.570609875926</v>
      </c>
      <c r="E35" s="426">
        <v>16049.691030122462</v>
      </c>
      <c r="F35" s="426"/>
      <c r="G35" s="426">
        <v>21899.514535447066</v>
      </c>
      <c r="H35" s="426">
        <v>13867.776459678218</v>
      </c>
      <c r="I35" s="426">
        <v>8031.7380757714882</v>
      </c>
      <c r="J35" s="426"/>
      <c r="K35" s="426">
        <v>100029.22727653295</v>
      </c>
      <c r="L35" s="426">
        <v>44424.188990012684</v>
      </c>
      <c r="M35" s="426">
        <v>55605.038286419869</v>
      </c>
    </row>
    <row r="36" spans="1:13" x14ac:dyDescent="0.2">
      <c r="A36" s="36" t="s">
        <v>142</v>
      </c>
      <c r="B36" s="428">
        <v>29214.571025601952</v>
      </c>
      <c r="C36" s="428">
        <v>7025.9928256641597</v>
      </c>
      <c r="D36" s="428">
        <v>3436.6148053792408</v>
      </c>
      <c r="E36" s="428">
        <v>3589.3780202841399</v>
      </c>
      <c r="F36" s="428"/>
      <c r="G36" s="428">
        <v>856.3660514378555</v>
      </c>
      <c r="H36" s="428">
        <v>452.71434490074063</v>
      </c>
      <c r="I36" s="428">
        <v>403.6517065371134</v>
      </c>
      <c r="J36" s="428"/>
      <c r="K36" s="428">
        <v>21332.212148504936</v>
      </c>
      <c r="L36" s="428">
        <v>10422.465472381409</v>
      </c>
      <c r="M36" s="428">
        <v>10909.746676128954</v>
      </c>
    </row>
    <row r="37" spans="1:13" x14ac:dyDescent="0.2">
      <c r="A37" s="36" t="s">
        <v>143</v>
      </c>
      <c r="B37" s="428">
        <v>24008.356059246602</v>
      </c>
      <c r="C37" s="428">
        <v>7678.3029039079729</v>
      </c>
      <c r="D37" s="428">
        <v>4077.7742839946932</v>
      </c>
      <c r="E37" s="428">
        <v>3600.5286199122347</v>
      </c>
      <c r="F37" s="428"/>
      <c r="G37" s="428">
        <v>1102.7943032188014</v>
      </c>
      <c r="H37" s="428">
        <v>560.87516129328242</v>
      </c>
      <c r="I37" s="428">
        <v>541.91914192551735</v>
      </c>
      <c r="J37" s="428"/>
      <c r="K37" s="428">
        <v>15227.258852125509</v>
      </c>
      <c r="L37" s="428">
        <v>7314.7933560319334</v>
      </c>
      <c r="M37" s="428">
        <v>7912.4654960980597</v>
      </c>
    </row>
    <row r="38" spans="1:13" x14ac:dyDescent="0.2">
      <c r="A38" s="36" t="s">
        <v>144</v>
      </c>
      <c r="B38" s="428">
        <v>20636.543791335986</v>
      </c>
      <c r="C38" s="428">
        <v>4932.0192124094056</v>
      </c>
      <c r="D38" s="428">
        <v>2965.6664241365647</v>
      </c>
      <c r="E38" s="428">
        <v>1966.3527882728233</v>
      </c>
      <c r="F38" s="428"/>
      <c r="G38" s="428">
        <v>2634.5541309137752</v>
      </c>
      <c r="H38" s="428">
        <v>1215.6722101358148</v>
      </c>
      <c r="I38" s="428">
        <v>1418.8819207779986</v>
      </c>
      <c r="J38" s="428"/>
      <c r="K38" s="428">
        <v>13069.970448010879</v>
      </c>
      <c r="L38" s="428">
        <v>5756.8115673690145</v>
      </c>
      <c r="M38" s="428">
        <v>7313.1588806406244</v>
      </c>
    </row>
    <row r="39" spans="1:13" x14ac:dyDescent="0.2">
      <c r="A39" s="36" t="s">
        <v>145</v>
      </c>
      <c r="B39" s="428">
        <v>19072.228901087499</v>
      </c>
      <c r="C39" s="428">
        <v>2641.9876613703991</v>
      </c>
      <c r="D39" s="428">
        <v>1437.8743908195149</v>
      </c>
      <c r="E39" s="428">
        <v>1204.1132705507891</v>
      </c>
      <c r="F39" s="428"/>
      <c r="G39" s="428">
        <v>3965.4165037251123</v>
      </c>
      <c r="H39" s="428">
        <v>2251.1682884211232</v>
      </c>
      <c r="I39" s="428">
        <v>1714.2482153038939</v>
      </c>
      <c r="J39" s="428"/>
      <c r="K39" s="428">
        <v>12464.824735995813</v>
      </c>
      <c r="L39" s="428">
        <v>5231.622571847377</v>
      </c>
      <c r="M39" s="428">
        <v>7233.2021641483416</v>
      </c>
    </row>
    <row r="40" spans="1:13" x14ac:dyDescent="0.2">
      <c r="A40" s="36" t="s">
        <v>146</v>
      </c>
      <c r="B40" s="428">
        <v>13388.91166455812</v>
      </c>
      <c r="C40" s="428">
        <v>1956.5318764157503</v>
      </c>
      <c r="D40" s="428">
        <v>969.13464444733552</v>
      </c>
      <c r="E40" s="428">
        <v>987.39723196832801</v>
      </c>
      <c r="F40" s="428"/>
      <c r="G40" s="428">
        <v>3124.1199719246461</v>
      </c>
      <c r="H40" s="428">
        <v>2050.279825690187</v>
      </c>
      <c r="I40" s="428">
        <v>1073.8401462343638</v>
      </c>
      <c r="J40" s="428"/>
      <c r="K40" s="428">
        <v>8308.2598162175327</v>
      </c>
      <c r="L40" s="428">
        <v>3673.2151033892051</v>
      </c>
      <c r="M40" s="428">
        <v>4635.0447128282331</v>
      </c>
    </row>
    <row r="41" spans="1:13" x14ac:dyDescent="0.2">
      <c r="A41" s="36" t="s">
        <v>147</v>
      </c>
      <c r="B41" s="428">
        <v>10786.29801118073</v>
      </c>
      <c r="C41" s="428">
        <v>1563.5785342687345</v>
      </c>
      <c r="D41" s="428">
        <v>844.15601769547266</v>
      </c>
      <c r="E41" s="428">
        <v>719.42251657330496</v>
      </c>
      <c r="F41" s="428"/>
      <c r="G41" s="428">
        <v>2589.1650990510075</v>
      </c>
      <c r="H41" s="428">
        <v>1734.9296065173535</v>
      </c>
      <c r="I41" s="428">
        <v>854.23549253362762</v>
      </c>
      <c r="J41" s="428"/>
      <c r="K41" s="428">
        <v>6633.5543778601359</v>
      </c>
      <c r="L41" s="428">
        <v>2737.8373529138066</v>
      </c>
      <c r="M41" s="428">
        <v>3895.7170249469627</v>
      </c>
    </row>
    <row r="42" spans="1:13" x14ac:dyDescent="0.2">
      <c r="A42" s="36" t="s">
        <v>148</v>
      </c>
      <c r="B42" s="428">
        <v>7840.5714897288663</v>
      </c>
      <c r="C42" s="428">
        <v>1038.1859083299544</v>
      </c>
      <c r="D42" s="428">
        <v>526.65256029359125</v>
      </c>
      <c r="E42" s="428">
        <v>511.5333480363588</v>
      </c>
      <c r="F42" s="428"/>
      <c r="G42" s="428">
        <v>1747.528950065046</v>
      </c>
      <c r="H42" s="428">
        <v>1215.8366523524196</v>
      </c>
      <c r="I42" s="428">
        <v>531.69229771266873</v>
      </c>
      <c r="J42" s="428"/>
      <c r="K42" s="428">
        <v>5054.8566313345418</v>
      </c>
      <c r="L42" s="428">
        <v>1905.0207444112032</v>
      </c>
      <c r="M42" s="428">
        <v>3149.835886923428</v>
      </c>
    </row>
    <row r="43" spans="1:13" x14ac:dyDescent="0.2">
      <c r="A43" s="36" t="s">
        <v>149</v>
      </c>
      <c r="B43" s="428">
        <v>7303.8394545972596</v>
      </c>
      <c r="C43" s="428">
        <v>1004.1676807511827</v>
      </c>
      <c r="D43" s="428">
        <v>539.25190384128496</v>
      </c>
      <c r="E43" s="428">
        <v>464.91577690989209</v>
      </c>
      <c r="F43" s="428"/>
      <c r="G43" s="428">
        <v>1382.1479871819615</v>
      </c>
      <c r="H43" s="428">
        <v>1019.2868930084152</v>
      </c>
      <c r="I43" s="428">
        <v>362.86109417357306</v>
      </c>
      <c r="J43" s="428"/>
      <c r="K43" s="428">
        <v>4917.5237866647176</v>
      </c>
      <c r="L43" s="428">
        <v>2053.6929982739766</v>
      </c>
      <c r="M43" s="428">
        <v>2863.8307883907551</v>
      </c>
    </row>
    <row r="44" spans="1:13" x14ac:dyDescent="0.2">
      <c r="A44" s="36" t="s">
        <v>150</v>
      </c>
      <c r="B44" s="428">
        <v>5573.8924939002945</v>
      </c>
      <c r="C44" s="428">
        <v>847.96964101974231</v>
      </c>
      <c r="D44" s="428">
        <v>425.75881557476851</v>
      </c>
      <c r="E44" s="428">
        <v>422.21082544497881</v>
      </c>
      <c r="F44" s="428"/>
      <c r="G44" s="428">
        <v>1234.7005651668192</v>
      </c>
      <c r="H44" s="428">
        <v>837.32567063037322</v>
      </c>
      <c r="I44" s="428">
        <v>397.37489453645094</v>
      </c>
      <c r="J44" s="428"/>
      <c r="K44" s="428">
        <v>3491.2222877133431</v>
      </c>
      <c r="L44" s="428">
        <v>1374.2548436052139</v>
      </c>
      <c r="M44" s="428">
        <v>2116.9674441078701</v>
      </c>
    </row>
    <row r="45" spans="1:13" x14ac:dyDescent="0.2">
      <c r="A45" s="36" t="s">
        <v>151</v>
      </c>
      <c r="B45" s="428">
        <v>4683.3469713229097</v>
      </c>
      <c r="C45" s="428">
        <v>868.07491842188392</v>
      </c>
      <c r="D45" s="428">
        <v>436.40278596413759</v>
      </c>
      <c r="E45" s="428">
        <v>431.67213245775133</v>
      </c>
      <c r="F45" s="428"/>
      <c r="G45" s="428">
        <v>1072.6756825730897</v>
      </c>
      <c r="H45" s="428">
        <v>782.92315530693122</v>
      </c>
      <c r="I45" s="428">
        <v>289.7525272661635</v>
      </c>
      <c r="J45" s="428"/>
      <c r="K45" s="428">
        <v>2742.5963703275734</v>
      </c>
      <c r="L45" s="428">
        <v>1232.335238413626</v>
      </c>
      <c r="M45" s="428">
        <v>1510.2611319138189</v>
      </c>
    </row>
    <row r="46" spans="1:13" x14ac:dyDescent="0.2">
      <c r="A46" s="36" t="s">
        <v>152</v>
      </c>
      <c r="B46" s="428">
        <v>3235.7669983684359</v>
      </c>
      <c r="C46" s="428">
        <v>746.2605906324377</v>
      </c>
      <c r="D46" s="428">
        <v>363.07765661515054</v>
      </c>
      <c r="E46" s="428">
        <v>383.18293401729215</v>
      </c>
      <c r="F46" s="428"/>
      <c r="G46" s="428">
        <v>798.29777920268657</v>
      </c>
      <c r="H46" s="428">
        <v>604.34098544084986</v>
      </c>
      <c r="I46" s="428">
        <v>193.9567937618402</v>
      </c>
      <c r="J46" s="428"/>
      <c r="K46" s="428">
        <v>1691.2086285330934</v>
      </c>
      <c r="L46" s="428">
        <v>587.78369816849795</v>
      </c>
      <c r="M46" s="428">
        <v>1103.4249303646004</v>
      </c>
    </row>
    <row r="47" spans="1:13" x14ac:dyDescent="0.2">
      <c r="A47" s="36" t="s">
        <v>153</v>
      </c>
      <c r="B47" s="428">
        <v>3167.1725225258219</v>
      </c>
      <c r="C47" s="428">
        <v>805.39375946226596</v>
      </c>
      <c r="D47" s="428">
        <v>454.14273661308607</v>
      </c>
      <c r="E47" s="428">
        <v>351.25102284918489</v>
      </c>
      <c r="F47" s="428"/>
      <c r="G47" s="428">
        <v>625.62892621958804</v>
      </c>
      <c r="H47" s="428">
        <v>493.17062804077273</v>
      </c>
      <c r="I47" s="428">
        <v>132.45829817881733</v>
      </c>
      <c r="J47" s="428"/>
      <c r="K47" s="428">
        <v>1736.1498368437628</v>
      </c>
      <c r="L47" s="428">
        <v>678.84877816643348</v>
      </c>
      <c r="M47" s="428">
        <v>1057.3010586773344</v>
      </c>
    </row>
    <row r="48" spans="1:13" x14ac:dyDescent="0.2">
      <c r="A48" s="36" t="s">
        <v>154</v>
      </c>
      <c r="B48" s="429">
        <v>6989.5040684383939</v>
      </c>
      <c r="C48" s="429">
        <v>2863.7961273489063</v>
      </c>
      <c r="D48" s="429">
        <v>1446.0635845021516</v>
      </c>
      <c r="E48" s="429">
        <v>1417.7325428465992</v>
      </c>
      <c r="F48" s="429"/>
      <c r="G48" s="429">
        <v>766.11858476889563</v>
      </c>
      <c r="H48" s="429">
        <v>649.25303793974228</v>
      </c>
      <c r="I48" s="429">
        <v>116.86554682915467</v>
      </c>
      <c r="J48" s="429"/>
      <c r="K48" s="429">
        <v>3359.5893563211675</v>
      </c>
      <c r="L48" s="429">
        <v>1455.5072650540023</v>
      </c>
      <c r="M48" s="429">
        <v>1904.0820912669142</v>
      </c>
    </row>
  </sheetData>
  <mergeCells count="7">
    <mergeCell ref="A1:M1"/>
    <mergeCell ref="B2:B4"/>
    <mergeCell ref="C2:M2"/>
    <mergeCell ref="C3:E3"/>
    <mergeCell ref="G3:I3"/>
    <mergeCell ref="K3:M3"/>
    <mergeCell ref="A2:A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G28"/>
  <sheetViews>
    <sheetView zoomScale="120" zoomScaleNormal="120" workbookViewId="0">
      <selection activeCell="A2" sqref="A2:A3"/>
    </sheetView>
  </sheetViews>
  <sheetFormatPr defaultRowHeight="12" x14ac:dyDescent="0.2"/>
  <cols>
    <col min="1" max="1" width="21.5703125" style="322" customWidth="1"/>
    <col min="2" max="16384" width="9.140625" style="322"/>
  </cols>
  <sheetData>
    <row r="1" spans="1:7" ht="21" customHeight="1" x14ac:dyDescent="0.2">
      <c r="A1" s="549" t="s">
        <v>529</v>
      </c>
      <c r="B1" s="549"/>
      <c r="C1" s="549"/>
      <c r="D1" s="549"/>
      <c r="E1" s="549"/>
      <c r="F1" s="549"/>
      <c r="G1" s="549"/>
    </row>
    <row r="2" spans="1:7" ht="27" customHeight="1" x14ac:dyDescent="0.2">
      <c r="A2" s="527" t="s">
        <v>501</v>
      </c>
      <c r="B2" s="539" t="s">
        <v>238</v>
      </c>
      <c r="C2" s="539"/>
      <c r="D2" s="539"/>
      <c r="E2" s="550" t="s">
        <v>239</v>
      </c>
      <c r="F2" s="550"/>
      <c r="G2" s="550"/>
    </row>
    <row r="3" spans="1:7" x14ac:dyDescent="0.2">
      <c r="A3" s="528"/>
      <c r="B3" s="141" t="s">
        <v>1</v>
      </c>
      <c r="C3" s="141" t="s">
        <v>2</v>
      </c>
      <c r="D3" s="141" t="s">
        <v>3</v>
      </c>
      <c r="E3" s="141" t="s">
        <v>1</v>
      </c>
      <c r="F3" s="141" t="s">
        <v>2</v>
      </c>
      <c r="G3" s="141" t="s">
        <v>3</v>
      </c>
    </row>
    <row r="4" spans="1:7" x14ac:dyDescent="0.2">
      <c r="A4" s="228" t="s">
        <v>457</v>
      </c>
      <c r="B4" s="237">
        <v>154654.82190183701</v>
      </c>
      <c r="C4" s="237">
        <v>77030.576348876959</v>
      </c>
      <c r="D4" s="237">
        <v>77624.245552639331</v>
      </c>
      <c r="E4" s="237">
        <v>100181.28302907587</v>
      </c>
      <c r="F4" s="237">
        <v>47953.300101807268</v>
      </c>
      <c r="G4" s="237">
        <v>52227.982927074205</v>
      </c>
    </row>
    <row r="5" spans="1:7" x14ac:dyDescent="0.2">
      <c r="A5" s="232" t="s">
        <v>14</v>
      </c>
      <c r="B5" s="8"/>
      <c r="C5" s="8"/>
      <c r="D5" s="8"/>
      <c r="E5" s="8"/>
      <c r="F5" s="8"/>
      <c r="G5" s="8"/>
    </row>
    <row r="6" spans="1:7" x14ac:dyDescent="0.2">
      <c r="A6" s="378" t="s">
        <v>5</v>
      </c>
      <c r="B6" s="10">
        <v>84710.126333296823</v>
      </c>
      <c r="C6" s="10">
        <v>42635.755147933996</v>
      </c>
      <c r="D6" s="10">
        <v>42074.371185268974</v>
      </c>
      <c r="E6" s="10">
        <v>49168.840522838203</v>
      </c>
      <c r="F6" s="10">
        <v>23608.207968365121</v>
      </c>
      <c r="G6" s="10">
        <v>25560.632554490043</v>
      </c>
    </row>
    <row r="7" spans="1:7" x14ac:dyDescent="0.2">
      <c r="A7" s="72" t="s">
        <v>6</v>
      </c>
      <c r="B7" s="10">
        <v>69944.695568218871</v>
      </c>
      <c r="C7" s="10">
        <v>34394.821200897153</v>
      </c>
      <c r="D7" s="10">
        <v>35549.874367321456</v>
      </c>
      <c r="E7" s="10">
        <v>51012.442506043575</v>
      </c>
      <c r="F7" s="10">
        <v>24345.092133456979</v>
      </c>
      <c r="G7" s="10">
        <v>26667.35037260508</v>
      </c>
    </row>
    <row r="8" spans="1:7" x14ac:dyDescent="0.2">
      <c r="A8" s="234" t="s">
        <v>542</v>
      </c>
      <c r="B8" s="254"/>
      <c r="C8" s="254"/>
      <c r="D8" s="254"/>
      <c r="E8" s="254"/>
      <c r="F8" s="254"/>
      <c r="G8" s="254"/>
    </row>
    <row r="9" spans="1:7" s="335" customFormat="1" x14ac:dyDescent="0.2">
      <c r="A9" s="371" t="s">
        <v>458</v>
      </c>
      <c r="B9" s="8">
        <v>60145.967556584073</v>
      </c>
      <c r="C9" s="8">
        <v>29630.290141410595</v>
      </c>
      <c r="D9" s="8">
        <v>30515.677415198181</v>
      </c>
      <c r="E9" s="8">
        <v>34987.388711936561</v>
      </c>
      <c r="F9" s="8">
        <v>16219.113778742269</v>
      </c>
      <c r="G9" s="8">
        <v>18768.2749331997</v>
      </c>
    </row>
    <row r="10" spans="1:7" x14ac:dyDescent="0.2">
      <c r="A10" s="61" t="s">
        <v>458</v>
      </c>
      <c r="B10" s="10">
        <v>60145.967556584073</v>
      </c>
      <c r="C10" s="10">
        <v>29630.290141410595</v>
      </c>
      <c r="D10" s="10">
        <v>30515.677415198181</v>
      </c>
      <c r="E10" s="10">
        <v>34987.388711936561</v>
      </c>
      <c r="F10" s="10">
        <v>16219.113778742269</v>
      </c>
      <c r="G10" s="10">
        <v>18768.2749331997</v>
      </c>
    </row>
    <row r="11" spans="1:7" s="335" customFormat="1" x14ac:dyDescent="0.2">
      <c r="A11" s="371" t="s">
        <v>459</v>
      </c>
      <c r="B11" s="8">
        <v>38520.616627032396</v>
      </c>
      <c r="C11" s="8">
        <v>18997.002162715889</v>
      </c>
      <c r="D11" s="8">
        <v>19523.614464324473</v>
      </c>
      <c r="E11" s="8">
        <v>25915.513124451063</v>
      </c>
      <c r="F11" s="8">
        <v>12190.61073402197</v>
      </c>
      <c r="G11" s="8">
        <v>13724.902390432881</v>
      </c>
    </row>
    <row r="12" spans="1:7" x14ac:dyDescent="0.2">
      <c r="A12" s="61" t="s">
        <v>459</v>
      </c>
      <c r="B12" s="10">
        <v>32591.663635780442</v>
      </c>
      <c r="C12" s="10">
        <v>16255.083400640335</v>
      </c>
      <c r="D12" s="10">
        <v>16336.580235143836</v>
      </c>
      <c r="E12" s="10">
        <v>21352.162978418968</v>
      </c>
      <c r="F12" s="10">
        <v>10091.226290030538</v>
      </c>
      <c r="G12" s="10">
        <v>11260.936688392121</v>
      </c>
    </row>
    <row r="13" spans="1:7" x14ac:dyDescent="0.2">
      <c r="A13" s="61" t="s">
        <v>473</v>
      </c>
      <c r="B13" s="10">
        <v>5928.9529912585822</v>
      </c>
      <c r="C13" s="10">
        <v>2741.9187620764919</v>
      </c>
      <c r="D13" s="10">
        <v>3187.0342291817428</v>
      </c>
      <c r="E13" s="10">
        <v>4563.3501460336602</v>
      </c>
      <c r="F13" s="10">
        <v>2099.3844439922682</v>
      </c>
      <c r="G13" s="10">
        <v>2463.9657020415921</v>
      </c>
    </row>
    <row r="14" spans="1:7" s="335" customFormat="1" x14ac:dyDescent="0.2">
      <c r="A14" s="371" t="s">
        <v>461</v>
      </c>
      <c r="B14" s="8">
        <v>10229.664195743513</v>
      </c>
      <c r="C14" s="8">
        <v>5313.4561878622917</v>
      </c>
      <c r="D14" s="8">
        <v>4916.2080078814333</v>
      </c>
      <c r="E14" s="8">
        <v>5420.0030306922108</v>
      </c>
      <c r="F14" s="8">
        <v>2929.9452734677175</v>
      </c>
      <c r="G14" s="8">
        <v>2490.0577572243478</v>
      </c>
    </row>
    <row r="15" spans="1:7" x14ac:dyDescent="0.2">
      <c r="A15" s="61" t="s">
        <v>461</v>
      </c>
      <c r="B15" s="10">
        <v>10229.664195743513</v>
      </c>
      <c r="C15" s="10">
        <v>5313.4561878622917</v>
      </c>
      <c r="D15" s="10">
        <v>4916.2080078814333</v>
      </c>
      <c r="E15" s="10">
        <v>5420.0030306922108</v>
      </c>
      <c r="F15" s="10">
        <v>2929.9452734677175</v>
      </c>
      <c r="G15" s="10">
        <v>2490.0577572243478</v>
      </c>
    </row>
    <row r="16" spans="1:7" s="335" customFormat="1" x14ac:dyDescent="0.2">
      <c r="A16" s="371" t="s">
        <v>462</v>
      </c>
      <c r="B16" s="8">
        <v>14247.731114285063</v>
      </c>
      <c r="C16" s="8">
        <v>7162.7893848699168</v>
      </c>
      <c r="D16" s="8">
        <v>7084.9417294174873</v>
      </c>
      <c r="E16" s="8">
        <v>9702.6242539066116</v>
      </c>
      <c r="F16" s="8">
        <v>4701.7592582974448</v>
      </c>
      <c r="G16" s="8">
        <v>5000.8649956087775</v>
      </c>
    </row>
    <row r="17" spans="1:7" x14ac:dyDescent="0.2">
      <c r="A17" s="61" t="s">
        <v>462</v>
      </c>
      <c r="B17" s="10">
        <v>14247.731114285063</v>
      </c>
      <c r="C17" s="10">
        <v>7162.7893848699168</v>
      </c>
      <c r="D17" s="10">
        <v>7084.9417294174873</v>
      </c>
      <c r="E17" s="10">
        <v>9702.6242539066116</v>
      </c>
      <c r="F17" s="10">
        <v>4701.7592582974448</v>
      </c>
      <c r="G17" s="10">
        <v>5000.8649956087775</v>
      </c>
    </row>
    <row r="18" spans="1:7" s="335" customFormat="1" x14ac:dyDescent="0.2">
      <c r="A18" s="371" t="s">
        <v>463</v>
      </c>
      <c r="B18" s="8">
        <v>14537.67114872737</v>
      </c>
      <c r="C18" s="8">
        <v>7559.6352386020126</v>
      </c>
      <c r="D18" s="8">
        <v>6978.0359101281711</v>
      </c>
      <c r="E18" s="8">
        <v>9571.437007169061</v>
      </c>
      <c r="F18" s="8">
        <v>4863.782153819644</v>
      </c>
      <c r="G18" s="8">
        <v>4707.6548533490841</v>
      </c>
    </row>
    <row r="19" spans="1:7" x14ac:dyDescent="0.2">
      <c r="A19" s="61" t="s">
        <v>463</v>
      </c>
      <c r="B19" s="10">
        <v>14537.67114872737</v>
      </c>
      <c r="C19" s="10">
        <v>7559.6352386020126</v>
      </c>
      <c r="D19" s="10">
        <v>6978.0359101281711</v>
      </c>
      <c r="E19" s="10">
        <v>9571.437007169061</v>
      </c>
      <c r="F19" s="10">
        <v>4863.782153819644</v>
      </c>
      <c r="G19" s="10">
        <v>4707.6548533490841</v>
      </c>
    </row>
    <row r="20" spans="1:7" s="335" customFormat="1" x14ac:dyDescent="0.2">
      <c r="A20" s="371" t="s">
        <v>464</v>
      </c>
      <c r="B20" s="8">
        <v>5416.7012005931647</v>
      </c>
      <c r="C20" s="8">
        <v>2755.2634100107744</v>
      </c>
      <c r="D20" s="8">
        <v>2661.4377905822553</v>
      </c>
      <c r="E20" s="8">
        <v>4800.6161744159317</v>
      </c>
      <c r="F20" s="8">
        <v>2411.2087951024737</v>
      </c>
      <c r="G20" s="8">
        <v>2389.4073793135713</v>
      </c>
    </row>
    <row r="21" spans="1:7" x14ac:dyDescent="0.2">
      <c r="A21" s="61" t="s">
        <v>464</v>
      </c>
      <c r="B21" s="10">
        <v>1343.4261569015262</v>
      </c>
      <c r="C21" s="10">
        <v>694.2998061263005</v>
      </c>
      <c r="D21" s="10">
        <v>649.12635077522259</v>
      </c>
      <c r="E21" s="10">
        <v>1127.791073983369</v>
      </c>
      <c r="F21" s="10">
        <v>574.40831536211601</v>
      </c>
      <c r="G21" s="10">
        <v>553.38275862125533</v>
      </c>
    </row>
    <row r="22" spans="1:7" x14ac:dyDescent="0.2">
      <c r="A22" s="61" t="s">
        <v>465</v>
      </c>
      <c r="B22" s="10">
        <v>4073.2750436913616</v>
      </c>
      <c r="C22" s="10">
        <v>2060.963603884602</v>
      </c>
      <c r="D22" s="10">
        <v>2012.3114398071425</v>
      </c>
      <c r="E22" s="10">
        <v>3672.8251004324898</v>
      </c>
      <c r="F22" s="10">
        <v>1836.8004797404233</v>
      </c>
      <c r="G22" s="10">
        <v>1836.0246206923737</v>
      </c>
    </row>
    <row r="23" spans="1:7" s="335" customFormat="1" x14ac:dyDescent="0.2">
      <c r="A23" s="371" t="s">
        <v>466</v>
      </c>
      <c r="B23" s="8">
        <v>3851.6090971487424</v>
      </c>
      <c r="C23" s="8">
        <v>1819.5838147358479</v>
      </c>
      <c r="D23" s="8">
        <v>2032.0252824132422</v>
      </c>
      <c r="E23" s="8">
        <v>3515.3869556946806</v>
      </c>
      <c r="F23" s="8">
        <v>1653.2612619149616</v>
      </c>
      <c r="G23" s="8">
        <v>1862.1256937799981</v>
      </c>
    </row>
    <row r="24" spans="1:7" x14ac:dyDescent="0.2">
      <c r="A24" s="61" t="s">
        <v>466</v>
      </c>
      <c r="B24" s="10">
        <v>3851.6090971487424</v>
      </c>
      <c r="C24" s="10">
        <v>1819.5838147358479</v>
      </c>
      <c r="D24" s="10">
        <v>2032.0252824132422</v>
      </c>
      <c r="E24" s="10">
        <v>3515.3869556946806</v>
      </c>
      <c r="F24" s="10">
        <v>1653.2612619149616</v>
      </c>
      <c r="G24" s="10">
        <v>1862.1256937799981</v>
      </c>
    </row>
    <row r="25" spans="1:7" s="335" customFormat="1" x14ac:dyDescent="0.2">
      <c r="A25" s="371" t="s">
        <v>467</v>
      </c>
      <c r="B25" s="8">
        <v>5107.6329367228591</v>
      </c>
      <c r="C25" s="8">
        <v>2588.4681274372051</v>
      </c>
      <c r="D25" s="8">
        <v>2519.1648092856371</v>
      </c>
      <c r="E25" s="8">
        <v>3852.0646609591981</v>
      </c>
      <c r="F25" s="8">
        <v>1879.1817762320472</v>
      </c>
      <c r="G25" s="8">
        <v>1972.8828847274945</v>
      </c>
    </row>
    <row r="26" spans="1:7" x14ac:dyDescent="0.2">
      <c r="A26" s="61" t="s">
        <v>467</v>
      </c>
      <c r="B26" s="10">
        <v>5107.6329367228591</v>
      </c>
      <c r="C26" s="10">
        <v>2588.4681274372051</v>
      </c>
      <c r="D26" s="10">
        <v>2519.1648092856371</v>
      </c>
      <c r="E26" s="10">
        <v>3852.0646609591981</v>
      </c>
      <c r="F26" s="10">
        <v>1879.1817762320472</v>
      </c>
      <c r="G26" s="10">
        <v>1972.8828847274945</v>
      </c>
    </row>
    <row r="27" spans="1:7" s="335" customFormat="1" x14ac:dyDescent="0.2">
      <c r="A27" s="371" t="s">
        <v>468</v>
      </c>
      <c r="B27" s="8">
        <v>2597.2280245871589</v>
      </c>
      <c r="C27" s="8">
        <v>1204.0878812071467</v>
      </c>
      <c r="D27" s="8">
        <v>1393.1401433801061</v>
      </c>
      <c r="E27" s="8">
        <v>2416.2491096972576</v>
      </c>
      <c r="F27" s="8">
        <v>1104.4370702309138</v>
      </c>
      <c r="G27" s="8">
        <v>1311.812039466402</v>
      </c>
    </row>
    <row r="28" spans="1:7" x14ac:dyDescent="0.2">
      <c r="A28" s="61" t="s">
        <v>468</v>
      </c>
      <c r="B28" s="10">
        <v>2597.2280245871589</v>
      </c>
      <c r="C28" s="10">
        <v>1204.0878812071467</v>
      </c>
      <c r="D28" s="10">
        <v>1393.1401433801061</v>
      </c>
      <c r="E28" s="10">
        <v>2416.2491096972576</v>
      </c>
      <c r="F28" s="10">
        <v>1104.4370702309138</v>
      </c>
      <c r="G28" s="10">
        <v>1311.812039466402</v>
      </c>
    </row>
  </sheetData>
  <mergeCells count="4">
    <mergeCell ref="A2:A3"/>
    <mergeCell ref="B2:D2"/>
    <mergeCell ref="A1:G1"/>
    <mergeCell ref="E2:G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zoomScale="120" zoomScaleNormal="120" workbookViewId="0">
      <selection activeCell="B7" sqref="B7:B8"/>
    </sheetView>
  </sheetViews>
  <sheetFormatPr defaultRowHeight="12" x14ac:dyDescent="0.2"/>
  <cols>
    <col min="1" max="1" width="22.140625" style="322" customWidth="1"/>
    <col min="2" max="16384" width="9.140625" style="322"/>
  </cols>
  <sheetData>
    <row r="1" spans="1:11" ht="14.25" customHeight="1" x14ac:dyDescent="0.2">
      <c r="A1" s="554" t="s">
        <v>530</v>
      </c>
      <c r="B1" s="554"/>
      <c r="C1" s="554"/>
      <c r="D1" s="554"/>
      <c r="E1" s="554"/>
      <c r="F1" s="554"/>
      <c r="G1" s="554"/>
      <c r="H1" s="554"/>
      <c r="I1" s="554"/>
      <c r="J1" s="554"/>
      <c r="K1" s="554"/>
    </row>
    <row r="2" spans="1:11" ht="12" customHeight="1" x14ac:dyDescent="0.2">
      <c r="A2" s="527" t="s">
        <v>501</v>
      </c>
      <c r="B2" s="551" t="s">
        <v>546</v>
      </c>
      <c r="C2" s="534" t="s">
        <v>543</v>
      </c>
      <c r="D2" s="534"/>
      <c r="E2" s="534"/>
      <c r="F2" s="534"/>
      <c r="G2" s="534"/>
      <c r="H2" s="534"/>
      <c r="I2" s="534"/>
      <c r="J2" s="534"/>
      <c r="K2" s="534"/>
    </row>
    <row r="3" spans="1:11" x14ac:dyDescent="0.2">
      <c r="A3" s="533"/>
      <c r="B3" s="552"/>
      <c r="C3" s="555" t="s">
        <v>230</v>
      </c>
      <c r="D3" s="555"/>
      <c r="E3" s="555"/>
      <c r="F3" s="555" t="s">
        <v>231</v>
      </c>
      <c r="G3" s="555"/>
      <c r="H3" s="555"/>
      <c r="I3" s="556" t="s">
        <v>232</v>
      </c>
      <c r="J3" s="556"/>
      <c r="K3" s="556"/>
    </row>
    <row r="4" spans="1:11" x14ac:dyDescent="0.2">
      <c r="A4" s="528"/>
      <c r="B4" s="553"/>
      <c r="C4" s="339" t="s">
        <v>1</v>
      </c>
      <c r="D4" s="339" t="s">
        <v>139</v>
      </c>
      <c r="E4" s="339" t="s">
        <v>140</v>
      </c>
      <c r="F4" s="339" t="s">
        <v>1</v>
      </c>
      <c r="G4" s="339" t="s">
        <v>139</v>
      </c>
      <c r="H4" s="339" t="s">
        <v>140</v>
      </c>
      <c r="I4" s="339" t="s">
        <v>1</v>
      </c>
      <c r="J4" s="339" t="s">
        <v>139</v>
      </c>
      <c r="K4" s="339" t="s">
        <v>140</v>
      </c>
    </row>
    <row r="5" spans="1:11" x14ac:dyDescent="0.2">
      <c r="A5" s="228" t="s">
        <v>531</v>
      </c>
      <c r="B5" s="237">
        <v>154654.82190183701</v>
      </c>
      <c r="C5" s="237">
        <v>54473.538872510857</v>
      </c>
      <c r="D5" s="237">
        <v>29077.276247021357</v>
      </c>
      <c r="E5" s="237">
        <v>25396.262625508461</v>
      </c>
      <c r="F5" s="237">
        <v>10653.573109550864</v>
      </c>
      <c r="G5" s="237">
        <v>4946.9548981221851</v>
      </c>
      <c r="H5" s="237">
        <v>5706.6182114283638</v>
      </c>
      <c r="I5" s="237">
        <v>89527.709919473928</v>
      </c>
      <c r="J5" s="237">
        <v>43006.345203691257</v>
      </c>
      <c r="K5" s="237">
        <v>46521.364715654512</v>
      </c>
    </row>
    <row r="6" spans="1:11" x14ac:dyDescent="0.2">
      <c r="A6" s="232" t="s">
        <v>14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x14ac:dyDescent="0.2">
      <c r="A7" s="377" t="s">
        <v>5</v>
      </c>
      <c r="B7" s="10">
        <v>84710.126333296823</v>
      </c>
      <c r="C7" s="10">
        <v>35541.285810364076</v>
      </c>
      <c r="D7" s="10">
        <v>19027.5471795798</v>
      </c>
      <c r="E7" s="10">
        <v>16513.738630789903</v>
      </c>
      <c r="F7" s="10">
        <v>6762.7251525545489</v>
      </c>
      <c r="G7" s="10">
        <v>3076.298553513805</v>
      </c>
      <c r="H7" s="10">
        <v>3686.426599040064</v>
      </c>
      <c r="I7" s="10">
        <v>42406.115370292835</v>
      </c>
      <c r="J7" s="10">
        <v>20531.909414851842</v>
      </c>
      <c r="K7" s="10">
        <v>21874.205955450485</v>
      </c>
    </row>
    <row r="8" spans="1:11" x14ac:dyDescent="0.2">
      <c r="A8" s="72" t="s">
        <v>6</v>
      </c>
      <c r="B8" s="10">
        <v>69944.695568218871</v>
      </c>
      <c r="C8" s="10">
        <v>18932.253062163945</v>
      </c>
      <c r="D8" s="10">
        <v>10049.729067445303</v>
      </c>
      <c r="E8" s="10">
        <v>8882.5239947225418</v>
      </c>
      <c r="F8" s="10">
        <v>3890.8479569960828</v>
      </c>
      <c r="G8" s="10">
        <v>1870.6563446083817</v>
      </c>
      <c r="H8" s="10">
        <v>2020.1916123880289</v>
      </c>
      <c r="I8" s="10">
        <v>47121.594549053021</v>
      </c>
      <c r="J8" s="10">
        <v>22474.435788849092</v>
      </c>
      <c r="K8" s="10">
        <v>24647.158760217484</v>
      </c>
    </row>
    <row r="9" spans="1:11" x14ac:dyDescent="0.2">
      <c r="A9" s="234" t="s">
        <v>542</v>
      </c>
      <c r="B9" s="254"/>
      <c r="C9" s="254"/>
      <c r="D9" s="254"/>
      <c r="E9" s="254"/>
      <c r="F9" s="254"/>
      <c r="G9" s="254"/>
      <c r="H9" s="254"/>
      <c r="I9" s="254"/>
      <c r="J9" s="254"/>
      <c r="K9" s="254"/>
    </row>
    <row r="10" spans="1:11" s="335" customFormat="1" x14ac:dyDescent="0.2">
      <c r="A10" s="371" t="s">
        <v>458</v>
      </c>
      <c r="B10" s="8">
        <v>60145.967556584073</v>
      </c>
      <c r="C10" s="8">
        <v>25158.578844670523</v>
      </c>
      <c r="D10" s="8">
        <v>13411.176362672069</v>
      </c>
      <c r="E10" s="8">
        <v>11747.402482002322</v>
      </c>
      <c r="F10" s="8">
        <v>6168.4595779759411</v>
      </c>
      <c r="G10" s="8">
        <v>2790.6285130529018</v>
      </c>
      <c r="H10" s="8">
        <v>3377.8310649225896</v>
      </c>
      <c r="I10" s="8">
        <v>28818.929133963866</v>
      </c>
      <c r="J10" s="8">
        <v>13428.485265690106</v>
      </c>
      <c r="K10" s="8">
        <v>15390.443868277773</v>
      </c>
    </row>
    <row r="11" spans="1:11" x14ac:dyDescent="0.2">
      <c r="A11" s="61" t="s">
        <v>458</v>
      </c>
      <c r="B11" s="10">
        <v>60145.967556584073</v>
      </c>
      <c r="C11" s="10">
        <v>25158.578844670523</v>
      </c>
      <c r="D11" s="10">
        <v>13411.176362672069</v>
      </c>
      <c r="E11" s="10">
        <v>11747.402482002322</v>
      </c>
      <c r="F11" s="10">
        <v>6168.4595779759411</v>
      </c>
      <c r="G11" s="10">
        <v>2790.6285130529018</v>
      </c>
      <c r="H11" s="10">
        <v>3377.8310649225896</v>
      </c>
      <c r="I11" s="10">
        <v>28818.929133963866</v>
      </c>
      <c r="J11" s="10">
        <v>13428.485265690106</v>
      </c>
      <c r="K11" s="10">
        <v>15390.443868277773</v>
      </c>
    </row>
    <row r="12" spans="1:11" s="335" customFormat="1" x14ac:dyDescent="0.2">
      <c r="A12" s="371" t="s">
        <v>459</v>
      </c>
      <c r="B12" s="8">
        <v>38520.616627032396</v>
      </c>
      <c r="C12" s="8">
        <v>12605.103502589262</v>
      </c>
      <c r="D12" s="8">
        <v>6806.3914286966728</v>
      </c>
      <c r="E12" s="8">
        <v>5798.712073893972</v>
      </c>
      <c r="F12" s="8">
        <v>2405.7082481296447</v>
      </c>
      <c r="G12" s="8">
        <v>1160.9766850592025</v>
      </c>
      <c r="H12" s="8">
        <v>1244.7315630704775</v>
      </c>
      <c r="I12" s="8">
        <v>23509.804876321978</v>
      </c>
      <c r="J12" s="8">
        <v>11029.634048963162</v>
      </c>
      <c r="K12" s="8">
        <v>12480.170827362745</v>
      </c>
    </row>
    <row r="13" spans="1:11" x14ac:dyDescent="0.2">
      <c r="A13" s="61" t="s">
        <v>459</v>
      </c>
      <c r="B13" s="10">
        <v>32591.663635780442</v>
      </c>
      <c r="C13" s="10">
        <v>11239.500657365117</v>
      </c>
      <c r="D13" s="10">
        <v>6163.8571106121935</v>
      </c>
      <c r="E13" s="10">
        <v>5075.6435467535339</v>
      </c>
      <c r="F13" s="10">
        <v>2257.3692014565504</v>
      </c>
      <c r="G13" s="10">
        <v>1076.2140920759484</v>
      </c>
      <c r="H13" s="10">
        <v>1181.155109380609</v>
      </c>
      <c r="I13" s="10">
        <v>19094.793776963023</v>
      </c>
      <c r="J13" s="10">
        <v>9015.0121979549804</v>
      </c>
      <c r="K13" s="10">
        <v>10079.781579011924</v>
      </c>
    </row>
    <row r="14" spans="1:11" x14ac:dyDescent="0.2">
      <c r="A14" s="61" t="s">
        <v>473</v>
      </c>
      <c r="B14" s="10">
        <v>5928.9529912585822</v>
      </c>
      <c r="C14" s="10">
        <v>1365.6028452246248</v>
      </c>
      <c r="D14" s="10">
        <v>642.53431808433913</v>
      </c>
      <c r="E14" s="10">
        <v>723.06852714028025</v>
      </c>
      <c r="F14" s="10">
        <v>148.3390466731183</v>
      </c>
      <c r="G14" s="10">
        <v>84.762592983251167</v>
      </c>
      <c r="H14" s="10">
        <v>63.576453689866931</v>
      </c>
      <c r="I14" s="10">
        <v>4415.0110993605085</v>
      </c>
      <c r="J14" s="10">
        <v>2014.621851009025</v>
      </c>
      <c r="K14" s="10">
        <v>2400.3892483517366</v>
      </c>
    </row>
    <row r="15" spans="1:11" s="335" customFormat="1" x14ac:dyDescent="0.2">
      <c r="A15" s="371" t="s">
        <v>461</v>
      </c>
      <c r="B15" s="8">
        <v>10229.664195743513</v>
      </c>
      <c r="C15" s="8">
        <v>4809.6611650515142</v>
      </c>
      <c r="D15" s="8">
        <v>2383.5109143944737</v>
      </c>
      <c r="E15" s="8">
        <v>2426.1502506571401</v>
      </c>
      <c r="F15" s="8">
        <v>484.92744275657748</v>
      </c>
      <c r="G15" s="8">
        <v>230.87151973075066</v>
      </c>
      <c r="H15" s="8">
        <v>254.05592302582579</v>
      </c>
      <c r="I15" s="8">
        <v>4935.0755879355247</v>
      </c>
      <c r="J15" s="8">
        <v>2699.0737537370092</v>
      </c>
      <c r="K15" s="8">
        <v>2236.001834198571</v>
      </c>
    </row>
    <row r="16" spans="1:11" x14ac:dyDescent="0.2">
      <c r="A16" s="61" t="s">
        <v>461</v>
      </c>
      <c r="B16" s="10">
        <v>10229.664195743513</v>
      </c>
      <c r="C16" s="10">
        <v>4809.6611650515142</v>
      </c>
      <c r="D16" s="10">
        <v>2383.5109143944737</v>
      </c>
      <c r="E16" s="10">
        <v>2426.1502506571401</v>
      </c>
      <c r="F16" s="10">
        <v>484.92744275657748</v>
      </c>
      <c r="G16" s="10">
        <v>230.87151973075066</v>
      </c>
      <c r="H16" s="10">
        <v>254.05592302582579</v>
      </c>
      <c r="I16" s="10">
        <v>4935.0755879355247</v>
      </c>
      <c r="J16" s="10">
        <v>2699.0737537370092</v>
      </c>
      <c r="K16" s="10">
        <v>2236.001834198571</v>
      </c>
    </row>
    <row r="17" spans="1:11" s="335" customFormat="1" x14ac:dyDescent="0.2">
      <c r="A17" s="371" t="s">
        <v>462</v>
      </c>
      <c r="B17" s="8">
        <v>14247.731114285063</v>
      </c>
      <c r="C17" s="8">
        <v>4545.106860379934</v>
      </c>
      <c r="D17" s="8">
        <v>2461.0301265718772</v>
      </c>
      <c r="E17" s="8">
        <v>2084.0767338082678</v>
      </c>
      <c r="F17" s="8">
        <v>984.77917512555098</v>
      </c>
      <c r="G17" s="8">
        <v>458.71902467812066</v>
      </c>
      <c r="H17" s="8">
        <v>526.06015044744026</v>
      </c>
      <c r="I17" s="8">
        <v>8717.8450787813781</v>
      </c>
      <c r="J17" s="8">
        <v>4243.0402336192219</v>
      </c>
      <c r="K17" s="8">
        <v>4474.8048451612203</v>
      </c>
    </row>
    <row r="18" spans="1:11" x14ac:dyDescent="0.2">
      <c r="A18" s="61" t="s">
        <v>462</v>
      </c>
      <c r="B18" s="10">
        <v>14247.731114285063</v>
      </c>
      <c r="C18" s="10">
        <v>4545.106860379934</v>
      </c>
      <c r="D18" s="10">
        <v>2461.0301265718772</v>
      </c>
      <c r="E18" s="10">
        <v>2084.0767338082678</v>
      </c>
      <c r="F18" s="10">
        <v>984.77917512555098</v>
      </c>
      <c r="G18" s="10">
        <v>458.71902467812066</v>
      </c>
      <c r="H18" s="10">
        <v>526.06015044744026</v>
      </c>
      <c r="I18" s="10">
        <v>8717.8450787813781</v>
      </c>
      <c r="J18" s="10">
        <v>4243.0402336192219</v>
      </c>
      <c r="K18" s="10">
        <v>4474.8048451612203</v>
      </c>
    </row>
    <row r="19" spans="1:11" s="335" customFormat="1" x14ac:dyDescent="0.2">
      <c r="A19" s="371" t="s">
        <v>463</v>
      </c>
      <c r="B19" s="8">
        <v>14537.67114872737</v>
      </c>
      <c r="C19" s="8">
        <v>4966.2341415602059</v>
      </c>
      <c r="D19" s="8">
        <v>2695.853084781676</v>
      </c>
      <c r="E19" s="8">
        <v>2270.3810567785681</v>
      </c>
      <c r="F19" s="8">
        <v>158.93662527223898</v>
      </c>
      <c r="G19" s="8">
        <v>75.922404557035534</v>
      </c>
      <c r="H19" s="8">
        <v>83.014220715203294</v>
      </c>
      <c r="I19" s="8">
        <v>9412.5003818968871</v>
      </c>
      <c r="J19" s="8">
        <v>4787.8597492625913</v>
      </c>
      <c r="K19" s="8">
        <v>4624.640632633862</v>
      </c>
    </row>
    <row r="20" spans="1:11" x14ac:dyDescent="0.2">
      <c r="A20" s="61" t="s">
        <v>463</v>
      </c>
      <c r="B20" s="10">
        <v>14537.67114872737</v>
      </c>
      <c r="C20" s="10">
        <v>4966.2341415602059</v>
      </c>
      <c r="D20" s="10">
        <v>2695.853084781676</v>
      </c>
      <c r="E20" s="10">
        <v>2270.3810567785681</v>
      </c>
      <c r="F20" s="10">
        <v>158.93662527223898</v>
      </c>
      <c r="G20" s="10">
        <v>75.922404557035534</v>
      </c>
      <c r="H20" s="10">
        <v>83.014220715203294</v>
      </c>
      <c r="I20" s="10">
        <v>9412.5003818968871</v>
      </c>
      <c r="J20" s="10">
        <v>4787.8597492625913</v>
      </c>
      <c r="K20" s="10">
        <v>4624.640632633862</v>
      </c>
    </row>
    <row r="21" spans="1:11" s="335" customFormat="1" x14ac:dyDescent="0.2">
      <c r="A21" s="371" t="s">
        <v>464</v>
      </c>
      <c r="B21" s="8">
        <v>5416.7012005931647</v>
      </c>
      <c r="C21" s="8">
        <v>616.0850261770978</v>
      </c>
      <c r="D21" s="8">
        <v>344.0546149083645</v>
      </c>
      <c r="E21" s="8">
        <v>272.0304112687337</v>
      </c>
      <c r="F21" s="8">
        <v>132.96006311771106</v>
      </c>
      <c r="G21" s="8">
        <v>70.8198344957014</v>
      </c>
      <c r="H21" s="8">
        <v>62.140228622009587</v>
      </c>
      <c r="I21" s="8">
        <v>4667.6561112981908</v>
      </c>
      <c r="J21" s="8">
        <v>2340.3889606067851</v>
      </c>
      <c r="K21" s="8">
        <v>2327.2671506915726</v>
      </c>
    </row>
    <row r="22" spans="1:11" x14ac:dyDescent="0.2">
      <c r="A22" s="61" t="s">
        <v>464</v>
      </c>
      <c r="B22" s="10">
        <v>1343.4261569015262</v>
      </c>
      <c r="C22" s="10">
        <v>215.63508291815313</v>
      </c>
      <c r="D22" s="10">
        <v>119.89149076418516</v>
      </c>
      <c r="E22" s="10">
        <v>95.743592153967214</v>
      </c>
      <c r="F22" s="10">
        <v>33.059360407838462</v>
      </c>
      <c r="G22" s="10">
        <v>13.78217593502594</v>
      </c>
      <c r="H22" s="10">
        <v>19.277184472812525</v>
      </c>
      <c r="I22" s="10">
        <v>1094.7317135755304</v>
      </c>
      <c r="J22" s="10">
        <v>560.62613942709004</v>
      </c>
      <c r="K22" s="10">
        <v>534.105574148443</v>
      </c>
    </row>
    <row r="23" spans="1:11" x14ac:dyDescent="0.2">
      <c r="A23" s="61" t="s">
        <v>465</v>
      </c>
      <c r="B23" s="10">
        <v>4073.2750436913616</v>
      </c>
      <c r="C23" s="10">
        <v>400.44994325894498</v>
      </c>
      <c r="D23" s="10">
        <v>224.16312414417834</v>
      </c>
      <c r="E23" s="10">
        <v>176.28681911476568</v>
      </c>
      <c r="F23" s="10">
        <v>99.900702709872533</v>
      </c>
      <c r="G23" s="10">
        <v>57.037658560675489</v>
      </c>
      <c r="H23" s="10">
        <v>42.863044149197059</v>
      </c>
      <c r="I23" s="10">
        <v>3572.9243977226347</v>
      </c>
      <c r="J23" s="10">
        <v>1779.7628211797469</v>
      </c>
      <c r="K23" s="10">
        <v>1793.1615765431761</v>
      </c>
    </row>
    <row r="24" spans="1:11" s="335" customFormat="1" x14ac:dyDescent="0.2">
      <c r="A24" s="371" t="s">
        <v>466</v>
      </c>
      <c r="B24" s="8">
        <v>3851.6090971487424</v>
      </c>
      <c r="C24" s="8">
        <v>336.22214145412551</v>
      </c>
      <c r="D24" s="8">
        <v>166.3225528208832</v>
      </c>
      <c r="E24" s="8">
        <v>169.89958863324102</v>
      </c>
      <c r="F24" s="8">
        <v>80.623518237060011</v>
      </c>
      <c r="G24" s="8">
        <v>36.966579230100926</v>
      </c>
      <c r="H24" s="8">
        <v>43.656939006959114</v>
      </c>
      <c r="I24" s="8">
        <v>3434.763437457636</v>
      </c>
      <c r="J24" s="8">
        <v>1616.2946826848599</v>
      </c>
      <c r="K24" s="8">
        <v>1818.4687547730377</v>
      </c>
    </row>
    <row r="25" spans="1:11" x14ac:dyDescent="0.2">
      <c r="A25" s="61" t="s">
        <v>466</v>
      </c>
      <c r="B25" s="10">
        <v>3851.6090971487424</v>
      </c>
      <c r="C25" s="10">
        <v>336.22214145412551</v>
      </c>
      <c r="D25" s="10">
        <v>166.3225528208832</v>
      </c>
      <c r="E25" s="10">
        <v>169.89958863324102</v>
      </c>
      <c r="F25" s="10">
        <v>80.623518237060011</v>
      </c>
      <c r="G25" s="10">
        <v>36.966579230100926</v>
      </c>
      <c r="H25" s="10">
        <v>43.656939006959114</v>
      </c>
      <c r="I25" s="10">
        <v>3434.763437457636</v>
      </c>
      <c r="J25" s="10">
        <v>1616.2946826848599</v>
      </c>
      <c r="K25" s="10">
        <v>1818.4687547730377</v>
      </c>
    </row>
    <row r="26" spans="1:11" s="335" customFormat="1" x14ac:dyDescent="0.2">
      <c r="A26" s="371" t="s">
        <v>467</v>
      </c>
      <c r="B26" s="8">
        <v>5107.6329367228591</v>
      </c>
      <c r="C26" s="8">
        <v>1255.568275763487</v>
      </c>
      <c r="D26" s="8">
        <v>709.28635120525485</v>
      </c>
      <c r="E26" s="8">
        <v>546.28192455823103</v>
      </c>
      <c r="F26" s="8">
        <v>199.17711101936442</v>
      </c>
      <c r="G26" s="8">
        <v>107.15310142056416</v>
      </c>
      <c r="H26" s="8">
        <v>92.024009598799893</v>
      </c>
      <c r="I26" s="8">
        <v>3652.8875499398678</v>
      </c>
      <c r="J26" s="8">
        <v>1772.0286748114804</v>
      </c>
      <c r="K26" s="8">
        <v>1880.8588751286923</v>
      </c>
    </row>
    <row r="27" spans="1:11" x14ac:dyDescent="0.2">
      <c r="A27" s="61" t="s">
        <v>467</v>
      </c>
      <c r="B27" s="10">
        <v>5107.6329367228591</v>
      </c>
      <c r="C27" s="10">
        <v>1255.568275763487</v>
      </c>
      <c r="D27" s="10">
        <v>709.28635120525485</v>
      </c>
      <c r="E27" s="10">
        <v>546.28192455823103</v>
      </c>
      <c r="F27" s="10">
        <v>199.17711101936442</v>
      </c>
      <c r="G27" s="10">
        <v>107.15310142056416</v>
      </c>
      <c r="H27" s="10">
        <v>92.024009598799893</v>
      </c>
      <c r="I27" s="10">
        <v>3652.8875499398678</v>
      </c>
      <c r="J27" s="10">
        <v>1772.0286748114804</v>
      </c>
      <c r="K27" s="10">
        <v>1880.8588751286923</v>
      </c>
    </row>
    <row r="28" spans="1:11" s="335" customFormat="1" x14ac:dyDescent="0.2">
      <c r="A28" s="371" t="s">
        <v>468</v>
      </c>
      <c r="B28" s="8">
        <v>2597.2280245871589</v>
      </c>
      <c r="C28" s="8">
        <v>180.97891488993324</v>
      </c>
      <c r="D28" s="8">
        <v>99.650810976229693</v>
      </c>
      <c r="E28" s="8">
        <v>81.32810391370306</v>
      </c>
      <c r="F28" s="8">
        <v>38.001347916648719</v>
      </c>
      <c r="G28" s="8">
        <v>14.897235897835639</v>
      </c>
      <c r="H28" s="8">
        <v>23.104112018813083</v>
      </c>
      <c r="I28" s="8">
        <v>2378.2477617806157</v>
      </c>
      <c r="J28" s="8">
        <v>1089.539834333078</v>
      </c>
      <c r="K28" s="8">
        <v>1288.7079274475889</v>
      </c>
    </row>
    <row r="29" spans="1:11" x14ac:dyDescent="0.2">
      <c r="A29" s="61" t="s">
        <v>468</v>
      </c>
      <c r="B29" s="10">
        <v>2597.2280245871589</v>
      </c>
      <c r="C29" s="10">
        <v>180.97891488993324</v>
      </c>
      <c r="D29" s="10">
        <v>99.650810976229693</v>
      </c>
      <c r="E29" s="10">
        <v>81.32810391370306</v>
      </c>
      <c r="F29" s="10">
        <v>38.001347916648719</v>
      </c>
      <c r="G29" s="10">
        <v>14.897235897835639</v>
      </c>
      <c r="H29" s="10">
        <v>23.104112018813083</v>
      </c>
      <c r="I29" s="10">
        <v>2378.2477617806157</v>
      </c>
      <c r="J29" s="10">
        <v>1089.539834333078</v>
      </c>
      <c r="K29" s="10">
        <v>1288.7079274475889</v>
      </c>
    </row>
    <row r="34" ht="16.5" customHeight="1" x14ac:dyDescent="0.2"/>
  </sheetData>
  <mergeCells count="7">
    <mergeCell ref="B2:B4"/>
    <mergeCell ref="A1:K1"/>
    <mergeCell ref="C2:K2"/>
    <mergeCell ref="C3:E3"/>
    <mergeCell ref="F3:H3"/>
    <mergeCell ref="I3:K3"/>
    <mergeCell ref="A2:A4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zoomScale="120" zoomScaleNormal="120" workbookViewId="0">
      <selection activeCell="B7" sqref="B7:B8"/>
    </sheetView>
  </sheetViews>
  <sheetFormatPr defaultRowHeight="12" x14ac:dyDescent="0.2"/>
  <cols>
    <col min="1" max="1" width="21.5703125" style="322" customWidth="1"/>
    <col min="2" max="16384" width="9.140625" style="322"/>
  </cols>
  <sheetData>
    <row r="1" spans="1:11" ht="27.75" customHeight="1" x14ac:dyDescent="0.2">
      <c r="A1" s="554" t="s">
        <v>550</v>
      </c>
      <c r="B1" s="554"/>
      <c r="C1" s="554"/>
      <c r="D1" s="554"/>
      <c r="E1" s="554"/>
      <c r="F1" s="554"/>
      <c r="G1" s="554"/>
      <c r="H1" s="554"/>
      <c r="I1" s="554"/>
      <c r="J1" s="554"/>
      <c r="K1" s="554"/>
    </row>
    <row r="2" spans="1:11" x14ac:dyDescent="0.2">
      <c r="A2" s="557" t="s">
        <v>501</v>
      </c>
      <c r="B2" s="551" t="s">
        <v>545</v>
      </c>
      <c r="C2" s="534" t="s">
        <v>543</v>
      </c>
      <c r="D2" s="534"/>
      <c r="E2" s="534"/>
      <c r="F2" s="534"/>
      <c r="G2" s="534"/>
      <c r="H2" s="534"/>
      <c r="I2" s="534"/>
      <c r="J2" s="534"/>
      <c r="K2" s="534"/>
    </row>
    <row r="3" spans="1:11" x14ac:dyDescent="0.2">
      <c r="A3" s="558"/>
      <c r="B3" s="560"/>
      <c r="C3" s="555" t="s">
        <v>230</v>
      </c>
      <c r="D3" s="555"/>
      <c r="E3" s="555"/>
      <c r="F3" s="555" t="s">
        <v>231</v>
      </c>
      <c r="G3" s="555"/>
      <c r="H3" s="555"/>
      <c r="I3" s="556" t="s">
        <v>232</v>
      </c>
      <c r="J3" s="556"/>
      <c r="K3" s="556"/>
    </row>
    <row r="4" spans="1:11" x14ac:dyDescent="0.2">
      <c r="A4" s="559"/>
      <c r="B4" s="553"/>
      <c r="C4" s="338" t="s">
        <v>1</v>
      </c>
      <c r="D4" s="339" t="s">
        <v>139</v>
      </c>
      <c r="E4" s="339" t="s">
        <v>140</v>
      </c>
      <c r="F4" s="338" t="s">
        <v>1</v>
      </c>
      <c r="G4" s="339" t="s">
        <v>139</v>
      </c>
      <c r="H4" s="339" t="s">
        <v>140</v>
      </c>
      <c r="I4" s="338" t="s">
        <v>1</v>
      </c>
      <c r="J4" s="339" t="s">
        <v>139</v>
      </c>
      <c r="K4" s="339" t="s">
        <v>140</v>
      </c>
    </row>
    <row r="5" spans="1:11" x14ac:dyDescent="0.2">
      <c r="A5" s="228" t="s">
        <v>457</v>
      </c>
      <c r="B5" s="237">
        <v>84778.008972501353</v>
      </c>
      <c r="C5" s="237">
        <v>28553.340467656199</v>
      </c>
      <c r="D5" s="237">
        <v>14447.831938121999</v>
      </c>
      <c r="E5" s="237">
        <v>14105.508529539627</v>
      </c>
      <c r="F5" s="237">
        <v>3229.2136522966771</v>
      </c>
      <c r="G5" s="237">
        <v>1646.9435650699397</v>
      </c>
      <c r="H5" s="237">
        <v>1582.2700872269766</v>
      </c>
      <c r="I5" s="237">
        <v>52995.454852430084</v>
      </c>
      <c r="J5" s="237">
        <v>25931.834495092175</v>
      </c>
      <c r="K5" s="237">
        <v>27063.620357343338</v>
      </c>
    </row>
    <row r="6" spans="1:11" x14ac:dyDescent="0.2">
      <c r="A6" s="232" t="s">
        <v>14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x14ac:dyDescent="0.2">
      <c r="A7" s="377" t="s">
        <v>5</v>
      </c>
      <c r="B7" s="10">
        <v>45409.701925440269</v>
      </c>
      <c r="C7" s="10">
        <v>18294.788809813144</v>
      </c>
      <c r="D7" s="10">
        <v>9353.1229680475517</v>
      </c>
      <c r="E7" s="10">
        <v>8941.6658417710205</v>
      </c>
      <c r="F7" s="10">
        <v>1979.2314339872332</v>
      </c>
      <c r="G7" s="10">
        <v>992.40336690064009</v>
      </c>
      <c r="H7" s="10">
        <v>986.82806708659155</v>
      </c>
      <c r="I7" s="10">
        <v>25135.681681646529</v>
      </c>
      <c r="J7" s="10">
        <v>12364.899927594735</v>
      </c>
      <c r="K7" s="10">
        <v>12770.781754057221</v>
      </c>
    </row>
    <row r="8" spans="1:11" x14ac:dyDescent="0.2">
      <c r="A8" s="72" t="s">
        <v>6</v>
      </c>
      <c r="B8" s="10">
        <v>39368.307046940958</v>
      </c>
      <c r="C8" s="10">
        <v>10258.551657848482</v>
      </c>
      <c r="D8" s="10">
        <v>5094.7089700773486</v>
      </c>
      <c r="E8" s="10">
        <v>5163.8426877715647</v>
      </c>
      <c r="F8" s="10">
        <v>1249.982218309683</v>
      </c>
      <c r="G8" s="10">
        <v>654.54019816929804</v>
      </c>
      <c r="H8" s="10">
        <v>595.44202014038342</v>
      </c>
      <c r="I8" s="10">
        <v>27859.773170788983</v>
      </c>
      <c r="J8" s="10">
        <v>13566.934567502867</v>
      </c>
      <c r="K8" s="10">
        <v>14292.838603291544</v>
      </c>
    </row>
    <row r="9" spans="1:11" x14ac:dyDescent="0.2">
      <c r="A9" s="234" t="s">
        <v>542</v>
      </c>
      <c r="B9" s="254"/>
      <c r="C9" s="254"/>
      <c r="D9" s="254"/>
      <c r="E9" s="254"/>
      <c r="F9" s="254"/>
      <c r="G9" s="254"/>
      <c r="H9" s="254"/>
      <c r="I9" s="254"/>
      <c r="J9" s="254"/>
      <c r="K9" s="254"/>
    </row>
    <row r="10" spans="1:11" x14ac:dyDescent="0.2">
      <c r="A10" s="371" t="s">
        <v>458</v>
      </c>
      <c r="B10" s="8">
        <v>32931.065881644441</v>
      </c>
      <c r="C10" s="8">
        <v>13299.320176428701</v>
      </c>
      <c r="D10" s="8">
        <v>6750.5730148501052</v>
      </c>
      <c r="E10" s="8">
        <v>6548.7471615815066</v>
      </c>
      <c r="F10" s="8">
        <v>1717.1923427269514</v>
      </c>
      <c r="G10" s="8">
        <v>878.6672506940497</v>
      </c>
      <c r="H10" s="8">
        <v>838.52509203290015</v>
      </c>
      <c r="I10" s="8">
        <v>17914.553362495266</v>
      </c>
      <c r="J10" s="8">
        <v>8684.0869903621351</v>
      </c>
      <c r="K10" s="8">
        <v>9230.4663721385587</v>
      </c>
    </row>
    <row r="11" spans="1:11" x14ac:dyDescent="0.2">
      <c r="A11" s="61" t="s">
        <v>458</v>
      </c>
      <c r="B11" s="10">
        <v>32931.065881644441</v>
      </c>
      <c r="C11" s="10">
        <v>13299.320176428701</v>
      </c>
      <c r="D11" s="10">
        <v>6750.5730148501052</v>
      </c>
      <c r="E11" s="10">
        <v>6548.7471615815066</v>
      </c>
      <c r="F11" s="10">
        <v>1717.1923427269514</v>
      </c>
      <c r="G11" s="10">
        <v>878.6672506940497</v>
      </c>
      <c r="H11" s="10">
        <v>838.52509203290015</v>
      </c>
      <c r="I11" s="10">
        <v>17914.553362495266</v>
      </c>
      <c r="J11" s="10">
        <v>8684.0869903621351</v>
      </c>
      <c r="K11" s="10">
        <v>9230.4663721385587</v>
      </c>
    </row>
    <row r="12" spans="1:11" x14ac:dyDescent="0.2">
      <c r="A12" s="371" t="s">
        <v>459</v>
      </c>
      <c r="B12" s="8">
        <v>20546.094874724571</v>
      </c>
      <c r="C12" s="8">
        <v>6257.716511288113</v>
      </c>
      <c r="D12" s="8">
        <v>3098.7516366479676</v>
      </c>
      <c r="E12" s="8">
        <v>3158.9648746396797</v>
      </c>
      <c r="F12" s="8">
        <v>826.25943244199334</v>
      </c>
      <c r="G12" s="8">
        <v>418.14748605363962</v>
      </c>
      <c r="H12" s="8">
        <v>408.11194638835224</v>
      </c>
      <c r="I12" s="8">
        <v>13462.118930998819</v>
      </c>
      <c r="J12" s="8">
        <v>6457.3122446310917</v>
      </c>
      <c r="K12" s="8">
        <v>7004.8066863707709</v>
      </c>
    </row>
    <row r="13" spans="1:11" x14ac:dyDescent="0.2">
      <c r="A13" s="61" t="s">
        <v>459</v>
      </c>
      <c r="B13" s="10">
        <v>17522.052255586488</v>
      </c>
      <c r="C13" s="10">
        <v>5599.8311332302501</v>
      </c>
      <c r="D13" s="10">
        <v>2794.340266800979</v>
      </c>
      <c r="E13" s="10">
        <v>2805.4908664290738</v>
      </c>
      <c r="F13" s="10">
        <v>767.16125441307872</v>
      </c>
      <c r="G13" s="10">
        <v>381.3505072809192</v>
      </c>
      <c r="H13" s="10">
        <v>385.81074713215804</v>
      </c>
      <c r="I13" s="10">
        <v>11155.05986794694</v>
      </c>
      <c r="J13" s="10">
        <v>5363.4384211145434</v>
      </c>
      <c r="K13" s="10">
        <v>5791.6214468335593</v>
      </c>
    </row>
    <row r="14" spans="1:11" ht="15.75" customHeight="1" x14ac:dyDescent="0.2">
      <c r="A14" s="61" t="s">
        <v>473</v>
      </c>
      <c r="B14" s="10">
        <v>3024.0426191397323</v>
      </c>
      <c r="C14" s="10">
        <v>657.88537805772717</v>
      </c>
      <c r="D14" s="10">
        <v>304.41136984704923</v>
      </c>
      <c r="E14" s="10">
        <v>353.47400821067646</v>
      </c>
      <c r="F14" s="10">
        <v>59.098178028913964</v>
      </c>
      <c r="G14" s="10">
        <v>36.796978772720053</v>
      </c>
      <c r="H14" s="10">
        <v>22.301199256193978</v>
      </c>
      <c r="I14" s="10">
        <v>2307.0590630532351</v>
      </c>
      <c r="J14" s="10">
        <v>1093.8738235163237</v>
      </c>
      <c r="K14" s="10">
        <v>1213.1852395369626</v>
      </c>
    </row>
    <row r="15" spans="1:11" x14ac:dyDescent="0.2">
      <c r="A15" s="371" t="s">
        <v>461</v>
      </c>
      <c r="B15" s="8">
        <v>5488.3251369492564</v>
      </c>
      <c r="C15" s="8">
        <v>2704.0204098134109</v>
      </c>
      <c r="D15" s="8">
        <v>1257.787638049351</v>
      </c>
      <c r="E15" s="8">
        <v>1446.232771764192</v>
      </c>
      <c r="F15" s="8">
        <v>172.83429423550348</v>
      </c>
      <c r="G15" s="8">
        <v>86.974677099156352</v>
      </c>
      <c r="H15" s="8">
        <v>85.859617136346657</v>
      </c>
      <c r="I15" s="8">
        <v>2611.4704329002238</v>
      </c>
      <c r="J15" s="8">
        <v>1409.4357929914715</v>
      </c>
      <c r="K15" s="8">
        <v>1202.0346399088655</v>
      </c>
    </row>
    <row r="16" spans="1:11" x14ac:dyDescent="0.2">
      <c r="A16" s="61" t="s">
        <v>461</v>
      </c>
      <c r="B16" s="10">
        <v>5488.3251369492564</v>
      </c>
      <c r="C16" s="10">
        <v>2704.0204098134109</v>
      </c>
      <c r="D16" s="10">
        <v>1257.787638049351</v>
      </c>
      <c r="E16" s="10">
        <v>1446.232771764192</v>
      </c>
      <c r="F16" s="10">
        <v>172.83429423550348</v>
      </c>
      <c r="G16" s="10">
        <v>86.974677099156352</v>
      </c>
      <c r="H16" s="10">
        <v>85.859617136346657</v>
      </c>
      <c r="I16" s="10">
        <v>2611.4704329002238</v>
      </c>
      <c r="J16" s="10">
        <v>1409.4357929914715</v>
      </c>
      <c r="K16" s="10">
        <v>1202.0346399088655</v>
      </c>
    </row>
    <row r="17" spans="1:11" x14ac:dyDescent="0.2">
      <c r="A17" s="371" t="s">
        <v>462</v>
      </c>
      <c r="B17" s="8">
        <v>7741.8613217881393</v>
      </c>
      <c r="C17" s="8">
        <v>2321.5548425697584</v>
      </c>
      <c r="D17" s="8">
        <v>1234.3713788303471</v>
      </c>
      <c r="E17" s="8">
        <v>1087.1834637394654</v>
      </c>
      <c r="F17" s="8">
        <v>301.0661899586201</v>
      </c>
      <c r="G17" s="8">
        <v>150.53309497930928</v>
      </c>
      <c r="H17" s="8">
        <v>150.53309497930928</v>
      </c>
      <c r="I17" s="8">
        <v>5119.2402892591672</v>
      </c>
      <c r="J17" s="8">
        <v>2595.8595934208911</v>
      </c>
      <c r="K17" s="8">
        <v>2523.3806958382747</v>
      </c>
    </row>
    <row r="18" spans="1:11" x14ac:dyDescent="0.2">
      <c r="A18" s="61" t="s">
        <v>462</v>
      </c>
      <c r="B18" s="10">
        <v>7741.8613217881393</v>
      </c>
      <c r="C18" s="10">
        <v>2321.5548425697584</v>
      </c>
      <c r="D18" s="10">
        <v>1234.3713788303471</v>
      </c>
      <c r="E18" s="10">
        <v>1087.1834637394654</v>
      </c>
      <c r="F18" s="10">
        <v>301.0661899586201</v>
      </c>
      <c r="G18" s="10">
        <v>150.53309497930928</v>
      </c>
      <c r="H18" s="10">
        <v>150.53309497930928</v>
      </c>
      <c r="I18" s="10">
        <v>5119.2402892591672</v>
      </c>
      <c r="J18" s="10">
        <v>2595.8595934208911</v>
      </c>
      <c r="K18" s="10">
        <v>2523.3806958382747</v>
      </c>
    </row>
    <row r="19" spans="1:11" x14ac:dyDescent="0.2">
      <c r="A19" s="371" t="s">
        <v>463</v>
      </c>
      <c r="B19" s="10">
        <v>8453.2695780606664</v>
      </c>
      <c r="C19" s="10">
        <v>2763.1185878423134</v>
      </c>
      <c r="D19" s="10">
        <v>1483.0297505369124</v>
      </c>
      <c r="E19" s="10">
        <v>1280.0888373055452</v>
      </c>
      <c r="F19" s="10">
        <v>57.983118066104268</v>
      </c>
      <c r="G19" s="10">
        <v>32.33673892148127</v>
      </c>
      <c r="H19" s="10">
        <v>25.646379144623076</v>
      </c>
      <c r="I19" s="10">
        <v>5632.1678721517383</v>
      </c>
      <c r="J19" s="10">
        <v>2712.9408895158867</v>
      </c>
      <c r="K19" s="10">
        <v>2919.226982635641</v>
      </c>
    </row>
    <row r="20" spans="1:11" x14ac:dyDescent="0.2">
      <c r="A20" s="61" t="s">
        <v>463</v>
      </c>
      <c r="B20" s="8">
        <v>8453.2695780606664</v>
      </c>
      <c r="C20" s="8">
        <v>2763.1185878423134</v>
      </c>
      <c r="D20" s="8">
        <v>1483.0297505369124</v>
      </c>
      <c r="E20" s="8">
        <v>1280.0888373055452</v>
      </c>
      <c r="F20" s="8">
        <v>57.983118066104268</v>
      </c>
      <c r="G20" s="8">
        <v>32.33673892148127</v>
      </c>
      <c r="H20" s="8">
        <v>25.646379144623076</v>
      </c>
      <c r="I20" s="8">
        <v>5632.1678721517383</v>
      </c>
      <c r="J20" s="8">
        <v>2712.9408895158867</v>
      </c>
      <c r="K20" s="8">
        <v>2919.226982635641</v>
      </c>
    </row>
    <row r="21" spans="1:11" x14ac:dyDescent="0.2">
      <c r="A21" s="371" t="s">
        <v>464</v>
      </c>
      <c r="B21" s="10">
        <v>2985.0155204414004</v>
      </c>
      <c r="C21" s="10">
        <v>297.72101007019097</v>
      </c>
      <c r="D21" s="10">
        <v>154.99333483054812</v>
      </c>
      <c r="E21" s="10">
        <v>142.72767523964131</v>
      </c>
      <c r="F21" s="10">
        <v>53.522878214865486</v>
      </c>
      <c r="G21" s="10">
        <v>30.106618995861872</v>
      </c>
      <c r="H21" s="10">
        <v>23.416259219003678</v>
      </c>
      <c r="I21" s="10">
        <v>2633.7716321564135</v>
      </c>
      <c r="J21" s="10">
        <v>1362.6032745534637</v>
      </c>
      <c r="K21" s="10">
        <v>1271.1683576030675</v>
      </c>
    </row>
    <row r="22" spans="1:11" x14ac:dyDescent="0.2">
      <c r="A22" s="61" t="s">
        <v>464</v>
      </c>
      <c r="B22" s="8">
        <v>737.05463541721656</v>
      </c>
      <c r="C22" s="8">
        <v>114.85117616939874</v>
      </c>
      <c r="D22" s="8">
        <v>59.098178028913964</v>
      </c>
      <c r="E22" s="8">
        <v>55.752998140484877</v>
      </c>
      <c r="F22" s="8">
        <v>16.725899442145483</v>
      </c>
      <c r="G22" s="8">
        <v>6.6903597768581937</v>
      </c>
      <c r="H22" s="8">
        <v>10.03553966528729</v>
      </c>
      <c r="I22" s="8">
        <v>605.47755980567081</v>
      </c>
      <c r="J22" s="8">
        <v>315.56196947514633</v>
      </c>
      <c r="K22" s="8">
        <v>289.915590330523</v>
      </c>
    </row>
    <row r="23" spans="1:11" x14ac:dyDescent="0.2">
      <c r="A23" s="61" t="s">
        <v>465</v>
      </c>
      <c r="B23" s="10">
        <v>2247.9608850243326</v>
      </c>
      <c r="C23" s="10">
        <v>182.86983390079087</v>
      </c>
      <c r="D23" s="10">
        <v>95.895156801633917</v>
      </c>
      <c r="E23" s="10">
        <v>86.974677099156352</v>
      </c>
      <c r="F23" s="10">
        <v>36.796978772720053</v>
      </c>
      <c r="G23" s="10">
        <v>23.416259219003678</v>
      </c>
      <c r="H23" s="10">
        <v>13.380719553716387</v>
      </c>
      <c r="I23" s="10">
        <v>2028.2940723508605</v>
      </c>
      <c r="J23" s="10">
        <v>1047.0413050783159</v>
      </c>
      <c r="K23" s="10">
        <v>981.252767272543</v>
      </c>
    </row>
    <row r="24" spans="1:11" ht="15" customHeight="1" x14ac:dyDescent="0.2">
      <c r="A24" s="371" t="s">
        <v>466</v>
      </c>
      <c r="B24" s="8">
        <v>2284.7578637970455</v>
      </c>
      <c r="C24" s="8">
        <v>205.17103315698506</v>
      </c>
      <c r="D24" s="8">
        <v>93.665036876014526</v>
      </c>
      <c r="E24" s="8">
        <v>111.50599628096965</v>
      </c>
      <c r="F24" s="8">
        <v>25.646379144623076</v>
      </c>
      <c r="G24" s="8">
        <v>8.920479702477591</v>
      </c>
      <c r="H24" s="8">
        <v>16.725899442145483</v>
      </c>
      <c r="I24" s="8">
        <v>2053.9404514954826</v>
      </c>
      <c r="J24" s="8">
        <v>957.83650805353909</v>
      </c>
      <c r="K24" s="8">
        <v>1096.1039434419431</v>
      </c>
    </row>
    <row r="25" spans="1:11" x14ac:dyDescent="0.2">
      <c r="A25" s="61" t="s">
        <v>466</v>
      </c>
      <c r="B25" s="10">
        <v>2284.7578637970455</v>
      </c>
      <c r="C25" s="10">
        <v>205.17103315698506</v>
      </c>
      <c r="D25" s="10">
        <v>93.665036876014526</v>
      </c>
      <c r="E25" s="10">
        <v>111.50599628096965</v>
      </c>
      <c r="F25" s="10">
        <v>25.646379144623076</v>
      </c>
      <c r="G25" s="10">
        <v>8.920479702477591</v>
      </c>
      <c r="H25" s="10">
        <v>16.725899442145483</v>
      </c>
      <c r="I25" s="10">
        <v>2053.9404514954826</v>
      </c>
      <c r="J25" s="10">
        <v>957.83650805353909</v>
      </c>
      <c r="K25" s="10">
        <v>1096.1039434419431</v>
      </c>
    </row>
    <row r="26" spans="1:11" s="335" customFormat="1" x14ac:dyDescent="0.2">
      <c r="A26" s="371" t="s">
        <v>467</v>
      </c>
      <c r="B26" s="8">
        <v>2863.4739844951669</v>
      </c>
      <c r="C26" s="8">
        <v>612.16791958252907</v>
      </c>
      <c r="D26" s="8">
        <v>321.13726928919488</v>
      </c>
      <c r="E26" s="8">
        <v>291.03065029333271</v>
      </c>
      <c r="F26" s="8">
        <v>61.328297954533355</v>
      </c>
      <c r="G26" s="8">
        <v>35.681918809910357</v>
      </c>
      <c r="H26" s="8">
        <v>25.646379144623076</v>
      </c>
      <c r="I26" s="8">
        <v>2189.9777669582395</v>
      </c>
      <c r="J26" s="8">
        <v>1094.9888834791334</v>
      </c>
      <c r="K26" s="8">
        <v>1094.9888834791334</v>
      </c>
    </row>
    <row r="27" spans="1:11" x14ac:dyDescent="0.2">
      <c r="A27" s="61" t="s">
        <v>467</v>
      </c>
      <c r="B27" s="10">
        <v>2863.4739844951669</v>
      </c>
      <c r="C27" s="10">
        <v>612.16791958252907</v>
      </c>
      <c r="D27" s="10">
        <v>321.13726928919488</v>
      </c>
      <c r="E27" s="10">
        <v>291.03065029333271</v>
      </c>
      <c r="F27" s="10">
        <v>61.328297954533355</v>
      </c>
      <c r="G27" s="10">
        <v>35.681918809910357</v>
      </c>
      <c r="H27" s="10">
        <v>25.646379144623076</v>
      </c>
      <c r="I27" s="10">
        <v>2189.9777669582395</v>
      </c>
      <c r="J27" s="10">
        <v>1094.9888834791334</v>
      </c>
      <c r="K27" s="10">
        <v>1094.9888834791334</v>
      </c>
    </row>
    <row r="28" spans="1:11" x14ac:dyDescent="0.2">
      <c r="A28" s="371" t="s">
        <v>468</v>
      </c>
      <c r="B28" s="8">
        <v>1484.1448104997221</v>
      </c>
      <c r="C28" s="8">
        <v>92.54997691320483</v>
      </c>
      <c r="D28" s="8">
        <v>53.522878214865486</v>
      </c>
      <c r="E28" s="8">
        <v>39.027098698339444</v>
      </c>
      <c r="F28" s="8">
        <v>13.380719553716387</v>
      </c>
      <c r="G28" s="8">
        <v>5.5752998140484946</v>
      </c>
      <c r="H28" s="8">
        <v>7.8054197396678928</v>
      </c>
      <c r="I28" s="8">
        <v>1378.2141140327997</v>
      </c>
      <c r="J28" s="8">
        <v>656.77031809491746</v>
      </c>
      <c r="K28" s="8">
        <v>721.44379593788062</v>
      </c>
    </row>
    <row r="29" spans="1:11" x14ac:dyDescent="0.2">
      <c r="A29" s="61" t="s">
        <v>468</v>
      </c>
      <c r="B29" s="10">
        <v>1484.1448104997221</v>
      </c>
      <c r="C29" s="10">
        <v>92.54997691320483</v>
      </c>
      <c r="D29" s="10">
        <v>53.522878214865486</v>
      </c>
      <c r="E29" s="10">
        <v>39.027098698339444</v>
      </c>
      <c r="F29" s="10">
        <v>13.380719553716387</v>
      </c>
      <c r="G29" s="10">
        <v>5.5752998140484946</v>
      </c>
      <c r="H29" s="10">
        <v>7.8054197396678928</v>
      </c>
      <c r="I29" s="10">
        <v>1378.2141140327997</v>
      </c>
      <c r="J29" s="10">
        <v>656.77031809491746</v>
      </c>
      <c r="K29" s="10">
        <v>721.44379593788062</v>
      </c>
    </row>
  </sheetData>
  <mergeCells count="7">
    <mergeCell ref="A2:A4"/>
    <mergeCell ref="B2:B4"/>
    <mergeCell ref="C3:E3"/>
    <mergeCell ref="A1:K1"/>
    <mergeCell ref="C2:K2"/>
    <mergeCell ref="F3:H3"/>
    <mergeCell ref="I3:K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zoomScale="120" zoomScaleNormal="120" workbookViewId="0">
      <selection activeCell="C8" sqref="C8:C9"/>
    </sheetView>
  </sheetViews>
  <sheetFormatPr defaultRowHeight="12" x14ac:dyDescent="0.2"/>
  <cols>
    <col min="1" max="1" width="21.85546875" style="322" customWidth="1"/>
    <col min="2" max="16384" width="9.140625" style="322"/>
  </cols>
  <sheetData>
    <row r="1" spans="1:17" ht="22.5" customHeight="1" x14ac:dyDescent="0.2">
      <c r="A1" s="561" t="s">
        <v>544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  <c r="O1" s="561"/>
      <c r="P1" s="561"/>
      <c r="Q1" s="561"/>
    </row>
    <row r="2" spans="1:17" x14ac:dyDescent="0.2">
      <c r="A2" s="562"/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</row>
    <row r="3" spans="1:17" ht="12" customHeight="1" x14ac:dyDescent="0.2">
      <c r="A3" s="557" t="s">
        <v>501</v>
      </c>
      <c r="B3" s="563" t="s">
        <v>477</v>
      </c>
      <c r="C3" s="566" t="s">
        <v>478</v>
      </c>
      <c r="D3" s="566"/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566"/>
    </row>
    <row r="4" spans="1:17" x14ac:dyDescent="0.2">
      <c r="A4" s="558"/>
      <c r="B4" s="564"/>
      <c r="C4" s="564" t="s">
        <v>479</v>
      </c>
      <c r="D4" s="564"/>
      <c r="E4" s="564"/>
      <c r="F4" s="564" t="s">
        <v>480</v>
      </c>
      <c r="G4" s="564"/>
      <c r="H4" s="564"/>
      <c r="I4" s="564" t="s">
        <v>240</v>
      </c>
      <c r="J4" s="564"/>
      <c r="K4" s="564"/>
      <c r="L4" s="564" t="s">
        <v>241</v>
      </c>
      <c r="M4" s="564"/>
      <c r="N4" s="564"/>
      <c r="O4" s="564" t="s">
        <v>481</v>
      </c>
      <c r="P4" s="564"/>
      <c r="Q4" s="564"/>
    </row>
    <row r="5" spans="1:17" x14ac:dyDescent="0.2">
      <c r="A5" s="559"/>
      <c r="B5" s="565"/>
      <c r="C5" s="268" t="s">
        <v>1</v>
      </c>
      <c r="D5" s="268" t="s">
        <v>2</v>
      </c>
      <c r="E5" s="268" t="s">
        <v>3</v>
      </c>
      <c r="F5" s="268" t="s">
        <v>1</v>
      </c>
      <c r="G5" s="268" t="s">
        <v>2</v>
      </c>
      <c r="H5" s="268" t="s">
        <v>3</v>
      </c>
      <c r="I5" s="268" t="s">
        <v>1</v>
      </c>
      <c r="J5" s="268" t="s">
        <v>2</v>
      </c>
      <c r="K5" s="268" t="s">
        <v>3</v>
      </c>
      <c r="L5" s="268" t="s">
        <v>1</v>
      </c>
      <c r="M5" s="268" t="s">
        <v>2</v>
      </c>
      <c r="N5" s="268" t="s">
        <v>3</v>
      </c>
      <c r="O5" s="268" t="s">
        <v>1</v>
      </c>
      <c r="P5" s="268" t="s">
        <v>2</v>
      </c>
      <c r="Q5" s="268" t="s">
        <v>3</v>
      </c>
    </row>
    <row r="6" spans="1:17" x14ac:dyDescent="0.2">
      <c r="A6" s="269" t="s">
        <v>475</v>
      </c>
      <c r="B6" s="237">
        <v>90730.223480643297</v>
      </c>
      <c r="C6" s="237">
        <v>3994.1396845783197</v>
      </c>
      <c r="D6" s="237">
        <v>2026.7882286979661</v>
      </c>
      <c r="E6" s="237">
        <v>1967.3514558807335</v>
      </c>
      <c r="F6" s="237">
        <v>39261.948133443366</v>
      </c>
      <c r="G6" s="237">
        <v>20675.737219586303</v>
      </c>
      <c r="H6" s="237">
        <v>18586.210913864539</v>
      </c>
      <c r="I6" s="237">
        <v>41183.725338446617</v>
      </c>
      <c r="J6" s="237">
        <v>21509.558180390974</v>
      </c>
      <c r="K6" s="237">
        <v>19674.167158063035</v>
      </c>
      <c r="L6" s="237">
        <v>5702.383944981445</v>
      </c>
      <c r="M6" s="237">
        <v>3675.9408803067213</v>
      </c>
      <c r="N6" s="237">
        <v>2026.4430646745639</v>
      </c>
      <c r="O6" s="237">
        <v>588.02637912492025</v>
      </c>
      <c r="P6" s="237">
        <v>437.13833522622758</v>
      </c>
      <c r="Q6" s="237">
        <v>150.88804389869185</v>
      </c>
    </row>
    <row r="7" spans="1:17" x14ac:dyDescent="0.2">
      <c r="A7" s="232" t="s">
        <v>14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x14ac:dyDescent="0.2">
      <c r="A8" s="378" t="s">
        <v>5</v>
      </c>
      <c r="B8" s="10">
        <v>56757.961840570293</v>
      </c>
      <c r="C8" s="10">
        <v>2371.6069084426535</v>
      </c>
      <c r="D8" s="10">
        <v>1276.3417701431683</v>
      </c>
      <c r="E8" s="10">
        <v>1095.2651382995473</v>
      </c>
      <c r="F8" s="10">
        <v>25161.900391562107</v>
      </c>
      <c r="G8" s="10">
        <v>13107.927148544362</v>
      </c>
      <c r="H8" s="10">
        <v>12053.973243022621</v>
      </c>
      <c r="I8" s="10">
        <v>24521.707992415682</v>
      </c>
      <c r="J8" s="10">
        <v>12942.304919135011</v>
      </c>
      <c r="K8" s="10">
        <v>11579.403073279596</v>
      </c>
      <c r="L8" s="10">
        <v>4264.7578619773922</v>
      </c>
      <c r="M8" s="10">
        <v>2755.7626655733425</v>
      </c>
      <c r="N8" s="10">
        <v>1508.9951964040622</v>
      </c>
      <c r="O8" s="10">
        <v>437.98868619231666</v>
      </c>
      <c r="P8" s="10">
        <v>320.25573093790524</v>
      </c>
      <c r="Q8" s="10">
        <v>117.73295525441075</v>
      </c>
    </row>
    <row r="9" spans="1:17" x14ac:dyDescent="0.2">
      <c r="A9" s="72" t="s">
        <v>6</v>
      </c>
      <c r="B9" s="10">
        <v>33972.261639995922</v>
      </c>
      <c r="C9" s="10">
        <v>1622.5327761359813</v>
      </c>
      <c r="D9" s="10">
        <v>750.44645855479484</v>
      </c>
      <c r="E9" s="10">
        <v>872.08631758118395</v>
      </c>
      <c r="F9" s="10">
        <v>14100.0477418885</v>
      </c>
      <c r="G9" s="10">
        <v>7567.8100710458957</v>
      </c>
      <c r="H9" s="10">
        <v>6532.237670845293</v>
      </c>
      <c r="I9" s="10">
        <v>16662.017346038559</v>
      </c>
      <c r="J9" s="10">
        <v>8567.2532612557152</v>
      </c>
      <c r="K9" s="10">
        <v>8094.7640847831517</v>
      </c>
      <c r="L9" s="10">
        <v>1437.6260830038782</v>
      </c>
      <c r="M9" s="10">
        <v>920.17821473338711</v>
      </c>
      <c r="N9" s="10">
        <v>517.44786827047051</v>
      </c>
      <c r="O9" s="10">
        <v>150.03769293260282</v>
      </c>
      <c r="P9" s="10">
        <v>116.88260428832166</v>
      </c>
      <c r="Q9" s="10">
        <v>33.155088644281193</v>
      </c>
    </row>
    <row r="10" spans="1:17" ht="15" customHeight="1" x14ac:dyDescent="0.2">
      <c r="A10" s="234" t="s">
        <v>542</v>
      </c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4"/>
      <c r="N10" s="254"/>
      <c r="O10" s="254"/>
      <c r="P10" s="254"/>
      <c r="Q10" s="254"/>
    </row>
    <row r="11" spans="1:17" s="335" customFormat="1" x14ac:dyDescent="0.2">
      <c r="A11" s="371" t="s">
        <v>458</v>
      </c>
      <c r="B11" s="8">
        <v>40604.774367941805</v>
      </c>
      <c r="C11" s="8">
        <v>1912.377875449203</v>
      </c>
      <c r="D11" s="8">
        <v>972.65995168227244</v>
      </c>
      <c r="E11" s="8">
        <v>939.71792376692815</v>
      </c>
      <c r="F11" s="8">
        <v>19226.890066469827</v>
      </c>
      <c r="G11" s="8">
        <v>10081.459724961249</v>
      </c>
      <c r="H11" s="8">
        <v>9145.4303415131417</v>
      </c>
      <c r="I11" s="8">
        <v>16720.910605833633</v>
      </c>
      <c r="J11" s="8">
        <v>8860.7313392606357</v>
      </c>
      <c r="K11" s="8">
        <v>7860.1792665740368</v>
      </c>
      <c r="L11" s="8">
        <v>2487.2087622356398</v>
      </c>
      <c r="M11" s="8">
        <v>1610.3432648231003</v>
      </c>
      <c r="N11" s="8">
        <v>876.86549741251326</v>
      </c>
      <c r="O11" s="8">
        <v>257.38705795881879</v>
      </c>
      <c r="P11" s="8">
        <v>189.91697547936073</v>
      </c>
      <c r="Q11" s="8">
        <v>67.470082479458227</v>
      </c>
    </row>
    <row r="12" spans="1:17" x14ac:dyDescent="0.2">
      <c r="A12" s="61" t="s">
        <v>458</v>
      </c>
      <c r="B12" s="10">
        <v>40604.774367941805</v>
      </c>
      <c r="C12" s="10">
        <v>1912.377875449203</v>
      </c>
      <c r="D12" s="10">
        <v>972.65995168227244</v>
      </c>
      <c r="E12" s="10">
        <v>939.71792376692815</v>
      </c>
      <c r="F12" s="10">
        <v>19226.890066469827</v>
      </c>
      <c r="G12" s="10">
        <v>10081.459724961249</v>
      </c>
      <c r="H12" s="10">
        <v>9145.4303415131417</v>
      </c>
      <c r="I12" s="10">
        <v>16720.910605833633</v>
      </c>
      <c r="J12" s="10">
        <v>8860.7313392606357</v>
      </c>
      <c r="K12" s="10">
        <v>7860.1792665740368</v>
      </c>
      <c r="L12" s="10">
        <v>2487.2087622356398</v>
      </c>
      <c r="M12" s="10">
        <v>1610.3432648231003</v>
      </c>
      <c r="N12" s="10">
        <v>876.86549741251326</v>
      </c>
      <c r="O12" s="10">
        <v>257.38705795881879</v>
      </c>
      <c r="P12" s="10">
        <v>189.91697547936073</v>
      </c>
      <c r="Q12" s="10">
        <v>67.470082479458227</v>
      </c>
    </row>
    <row r="13" spans="1:17" s="335" customFormat="1" x14ac:dyDescent="0.2">
      <c r="A13" s="371" t="s">
        <v>459</v>
      </c>
      <c r="B13" s="8">
        <v>20878.016579981959</v>
      </c>
      <c r="C13" s="8">
        <v>841.3093863734706</v>
      </c>
      <c r="D13" s="8">
        <v>414.33578320350239</v>
      </c>
      <c r="E13" s="8">
        <v>426.97360316996702</v>
      </c>
      <c r="F13" s="8">
        <v>8867.5306600636995</v>
      </c>
      <c r="G13" s="8">
        <v>4677.4851803948004</v>
      </c>
      <c r="H13" s="8">
        <v>4190.0454796682316</v>
      </c>
      <c r="I13" s="8">
        <v>8901.5782546520204</v>
      </c>
      <c r="J13" s="8">
        <v>4587.6446724915804</v>
      </c>
      <c r="K13" s="8">
        <v>4313.9335821603363</v>
      </c>
      <c r="L13" s="8">
        <v>2155.0011178296049</v>
      </c>
      <c r="M13" s="8">
        <v>1383.0089525784626</v>
      </c>
      <c r="N13" s="8">
        <v>771.99216525110035</v>
      </c>
      <c r="O13" s="8">
        <v>112.59716106657474</v>
      </c>
      <c r="P13" s="8">
        <v>83.336473184236141</v>
      </c>
      <c r="Q13" s="8">
        <v>29.260687882338651</v>
      </c>
    </row>
    <row r="14" spans="1:17" x14ac:dyDescent="0.2">
      <c r="A14" s="61" t="s">
        <v>459</v>
      </c>
      <c r="B14" s="10">
        <v>18063.049697782346</v>
      </c>
      <c r="C14" s="10">
        <v>745.31178369991255</v>
      </c>
      <c r="D14" s="10">
        <v>380.88398431921109</v>
      </c>
      <c r="E14" s="10">
        <v>364.42779938070009</v>
      </c>
      <c r="F14" s="10">
        <v>8155.4128568411352</v>
      </c>
      <c r="G14" s="10">
        <v>4326.5049606110006</v>
      </c>
      <c r="H14" s="10">
        <v>3828.9078962291305</v>
      </c>
      <c r="I14" s="10">
        <v>6925.1239397439522</v>
      </c>
      <c r="J14" s="10">
        <v>3688.9371351825516</v>
      </c>
      <c r="K14" s="10">
        <v>3236.1868045612532</v>
      </c>
      <c r="L14" s="10">
        <v>2124.6039564332773</v>
      </c>
      <c r="M14" s="10">
        <v>1362.3278025930506</v>
      </c>
      <c r="N14" s="10">
        <v>762.27615384018509</v>
      </c>
      <c r="O14" s="10">
        <v>112.59716106657474</v>
      </c>
      <c r="P14" s="10">
        <v>83.336473184236141</v>
      </c>
      <c r="Q14" s="10">
        <v>29.260687882338651</v>
      </c>
    </row>
    <row r="15" spans="1:17" x14ac:dyDescent="0.2">
      <c r="A15" s="61" t="s">
        <v>473</v>
      </c>
      <c r="B15" s="10">
        <v>2814.9668822008284</v>
      </c>
      <c r="C15" s="10">
        <v>95.997602673557054</v>
      </c>
      <c r="D15" s="10">
        <v>33.451798884290966</v>
      </c>
      <c r="E15" s="10">
        <v>62.545803789266188</v>
      </c>
      <c r="F15" s="10">
        <v>712.11780322286018</v>
      </c>
      <c r="G15" s="10">
        <v>350.98021978373367</v>
      </c>
      <c r="H15" s="10">
        <v>361.13758343912639</v>
      </c>
      <c r="I15" s="10">
        <v>1976.4543149080484</v>
      </c>
      <c r="J15" s="10">
        <v>898.70753730899378</v>
      </c>
      <c r="K15" s="10">
        <v>1077.7467775990326</v>
      </c>
      <c r="L15" s="10">
        <v>30.397161396326833</v>
      </c>
      <c r="M15" s="10">
        <v>20.681149985411313</v>
      </c>
      <c r="N15" s="10">
        <v>9.7160114109155238</v>
      </c>
      <c r="O15" s="11">
        <v>0</v>
      </c>
      <c r="P15" s="11">
        <v>0</v>
      </c>
      <c r="Q15" s="11">
        <v>0</v>
      </c>
    </row>
    <row r="16" spans="1:17" s="335" customFormat="1" x14ac:dyDescent="0.2">
      <c r="A16" s="371" t="s">
        <v>461</v>
      </c>
      <c r="B16" s="8">
        <v>7330.3822075139969</v>
      </c>
      <c r="C16" s="8">
        <v>361.54245637479136</v>
      </c>
      <c r="D16" s="8">
        <v>174.10993675083702</v>
      </c>
      <c r="E16" s="8">
        <v>187.43251962395286</v>
      </c>
      <c r="F16" s="8">
        <v>3178.7398812268825</v>
      </c>
      <c r="G16" s="8">
        <v>1573.1459898919795</v>
      </c>
      <c r="H16" s="8">
        <v>1605.5938913351092</v>
      </c>
      <c r="I16" s="8">
        <v>3439.9771343347643</v>
      </c>
      <c r="J16" s="8">
        <v>1788.0740508022709</v>
      </c>
      <c r="K16" s="8">
        <v>1651.9030835324515</v>
      </c>
      <c r="L16" s="8">
        <v>250.18827166271785</v>
      </c>
      <c r="M16" s="8">
        <v>171.39211469643169</v>
      </c>
      <c r="N16" s="8">
        <v>78.796156966286333</v>
      </c>
      <c r="O16" s="8">
        <v>99.934463914570557</v>
      </c>
      <c r="P16" s="8">
        <v>72.809907390156127</v>
      </c>
      <c r="Q16" s="8">
        <v>27.124556524414484</v>
      </c>
    </row>
    <row r="17" spans="1:20" x14ac:dyDescent="0.2">
      <c r="A17" s="61" t="s">
        <v>461</v>
      </c>
      <c r="B17" s="10">
        <v>7330.3822075139969</v>
      </c>
      <c r="C17" s="10">
        <v>361.54245637479136</v>
      </c>
      <c r="D17" s="10">
        <v>174.10993675083702</v>
      </c>
      <c r="E17" s="10">
        <v>187.43251962395286</v>
      </c>
      <c r="F17" s="10">
        <v>3178.7398812268825</v>
      </c>
      <c r="G17" s="10">
        <v>1573.1459898919795</v>
      </c>
      <c r="H17" s="10">
        <v>1605.5938913351092</v>
      </c>
      <c r="I17" s="10">
        <v>3439.9771343347643</v>
      </c>
      <c r="J17" s="10">
        <v>1788.0740508022709</v>
      </c>
      <c r="K17" s="10">
        <v>1651.9030835324515</v>
      </c>
      <c r="L17" s="10">
        <v>250.18827166271785</v>
      </c>
      <c r="M17" s="10">
        <v>171.39211469643169</v>
      </c>
      <c r="N17" s="10">
        <v>78.796156966286333</v>
      </c>
      <c r="O17" s="10">
        <v>99.934463914570557</v>
      </c>
      <c r="P17" s="10">
        <v>72.809907390156127</v>
      </c>
      <c r="Q17" s="10">
        <v>27.124556524414484</v>
      </c>
    </row>
    <row r="18" spans="1:20" s="335" customFormat="1" x14ac:dyDescent="0.2">
      <c r="A18" s="371" t="s">
        <v>462</v>
      </c>
      <c r="B18" s="8">
        <v>9095.7633987400914</v>
      </c>
      <c r="C18" s="8">
        <v>249.51848653069936</v>
      </c>
      <c r="D18" s="8">
        <v>139.81255276328002</v>
      </c>
      <c r="E18" s="8">
        <v>109.7059337674181</v>
      </c>
      <c r="F18" s="8">
        <v>3514.597104426497</v>
      </c>
      <c r="G18" s="8">
        <v>1872.6003462188196</v>
      </c>
      <c r="H18" s="8">
        <v>1641.9967582079419</v>
      </c>
      <c r="I18" s="8">
        <v>4679.4154152304809</v>
      </c>
      <c r="J18" s="8">
        <v>2440.1335755941327</v>
      </c>
      <c r="K18" s="8">
        <v>2239.2818396363023</v>
      </c>
      <c r="L18" s="8">
        <v>564.69023138544333</v>
      </c>
      <c r="M18" s="8">
        <v>359.27149962345845</v>
      </c>
      <c r="N18" s="8">
        <v>205.41873176198499</v>
      </c>
      <c r="O18" s="8">
        <v>87.542161166484917</v>
      </c>
      <c r="P18" s="8">
        <v>67.941764722510783</v>
      </c>
      <c r="Q18" s="8">
        <v>19.600396443974208</v>
      </c>
    </row>
    <row r="19" spans="1:20" x14ac:dyDescent="0.2">
      <c r="A19" s="61" t="s">
        <v>462</v>
      </c>
      <c r="B19" s="10">
        <v>9095.7633987400914</v>
      </c>
      <c r="C19" s="10">
        <v>249.51848653069936</v>
      </c>
      <c r="D19" s="10">
        <v>139.81255276328002</v>
      </c>
      <c r="E19" s="10">
        <v>109.7059337674181</v>
      </c>
      <c r="F19" s="10">
        <v>3514.597104426497</v>
      </c>
      <c r="G19" s="10">
        <v>1872.6003462188196</v>
      </c>
      <c r="H19" s="10">
        <v>1641.9967582079419</v>
      </c>
      <c r="I19" s="10">
        <v>4679.4154152304809</v>
      </c>
      <c r="J19" s="10">
        <v>2440.1335755941327</v>
      </c>
      <c r="K19" s="10">
        <v>2239.2818396363023</v>
      </c>
      <c r="L19" s="10">
        <v>564.69023138544333</v>
      </c>
      <c r="M19" s="10">
        <v>359.27149962345845</v>
      </c>
      <c r="N19" s="10">
        <v>205.41873176198499</v>
      </c>
      <c r="O19" s="10">
        <v>87.542161166484917</v>
      </c>
      <c r="P19" s="10">
        <v>67.941764722510783</v>
      </c>
      <c r="Q19" s="10">
        <v>19.600396443974208</v>
      </c>
    </row>
    <row r="20" spans="1:20" s="335" customFormat="1" x14ac:dyDescent="0.2">
      <c r="A20" s="371" t="s">
        <v>463</v>
      </c>
      <c r="B20" s="8">
        <v>8992.5213480078201</v>
      </c>
      <c r="C20" s="8">
        <v>464.19255606898241</v>
      </c>
      <c r="D20" s="8">
        <v>255.45117735534512</v>
      </c>
      <c r="E20" s="8">
        <v>208.74137871363573</v>
      </c>
      <c r="F20" s="8">
        <v>2479.5431524675746</v>
      </c>
      <c r="G20" s="8">
        <v>1344.470017522302</v>
      </c>
      <c r="H20" s="8">
        <v>1135.0731349453411</v>
      </c>
      <c r="I20" s="8">
        <v>5926.3048203374374</v>
      </c>
      <c r="J20" s="8">
        <v>3050.2037808889254</v>
      </c>
      <c r="K20" s="8">
        <v>2876.1010394485411</v>
      </c>
      <c r="L20" s="8">
        <v>107.8004606103958</v>
      </c>
      <c r="M20" s="8">
        <v>66.529799320307305</v>
      </c>
      <c r="N20" s="8">
        <v>41.270661290088562</v>
      </c>
      <c r="O20" s="8">
        <v>14.680358523106094</v>
      </c>
      <c r="P20" s="8">
        <v>10.942983978834565</v>
      </c>
      <c r="Q20" s="8">
        <v>3.7373745442715287</v>
      </c>
      <c r="T20" s="393"/>
    </row>
    <row r="21" spans="1:20" x14ac:dyDescent="0.2">
      <c r="A21" s="61" t="s">
        <v>463</v>
      </c>
      <c r="B21" s="10">
        <v>8992.5213480078201</v>
      </c>
      <c r="C21" s="10">
        <v>464.19255606898241</v>
      </c>
      <c r="D21" s="10">
        <v>255.45117735534512</v>
      </c>
      <c r="E21" s="10">
        <v>208.74137871363573</v>
      </c>
      <c r="F21" s="10">
        <v>2479.5431524675746</v>
      </c>
      <c r="G21" s="10">
        <v>1344.470017522302</v>
      </c>
      <c r="H21" s="10">
        <v>1135.0731349453411</v>
      </c>
      <c r="I21" s="10">
        <v>5926.3048203374374</v>
      </c>
      <c r="J21" s="10">
        <v>3050.2037808889254</v>
      </c>
      <c r="K21" s="10">
        <v>2876.1010394485411</v>
      </c>
      <c r="L21" s="10">
        <v>107.8004606103958</v>
      </c>
      <c r="M21" s="10">
        <v>66.529799320307305</v>
      </c>
      <c r="N21" s="10">
        <v>41.270661290088562</v>
      </c>
      <c r="O21" s="10">
        <v>14.680358523106094</v>
      </c>
      <c r="P21" s="10">
        <v>10.942983978834565</v>
      </c>
      <c r="Q21" s="10">
        <v>3.7373745442715287</v>
      </c>
    </row>
    <row r="22" spans="1:20" s="335" customFormat="1" x14ac:dyDescent="0.2">
      <c r="A22" s="371" t="s">
        <v>464</v>
      </c>
      <c r="B22" s="8">
        <v>1073.9058587014918</v>
      </c>
      <c r="C22" s="8">
        <v>23.416259219003678</v>
      </c>
      <c r="D22" s="8">
        <v>10.03553966528729</v>
      </c>
      <c r="E22" s="8">
        <v>13.380719553716387</v>
      </c>
      <c r="F22" s="8">
        <v>570.87635915437227</v>
      </c>
      <c r="G22" s="8">
        <v>323.79164369872848</v>
      </c>
      <c r="H22" s="8">
        <v>247.08471545564313</v>
      </c>
      <c r="I22" s="8">
        <v>411.21990318490248</v>
      </c>
      <c r="J22" s="8">
        <v>223.57686953154035</v>
      </c>
      <c r="K22" s="8">
        <v>187.64303365336193</v>
      </c>
      <c r="L22" s="8">
        <v>65.915896953714949</v>
      </c>
      <c r="M22" s="8">
        <v>33.046196337260994</v>
      </c>
      <c r="N22" s="8">
        <v>32.869700616453919</v>
      </c>
      <c r="O22" s="8">
        <v>2.4774401895021834</v>
      </c>
      <c r="P22" s="8">
        <v>2.4774401895021834</v>
      </c>
      <c r="Q22" s="9">
        <v>0</v>
      </c>
    </row>
    <row r="23" spans="1:20" x14ac:dyDescent="0.2">
      <c r="A23" s="61" t="s">
        <v>464</v>
      </c>
      <c r="B23" s="10">
        <v>305.49836083471007</v>
      </c>
      <c r="C23" s="10">
        <v>7.8054197396678928</v>
      </c>
      <c r="D23" s="10">
        <v>5.5752998140484946</v>
      </c>
      <c r="E23" s="10">
        <v>2.2301199256193978</v>
      </c>
      <c r="F23" s="10">
        <v>222.93269805947787</v>
      </c>
      <c r="G23" s="10">
        <v>121.86230479503848</v>
      </c>
      <c r="H23" s="10">
        <v>101.07039326443871</v>
      </c>
      <c r="I23" s="10">
        <v>60.166622223816859</v>
      </c>
      <c r="J23" s="10">
        <v>27.656727045749864</v>
      </c>
      <c r="K23" s="10">
        <v>32.509895178066976</v>
      </c>
      <c r="L23" s="10">
        <v>14.59362081174713</v>
      </c>
      <c r="M23" s="10">
        <v>9.7254781441017286</v>
      </c>
      <c r="N23" s="10">
        <v>4.8681426676454018</v>
      </c>
      <c r="O23" s="11">
        <v>0</v>
      </c>
      <c r="P23" s="11">
        <v>0</v>
      </c>
      <c r="Q23" s="11">
        <v>0</v>
      </c>
    </row>
    <row r="24" spans="1:20" x14ac:dyDescent="0.2">
      <c r="A24" s="61" t="s">
        <v>465</v>
      </c>
      <c r="B24" s="10">
        <v>768.40749786678373</v>
      </c>
      <c r="C24" s="10">
        <v>15.610839479335786</v>
      </c>
      <c r="D24" s="10">
        <v>4.4602398512387955</v>
      </c>
      <c r="E24" s="10">
        <v>11.150599628096989</v>
      </c>
      <c r="F24" s="10">
        <v>347.94366109489368</v>
      </c>
      <c r="G24" s="10">
        <v>201.92933890368906</v>
      </c>
      <c r="H24" s="10">
        <v>146.01432219120363</v>
      </c>
      <c r="I24" s="10">
        <v>351.05328096108553</v>
      </c>
      <c r="J24" s="10">
        <v>195.92014248579042</v>
      </c>
      <c r="K24" s="10">
        <v>155.13313847529503</v>
      </c>
      <c r="L24" s="10">
        <v>51.322276141967798</v>
      </c>
      <c r="M24" s="10">
        <v>23.320718193159276</v>
      </c>
      <c r="N24" s="10">
        <v>28.001557948808518</v>
      </c>
      <c r="O24" s="10">
        <v>2.4774401895021834</v>
      </c>
      <c r="P24" s="10">
        <v>2.4774401895021834</v>
      </c>
      <c r="Q24" s="11">
        <v>0</v>
      </c>
    </row>
    <row r="25" spans="1:20" s="335" customFormat="1" x14ac:dyDescent="0.2">
      <c r="A25" s="371" t="s">
        <v>466</v>
      </c>
      <c r="B25" s="8">
        <v>496.01403879409645</v>
      </c>
      <c r="C25" s="8">
        <v>21.186139293384279</v>
      </c>
      <c r="D25" s="8">
        <v>5.5752998140484946</v>
      </c>
      <c r="E25" s="8">
        <v>15.610839479335786</v>
      </c>
      <c r="F25" s="8">
        <v>334.27216257670051</v>
      </c>
      <c r="G25" s="8">
        <v>180.53736907085474</v>
      </c>
      <c r="H25" s="8">
        <v>153.73479350584458</v>
      </c>
      <c r="I25" s="8">
        <v>135.66543966070418</v>
      </c>
      <c r="J25" s="8">
        <v>71.143347473876048</v>
      </c>
      <c r="K25" s="8">
        <v>64.522092186828189</v>
      </c>
      <c r="L25" s="8">
        <v>4.8902972633066302</v>
      </c>
      <c r="M25" s="8">
        <v>1.2599343547693456</v>
      </c>
      <c r="N25" s="8">
        <v>3.6303629085372844</v>
      </c>
      <c r="O25" s="9">
        <v>0</v>
      </c>
      <c r="P25" s="9">
        <v>0</v>
      </c>
      <c r="Q25" s="9">
        <v>0</v>
      </c>
    </row>
    <row r="26" spans="1:20" x14ac:dyDescent="0.2">
      <c r="A26" s="61" t="s">
        <v>466</v>
      </c>
      <c r="B26" s="10">
        <v>496.01403879409645</v>
      </c>
      <c r="C26" s="10">
        <v>21.186139293384279</v>
      </c>
      <c r="D26" s="10">
        <v>5.5752998140484946</v>
      </c>
      <c r="E26" s="10">
        <v>15.610839479335786</v>
      </c>
      <c r="F26" s="10">
        <v>334.27216257670051</v>
      </c>
      <c r="G26" s="10">
        <v>180.53736907085474</v>
      </c>
      <c r="H26" s="10">
        <v>153.73479350584458</v>
      </c>
      <c r="I26" s="10">
        <v>135.66543966070418</v>
      </c>
      <c r="J26" s="10">
        <v>71.143347473876048</v>
      </c>
      <c r="K26" s="10">
        <v>64.522092186828189</v>
      </c>
      <c r="L26" s="10">
        <v>4.8902972633066302</v>
      </c>
      <c r="M26" s="10">
        <v>1.2599343547693456</v>
      </c>
      <c r="N26" s="10">
        <v>3.6303629085372844</v>
      </c>
      <c r="O26" s="11">
        <v>0</v>
      </c>
      <c r="P26" s="11">
        <v>0</v>
      </c>
      <c r="Q26" s="11">
        <v>0</v>
      </c>
    </row>
    <row r="27" spans="1:20" s="335" customFormat="1" x14ac:dyDescent="0.2">
      <c r="A27" s="371" t="s">
        <v>467</v>
      </c>
      <c r="B27" s="8">
        <v>2005.1549995246592</v>
      </c>
      <c r="C27" s="8">
        <v>95.962760215420801</v>
      </c>
      <c r="D27" s="8">
        <v>41.324822037745719</v>
      </c>
      <c r="E27" s="8">
        <v>54.637938177675181</v>
      </c>
      <c r="F27" s="8">
        <v>930.46615932350323</v>
      </c>
      <c r="G27" s="8">
        <v>532.30842573748839</v>
      </c>
      <c r="H27" s="8">
        <v>398.15773358601706</v>
      </c>
      <c r="I27" s="8">
        <v>907.13740894875889</v>
      </c>
      <c r="J27" s="8">
        <v>454.14334311998721</v>
      </c>
      <c r="K27" s="8">
        <v>452.99406582877754</v>
      </c>
      <c r="L27" s="8">
        <v>61.798609777157282</v>
      </c>
      <c r="M27" s="8">
        <v>47.394172548692239</v>
      </c>
      <c r="N27" s="8">
        <v>14.404437228465028</v>
      </c>
      <c r="O27" s="8">
        <v>9.7900612597994652</v>
      </c>
      <c r="P27" s="8">
        <v>7.3126210702972818</v>
      </c>
      <c r="Q27" s="8">
        <v>2.4774401895021834</v>
      </c>
    </row>
    <row r="28" spans="1:20" x14ac:dyDescent="0.2">
      <c r="A28" s="61" t="s">
        <v>467</v>
      </c>
      <c r="B28" s="10">
        <v>2005.1549995246592</v>
      </c>
      <c r="C28" s="10">
        <v>95.962760215420801</v>
      </c>
      <c r="D28" s="10">
        <v>41.324822037745719</v>
      </c>
      <c r="E28" s="10">
        <v>54.637938177675181</v>
      </c>
      <c r="F28" s="10">
        <v>930.46615932350323</v>
      </c>
      <c r="G28" s="10">
        <v>532.30842573748839</v>
      </c>
      <c r="H28" s="10">
        <v>398.15773358601706</v>
      </c>
      <c r="I28" s="10">
        <v>907.13740894875889</v>
      </c>
      <c r="J28" s="10">
        <v>454.14334311998721</v>
      </c>
      <c r="K28" s="10">
        <v>452.99406582877754</v>
      </c>
      <c r="L28" s="10">
        <v>61.798609777157282</v>
      </c>
      <c r="M28" s="10">
        <v>47.394172548692239</v>
      </c>
      <c r="N28" s="10">
        <v>14.404437228465028</v>
      </c>
      <c r="O28" s="10">
        <v>9.7900612597994652</v>
      </c>
      <c r="P28" s="10">
        <v>7.3126210702972818</v>
      </c>
      <c r="Q28" s="10">
        <v>2.4774401895021834</v>
      </c>
    </row>
    <row r="29" spans="1:20" s="335" customFormat="1" x14ac:dyDescent="0.2">
      <c r="A29" s="371" t="s">
        <v>468</v>
      </c>
      <c r="B29" s="8">
        <v>253.69068138039813</v>
      </c>
      <c r="C29" s="8">
        <v>24.633765053736514</v>
      </c>
      <c r="D29" s="8">
        <v>13.483165425639527</v>
      </c>
      <c r="E29" s="8">
        <v>11.150599628096989</v>
      </c>
      <c r="F29" s="8">
        <v>159.03258774663917</v>
      </c>
      <c r="G29" s="8">
        <v>89.938522094995093</v>
      </c>
      <c r="H29" s="8">
        <v>69.094065651643831</v>
      </c>
      <c r="I29" s="8">
        <v>61.516356270653347</v>
      </c>
      <c r="J29" s="8">
        <v>33.907201228133744</v>
      </c>
      <c r="K29" s="8">
        <v>27.609155042519568</v>
      </c>
      <c r="L29" s="8">
        <v>4.8902972633066302</v>
      </c>
      <c r="M29" s="8">
        <v>3.6949460242350209</v>
      </c>
      <c r="N29" s="8">
        <v>1.1953512390716095</v>
      </c>
      <c r="O29" s="8">
        <v>3.6176750460622613</v>
      </c>
      <c r="P29" s="8">
        <v>2.4001692113294237</v>
      </c>
      <c r="Q29" s="8">
        <v>1.2175058347328376</v>
      </c>
    </row>
    <row r="30" spans="1:20" x14ac:dyDescent="0.2">
      <c r="A30" s="61" t="s">
        <v>468</v>
      </c>
      <c r="B30" s="10">
        <v>253.69068138039813</v>
      </c>
      <c r="C30" s="10">
        <v>24.633765053736514</v>
      </c>
      <c r="D30" s="10">
        <v>13.483165425639527</v>
      </c>
      <c r="E30" s="10">
        <v>11.150599628096989</v>
      </c>
      <c r="F30" s="10">
        <v>159.03258774663917</v>
      </c>
      <c r="G30" s="10">
        <v>89.938522094995093</v>
      </c>
      <c r="H30" s="10">
        <v>69.094065651643831</v>
      </c>
      <c r="I30" s="10">
        <v>61.516356270653347</v>
      </c>
      <c r="J30" s="10">
        <v>33.907201228133744</v>
      </c>
      <c r="K30" s="10">
        <v>27.609155042519568</v>
      </c>
      <c r="L30" s="10">
        <v>4.8902972633066302</v>
      </c>
      <c r="M30" s="10">
        <v>3.6949460242350209</v>
      </c>
      <c r="N30" s="10">
        <v>1.1953512390716095</v>
      </c>
      <c r="O30" s="10">
        <v>3.6176750460622613</v>
      </c>
      <c r="P30" s="10">
        <v>2.4001692113294237</v>
      </c>
      <c r="Q30" s="10">
        <v>1.2175058347328376</v>
      </c>
    </row>
    <row r="32" spans="1:20" x14ac:dyDescent="0.2">
      <c r="A32" s="335"/>
    </row>
  </sheetData>
  <mergeCells count="9">
    <mergeCell ref="A1:Q2"/>
    <mergeCell ref="A3:A5"/>
    <mergeCell ref="B3:B5"/>
    <mergeCell ref="C3:Q3"/>
    <mergeCell ref="C4:E4"/>
    <mergeCell ref="F4:H4"/>
    <mergeCell ref="I4:K4"/>
    <mergeCell ref="L4:N4"/>
    <mergeCell ref="O4:Q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zoomScale="120" zoomScaleNormal="120" workbookViewId="0">
      <selection activeCell="C5" sqref="C5"/>
    </sheetView>
  </sheetViews>
  <sheetFormatPr defaultRowHeight="12" x14ac:dyDescent="0.2"/>
  <cols>
    <col min="1" max="1" width="23.140625" style="322" customWidth="1"/>
    <col min="2" max="16384" width="9.140625" style="322"/>
  </cols>
  <sheetData>
    <row r="1" spans="1:11" ht="18" customHeight="1" x14ac:dyDescent="0.2">
      <c r="A1" s="568" t="s">
        <v>547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</row>
    <row r="2" spans="1:11" ht="12" customHeight="1" x14ac:dyDescent="0.2">
      <c r="A2" s="557" t="s">
        <v>501</v>
      </c>
      <c r="B2" s="570" t="s">
        <v>234</v>
      </c>
      <c r="C2" s="572" t="s">
        <v>543</v>
      </c>
      <c r="D2" s="572"/>
      <c r="E2" s="572"/>
      <c r="F2" s="572"/>
      <c r="G2" s="572"/>
      <c r="H2" s="572"/>
      <c r="I2" s="572"/>
      <c r="J2" s="572"/>
      <c r="K2" s="572"/>
    </row>
    <row r="3" spans="1:11" x14ac:dyDescent="0.2">
      <c r="A3" s="569"/>
      <c r="B3" s="567"/>
      <c r="C3" s="567" t="s">
        <v>230</v>
      </c>
      <c r="D3" s="567"/>
      <c r="E3" s="567"/>
      <c r="F3" s="567" t="s">
        <v>231</v>
      </c>
      <c r="G3" s="567"/>
      <c r="H3" s="567"/>
      <c r="I3" s="567" t="s">
        <v>232</v>
      </c>
      <c r="J3" s="567"/>
      <c r="K3" s="567"/>
    </row>
    <row r="4" spans="1:11" x14ac:dyDescent="0.2">
      <c r="A4" s="559"/>
      <c r="B4" s="571"/>
      <c r="C4" s="341" t="s">
        <v>1</v>
      </c>
      <c r="D4" s="341" t="s">
        <v>2</v>
      </c>
      <c r="E4" s="341" t="s">
        <v>3</v>
      </c>
      <c r="F4" s="341" t="s">
        <v>1</v>
      </c>
      <c r="G4" s="341" t="s">
        <v>2</v>
      </c>
      <c r="H4" s="341" t="s">
        <v>3</v>
      </c>
      <c r="I4" s="341" t="s">
        <v>1</v>
      </c>
      <c r="J4" s="341" t="s">
        <v>2</v>
      </c>
      <c r="K4" s="341" t="s">
        <v>3</v>
      </c>
    </row>
    <row r="5" spans="1:11" x14ac:dyDescent="0.2">
      <c r="A5" s="269" t="s">
        <v>457</v>
      </c>
      <c r="B5" s="237">
        <v>31323.149415273823</v>
      </c>
      <c r="C5" s="237">
        <v>12779.702233759694</v>
      </c>
      <c r="D5" s="237">
        <v>6912.2567094575461</v>
      </c>
      <c r="E5" s="237">
        <v>5867.445524304635</v>
      </c>
      <c r="F5" s="237">
        <v>2008.2229930202857</v>
      </c>
      <c r="G5" s="237">
        <v>951.14614827668083</v>
      </c>
      <c r="H5" s="237">
        <v>1057.0768447436033</v>
      </c>
      <c r="I5" s="237">
        <v>16535.224188500499</v>
      </c>
      <c r="J5" s="237">
        <v>8066.343770965831</v>
      </c>
      <c r="K5" s="237">
        <v>8468.8804175399928</v>
      </c>
    </row>
    <row r="6" spans="1:11" x14ac:dyDescent="0.2">
      <c r="A6" s="232" t="s">
        <v>14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x14ac:dyDescent="0.2">
      <c r="A7" s="378" t="s">
        <v>5</v>
      </c>
      <c r="B7" s="10">
        <v>17468.529377371655</v>
      </c>
      <c r="C7" s="10">
        <v>8333.9581620401004</v>
      </c>
      <c r="D7" s="10">
        <v>4492.5765901599825</v>
      </c>
      <c r="E7" s="10">
        <v>3841.3815718790829</v>
      </c>
      <c r="F7" s="10">
        <v>1299.0448566733103</v>
      </c>
      <c r="G7" s="10">
        <v>592.09684025195429</v>
      </c>
      <c r="H7" s="10">
        <v>706.9480164213544</v>
      </c>
      <c r="I7" s="10">
        <v>7835.526358664174</v>
      </c>
      <c r="J7" s="10">
        <v>3896.0195100567475</v>
      </c>
      <c r="K7" s="10">
        <v>3939.5068486063174</v>
      </c>
    </row>
    <row r="8" spans="1:11" x14ac:dyDescent="0.2">
      <c r="A8" s="72" t="s">
        <v>6</v>
      </c>
      <c r="B8" s="10">
        <v>13854.620037907596</v>
      </c>
      <c r="C8" s="10">
        <v>4445.7440717219652</v>
      </c>
      <c r="D8" s="10">
        <v>2419.6801192969929</v>
      </c>
      <c r="E8" s="10">
        <v>2026.063952425241</v>
      </c>
      <c r="F8" s="10">
        <v>709.17813634697382</v>
      </c>
      <c r="G8" s="10">
        <v>359.04930802472501</v>
      </c>
      <c r="H8" s="10">
        <v>350.12882832224733</v>
      </c>
      <c r="I8" s="10">
        <v>8699.6978298414615</v>
      </c>
      <c r="J8" s="10">
        <v>4170.3242609079107</v>
      </c>
      <c r="K8" s="10">
        <v>4529.3735689327104</v>
      </c>
    </row>
    <row r="9" spans="1:11" ht="14.25" customHeight="1" x14ac:dyDescent="0.2">
      <c r="A9" s="234" t="s">
        <v>542</v>
      </c>
      <c r="B9" s="254"/>
      <c r="C9" s="254"/>
      <c r="D9" s="254"/>
      <c r="E9" s="254"/>
      <c r="F9" s="254"/>
      <c r="G9" s="254"/>
      <c r="H9" s="254"/>
      <c r="I9" s="254"/>
      <c r="J9" s="254"/>
      <c r="K9" s="254"/>
    </row>
    <row r="10" spans="1:11" s="335" customFormat="1" x14ac:dyDescent="0.2">
      <c r="A10" s="371" t="s">
        <v>458</v>
      </c>
      <c r="B10" s="8">
        <v>12080.559637078433</v>
      </c>
      <c r="C10" s="8">
        <v>6023.5539190980262</v>
      </c>
      <c r="D10" s="8">
        <v>3202.4522131892495</v>
      </c>
      <c r="E10" s="8">
        <v>2821.1017059084065</v>
      </c>
      <c r="F10" s="8">
        <v>1148.5117616939995</v>
      </c>
      <c r="G10" s="8">
        <v>522.96312255775229</v>
      </c>
      <c r="H10" s="8">
        <v>625.54863913624558</v>
      </c>
      <c r="I10" s="8">
        <v>4908.4939562880891</v>
      </c>
      <c r="J10" s="8">
        <v>2273.6072641689507</v>
      </c>
      <c r="K10" s="8">
        <v>2634.886692119223</v>
      </c>
    </row>
    <row r="11" spans="1:11" x14ac:dyDescent="0.2">
      <c r="A11" s="61" t="s">
        <v>458</v>
      </c>
      <c r="B11" s="10">
        <v>12080.559637078433</v>
      </c>
      <c r="C11" s="10">
        <v>6023.5539190980262</v>
      </c>
      <c r="D11" s="10">
        <v>3202.4522131892495</v>
      </c>
      <c r="E11" s="10">
        <v>2821.1017059084065</v>
      </c>
      <c r="F11" s="10">
        <v>1148.5117616939995</v>
      </c>
      <c r="G11" s="10">
        <v>522.96312255775229</v>
      </c>
      <c r="H11" s="10">
        <v>625.54863913624558</v>
      </c>
      <c r="I11" s="10">
        <v>4908.4939562880891</v>
      </c>
      <c r="J11" s="10">
        <v>2273.6072641689507</v>
      </c>
      <c r="K11" s="10">
        <v>2634.886692119223</v>
      </c>
    </row>
    <row r="12" spans="1:11" s="335" customFormat="1" x14ac:dyDescent="0.2">
      <c r="A12" s="371" t="s">
        <v>459</v>
      </c>
      <c r="B12" s="8">
        <v>7934.7666953542584</v>
      </c>
      <c r="C12" s="8">
        <v>2970.5197409248772</v>
      </c>
      <c r="D12" s="8">
        <v>1664.7845244748951</v>
      </c>
      <c r="E12" s="8">
        <v>1305.7352164501685</v>
      </c>
      <c r="F12" s="8">
        <v>459.40470467759889</v>
      </c>
      <c r="G12" s="8">
        <v>225.24211248755984</v>
      </c>
      <c r="H12" s="8">
        <v>234.16259219003751</v>
      </c>
      <c r="I12" s="8">
        <v>4504.8422497508918</v>
      </c>
      <c r="J12" s="8">
        <v>2173.2518675160973</v>
      </c>
      <c r="K12" s="8">
        <v>2331.5903822350438</v>
      </c>
    </row>
    <row r="13" spans="1:11" x14ac:dyDescent="0.2">
      <c r="A13" s="61" t="s">
        <v>459</v>
      </c>
      <c r="B13" s="10">
        <v>6692.5898967839885</v>
      </c>
      <c r="C13" s="10">
        <v>2656.0728314126031</v>
      </c>
      <c r="D13" s="10">
        <v>1513.1363695327746</v>
      </c>
      <c r="E13" s="10">
        <v>1142.9364618799509</v>
      </c>
      <c r="F13" s="10">
        <v>437.10350542140469</v>
      </c>
      <c r="G13" s="10">
        <v>210.74633297103361</v>
      </c>
      <c r="H13" s="10">
        <v>226.35717245036955</v>
      </c>
      <c r="I13" s="10">
        <v>3599.4135599494252</v>
      </c>
      <c r="J13" s="10">
        <v>1746.1839017600039</v>
      </c>
      <c r="K13" s="10">
        <v>1853.229658189736</v>
      </c>
    </row>
    <row r="14" spans="1:11" x14ac:dyDescent="0.2">
      <c r="A14" s="61" t="s">
        <v>473</v>
      </c>
      <c r="B14" s="10">
        <v>1242.1767985700151</v>
      </c>
      <c r="C14" s="10">
        <v>314.44690951233662</v>
      </c>
      <c r="D14" s="10">
        <v>151.64815494211899</v>
      </c>
      <c r="E14" s="10">
        <v>162.79875457021609</v>
      </c>
      <c r="F14" s="10">
        <v>22.301199256193978</v>
      </c>
      <c r="G14" s="10">
        <v>14.495779516526087</v>
      </c>
      <c r="H14" s="10">
        <v>7.8054197396678928</v>
      </c>
      <c r="I14" s="10">
        <v>905.42868980148273</v>
      </c>
      <c r="J14" s="10">
        <v>427.0679657561173</v>
      </c>
      <c r="K14" s="10">
        <v>478.36072404536395</v>
      </c>
    </row>
    <row r="15" spans="1:11" s="335" customFormat="1" x14ac:dyDescent="0.2">
      <c r="A15" s="371" t="s">
        <v>461</v>
      </c>
      <c r="B15" s="8">
        <v>2183.2874071813826</v>
      </c>
      <c r="C15" s="8">
        <v>1053.7316648551741</v>
      </c>
      <c r="D15" s="8">
        <v>551.95468159080474</v>
      </c>
      <c r="E15" s="8">
        <v>501.77698326436786</v>
      </c>
      <c r="F15" s="8">
        <v>98.125276727253308</v>
      </c>
      <c r="G15" s="8">
        <v>43.487338549578226</v>
      </c>
      <c r="H15" s="8">
        <v>54.637938177675181</v>
      </c>
      <c r="I15" s="8">
        <v>1031.4304655989799</v>
      </c>
      <c r="J15" s="8">
        <v>566.45046110733097</v>
      </c>
      <c r="K15" s="8">
        <v>464.98000449164743</v>
      </c>
    </row>
    <row r="16" spans="1:11" x14ac:dyDescent="0.2">
      <c r="A16" s="61" t="s">
        <v>461</v>
      </c>
      <c r="B16" s="10">
        <v>2183.2874071813826</v>
      </c>
      <c r="C16" s="10">
        <v>1053.7316648551741</v>
      </c>
      <c r="D16" s="10">
        <v>551.95468159080474</v>
      </c>
      <c r="E16" s="10">
        <v>501.77698326436786</v>
      </c>
      <c r="F16" s="10">
        <v>98.125276727253308</v>
      </c>
      <c r="G16" s="10">
        <v>43.487338549578226</v>
      </c>
      <c r="H16" s="10">
        <v>54.637938177675181</v>
      </c>
      <c r="I16" s="10">
        <v>1031.4304655989799</v>
      </c>
      <c r="J16" s="10">
        <v>566.45046110733097</v>
      </c>
      <c r="K16" s="10">
        <v>464.98000449164743</v>
      </c>
    </row>
    <row r="17" spans="1:11" s="335" customFormat="1" x14ac:dyDescent="0.2">
      <c r="A17" s="371" t="s">
        <v>462</v>
      </c>
      <c r="B17" s="8">
        <v>2861.2438645695479</v>
      </c>
      <c r="C17" s="8">
        <v>1109.4846629956596</v>
      </c>
      <c r="D17" s="8">
        <v>611.05285961971936</v>
      </c>
      <c r="E17" s="8">
        <v>498.43180337593873</v>
      </c>
      <c r="F17" s="8">
        <v>199.59573334293651</v>
      </c>
      <c r="G17" s="8">
        <v>102.58551657849209</v>
      </c>
      <c r="H17" s="8">
        <v>97.010216764443612</v>
      </c>
      <c r="I17" s="8">
        <v>1552.1634682311144</v>
      </c>
      <c r="J17" s="8">
        <v>763.81607452464959</v>
      </c>
      <c r="K17" s="8">
        <v>788.34739370646321</v>
      </c>
    </row>
    <row r="18" spans="1:11" x14ac:dyDescent="0.2">
      <c r="A18" s="61" t="s">
        <v>462</v>
      </c>
      <c r="B18" s="10">
        <v>2861.2438645695479</v>
      </c>
      <c r="C18" s="10">
        <v>1109.4846629956596</v>
      </c>
      <c r="D18" s="10">
        <v>611.05285961971936</v>
      </c>
      <c r="E18" s="10">
        <v>498.43180337593873</v>
      </c>
      <c r="F18" s="10">
        <v>199.59573334293651</v>
      </c>
      <c r="G18" s="10">
        <v>102.58551657849209</v>
      </c>
      <c r="H18" s="10">
        <v>97.010216764443612</v>
      </c>
      <c r="I18" s="10">
        <v>1552.1634682311144</v>
      </c>
      <c r="J18" s="10">
        <v>763.81607452464959</v>
      </c>
      <c r="K18" s="10">
        <v>788.34739370646321</v>
      </c>
    </row>
    <row r="19" spans="1:11" s="335" customFormat="1" x14ac:dyDescent="0.2">
      <c r="A19" s="371" t="s">
        <v>463</v>
      </c>
      <c r="B19" s="8">
        <v>2837.8276053505488</v>
      </c>
      <c r="C19" s="8">
        <v>1028.0852857105508</v>
      </c>
      <c r="D19" s="8">
        <v>554.18480151642416</v>
      </c>
      <c r="E19" s="8">
        <v>473.90048419412511</v>
      </c>
      <c r="F19" s="8">
        <v>25.646379144623076</v>
      </c>
      <c r="G19" s="8">
        <v>8.920479702477591</v>
      </c>
      <c r="H19" s="8">
        <v>16.725899442145483</v>
      </c>
      <c r="I19" s="8">
        <v>1784.095940495534</v>
      </c>
      <c r="J19" s="8">
        <v>982.36782723535271</v>
      </c>
      <c r="K19" s="8">
        <v>801.72811326017973</v>
      </c>
    </row>
    <row r="20" spans="1:11" x14ac:dyDescent="0.2">
      <c r="A20" s="61" t="s">
        <v>463</v>
      </c>
      <c r="B20" s="10">
        <v>2837.8276053505488</v>
      </c>
      <c r="C20" s="10">
        <v>1028.0852857105508</v>
      </c>
      <c r="D20" s="10">
        <v>554.18480151642416</v>
      </c>
      <c r="E20" s="10">
        <v>473.90048419412511</v>
      </c>
      <c r="F20" s="10">
        <v>25.646379144623076</v>
      </c>
      <c r="G20" s="10">
        <v>8.920479702477591</v>
      </c>
      <c r="H20" s="10">
        <v>16.725899442145483</v>
      </c>
      <c r="I20" s="10">
        <v>1784.095940495534</v>
      </c>
      <c r="J20" s="10">
        <v>982.36782723535271</v>
      </c>
      <c r="K20" s="10">
        <v>801.72811326017973</v>
      </c>
    </row>
    <row r="21" spans="1:11" s="335" customFormat="1" x14ac:dyDescent="0.2">
      <c r="A21" s="371" t="s">
        <v>464</v>
      </c>
      <c r="B21" s="8">
        <v>1140.7063419543315</v>
      </c>
      <c r="C21" s="8">
        <v>143.84273520245102</v>
      </c>
      <c r="D21" s="8">
        <v>80.284317322298179</v>
      </c>
      <c r="E21" s="8">
        <v>63.558417880152746</v>
      </c>
      <c r="F21" s="8">
        <v>25.646379144623076</v>
      </c>
      <c r="G21" s="8">
        <v>15.610839479335786</v>
      </c>
      <c r="H21" s="8">
        <v>10.03553966528729</v>
      </c>
      <c r="I21" s="8">
        <v>971.21722760725561</v>
      </c>
      <c r="J21" s="8">
        <v>464.98000449164743</v>
      </c>
      <c r="K21" s="8">
        <v>506.2372231156067</v>
      </c>
    </row>
    <row r="22" spans="1:11" x14ac:dyDescent="0.2">
      <c r="A22" s="61" t="s">
        <v>464</v>
      </c>
      <c r="B22" s="10">
        <v>277.6499307396162</v>
      </c>
      <c r="C22" s="10">
        <v>44.602398512387921</v>
      </c>
      <c r="D22" s="10">
        <v>18.956019367764881</v>
      </c>
      <c r="E22" s="10">
        <v>25.646379144623076</v>
      </c>
      <c r="F22" s="10">
        <v>5.5752998140484946</v>
      </c>
      <c r="G22" s="10">
        <v>1.1150599628096989</v>
      </c>
      <c r="H22" s="10">
        <v>4.4602398512387955</v>
      </c>
      <c r="I22" s="10">
        <v>227.47223241317926</v>
      </c>
      <c r="J22" s="10">
        <v>115.96623613220844</v>
      </c>
      <c r="K22" s="10">
        <v>111.50599628096965</v>
      </c>
    </row>
    <row r="23" spans="1:11" x14ac:dyDescent="0.2">
      <c r="A23" s="61" t="s">
        <v>465</v>
      </c>
      <c r="B23" s="10">
        <v>863.05641121471376</v>
      </c>
      <c r="C23" s="10">
        <v>99.240336690063003</v>
      </c>
      <c r="D23" s="10">
        <v>61.328297954533355</v>
      </c>
      <c r="E23" s="10">
        <v>37.912038735529748</v>
      </c>
      <c r="F23" s="10">
        <v>20.07107933057458</v>
      </c>
      <c r="G23" s="10">
        <v>14.495779516526087</v>
      </c>
      <c r="H23" s="10">
        <v>5.5752998140484946</v>
      </c>
      <c r="I23" s="10">
        <v>743.74499519407482</v>
      </c>
      <c r="J23" s="10">
        <v>349.01376835943762</v>
      </c>
      <c r="K23" s="10">
        <v>394.73122683463572</v>
      </c>
    </row>
    <row r="24" spans="1:11" s="335" customFormat="1" x14ac:dyDescent="0.2">
      <c r="A24" s="371" t="s">
        <v>466</v>
      </c>
      <c r="B24" s="8">
        <v>767.16125441307872</v>
      </c>
      <c r="C24" s="8">
        <v>72.47889758263031</v>
      </c>
      <c r="D24" s="8">
        <v>36.796978772720053</v>
      </c>
      <c r="E24" s="8">
        <v>35.681918809910357</v>
      </c>
      <c r="F24" s="8">
        <v>16.725899442145483</v>
      </c>
      <c r="G24" s="8">
        <v>8.920479702477591</v>
      </c>
      <c r="H24" s="8">
        <v>7.8054197396678928</v>
      </c>
      <c r="I24" s="8">
        <v>677.95645738830194</v>
      </c>
      <c r="J24" s="8">
        <v>334.51798884291139</v>
      </c>
      <c r="K24" s="8">
        <v>343.43846854538907</v>
      </c>
    </row>
    <row r="25" spans="1:11" x14ac:dyDescent="0.2">
      <c r="A25" s="61" t="s">
        <v>466</v>
      </c>
      <c r="B25" s="10">
        <v>767.16125441307872</v>
      </c>
      <c r="C25" s="10">
        <v>72.47889758263031</v>
      </c>
      <c r="D25" s="10">
        <v>36.796978772720053</v>
      </c>
      <c r="E25" s="10">
        <v>35.681918809910357</v>
      </c>
      <c r="F25" s="10">
        <v>16.725899442145483</v>
      </c>
      <c r="G25" s="10">
        <v>8.920479702477591</v>
      </c>
      <c r="H25" s="10">
        <v>7.8054197396678928</v>
      </c>
      <c r="I25" s="10">
        <v>677.95645738830194</v>
      </c>
      <c r="J25" s="10">
        <v>334.51798884291139</v>
      </c>
      <c r="K25" s="10">
        <v>343.43846854538907</v>
      </c>
    </row>
    <row r="26" spans="1:11" s="335" customFormat="1" x14ac:dyDescent="0.2">
      <c r="A26" s="371" t="s">
        <v>467</v>
      </c>
      <c r="B26" s="8">
        <v>1022.5099858965023</v>
      </c>
      <c r="C26" s="8">
        <v>327.82762906605313</v>
      </c>
      <c r="D26" s="8">
        <v>187.3300737520297</v>
      </c>
      <c r="E26" s="8">
        <v>140.49755531402189</v>
      </c>
      <c r="F26" s="8">
        <v>27.876499070242474</v>
      </c>
      <c r="G26" s="8">
        <v>20.07107933057458</v>
      </c>
      <c r="H26" s="8">
        <v>7.8054197396678928</v>
      </c>
      <c r="I26" s="8">
        <v>666.80585776020484</v>
      </c>
      <c r="J26" s="8">
        <v>308.87160969828807</v>
      </c>
      <c r="K26" s="8">
        <v>357.9342480619153</v>
      </c>
    </row>
    <row r="27" spans="1:11" x14ac:dyDescent="0.2">
      <c r="A27" s="61" t="s">
        <v>467</v>
      </c>
      <c r="B27" s="10">
        <v>1022.5099858965023</v>
      </c>
      <c r="C27" s="10">
        <v>327.82762906605313</v>
      </c>
      <c r="D27" s="10">
        <v>187.3300737520297</v>
      </c>
      <c r="E27" s="10">
        <v>140.49755531402189</v>
      </c>
      <c r="F27" s="10">
        <v>27.876499070242474</v>
      </c>
      <c r="G27" s="10">
        <v>20.07107933057458</v>
      </c>
      <c r="H27" s="10">
        <v>7.8054197396678928</v>
      </c>
      <c r="I27" s="10">
        <v>666.80585776020484</v>
      </c>
      <c r="J27" s="10">
        <v>308.87160969828807</v>
      </c>
      <c r="K27" s="10">
        <v>357.9342480619153</v>
      </c>
    </row>
    <row r="28" spans="1:11" s="335" customFormat="1" x14ac:dyDescent="0.2">
      <c r="A28" s="371" t="s">
        <v>468</v>
      </c>
      <c r="B28" s="8">
        <v>495.0866234875096</v>
      </c>
      <c r="C28" s="8">
        <v>50.177698326436399</v>
      </c>
      <c r="D28" s="8">
        <v>23.416259219003678</v>
      </c>
      <c r="E28" s="8">
        <v>26.761439107432775</v>
      </c>
      <c r="F28" s="8">
        <v>6.6903597768581937</v>
      </c>
      <c r="G28" s="8">
        <v>3.3451798884290964</v>
      </c>
      <c r="H28" s="8">
        <v>3.3451798884290964</v>
      </c>
      <c r="I28" s="8">
        <v>438.2185653842144</v>
      </c>
      <c r="J28" s="8">
        <v>198.4806733801268</v>
      </c>
      <c r="K28" s="8">
        <v>239.73789200408606</v>
      </c>
    </row>
    <row r="29" spans="1:11" x14ac:dyDescent="0.2">
      <c r="A29" s="61" t="s">
        <v>468</v>
      </c>
      <c r="B29" s="10">
        <v>495.0866234875096</v>
      </c>
      <c r="C29" s="10">
        <v>50.177698326436399</v>
      </c>
      <c r="D29" s="10">
        <v>23.416259219003678</v>
      </c>
      <c r="E29" s="10">
        <v>26.761439107432775</v>
      </c>
      <c r="F29" s="10">
        <v>6.6903597768581937</v>
      </c>
      <c r="G29" s="10">
        <v>3.3451798884290964</v>
      </c>
      <c r="H29" s="10">
        <v>3.3451798884290964</v>
      </c>
      <c r="I29" s="10">
        <v>438.2185653842144</v>
      </c>
      <c r="J29" s="10">
        <v>198.4806733801268</v>
      </c>
      <c r="K29" s="10">
        <v>239.73789200408606</v>
      </c>
    </row>
  </sheetData>
  <mergeCells count="7">
    <mergeCell ref="C3:E3"/>
    <mergeCell ref="A1:K1"/>
    <mergeCell ref="A2:A4"/>
    <mergeCell ref="B2:B4"/>
    <mergeCell ref="C2:K2"/>
    <mergeCell ref="F3:H3"/>
    <mergeCell ref="I3:K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zoomScale="110" zoomScaleNormal="110" workbookViewId="0">
      <selection activeCell="U5" sqref="T5:U5"/>
    </sheetView>
  </sheetViews>
  <sheetFormatPr defaultRowHeight="12" x14ac:dyDescent="0.2"/>
  <cols>
    <col min="1" max="1" width="26.42578125" style="322" customWidth="1"/>
    <col min="2" max="2" width="11.28515625" style="322" customWidth="1"/>
    <col min="3" max="3" width="10.5703125" style="322" customWidth="1"/>
    <col min="4" max="16384" width="9.140625" style="322"/>
  </cols>
  <sheetData>
    <row r="1" spans="1:21" ht="21" customHeight="1" x14ac:dyDescent="0.2">
      <c r="A1" s="573" t="s">
        <v>548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3"/>
      <c r="S1" s="573"/>
      <c r="T1" s="573"/>
      <c r="U1" s="573"/>
    </row>
    <row r="2" spans="1:21" ht="33.75" customHeight="1" x14ac:dyDescent="0.2">
      <c r="A2" s="569" t="s">
        <v>501</v>
      </c>
      <c r="B2" s="574" t="s">
        <v>242</v>
      </c>
      <c r="C2" s="574" t="s">
        <v>243</v>
      </c>
      <c r="D2" s="574" t="s">
        <v>244</v>
      </c>
      <c r="E2" s="574"/>
      <c r="F2" s="574"/>
      <c r="G2" s="574"/>
      <c r="H2" s="574"/>
      <c r="I2" s="574"/>
      <c r="J2" s="574"/>
      <c r="K2" s="574"/>
      <c r="L2" s="574"/>
      <c r="M2" s="574"/>
      <c r="N2" s="574"/>
      <c r="O2" s="574"/>
      <c r="P2" s="574"/>
      <c r="Q2" s="574"/>
      <c r="R2" s="574"/>
      <c r="S2" s="574"/>
      <c r="T2" s="574"/>
      <c r="U2" s="574"/>
    </row>
    <row r="3" spans="1:21" x14ac:dyDescent="0.2">
      <c r="A3" s="569"/>
      <c r="B3" s="576"/>
      <c r="C3" s="574"/>
      <c r="D3" s="575" t="s">
        <v>245</v>
      </c>
      <c r="E3" s="575"/>
      <c r="F3" s="575"/>
      <c r="G3" s="575" t="s">
        <v>240</v>
      </c>
      <c r="H3" s="575"/>
      <c r="I3" s="575"/>
      <c r="J3" s="575" t="s">
        <v>241</v>
      </c>
      <c r="K3" s="575"/>
      <c r="L3" s="575"/>
      <c r="M3" s="575" t="s">
        <v>246</v>
      </c>
      <c r="N3" s="575"/>
      <c r="O3" s="575"/>
      <c r="P3" s="575" t="s">
        <v>247</v>
      </c>
      <c r="Q3" s="575"/>
      <c r="R3" s="575"/>
      <c r="S3" s="575" t="s">
        <v>122</v>
      </c>
      <c r="T3" s="575"/>
      <c r="U3" s="575"/>
    </row>
    <row r="4" spans="1:21" x14ac:dyDescent="0.2">
      <c r="A4" s="569"/>
      <c r="B4" s="577"/>
      <c r="C4" s="574"/>
      <c r="D4" s="53" t="s">
        <v>1</v>
      </c>
      <c r="E4" s="54" t="s">
        <v>2</v>
      </c>
      <c r="F4" s="54" t="s">
        <v>3</v>
      </c>
      <c r="G4" s="53" t="s">
        <v>1</v>
      </c>
      <c r="H4" s="54" t="s">
        <v>2</v>
      </c>
      <c r="I4" s="54" t="s">
        <v>3</v>
      </c>
      <c r="J4" s="53" t="s">
        <v>1</v>
      </c>
      <c r="K4" s="54" t="s">
        <v>2</v>
      </c>
      <c r="L4" s="54" t="s">
        <v>3</v>
      </c>
      <c r="M4" s="53" t="s">
        <v>1</v>
      </c>
      <c r="N4" s="54" t="s">
        <v>2</v>
      </c>
      <c r="O4" s="54" t="s">
        <v>3</v>
      </c>
      <c r="P4" s="53" t="s">
        <v>1</v>
      </c>
      <c r="Q4" s="54" t="s">
        <v>2</v>
      </c>
      <c r="R4" s="54" t="s">
        <v>3</v>
      </c>
      <c r="S4" s="53" t="s">
        <v>1</v>
      </c>
      <c r="T4" s="54" t="s">
        <v>2</v>
      </c>
      <c r="U4" s="54" t="s">
        <v>3</v>
      </c>
    </row>
    <row r="5" spans="1:21" x14ac:dyDescent="0.2">
      <c r="A5" s="269" t="s">
        <v>457</v>
      </c>
      <c r="B5" s="237">
        <v>196293.77658971638</v>
      </c>
      <c r="C5" s="270">
        <v>90599.574301128712</v>
      </c>
      <c r="D5" s="237">
        <v>19800.685641364154</v>
      </c>
      <c r="E5" s="237">
        <v>12245.28011601053</v>
      </c>
      <c r="F5" s="237">
        <v>7555.4055253551005</v>
      </c>
      <c r="G5" s="237">
        <v>40692.53019134311</v>
      </c>
      <c r="H5" s="237">
        <v>22808.012851447013</v>
      </c>
      <c r="I5" s="237">
        <v>17884.517339898706</v>
      </c>
      <c r="J5" s="237">
        <v>11180.610090450376</v>
      </c>
      <c r="K5" s="237">
        <v>8166.7783782347606</v>
      </c>
      <c r="L5" s="237">
        <v>3013.8317122154162</v>
      </c>
      <c r="M5" s="237">
        <v>840.68226360194205</v>
      </c>
      <c r="N5" s="237">
        <v>673.24184253023975</v>
      </c>
      <c r="O5" s="237">
        <v>167.44042107170111</v>
      </c>
      <c r="P5" s="237">
        <v>17576.148675440665</v>
      </c>
      <c r="Q5" s="237">
        <v>8412.2449888215579</v>
      </c>
      <c r="R5" s="237">
        <v>9163.903686619622</v>
      </c>
      <c r="S5" s="237">
        <v>508.91743891832454</v>
      </c>
      <c r="T5" s="237">
        <v>227.67359109504008</v>
      </c>
      <c r="U5" s="237">
        <v>281.24384782328474</v>
      </c>
    </row>
    <row r="6" spans="1:21" x14ac:dyDescent="0.2">
      <c r="A6" s="232" t="s">
        <v>14</v>
      </c>
      <c r="B6" s="8"/>
      <c r="C6" s="271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x14ac:dyDescent="0.2">
      <c r="A7" s="378" t="s">
        <v>5</v>
      </c>
      <c r="B7" s="10">
        <v>106435.84226172749</v>
      </c>
      <c r="C7" s="272">
        <v>56129.62652157314</v>
      </c>
      <c r="D7" s="10">
        <v>12557.356797717055</v>
      </c>
      <c r="E7" s="10">
        <v>7215.6435404327503</v>
      </c>
      <c r="F7" s="10">
        <v>5341.7132572839373</v>
      </c>
      <c r="G7" s="10">
        <v>24315.799963060046</v>
      </c>
      <c r="H7" s="10">
        <v>13746.645334856668</v>
      </c>
      <c r="I7" s="10">
        <v>10569.154628203272</v>
      </c>
      <c r="J7" s="10">
        <v>8322.2413373461295</v>
      </c>
      <c r="K7" s="10">
        <v>5995.4321872019664</v>
      </c>
      <c r="L7" s="10">
        <v>2326.8091501442191</v>
      </c>
      <c r="M7" s="10">
        <v>659.65601313388674</v>
      </c>
      <c r="N7" s="10">
        <v>520.46071310882314</v>
      </c>
      <c r="O7" s="10">
        <v>139.19530002506235</v>
      </c>
      <c r="P7" s="10">
        <v>9949.4983524490071</v>
      </c>
      <c r="Q7" s="10">
        <v>4261.7656289201077</v>
      </c>
      <c r="R7" s="10">
        <v>5687.732723529025</v>
      </c>
      <c r="S7" s="10">
        <v>325.07405787366673</v>
      </c>
      <c r="T7" s="10">
        <v>159.49326435000143</v>
      </c>
      <c r="U7" s="10">
        <v>165.58079352366559</v>
      </c>
    </row>
    <row r="8" spans="1:21" x14ac:dyDescent="0.2">
      <c r="A8" s="72" t="s">
        <v>6</v>
      </c>
      <c r="B8" s="10">
        <v>89857.934328008545</v>
      </c>
      <c r="C8" s="272">
        <v>34469.947779538721</v>
      </c>
      <c r="D8" s="10">
        <v>7243.3288436486691</v>
      </c>
      <c r="E8" s="10">
        <v>5029.6365755775378</v>
      </c>
      <c r="F8" s="10">
        <v>2213.6922680711168</v>
      </c>
      <c r="G8" s="10">
        <v>16376.730228285773</v>
      </c>
      <c r="H8" s="10">
        <v>9061.3675165905715</v>
      </c>
      <c r="I8" s="10">
        <v>7315.3627116955031</v>
      </c>
      <c r="J8" s="10">
        <v>2858.3687531040714</v>
      </c>
      <c r="K8" s="10">
        <v>2171.3461910328583</v>
      </c>
      <c r="L8" s="10">
        <v>687.02256207113453</v>
      </c>
      <c r="M8" s="10">
        <v>181.02625046805417</v>
      </c>
      <c r="N8" s="10">
        <v>152.78112942141539</v>
      </c>
      <c r="O8" s="10">
        <v>28.245121046638825</v>
      </c>
      <c r="P8" s="10">
        <v>7626.6503229921682</v>
      </c>
      <c r="Q8" s="10">
        <v>4150.4793599015629</v>
      </c>
      <c r="R8" s="10">
        <v>3476.1709630906485</v>
      </c>
      <c r="S8" s="10">
        <v>183.84338104465809</v>
      </c>
      <c r="T8" s="10">
        <v>68.18032674503894</v>
      </c>
      <c r="U8" s="10">
        <v>115.66305429961943</v>
      </c>
    </row>
    <row r="9" spans="1:21" x14ac:dyDescent="0.2">
      <c r="A9" s="274" t="s">
        <v>542</v>
      </c>
      <c r="B9" s="254"/>
      <c r="C9" s="273"/>
      <c r="D9" s="254"/>
      <c r="E9" s="254"/>
      <c r="F9" s="254"/>
      <c r="G9" s="254"/>
      <c r="H9" s="254"/>
      <c r="I9" s="254"/>
      <c r="J9" s="254"/>
      <c r="K9" s="254"/>
      <c r="L9" s="254"/>
      <c r="M9" s="254"/>
      <c r="N9" s="254"/>
      <c r="O9" s="254"/>
      <c r="P9" s="254"/>
      <c r="Q9" s="254"/>
      <c r="R9" s="254"/>
      <c r="S9" s="254"/>
      <c r="T9" s="254"/>
      <c r="U9" s="254"/>
    </row>
    <row r="10" spans="1:21" s="335" customFormat="1" x14ac:dyDescent="0.2">
      <c r="A10" s="371" t="s">
        <v>458</v>
      </c>
      <c r="B10" s="8">
        <v>75631.201801883566</v>
      </c>
      <c r="C10" s="8">
        <v>45272.654697359874</v>
      </c>
      <c r="D10" s="8">
        <v>11144.18690323872</v>
      </c>
      <c r="E10" s="8">
        <v>6754.6719532452507</v>
      </c>
      <c r="F10" s="8">
        <v>4389.5149499932813</v>
      </c>
      <c r="G10" s="8">
        <v>18953.057529623333</v>
      </c>
      <c r="H10" s="8">
        <v>10906.452757070661</v>
      </c>
      <c r="I10" s="8">
        <v>8046.6047725529397</v>
      </c>
      <c r="J10" s="8">
        <v>5127.0665367584797</v>
      </c>
      <c r="K10" s="8">
        <v>3818.537758607592</v>
      </c>
      <c r="L10" s="8">
        <v>1308.5287781508844</v>
      </c>
      <c r="M10" s="8">
        <v>413.18633563571836</v>
      </c>
      <c r="N10" s="8">
        <v>338.10166392305564</v>
      </c>
      <c r="O10" s="8">
        <v>75.084671712661972</v>
      </c>
      <c r="P10" s="8">
        <v>9608.3722637436786</v>
      </c>
      <c r="Q10" s="8">
        <v>4161.0755730675837</v>
      </c>
      <c r="R10" s="8">
        <v>5447.2966906762194</v>
      </c>
      <c r="S10" s="8">
        <v>26.785128364122414</v>
      </c>
      <c r="T10" s="8">
        <v>10.957552512595537</v>
      </c>
      <c r="U10" s="8">
        <v>15.827575851526884</v>
      </c>
    </row>
    <row r="11" spans="1:21" x14ac:dyDescent="0.2">
      <c r="A11" s="61" t="s">
        <v>458</v>
      </c>
      <c r="B11" s="10">
        <v>75631.201801883566</v>
      </c>
      <c r="C11" s="10">
        <v>45272.654697359874</v>
      </c>
      <c r="D11" s="10">
        <v>11144.18690323872</v>
      </c>
      <c r="E11" s="10">
        <v>6754.6719532452507</v>
      </c>
      <c r="F11" s="10">
        <v>4389.5149499932813</v>
      </c>
      <c r="G11" s="10">
        <v>18953.057529623333</v>
      </c>
      <c r="H11" s="10">
        <v>10906.452757070661</v>
      </c>
      <c r="I11" s="10">
        <v>8046.6047725529397</v>
      </c>
      <c r="J11" s="10">
        <v>5127.0665367584797</v>
      </c>
      <c r="K11" s="10">
        <v>3818.537758607592</v>
      </c>
      <c r="L11" s="10">
        <v>1308.5287781508844</v>
      </c>
      <c r="M11" s="10">
        <v>413.18633563571836</v>
      </c>
      <c r="N11" s="10">
        <v>338.10166392305564</v>
      </c>
      <c r="O11" s="10">
        <v>75.084671712661972</v>
      </c>
      <c r="P11" s="10">
        <v>9608.3722637436786</v>
      </c>
      <c r="Q11" s="10">
        <v>4161.0755730675837</v>
      </c>
      <c r="R11" s="10">
        <v>5447.2966906762194</v>
      </c>
      <c r="S11" s="10">
        <v>26.785128364122414</v>
      </c>
      <c r="T11" s="10">
        <v>10.957552512595537</v>
      </c>
      <c r="U11" s="10">
        <v>15.827575851526884</v>
      </c>
    </row>
    <row r="12" spans="1:21" s="335" customFormat="1" x14ac:dyDescent="0.2">
      <c r="A12" s="371" t="s">
        <v>459</v>
      </c>
      <c r="B12" s="8">
        <v>49838.29774422865</v>
      </c>
      <c r="C12" s="8">
        <v>21209.988497599006</v>
      </c>
      <c r="D12" s="8">
        <v>4454.9696539763709</v>
      </c>
      <c r="E12" s="8">
        <v>2706.5752166289726</v>
      </c>
      <c r="F12" s="8">
        <v>1748.3944373473009</v>
      </c>
      <c r="G12" s="8">
        <v>8930.8199610601132</v>
      </c>
      <c r="H12" s="8">
        <v>4921.7777620040997</v>
      </c>
      <c r="I12" s="8">
        <v>4009.0421990561995</v>
      </c>
      <c r="J12" s="8">
        <v>3789.975052187548</v>
      </c>
      <c r="K12" s="8">
        <v>2654.9353958757974</v>
      </c>
      <c r="L12" s="8">
        <v>1135.0396563116549</v>
      </c>
      <c r="M12" s="8">
        <v>171.76152728140733</v>
      </c>
      <c r="N12" s="8">
        <v>127.61287816893429</v>
      </c>
      <c r="O12" s="8">
        <v>44.148649112473059</v>
      </c>
      <c r="P12" s="8">
        <v>3738.2767079526761</v>
      </c>
      <c r="Q12" s="8">
        <v>1912.4302686923031</v>
      </c>
      <c r="R12" s="8">
        <v>1825.8464392602259</v>
      </c>
      <c r="S12" s="8">
        <v>124.18559514274926</v>
      </c>
      <c r="T12" s="8">
        <v>54.787762562977726</v>
      </c>
      <c r="U12" s="8">
        <v>69.397832579771773</v>
      </c>
    </row>
    <row r="13" spans="1:21" x14ac:dyDescent="0.2">
      <c r="A13" s="61" t="s">
        <v>459</v>
      </c>
      <c r="B13" s="10">
        <v>40869.151224788766</v>
      </c>
      <c r="C13" s="10">
        <v>18617.200252404484</v>
      </c>
      <c r="D13" s="10">
        <v>4053.4618325662159</v>
      </c>
      <c r="E13" s="10">
        <v>2397.8809584259302</v>
      </c>
      <c r="F13" s="10">
        <v>1655.5808741401715</v>
      </c>
      <c r="G13" s="10">
        <v>7393.492938619951</v>
      </c>
      <c r="H13" s="10">
        <v>4173.2818551679484</v>
      </c>
      <c r="I13" s="10">
        <v>3220.2110834521272</v>
      </c>
      <c r="J13" s="10">
        <v>3684.3282221949339</v>
      </c>
      <c r="K13" s="10">
        <v>2567.7360396081185</v>
      </c>
      <c r="L13" s="10">
        <v>1116.5921825867154</v>
      </c>
      <c r="M13" s="10">
        <v>170.57886390481076</v>
      </c>
      <c r="N13" s="10">
        <v>127.61287816893429</v>
      </c>
      <c r="O13" s="10">
        <v>42.965985735876473</v>
      </c>
      <c r="P13" s="10">
        <v>3250.8105858785916</v>
      </c>
      <c r="Q13" s="10">
        <v>1613.3059016145389</v>
      </c>
      <c r="R13" s="10">
        <v>1637.5046842639463</v>
      </c>
      <c r="S13" s="10">
        <v>64.52780924084044</v>
      </c>
      <c r="T13" s="10">
        <v>32.872657537786601</v>
      </c>
      <c r="U13" s="10">
        <v>31.655151703053761</v>
      </c>
    </row>
    <row r="14" spans="1:21" x14ac:dyDescent="0.2">
      <c r="A14" s="61" t="s">
        <v>473</v>
      </c>
      <c r="B14" s="10">
        <v>8969.1465194386128</v>
      </c>
      <c r="C14" s="10">
        <v>2592.7882451955234</v>
      </c>
      <c r="D14" s="10">
        <v>401.50782141013951</v>
      </c>
      <c r="E14" s="10">
        <v>308.69425820301512</v>
      </c>
      <c r="F14" s="10">
        <v>92.813563207123678</v>
      </c>
      <c r="G14" s="10">
        <v>1537.3270224401454</v>
      </c>
      <c r="H14" s="10">
        <v>748.49590683615827</v>
      </c>
      <c r="I14" s="10">
        <v>788.83111560398845</v>
      </c>
      <c r="J14" s="10">
        <v>105.64682999261134</v>
      </c>
      <c r="K14" s="10">
        <v>87.1993562676723</v>
      </c>
      <c r="L14" s="10">
        <v>18.447473724939108</v>
      </c>
      <c r="M14" s="10">
        <v>1.1826633765965862</v>
      </c>
      <c r="N14" s="11">
        <v>0</v>
      </c>
      <c r="O14" s="10">
        <v>1.1826633765965862</v>
      </c>
      <c r="P14" s="10">
        <v>487.46612207403973</v>
      </c>
      <c r="Q14" s="10">
        <v>299.12436707776141</v>
      </c>
      <c r="R14" s="10">
        <v>188.3417549962779</v>
      </c>
      <c r="S14" s="10">
        <v>59.657785901909087</v>
      </c>
      <c r="T14" s="10">
        <v>21.915105025191068</v>
      </c>
      <c r="U14" s="10">
        <v>37.742680876717962</v>
      </c>
    </row>
    <row r="15" spans="1:21" s="335" customFormat="1" x14ac:dyDescent="0.2">
      <c r="A15" s="371" t="s">
        <v>461</v>
      </c>
      <c r="B15" s="8">
        <v>12485.348594002951</v>
      </c>
      <c r="C15" s="8">
        <v>4975.9735945159746</v>
      </c>
      <c r="D15" s="8">
        <v>821.91705792942378</v>
      </c>
      <c r="E15" s="8">
        <v>480.65411298480939</v>
      </c>
      <c r="F15" s="8">
        <v>341.262944944617</v>
      </c>
      <c r="G15" s="8">
        <v>2477.8717172648462</v>
      </c>
      <c r="H15" s="8">
        <v>1390.4000715929255</v>
      </c>
      <c r="I15" s="8">
        <v>1087.4716456718525</v>
      </c>
      <c r="J15" s="8">
        <v>637.77655441595823</v>
      </c>
      <c r="K15" s="8">
        <v>467.04098133918603</v>
      </c>
      <c r="L15" s="8">
        <v>170.73557307677126</v>
      </c>
      <c r="M15" s="8">
        <v>123.23055764860567</v>
      </c>
      <c r="N15" s="8">
        <v>97.343177293259842</v>
      </c>
      <c r="O15" s="8">
        <v>25.887380355345911</v>
      </c>
      <c r="P15" s="8">
        <v>793.42712378374097</v>
      </c>
      <c r="Q15" s="8">
        <v>378.17888643104277</v>
      </c>
      <c r="R15" s="8">
        <v>415.24823735269979</v>
      </c>
      <c r="S15" s="8">
        <v>121.7505834732836</v>
      </c>
      <c r="T15" s="8">
        <v>52.352750893512045</v>
      </c>
      <c r="U15" s="8">
        <v>69.397832579771773</v>
      </c>
    </row>
    <row r="16" spans="1:21" x14ac:dyDescent="0.2">
      <c r="A16" s="61" t="s">
        <v>461</v>
      </c>
      <c r="B16" s="10">
        <v>12485.348594002951</v>
      </c>
      <c r="C16" s="10">
        <v>4975.9735945159746</v>
      </c>
      <c r="D16" s="10">
        <v>821.91705792942378</v>
      </c>
      <c r="E16" s="10">
        <v>480.65411298480939</v>
      </c>
      <c r="F16" s="10">
        <v>341.262944944617</v>
      </c>
      <c r="G16" s="10">
        <v>2477.8717172648462</v>
      </c>
      <c r="H16" s="10">
        <v>1390.4000715929255</v>
      </c>
      <c r="I16" s="10">
        <v>1087.4716456718525</v>
      </c>
      <c r="J16" s="10">
        <v>637.77655441595823</v>
      </c>
      <c r="K16" s="10">
        <v>467.04098133918603</v>
      </c>
      <c r="L16" s="10">
        <v>170.73557307677126</v>
      </c>
      <c r="M16" s="10">
        <v>123.23055764860567</v>
      </c>
      <c r="N16" s="10">
        <v>97.343177293259842</v>
      </c>
      <c r="O16" s="10">
        <v>25.887380355345911</v>
      </c>
      <c r="P16" s="10">
        <v>793.42712378374097</v>
      </c>
      <c r="Q16" s="10">
        <v>378.17888643104277</v>
      </c>
      <c r="R16" s="10">
        <v>415.24823735269979</v>
      </c>
      <c r="S16" s="10">
        <v>121.7505834732836</v>
      </c>
      <c r="T16" s="10">
        <v>52.352750893512045</v>
      </c>
      <c r="U16" s="10">
        <v>69.397832579771773</v>
      </c>
    </row>
    <row r="17" spans="1:21" s="335" customFormat="1" x14ac:dyDescent="0.2">
      <c r="A17" s="371" t="s">
        <v>462</v>
      </c>
      <c r="B17" s="8">
        <v>21989.169981927411</v>
      </c>
      <c r="C17" s="8">
        <v>9330.4131208418748</v>
      </c>
      <c r="D17" s="8">
        <v>1721.5266220947883</v>
      </c>
      <c r="E17" s="8">
        <v>1090.7236266534105</v>
      </c>
      <c r="F17" s="8">
        <v>630.80299544135198</v>
      </c>
      <c r="G17" s="8">
        <v>4731.2146712453878</v>
      </c>
      <c r="H17" s="8">
        <v>2599.8243189950808</v>
      </c>
      <c r="I17" s="8">
        <v>2131.3903522501946</v>
      </c>
      <c r="J17" s="8">
        <v>1057.7618615232068</v>
      </c>
      <c r="K17" s="8">
        <v>781.46686172294403</v>
      </c>
      <c r="L17" s="8">
        <v>276.29499980026225</v>
      </c>
      <c r="M17" s="8">
        <v>100.56827417586884</v>
      </c>
      <c r="N17" s="8">
        <v>81.951086370783784</v>
      </c>
      <c r="O17" s="8">
        <v>18.617187805085141</v>
      </c>
      <c r="P17" s="8">
        <v>1708.3841392900558</v>
      </c>
      <c r="Q17" s="8">
        <v>838.8774201996024</v>
      </c>
      <c r="R17" s="8">
        <v>869.50671909043933</v>
      </c>
      <c r="S17" s="8">
        <v>10.957552512595537</v>
      </c>
      <c r="T17" s="8">
        <v>7.3050350083970255</v>
      </c>
      <c r="U17" s="8">
        <v>3.6525175041985127</v>
      </c>
    </row>
    <row r="18" spans="1:21" x14ac:dyDescent="0.2">
      <c r="A18" s="61" t="s">
        <v>462</v>
      </c>
      <c r="B18" s="10">
        <v>21989.169981927411</v>
      </c>
      <c r="C18" s="10">
        <v>9330.4131208418748</v>
      </c>
      <c r="D18" s="10">
        <v>1721.5266220947883</v>
      </c>
      <c r="E18" s="10">
        <v>1090.7236266534105</v>
      </c>
      <c r="F18" s="10">
        <v>630.80299544135198</v>
      </c>
      <c r="G18" s="10">
        <v>4731.2146712453878</v>
      </c>
      <c r="H18" s="10">
        <v>2599.8243189950808</v>
      </c>
      <c r="I18" s="10">
        <v>2131.3903522501946</v>
      </c>
      <c r="J18" s="10">
        <v>1057.7618615232068</v>
      </c>
      <c r="K18" s="10">
        <v>781.46686172294403</v>
      </c>
      <c r="L18" s="10">
        <v>276.29499980026225</v>
      </c>
      <c r="M18" s="10">
        <v>100.56827417586884</v>
      </c>
      <c r="N18" s="10">
        <v>81.951086370783784</v>
      </c>
      <c r="O18" s="10">
        <v>18.617187805085141</v>
      </c>
      <c r="P18" s="10">
        <v>1708.3841392900558</v>
      </c>
      <c r="Q18" s="10">
        <v>838.8774201996024</v>
      </c>
      <c r="R18" s="10">
        <v>869.50671909043933</v>
      </c>
      <c r="S18" s="10">
        <v>10.957552512595537</v>
      </c>
      <c r="T18" s="10">
        <v>7.3050350083970255</v>
      </c>
      <c r="U18" s="10">
        <v>3.6525175041985127</v>
      </c>
    </row>
    <row r="19" spans="1:21" s="335" customFormat="1" x14ac:dyDescent="0.2">
      <c r="A19" s="371" t="s">
        <v>463</v>
      </c>
      <c r="B19" s="8">
        <v>15439.473173847058</v>
      </c>
      <c r="C19" s="8">
        <v>5401.2659440756797</v>
      </c>
      <c r="D19" s="8">
        <v>427.27309222339539</v>
      </c>
      <c r="E19" s="8">
        <v>266.20638782097626</v>
      </c>
      <c r="F19" s="8">
        <v>161.06670440241896</v>
      </c>
      <c r="G19" s="8">
        <v>4047.2434669848913</v>
      </c>
      <c r="H19" s="8">
        <v>2097.1338179643749</v>
      </c>
      <c r="I19" s="8">
        <v>1950.1096490203629</v>
      </c>
      <c r="J19" s="8">
        <v>198.85489669708988</v>
      </c>
      <c r="K19" s="8">
        <v>143.31260655293116</v>
      </c>
      <c r="L19" s="8">
        <v>55.542290144158898</v>
      </c>
      <c r="M19" s="8">
        <v>17.210297555870536</v>
      </c>
      <c r="N19" s="8">
        <v>13.507765469735258</v>
      </c>
      <c r="O19" s="8">
        <v>3.7025320861352773</v>
      </c>
      <c r="P19" s="8">
        <v>506.14321037932984</v>
      </c>
      <c r="Q19" s="8">
        <v>325.96350970369178</v>
      </c>
      <c r="R19" s="8">
        <v>180.17970067563817</v>
      </c>
      <c r="S19" s="8">
        <v>204.54098023511625</v>
      </c>
      <c r="T19" s="8">
        <v>97.400466778626935</v>
      </c>
      <c r="U19" s="8">
        <v>107.1405134564896</v>
      </c>
    </row>
    <row r="20" spans="1:21" x14ac:dyDescent="0.2">
      <c r="A20" s="61" t="s">
        <v>463</v>
      </c>
      <c r="B20" s="10">
        <v>15439.473173847058</v>
      </c>
      <c r="C20" s="10">
        <v>5401.2659440756797</v>
      </c>
      <c r="D20" s="10">
        <v>427.27309222339539</v>
      </c>
      <c r="E20" s="10">
        <v>266.20638782097626</v>
      </c>
      <c r="F20" s="10">
        <v>161.06670440241896</v>
      </c>
      <c r="G20" s="10">
        <v>4047.2434669848913</v>
      </c>
      <c r="H20" s="10">
        <v>2097.1338179643749</v>
      </c>
      <c r="I20" s="10">
        <v>1950.1096490203629</v>
      </c>
      <c r="J20" s="10">
        <v>198.85489669708988</v>
      </c>
      <c r="K20" s="10">
        <v>143.31260655293116</v>
      </c>
      <c r="L20" s="10">
        <v>55.542290144158898</v>
      </c>
      <c r="M20" s="11">
        <v>17.210297555870536</v>
      </c>
      <c r="N20" s="11">
        <v>13.507765469735258</v>
      </c>
      <c r="O20" s="11">
        <v>3.7025320861352773</v>
      </c>
      <c r="P20" s="11">
        <v>506.14321037932984</v>
      </c>
      <c r="Q20" s="11">
        <v>325.96350970369178</v>
      </c>
      <c r="R20" s="11">
        <v>180.17970067563817</v>
      </c>
      <c r="S20" s="11">
        <v>204.54098023511625</v>
      </c>
      <c r="T20" s="11">
        <v>97.400466778626935</v>
      </c>
      <c r="U20" s="11">
        <v>107.1405134564896</v>
      </c>
    </row>
    <row r="21" spans="1:21" s="335" customFormat="1" x14ac:dyDescent="0.2">
      <c r="A21" s="371" t="s">
        <v>464</v>
      </c>
      <c r="B21" s="8">
        <v>7243.6629191252605</v>
      </c>
      <c r="C21" s="8">
        <v>1394.0206897794649</v>
      </c>
      <c r="D21" s="8">
        <v>432.73550194174737</v>
      </c>
      <c r="E21" s="8">
        <v>327.86625724917525</v>
      </c>
      <c r="F21" s="8">
        <v>104.86924469257198</v>
      </c>
      <c r="G21" s="8">
        <v>488.28194027438559</v>
      </c>
      <c r="H21" s="8">
        <v>298.82186168156903</v>
      </c>
      <c r="I21" s="8">
        <v>189.46007859281607</v>
      </c>
      <c r="J21" s="8">
        <v>124.61220545079411</v>
      </c>
      <c r="K21" s="8">
        <v>97.395205824406418</v>
      </c>
      <c r="L21" s="8">
        <v>27.216999626387761</v>
      </c>
      <c r="M21" s="9">
        <v>3.7373745442715292</v>
      </c>
      <c r="N21" s="9">
        <v>3.7373745442715292</v>
      </c>
      <c r="O21" s="9">
        <v>0</v>
      </c>
      <c r="P21" s="9">
        <v>342.21865589880002</v>
      </c>
      <c r="Q21" s="9">
        <v>230.03026357832272</v>
      </c>
      <c r="R21" s="9">
        <v>112.18839232047688</v>
      </c>
      <c r="S21" s="9">
        <v>2.4350116694656752</v>
      </c>
      <c r="T21" s="9">
        <v>1.2175058347328376</v>
      </c>
      <c r="U21" s="9">
        <v>1.2175058347328376</v>
      </c>
    </row>
    <row r="22" spans="1:21" x14ac:dyDescent="0.2">
      <c r="A22" s="61" t="s">
        <v>464</v>
      </c>
      <c r="B22" s="10">
        <v>1696.3284733860482</v>
      </c>
      <c r="C22" s="10">
        <v>342.23852382160737</v>
      </c>
      <c r="D22" s="10">
        <v>87.628252968014834</v>
      </c>
      <c r="E22" s="10">
        <v>65.849015692369761</v>
      </c>
      <c r="F22" s="10">
        <v>21.779237275645148</v>
      </c>
      <c r="G22" s="10">
        <v>94.700809780753431</v>
      </c>
      <c r="H22" s="10">
        <v>64.458897284531361</v>
      </c>
      <c r="I22" s="10">
        <v>30.241912496222177</v>
      </c>
      <c r="J22" s="10">
        <v>45.4583170954689</v>
      </c>
      <c r="K22" s="10">
        <v>38.025996526962352</v>
      </c>
      <c r="L22" s="10">
        <v>7.4323205685065501</v>
      </c>
      <c r="M22" s="11">
        <v>0</v>
      </c>
      <c r="N22" s="11">
        <v>0</v>
      </c>
      <c r="O22" s="11">
        <v>0</v>
      </c>
      <c r="P22" s="11">
        <v>113.2336381426376</v>
      </c>
      <c r="Q22" s="11">
        <v>83.817804713913958</v>
      </c>
      <c r="R22" s="11">
        <v>29.415833428723715</v>
      </c>
      <c r="S22" s="11">
        <v>1.2175058347328376</v>
      </c>
      <c r="T22" s="11">
        <v>0</v>
      </c>
      <c r="U22" s="11">
        <v>1.2175058347328376</v>
      </c>
    </row>
    <row r="23" spans="1:21" x14ac:dyDescent="0.2">
      <c r="A23" s="61" t="s">
        <v>465</v>
      </c>
      <c r="B23" s="10">
        <v>5547.3344457392286</v>
      </c>
      <c r="C23" s="10">
        <v>1051.7821659578547</v>
      </c>
      <c r="D23" s="10">
        <v>345.10724897373234</v>
      </c>
      <c r="E23" s="10">
        <v>262.01724155680529</v>
      </c>
      <c r="F23" s="10">
        <v>83.090007416926895</v>
      </c>
      <c r="G23" s="10">
        <v>393.58113049363209</v>
      </c>
      <c r="H23" s="10">
        <v>234.36296439703739</v>
      </c>
      <c r="I23" s="10">
        <v>159.21816609659402</v>
      </c>
      <c r="J23" s="10">
        <v>79.153888355325293</v>
      </c>
      <c r="K23" s="10">
        <v>59.369209297444108</v>
      </c>
      <c r="L23" s="10">
        <v>19.784679057881213</v>
      </c>
      <c r="M23" s="11">
        <v>3.7373745442715292</v>
      </c>
      <c r="N23" s="11">
        <v>3.7373745442715292</v>
      </c>
      <c r="O23" s="11">
        <v>0</v>
      </c>
      <c r="P23" s="11">
        <v>228.98501775616197</v>
      </c>
      <c r="Q23" s="11">
        <v>146.21245886440872</v>
      </c>
      <c r="R23" s="11">
        <v>82.772558891753249</v>
      </c>
      <c r="S23" s="11">
        <v>1.2175058347328376</v>
      </c>
      <c r="T23" s="11">
        <v>1.2175058347328376</v>
      </c>
      <c r="U23" s="11">
        <v>0</v>
      </c>
    </row>
    <row r="24" spans="1:21" s="335" customFormat="1" x14ac:dyDescent="0.2">
      <c r="A24" s="371" t="s">
        <v>466</v>
      </c>
      <c r="B24" s="8">
        <v>3594.3993913823633</v>
      </c>
      <c r="C24" s="8">
        <v>516.81013952287014</v>
      </c>
      <c r="D24" s="8">
        <v>127.9250132038198</v>
      </c>
      <c r="E24" s="8">
        <v>98.623173882691106</v>
      </c>
      <c r="F24" s="8">
        <v>29.30183932112876</v>
      </c>
      <c r="G24" s="8">
        <v>158.93906211255572</v>
      </c>
      <c r="H24" s="8">
        <v>93.802830730952437</v>
      </c>
      <c r="I24" s="8">
        <v>65.136231381603366</v>
      </c>
      <c r="J24" s="8">
        <v>53.182254549945981</v>
      </c>
      <c r="K24" s="8">
        <v>42.154413531038394</v>
      </c>
      <c r="L24" s="8">
        <v>11.027841018907584</v>
      </c>
      <c r="M24" s="9">
        <v>0</v>
      </c>
      <c r="N24" s="9">
        <v>0</v>
      </c>
      <c r="O24" s="9">
        <v>0</v>
      </c>
      <c r="P24" s="9">
        <v>176.76380965654758</v>
      </c>
      <c r="Q24" s="9">
        <v>111.97317626679197</v>
      </c>
      <c r="R24" s="9">
        <v>64.790633389755712</v>
      </c>
      <c r="S24" s="9">
        <v>0</v>
      </c>
      <c r="T24" s="9">
        <v>0</v>
      </c>
      <c r="U24" s="9">
        <v>0</v>
      </c>
    </row>
    <row r="25" spans="1:21" x14ac:dyDescent="0.2">
      <c r="A25" s="61" t="s">
        <v>466</v>
      </c>
      <c r="B25" s="10">
        <v>3594.3993913823633</v>
      </c>
      <c r="C25" s="10">
        <v>516.81013952287014</v>
      </c>
      <c r="D25" s="10">
        <v>127.9250132038198</v>
      </c>
      <c r="E25" s="10">
        <v>98.623173882691106</v>
      </c>
      <c r="F25" s="10">
        <v>29.30183932112876</v>
      </c>
      <c r="G25" s="10">
        <v>158.93906211255572</v>
      </c>
      <c r="H25" s="10">
        <v>93.802830730952437</v>
      </c>
      <c r="I25" s="10">
        <v>65.136231381603366</v>
      </c>
      <c r="J25" s="10">
        <v>53.182254549945981</v>
      </c>
      <c r="K25" s="10">
        <v>42.154413531038394</v>
      </c>
      <c r="L25" s="10">
        <v>11.027841018907584</v>
      </c>
      <c r="M25" s="11">
        <v>0</v>
      </c>
      <c r="N25" s="11">
        <v>0</v>
      </c>
      <c r="O25" s="11">
        <v>0</v>
      </c>
      <c r="P25" s="11">
        <v>176.76380965654758</v>
      </c>
      <c r="Q25" s="11">
        <v>111.97317626679197</v>
      </c>
      <c r="R25" s="11">
        <v>64.790633389755712</v>
      </c>
      <c r="S25" s="11">
        <v>0</v>
      </c>
      <c r="T25" s="11">
        <v>0</v>
      </c>
      <c r="U25" s="11">
        <v>0</v>
      </c>
    </row>
    <row r="26" spans="1:21" s="335" customFormat="1" x14ac:dyDescent="0.2">
      <c r="A26" s="371" t="s">
        <v>467</v>
      </c>
      <c r="B26" s="8">
        <v>6399.9602605886057</v>
      </c>
      <c r="C26" s="8">
        <v>2028.9640496632055</v>
      </c>
      <c r="D26" s="8">
        <v>525.81854155648739</v>
      </c>
      <c r="E26" s="8">
        <v>405.05713789669068</v>
      </c>
      <c r="F26" s="8">
        <v>120.76140365979658</v>
      </c>
      <c r="G26" s="8">
        <v>804.31480260178648</v>
      </c>
      <c r="H26" s="8">
        <v>430.4011485043244</v>
      </c>
      <c r="I26" s="8">
        <v>373.91365409746385</v>
      </c>
      <c r="J26" s="8">
        <v>144.90187641345887</v>
      </c>
      <c r="K26" s="8">
        <v>124.04154561471535</v>
      </c>
      <c r="L26" s="8">
        <v>20.860330798743554</v>
      </c>
      <c r="M26" s="9">
        <v>7.4050641722705546</v>
      </c>
      <c r="N26" s="9">
        <v>7.4050641722705546</v>
      </c>
      <c r="O26" s="9">
        <v>0</v>
      </c>
      <c r="P26" s="9">
        <v>528.26117739819608</v>
      </c>
      <c r="Q26" s="9">
        <v>326.74049688727416</v>
      </c>
      <c r="R26" s="9">
        <v>201.52068051092195</v>
      </c>
      <c r="S26" s="9">
        <v>18.262587520992557</v>
      </c>
      <c r="T26" s="9">
        <v>3.6525175041985127</v>
      </c>
      <c r="U26" s="9">
        <v>14.610070016794047</v>
      </c>
    </row>
    <row r="27" spans="1:21" x14ac:dyDescent="0.2">
      <c r="A27" s="61" t="s">
        <v>467</v>
      </c>
      <c r="B27" s="10">
        <v>6399.9602605886057</v>
      </c>
      <c r="C27" s="10">
        <v>2028.9640496632055</v>
      </c>
      <c r="D27" s="10">
        <v>525.81854155648739</v>
      </c>
      <c r="E27" s="10">
        <v>405.05713789669068</v>
      </c>
      <c r="F27" s="10">
        <v>120.76140365979658</v>
      </c>
      <c r="G27" s="10">
        <v>804.31480260178648</v>
      </c>
      <c r="H27" s="10">
        <v>430.4011485043244</v>
      </c>
      <c r="I27" s="10">
        <v>373.91365409746385</v>
      </c>
      <c r="J27" s="10">
        <v>144.90187641345887</v>
      </c>
      <c r="K27" s="10">
        <v>124.04154561471535</v>
      </c>
      <c r="L27" s="10">
        <v>20.860330798743554</v>
      </c>
      <c r="M27" s="11">
        <v>7.4050641722705546</v>
      </c>
      <c r="N27" s="11">
        <v>7.4050641722705546</v>
      </c>
      <c r="O27" s="11">
        <v>0</v>
      </c>
      <c r="P27" s="11">
        <v>528.26117739819608</v>
      </c>
      <c r="Q27" s="11">
        <v>326.74049688727416</v>
      </c>
      <c r="R27" s="11">
        <v>201.52068051092195</v>
      </c>
      <c r="S27" s="11">
        <v>18.262587520992557</v>
      </c>
      <c r="T27" s="11">
        <v>3.6525175041985127</v>
      </c>
      <c r="U27" s="11">
        <v>14.610070016794047</v>
      </c>
    </row>
    <row r="28" spans="1:21" s="335" customFormat="1" x14ac:dyDescent="0.2">
      <c r="A28" s="371" t="s">
        <v>468</v>
      </c>
      <c r="B28" s="8">
        <v>3672.2627227234138</v>
      </c>
      <c r="C28" s="8">
        <v>469.48356775951703</v>
      </c>
      <c r="D28" s="8">
        <v>144.33325520072415</v>
      </c>
      <c r="E28" s="8">
        <v>114.90224964820004</v>
      </c>
      <c r="F28" s="8">
        <v>29.43100555252423</v>
      </c>
      <c r="G28" s="8">
        <v>100.78704017903372</v>
      </c>
      <c r="H28" s="8">
        <v>69.398282903405914</v>
      </c>
      <c r="I28" s="8">
        <v>31.388757275627938</v>
      </c>
      <c r="J28" s="8">
        <v>46.478852453819698</v>
      </c>
      <c r="K28" s="8">
        <v>37.893609166278054</v>
      </c>
      <c r="L28" s="8">
        <v>8.5852432875416511</v>
      </c>
      <c r="M28" s="9">
        <v>3.5828325879260099</v>
      </c>
      <c r="N28" s="9">
        <v>3.5828325879260099</v>
      </c>
      <c r="O28" s="9">
        <v>0</v>
      </c>
      <c r="P28" s="9">
        <v>174.30158733801304</v>
      </c>
      <c r="Q28" s="9">
        <v>126.97539399485035</v>
      </c>
      <c r="R28" s="9">
        <v>47.326193343162856</v>
      </c>
      <c r="S28" s="9">
        <v>0</v>
      </c>
      <c r="T28" s="9">
        <v>0</v>
      </c>
      <c r="U28" s="9">
        <v>0</v>
      </c>
    </row>
    <row r="29" spans="1:21" x14ac:dyDescent="0.2">
      <c r="A29" s="61" t="s">
        <v>468</v>
      </c>
      <c r="B29" s="10">
        <v>3672.2627227234138</v>
      </c>
      <c r="C29" s="10">
        <v>469.48356775951703</v>
      </c>
      <c r="D29" s="10">
        <v>144.33325520072415</v>
      </c>
      <c r="E29" s="10">
        <v>114.90224964820004</v>
      </c>
      <c r="F29" s="10">
        <v>29.43100555252423</v>
      </c>
      <c r="G29" s="10">
        <v>100.78704017903372</v>
      </c>
      <c r="H29" s="10">
        <v>69.398282903405914</v>
      </c>
      <c r="I29" s="10">
        <v>31.388757275627938</v>
      </c>
      <c r="J29" s="10">
        <v>46.478852453819698</v>
      </c>
      <c r="K29" s="10">
        <v>37.893609166278054</v>
      </c>
      <c r="L29" s="10">
        <v>8.5852432875416511</v>
      </c>
      <c r="M29" s="11">
        <v>3.5828325879260099</v>
      </c>
      <c r="N29" s="11">
        <v>3.5828325879260099</v>
      </c>
      <c r="O29" s="11">
        <v>0</v>
      </c>
      <c r="P29" s="11">
        <v>174.30158733801304</v>
      </c>
      <c r="Q29" s="11">
        <v>126.97539399485035</v>
      </c>
      <c r="R29" s="11">
        <v>47.326193343162856</v>
      </c>
      <c r="S29" s="11">
        <v>0</v>
      </c>
      <c r="T29" s="11">
        <v>0</v>
      </c>
      <c r="U29" s="11">
        <v>0</v>
      </c>
    </row>
    <row r="32" spans="1:21" x14ac:dyDescent="0.2">
      <c r="E32" s="335"/>
    </row>
  </sheetData>
  <mergeCells count="11">
    <mergeCell ref="A1:U1"/>
    <mergeCell ref="D2:U2"/>
    <mergeCell ref="G3:I3"/>
    <mergeCell ref="J3:L3"/>
    <mergeCell ref="M3:O3"/>
    <mergeCell ref="S3:U3"/>
    <mergeCell ref="B2:B4"/>
    <mergeCell ref="C2:C4"/>
    <mergeCell ref="D3:F3"/>
    <mergeCell ref="P3:R3"/>
    <mergeCell ref="A2:A4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zoomScale="110" zoomScaleNormal="110" workbookViewId="0">
      <selection activeCell="R10" sqref="R10"/>
    </sheetView>
  </sheetViews>
  <sheetFormatPr defaultRowHeight="12" x14ac:dyDescent="0.2"/>
  <cols>
    <col min="1" max="1" width="26.42578125" style="322" customWidth="1"/>
    <col min="2" max="9" width="9.140625" style="322"/>
    <col min="10" max="10" width="6.7109375" style="322" customWidth="1"/>
    <col min="11" max="16384" width="9.140625" style="322"/>
  </cols>
  <sheetData>
    <row r="1" spans="1:13" ht="29.25" customHeight="1" x14ac:dyDescent="0.2">
      <c r="A1" s="578" t="s">
        <v>549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</row>
    <row r="2" spans="1:13" ht="24.75" customHeight="1" x14ac:dyDescent="0.2">
      <c r="A2" s="579" t="s">
        <v>501</v>
      </c>
      <c r="B2" s="581" t="s">
        <v>248</v>
      </c>
      <c r="C2" s="581"/>
      <c r="D2" s="581"/>
      <c r="E2" s="342"/>
      <c r="F2" s="581" t="s">
        <v>249</v>
      </c>
      <c r="G2" s="581"/>
      <c r="H2" s="581"/>
      <c r="I2" s="342"/>
      <c r="J2" s="581" t="s">
        <v>250</v>
      </c>
      <c r="K2" s="581"/>
      <c r="L2" s="581"/>
      <c r="M2" s="582" t="s">
        <v>220</v>
      </c>
    </row>
    <row r="3" spans="1:13" x14ac:dyDescent="0.2">
      <c r="A3" s="580"/>
      <c r="B3" s="343" t="s">
        <v>1</v>
      </c>
      <c r="C3" s="343" t="s">
        <v>2</v>
      </c>
      <c r="D3" s="343" t="s">
        <v>3</v>
      </c>
      <c r="E3" s="343"/>
      <c r="F3" s="383" t="s">
        <v>1</v>
      </c>
      <c r="G3" s="383" t="s">
        <v>2</v>
      </c>
      <c r="H3" s="383" t="s">
        <v>3</v>
      </c>
      <c r="I3" s="383"/>
      <c r="J3" s="383" t="s">
        <v>1</v>
      </c>
      <c r="K3" s="383" t="s">
        <v>2</v>
      </c>
      <c r="L3" s="383" t="s">
        <v>3</v>
      </c>
      <c r="M3" s="583"/>
    </row>
    <row r="4" spans="1:13" x14ac:dyDescent="0.2">
      <c r="A4" s="228" t="s">
        <v>457</v>
      </c>
      <c r="B4" s="237">
        <v>71351.571960230242</v>
      </c>
      <c r="C4" s="237">
        <v>35431.030318262281</v>
      </c>
      <c r="D4" s="237">
        <v>35920.541641935444</v>
      </c>
      <c r="E4" s="237"/>
      <c r="F4" s="237">
        <v>22597.805206293182</v>
      </c>
      <c r="G4" s="237">
        <v>11465.04653760785</v>
      </c>
      <c r="H4" s="237">
        <v>11132.75866869076</v>
      </c>
      <c r="I4" s="237"/>
      <c r="J4" s="345">
        <v>31.671068464897445</v>
      </c>
      <c r="K4" s="346">
        <v>32.358772619996799</v>
      </c>
      <c r="L4" s="346">
        <v>30.992736077493205</v>
      </c>
      <c r="M4" s="347">
        <v>0.95778466141019758</v>
      </c>
    </row>
    <row r="5" spans="1:13" x14ac:dyDescent="0.2">
      <c r="A5" s="232" t="s">
        <v>14</v>
      </c>
      <c r="B5" s="8"/>
      <c r="C5" s="8"/>
      <c r="D5" s="8"/>
      <c r="E5" s="8"/>
      <c r="F5" s="8"/>
      <c r="G5" s="8"/>
      <c r="H5" s="8"/>
      <c r="I5" s="8"/>
      <c r="J5" s="348"/>
      <c r="K5" s="348"/>
      <c r="L5" s="348"/>
      <c r="M5" s="349"/>
    </row>
    <row r="6" spans="1:13" x14ac:dyDescent="0.2">
      <c r="A6" s="378" t="s">
        <v>5</v>
      </c>
      <c r="B6" s="10">
        <v>38547.622914313513</v>
      </c>
      <c r="C6" s="10">
        <v>19310.608435932169</v>
      </c>
      <c r="D6" s="10">
        <v>19237.014478386773</v>
      </c>
      <c r="E6" s="10"/>
      <c r="F6" s="10">
        <v>14642.967431613579</v>
      </c>
      <c r="G6" s="10">
        <v>7451.9457314575557</v>
      </c>
      <c r="H6" s="10">
        <v>7191.0217001600304</v>
      </c>
      <c r="I6" s="10"/>
      <c r="J6" s="350">
        <v>37.986693665048968</v>
      </c>
      <c r="K6" s="350">
        <v>38.589906455721355</v>
      </c>
      <c r="L6" s="350">
        <v>37.381173197321019</v>
      </c>
      <c r="M6" s="351">
        <v>0.96867747632953571</v>
      </c>
    </row>
    <row r="7" spans="1:13" x14ac:dyDescent="0.2">
      <c r="A7" s="72" t="s">
        <v>6</v>
      </c>
      <c r="B7" s="10">
        <v>32803.949045884212</v>
      </c>
      <c r="C7" s="10">
        <v>16120.42188233554</v>
      </c>
      <c r="D7" s="10">
        <v>16683.527163554099</v>
      </c>
      <c r="E7" s="10"/>
      <c r="F7" s="10">
        <v>7954.8377746848373</v>
      </c>
      <c r="G7" s="10">
        <v>4013.1008061517432</v>
      </c>
      <c r="H7" s="10">
        <v>3941.7369685319363</v>
      </c>
      <c r="I7" s="10"/>
      <c r="J7" s="350">
        <v>24.249634589899863</v>
      </c>
      <c r="K7" s="350">
        <v>24.894514767940169</v>
      </c>
      <c r="L7" s="350">
        <v>23.62652051865474</v>
      </c>
      <c r="M7" s="351">
        <v>0.94906531574905861</v>
      </c>
    </row>
    <row r="8" spans="1:13" x14ac:dyDescent="0.2">
      <c r="A8" s="274" t="s">
        <v>542</v>
      </c>
      <c r="B8" s="254"/>
      <c r="C8" s="254"/>
      <c r="D8" s="254"/>
      <c r="E8" s="254"/>
      <c r="F8" s="254"/>
      <c r="G8" s="254"/>
      <c r="H8" s="254"/>
      <c r="I8" s="254"/>
      <c r="J8" s="352"/>
      <c r="K8" s="352"/>
      <c r="L8" s="352"/>
      <c r="M8" s="353"/>
    </row>
    <row r="9" spans="1:13" s="335" customFormat="1" x14ac:dyDescent="0.2">
      <c r="A9" s="371" t="s">
        <v>458</v>
      </c>
      <c r="B9" s="8">
        <v>27802.905112685723</v>
      </c>
      <c r="C9" s="8">
        <v>13777.680900473773</v>
      </c>
      <c r="D9" s="8">
        <v>14025.224212217377</v>
      </c>
      <c r="E9" s="8"/>
      <c r="F9" s="8">
        <v>10659.973244459732</v>
      </c>
      <c r="G9" s="8">
        <v>5416.9612993294204</v>
      </c>
      <c r="H9" s="8">
        <v>5243.0119451310702</v>
      </c>
      <c r="I9" s="8"/>
      <c r="J9" s="348">
        <v>38.341220822983679</v>
      </c>
      <c r="K9" s="348">
        <v>39.316931045656467</v>
      </c>
      <c r="L9" s="348">
        <v>37.3827317538668</v>
      </c>
      <c r="M9" s="349">
        <v>0.95080492702892827</v>
      </c>
    </row>
    <row r="10" spans="1:13" x14ac:dyDescent="0.2">
      <c r="A10" s="61" t="s">
        <v>458</v>
      </c>
      <c r="B10" s="10">
        <v>27802.905112685723</v>
      </c>
      <c r="C10" s="10">
        <v>13777.680900473773</v>
      </c>
      <c r="D10" s="10">
        <v>14025.224212217377</v>
      </c>
      <c r="E10" s="10"/>
      <c r="F10" s="10">
        <v>10659.973244459732</v>
      </c>
      <c r="G10" s="10">
        <v>5416.9612993294204</v>
      </c>
      <c r="H10" s="10">
        <v>5243.0119451310702</v>
      </c>
      <c r="I10" s="10"/>
      <c r="J10" s="350">
        <v>38.341220822983679</v>
      </c>
      <c r="K10" s="350">
        <v>39.316931045656467</v>
      </c>
      <c r="L10" s="350">
        <v>37.3827317538668</v>
      </c>
      <c r="M10" s="351">
        <v>0.95080492702892827</v>
      </c>
    </row>
    <row r="11" spans="1:13" s="335" customFormat="1" x14ac:dyDescent="0.2">
      <c r="A11" s="371" t="s">
        <v>459</v>
      </c>
      <c r="B11" s="8">
        <v>17547.698634731096</v>
      </c>
      <c r="C11" s="8">
        <v>8563.6605143787601</v>
      </c>
      <c r="D11" s="8">
        <v>8984.0381203577635</v>
      </c>
      <c r="E11" s="8"/>
      <c r="F11" s="8">
        <v>4958.6716546145362</v>
      </c>
      <c r="G11" s="8">
        <v>2457.5921580325153</v>
      </c>
      <c r="H11" s="8">
        <v>2501.0794965820851</v>
      </c>
      <c r="I11" s="8"/>
      <c r="J11" s="348">
        <v>28.258244900563071</v>
      </c>
      <c r="K11" s="348">
        <v>28.697916666664987</v>
      </c>
      <c r="L11" s="348">
        <v>27.839146084149601</v>
      </c>
      <c r="M11" s="349">
        <v>0.97007550783249297</v>
      </c>
    </row>
    <row r="12" spans="1:13" x14ac:dyDescent="0.2">
      <c r="A12" s="61" t="s">
        <v>459</v>
      </c>
      <c r="B12" s="10">
        <v>14962.98964093977</v>
      </c>
      <c r="C12" s="10">
        <v>7319.2535958831731</v>
      </c>
      <c r="D12" s="10">
        <v>7643.7360450608649</v>
      </c>
      <c r="E12" s="10"/>
      <c r="F12" s="10">
        <v>4460.2398512384943</v>
      </c>
      <c r="G12" s="10">
        <v>2215.6241461028576</v>
      </c>
      <c r="H12" s="10">
        <v>2244.6157051359041</v>
      </c>
      <c r="I12" s="10"/>
      <c r="J12" s="350">
        <v>29.808480512714695</v>
      </c>
      <c r="K12" s="350">
        <v>30.271176112124841</v>
      </c>
      <c r="L12" s="350">
        <v>29.365426695840359</v>
      </c>
      <c r="M12" s="351">
        <v>0.97007881646456107</v>
      </c>
    </row>
    <row r="13" spans="1:13" x14ac:dyDescent="0.2">
      <c r="A13" s="61" t="s">
        <v>473</v>
      </c>
      <c r="B13" s="10">
        <v>2584.7089937927963</v>
      </c>
      <c r="C13" s="10">
        <v>1244.4069184956345</v>
      </c>
      <c r="D13" s="10">
        <v>1340.3020752972695</v>
      </c>
      <c r="E13" s="10"/>
      <c r="F13" s="10">
        <v>498.43180337593873</v>
      </c>
      <c r="G13" s="10">
        <v>241.96801192970548</v>
      </c>
      <c r="H13" s="10">
        <v>256.46379144623171</v>
      </c>
      <c r="I13" s="10"/>
      <c r="J13" s="350">
        <v>19.283865401208395</v>
      </c>
      <c r="K13" s="350">
        <v>19.444444444444205</v>
      </c>
      <c r="L13" s="350">
        <v>19.134775374375788</v>
      </c>
      <c r="M13" s="351">
        <v>0.98407416211076693</v>
      </c>
    </row>
    <row r="14" spans="1:13" s="335" customFormat="1" x14ac:dyDescent="0.2">
      <c r="A14" s="371" t="s">
        <v>461</v>
      </c>
      <c r="B14" s="8">
        <v>4542.7542884864297</v>
      </c>
      <c r="C14" s="8">
        <v>2259.1114846524274</v>
      </c>
      <c r="D14" s="8">
        <v>2283.642803834236</v>
      </c>
      <c r="E14" s="8"/>
      <c r="F14" s="8">
        <v>2108.5783896731473</v>
      </c>
      <c r="G14" s="8">
        <v>979.02264734692358</v>
      </c>
      <c r="H14" s="8">
        <v>1129.5557423262344</v>
      </c>
      <c r="I14" s="8"/>
      <c r="J14" s="348">
        <v>46.416298478156214</v>
      </c>
      <c r="K14" s="348">
        <v>43.336623889438158</v>
      </c>
      <c r="L14" s="348">
        <v>49.462890625001329</v>
      </c>
      <c r="M14" s="349">
        <v>1.1413646515518308</v>
      </c>
    </row>
    <row r="15" spans="1:13" x14ac:dyDescent="0.2">
      <c r="A15" s="61" t="s">
        <v>461</v>
      </c>
      <c r="B15" s="10">
        <v>4542.7542884864297</v>
      </c>
      <c r="C15" s="10">
        <v>2259.1114846524274</v>
      </c>
      <c r="D15" s="10">
        <v>2283.642803834236</v>
      </c>
      <c r="E15" s="10"/>
      <c r="F15" s="10">
        <v>2108.5783896731473</v>
      </c>
      <c r="G15" s="10">
        <v>979.02264734692358</v>
      </c>
      <c r="H15" s="10">
        <v>1129.5557423262344</v>
      </c>
      <c r="I15" s="10"/>
      <c r="J15" s="350">
        <v>46.416298478156214</v>
      </c>
      <c r="K15" s="350">
        <v>43.336623889438158</v>
      </c>
      <c r="L15" s="350">
        <v>49.462890625001329</v>
      </c>
      <c r="M15" s="351">
        <v>1.1413646515518308</v>
      </c>
    </row>
    <row r="16" spans="1:13" s="335" customFormat="1" x14ac:dyDescent="0.2">
      <c r="A16" s="371" t="s">
        <v>462</v>
      </c>
      <c r="B16" s="8">
        <v>6516.4104226600184</v>
      </c>
      <c r="C16" s="8">
        <v>3358.560607982577</v>
      </c>
      <c r="D16" s="8">
        <v>3157.8498146768702</v>
      </c>
      <c r="E16" s="8"/>
      <c r="F16" s="8">
        <v>1925.7085557723672</v>
      </c>
      <c r="G16" s="8">
        <v>1032.5455255617896</v>
      </c>
      <c r="H16" s="8">
        <v>893.16303021057593</v>
      </c>
      <c r="I16" s="8"/>
      <c r="J16" s="348">
        <v>29.551676933606139</v>
      </c>
      <c r="K16" s="348">
        <v>30.743691899072903</v>
      </c>
      <c r="L16" s="348">
        <v>28.283898305086669</v>
      </c>
      <c r="M16" s="349">
        <v>0.91999029908114549</v>
      </c>
    </row>
    <row r="17" spans="1:13" x14ac:dyDescent="0.2">
      <c r="A17" s="61" t="s">
        <v>462</v>
      </c>
      <c r="B17" s="10">
        <v>6516.4104226600184</v>
      </c>
      <c r="C17" s="10">
        <v>3358.560607982577</v>
      </c>
      <c r="D17" s="10">
        <v>3157.8498146768702</v>
      </c>
      <c r="E17" s="10"/>
      <c r="F17" s="10">
        <v>1925.7085557723672</v>
      </c>
      <c r="G17" s="10">
        <v>1032.5455255617896</v>
      </c>
      <c r="H17" s="10">
        <v>893.16303021057593</v>
      </c>
      <c r="I17" s="10"/>
      <c r="J17" s="350">
        <v>29.551676933606139</v>
      </c>
      <c r="K17" s="350">
        <v>30.743691899072903</v>
      </c>
      <c r="L17" s="350">
        <v>28.283898305086669</v>
      </c>
      <c r="M17" s="351">
        <v>0.91999029908114549</v>
      </c>
    </row>
    <row r="18" spans="1:13" s="335" customFormat="1" x14ac:dyDescent="0.2">
      <c r="A18" s="371" t="s">
        <v>463</v>
      </c>
      <c r="B18" s="8">
        <v>6888.8404502385374</v>
      </c>
      <c r="C18" s="8">
        <v>3449.9955249329546</v>
      </c>
      <c r="D18" s="8">
        <v>3438.8449253048598</v>
      </c>
      <c r="E18" s="8"/>
      <c r="F18" s="8">
        <v>1979.2314339872332</v>
      </c>
      <c r="G18" s="8">
        <v>1072.6876842229392</v>
      </c>
      <c r="H18" s="8">
        <v>906.54374976429244</v>
      </c>
      <c r="I18" s="8"/>
      <c r="J18" s="348">
        <v>28.730980899966323</v>
      </c>
      <c r="K18" s="348">
        <v>31.092436974792609</v>
      </c>
      <c r="L18" s="348">
        <v>26.361867704282247</v>
      </c>
      <c r="M18" s="349">
        <v>0.84785466400251774</v>
      </c>
    </row>
    <row r="19" spans="1:13" x14ac:dyDescent="0.2">
      <c r="A19" s="61" t="s">
        <v>463</v>
      </c>
      <c r="B19" s="10">
        <v>6888.8404502385374</v>
      </c>
      <c r="C19" s="10">
        <v>3449.9955249329546</v>
      </c>
      <c r="D19" s="10">
        <v>3438.8449253048598</v>
      </c>
      <c r="E19" s="10"/>
      <c r="F19" s="10">
        <v>1979.2314339872332</v>
      </c>
      <c r="G19" s="10">
        <v>1072.6876842229392</v>
      </c>
      <c r="H19" s="10">
        <v>906.54374976429244</v>
      </c>
      <c r="I19" s="10"/>
      <c r="J19" s="350">
        <v>28.730980899966323</v>
      </c>
      <c r="K19" s="350">
        <v>31.092436974792609</v>
      </c>
      <c r="L19" s="350">
        <v>26.361867704282247</v>
      </c>
      <c r="M19" s="351">
        <v>0.84785466400251774</v>
      </c>
    </row>
    <row r="20" spans="1:13" s="335" customFormat="1" x14ac:dyDescent="0.2">
      <c r="A20" s="371" t="s">
        <v>464</v>
      </c>
      <c r="B20" s="8">
        <v>2517.8053960242273</v>
      </c>
      <c r="C20" s="8">
        <v>1312.4255762270268</v>
      </c>
      <c r="D20" s="8">
        <v>1205.3798197972947</v>
      </c>
      <c r="E20" s="8"/>
      <c r="F20" s="8">
        <v>253.11861155780258</v>
      </c>
      <c r="G20" s="8">
        <v>132.69213557435393</v>
      </c>
      <c r="H20" s="8">
        <v>120.42647598344722</v>
      </c>
      <c r="I20" s="8"/>
      <c r="J20" s="348">
        <v>10.053144375553833</v>
      </c>
      <c r="K20" s="348">
        <v>10.110450297366111</v>
      </c>
      <c r="L20" s="348">
        <v>9.9907493061978911</v>
      </c>
      <c r="M20" s="349">
        <v>0.9881606666718491</v>
      </c>
    </row>
    <row r="21" spans="1:13" x14ac:dyDescent="0.2">
      <c r="A21" s="61" t="s">
        <v>464</v>
      </c>
      <c r="B21" s="10">
        <v>628.89381902467471</v>
      </c>
      <c r="C21" s="10">
        <v>332.28786891729197</v>
      </c>
      <c r="D21" s="10">
        <v>296.60595010738126</v>
      </c>
      <c r="E21" s="10"/>
      <c r="F21" s="10">
        <v>100.3553966528727</v>
      </c>
      <c r="G21" s="10">
        <v>51.292758289246095</v>
      </c>
      <c r="H21" s="10">
        <v>49.062638363626704</v>
      </c>
      <c r="I21" s="10"/>
      <c r="J21" s="350">
        <v>15.957446808510539</v>
      </c>
      <c r="K21" s="350">
        <v>15.436241610738186</v>
      </c>
      <c r="L21" s="350">
        <v>16.541353383458581</v>
      </c>
      <c r="M21" s="351">
        <v>1.0715920235371041</v>
      </c>
    </row>
    <row r="22" spans="1:13" x14ac:dyDescent="0.2">
      <c r="A22" s="61" t="s">
        <v>465</v>
      </c>
      <c r="B22" s="10">
        <v>1888.9115769996467</v>
      </c>
      <c r="C22" s="10">
        <v>980.13770730973329</v>
      </c>
      <c r="D22" s="10">
        <v>908.77386968991186</v>
      </c>
      <c r="E22" s="10"/>
      <c r="F22" s="10">
        <v>152.7632149049287</v>
      </c>
      <c r="G22" s="10">
        <v>81.399377285107875</v>
      </c>
      <c r="H22" s="10">
        <v>71.363837619820615</v>
      </c>
      <c r="I22" s="10"/>
      <c r="J22" s="350">
        <v>8.0873671782762067</v>
      </c>
      <c r="K22" s="350">
        <v>8.3048919226393032</v>
      </c>
      <c r="L22" s="350">
        <v>7.8527607361962639</v>
      </c>
      <c r="M22" s="351">
        <v>0.94555845028994046</v>
      </c>
    </row>
    <row r="23" spans="1:13" s="335" customFormat="1" x14ac:dyDescent="0.2">
      <c r="A23" s="371" t="s">
        <v>466</v>
      </c>
      <c r="B23" s="8">
        <v>1891.1416969252662</v>
      </c>
      <c r="C23" s="8">
        <v>892.04797024776622</v>
      </c>
      <c r="D23" s="8">
        <v>999.09372667749835</v>
      </c>
      <c r="E23" s="8"/>
      <c r="F23" s="8">
        <v>169.48911434707435</v>
      </c>
      <c r="G23" s="8">
        <v>78.054197396678788</v>
      </c>
      <c r="H23" s="8">
        <v>91.434916950395134</v>
      </c>
      <c r="I23" s="8"/>
      <c r="J23" s="348">
        <v>8.962264150943323</v>
      </c>
      <c r="K23" s="348">
        <v>8.7499999999999396</v>
      </c>
      <c r="L23" s="348">
        <v>9.1517857142856496</v>
      </c>
      <c r="M23" s="349">
        <v>1.0459183673469385</v>
      </c>
    </row>
    <row r="24" spans="1:13" x14ac:dyDescent="0.2">
      <c r="A24" s="61" t="s">
        <v>466</v>
      </c>
      <c r="B24" s="10">
        <v>1891.1416969252662</v>
      </c>
      <c r="C24" s="10">
        <v>892.04797024776622</v>
      </c>
      <c r="D24" s="10">
        <v>999.09372667749835</v>
      </c>
      <c r="E24" s="10"/>
      <c r="F24" s="10">
        <v>169.48911434707435</v>
      </c>
      <c r="G24" s="10">
        <v>78.054197396678788</v>
      </c>
      <c r="H24" s="10">
        <v>91.434916950395134</v>
      </c>
      <c r="I24" s="10"/>
      <c r="J24" s="350">
        <v>8.962264150943323</v>
      </c>
      <c r="K24" s="350">
        <v>8.7499999999999396</v>
      </c>
      <c r="L24" s="350">
        <v>9.1517857142856496</v>
      </c>
      <c r="M24" s="351">
        <v>1.0459183673469385</v>
      </c>
    </row>
    <row r="25" spans="1:13" s="335" customFormat="1" x14ac:dyDescent="0.2">
      <c r="A25" s="371" t="s">
        <v>467</v>
      </c>
      <c r="B25" s="8">
        <v>2426.3704790738498</v>
      </c>
      <c r="C25" s="8">
        <v>1245.5219784584442</v>
      </c>
      <c r="D25" s="8">
        <v>1180.848500615481</v>
      </c>
      <c r="E25" s="8"/>
      <c r="F25" s="8">
        <v>472.7854242313154</v>
      </c>
      <c r="G25" s="8">
        <v>254.23367152061229</v>
      </c>
      <c r="H25" s="8">
        <v>218.55175271070158</v>
      </c>
      <c r="I25" s="8"/>
      <c r="J25" s="348">
        <v>19.485294117647321</v>
      </c>
      <c r="K25" s="348">
        <v>20.411817367949602</v>
      </c>
      <c r="L25" s="348">
        <v>18.508026440037565</v>
      </c>
      <c r="M25" s="349">
        <v>0.90673094445272928</v>
      </c>
    </row>
    <row r="26" spans="1:13" x14ac:dyDescent="0.2">
      <c r="A26" s="61" t="s">
        <v>467</v>
      </c>
      <c r="B26" s="10">
        <v>2426.3704790738498</v>
      </c>
      <c r="C26" s="10">
        <v>1245.5219784584442</v>
      </c>
      <c r="D26" s="10">
        <v>1180.848500615481</v>
      </c>
      <c r="E26" s="10"/>
      <c r="F26" s="10">
        <v>472.7854242313154</v>
      </c>
      <c r="G26" s="10">
        <v>254.23367152061229</v>
      </c>
      <c r="H26" s="10">
        <v>218.55175271070158</v>
      </c>
      <c r="I26" s="10"/>
      <c r="J26" s="350">
        <v>19.485294117647321</v>
      </c>
      <c r="K26" s="350">
        <v>20.411817367949602</v>
      </c>
      <c r="L26" s="350">
        <v>18.508026440037565</v>
      </c>
      <c r="M26" s="351">
        <v>0.90673094445272928</v>
      </c>
    </row>
    <row r="27" spans="1:13" s="335" customFormat="1" x14ac:dyDescent="0.2">
      <c r="A27" s="371" t="s">
        <v>468</v>
      </c>
      <c r="B27" s="8">
        <v>1217.6454793882015</v>
      </c>
      <c r="C27" s="8">
        <v>572.02576092137951</v>
      </c>
      <c r="D27" s="8">
        <v>645.61971846682036</v>
      </c>
      <c r="E27" s="8"/>
      <c r="F27" s="8">
        <v>70.248777657010919</v>
      </c>
      <c r="G27" s="8">
        <v>41.257218623958835</v>
      </c>
      <c r="H27" s="8">
        <v>28.991559033052173</v>
      </c>
      <c r="I27" s="8"/>
      <c r="J27" s="348">
        <v>5.7692307692307256</v>
      </c>
      <c r="K27" s="348">
        <v>7.2124756335282187</v>
      </c>
      <c r="L27" s="348">
        <v>4.4905008635578261</v>
      </c>
      <c r="M27" s="349">
        <v>0.62260187648788634</v>
      </c>
    </row>
    <row r="28" spans="1:13" x14ac:dyDescent="0.2">
      <c r="A28" s="61" t="s">
        <v>468</v>
      </c>
      <c r="B28" s="10">
        <v>1217.6454793882015</v>
      </c>
      <c r="C28" s="10">
        <v>572.02576092137951</v>
      </c>
      <c r="D28" s="10">
        <v>645.61971846682036</v>
      </c>
      <c r="E28" s="10"/>
      <c r="F28" s="10">
        <v>70.248777657010919</v>
      </c>
      <c r="G28" s="10">
        <v>41.257218623958835</v>
      </c>
      <c r="H28" s="10">
        <v>28.991559033052173</v>
      </c>
      <c r="I28" s="10"/>
      <c r="J28" s="350">
        <v>5.7692307692307256</v>
      </c>
      <c r="K28" s="350">
        <v>7.2124756335282187</v>
      </c>
      <c r="L28" s="350">
        <v>4.4905008635578261</v>
      </c>
      <c r="M28" s="351">
        <v>0.62260187648788634</v>
      </c>
    </row>
    <row r="44" s="335" customFormat="1" x14ac:dyDescent="0.2"/>
    <row r="47" s="335" customFormat="1" x14ac:dyDescent="0.2"/>
    <row r="50" s="335" customFormat="1" x14ac:dyDescent="0.2"/>
    <row r="53" s="335" customFormat="1" x14ac:dyDescent="0.2"/>
    <row r="55" s="335" customFormat="1" x14ac:dyDescent="0.2"/>
    <row r="57" s="335" customFormat="1" x14ac:dyDescent="0.2"/>
  </sheetData>
  <mergeCells count="6">
    <mergeCell ref="A1:M1"/>
    <mergeCell ref="A2:A3"/>
    <mergeCell ref="B2:D2"/>
    <mergeCell ref="F2:H2"/>
    <mergeCell ref="J2:L2"/>
    <mergeCell ref="M2:M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zoomScale="120" zoomScaleNormal="120" workbookViewId="0">
      <selection activeCell="A2" sqref="A2:A3"/>
    </sheetView>
  </sheetViews>
  <sheetFormatPr defaultRowHeight="12" x14ac:dyDescent="0.2"/>
  <cols>
    <col min="1" max="1" width="20.85546875" style="322" customWidth="1"/>
    <col min="2" max="4" width="9.140625" style="322"/>
    <col min="5" max="5" width="3.140625" style="322" customWidth="1"/>
    <col min="6" max="8" width="9.140625" style="322"/>
    <col min="9" max="9" width="4" style="322" customWidth="1"/>
    <col min="10" max="16384" width="9.140625" style="322"/>
  </cols>
  <sheetData>
    <row r="1" spans="1:16" x14ac:dyDescent="0.2">
      <c r="A1" s="578" t="s">
        <v>551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</row>
    <row r="2" spans="1:16" ht="24.75" customHeight="1" x14ac:dyDescent="0.2">
      <c r="A2" s="584" t="s">
        <v>501</v>
      </c>
      <c r="B2" s="586" t="s">
        <v>494</v>
      </c>
      <c r="C2" s="586"/>
      <c r="D2" s="586"/>
      <c r="E2" s="344"/>
      <c r="F2" s="586" t="s">
        <v>495</v>
      </c>
      <c r="G2" s="586"/>
      <c r="H2" s="586"/>
      <c r="I2" s="344"/>
      <c r="J2" s="586" t="s">
        <v>496</v>
      </c>
      <c r="K2" s="586"/>
      <c r="L2" s="586"/>
      <c r="M2" s="581" t="s">
        <v>497</v>
      </c>
    </row>
    <row r="3" spans="1:16" x14ac:dyDescent="0.2">
      <c r="A3" s="585"/>
      <c r="B3" s="343" t="s">
        <v>1</v>
      </c>
      <c r="C3" s="343" t="s">
        <v>2</v>
      </c>
      <c r="D3" s="343" t="s">
        <v>3</v>
      </c>
      <c r="E3" s="343"/>
      <c r="F3" s="383" t="s">
        <v>1</v>
      </c>
      <c r="G3" s="383" t="s">
        <v>2</v>
      </c>
      <c r="H3" s="383" t="s">
        <v>3</v>
      </c>
      <c r="I3" s="383"/>
      <c r="J3" s="383" t="s">
        <v>1</v>
      </c>
      <c r="K3" s="383" t="s">
        <v>2</v>
      </c>
      <c r="L3" s="383" t="s">
        <v>3</v>
      </c>
      <c r="M3" s="587"/>
    </row>
    <row r="4" spans="1:16" ht="15" customHeight="1" x14ac:dyDescent="0.2">
      <c r="A4" s="228" t="s">
        <v>457</v>
      </c>
      <c r="B4" s="237">
        <v>69876.812929020598</v>
      </c>
      <c r="C4" s="237">
        <v>35003.966350558068</v>
      </c>
      <c r="D4" s="237">
        <v>34872.846578492281</v>
      </c>
      <c r="E4" s="237"/>
      <c r="F4" s="237">
        <v>12386.206922707057</v>
      </c>
      <c r="G4" s="237">
        <v>7061.4625762713313</v>
      </c>
      <c r="H4" s="237">
        <v>5324.7443464353264</v>
      </c>
      <c r="I4" s="237"/>
      <c r="J4" s="354">
        <v>17.725775408916405</v>
      </c>
      <c r="K4" s="354">
        <v>20.173321233232393</v>
      </c>
      <c r="L4" s="354">
        <v>15.269026961852051</v>
      </c>
      <c r="M4" s="355">
        <v>0.75689207470204345</v>
      </c>
    </row>
    <row r="5" spans="1:16" x14ac:dyDescent="0.2">
      <c r="A5" s="232" t="s">
        <v>14</v>
      </c>
      <c r="B5" s="8"/>
      <c r="C5" s="8"/>
      <c r="D5" s="8"/>
      <c r="E5" s="8"/>
      <c r="F5" s="8"/>
      <c r="G5" s="8"/>
      <c r="H5" s="8"/>
      <c r="I5" s="8"/>
      <c r="J5" s="348"/>
      <c r="K5" s="348"/>
      <c r="L5" s="348"/>
      <c r="M5" s="349"/>
    </row>
    <row r="6" spans="1:16" x14ac:dyDescent="0.2">
      <c r="A6" s="378" t="s">
        <v>5</v>
      </c>
      <c r="B6" s="10">
        <v>39300.424407766011</v>
      </c>
      <c r="C6" s="10">
        <v>19925.328885407951</v>
      </c>
      <c r="D6" s="10">
        <v>19375.095522370837</v>
      </c>
      <c r="E6" s="10"/>
      <c r="F6" s="10">
        <v>8701.3835395895276</v>
      </c>
      <c r="G6" s="10">
        <v>4990.5204689828215</v>
      </c>
      <c r="H6" s="10">
        <v>3710.8630706057165</v>
      </c>
      <c r="I6" s="10"/>
      <c r="J6" s="350">
        <v>22.140685935872103</v>
      </c>
      <c r="K6" s="350">
        <v>25.046113405122302</v>
      </c>
      <c r="L6" s="350">
        <v>19.152747228117317</v>
      </c>
      <c r="M6" s="351">
        <v>0.764699373444516</v>
      </c>
    </row>
    <row r="7" spans="1:16" x14ac:dyDescent="0.2">
      <c r="A7" s="72" t="s">
        <v>6</v>
      </c>
      <c r="B7" s="10">
        <v>30576.388521280627</v>
      </c>
      <c r="C7" s="10">
        <v>15078.637465155671</v>
      </c>
      <c r="D7" s="10">
        <v>15497.75105612691</v>
      </c>
      <c r="E7" s="10"/>
      <c r="F7" s="10">
        <v>3684.8233831171901</v>
      </c>
      <c r="G7" s="10">
        <v>2070.9421072880596</v>
      </c>
      <c r="H7" s="10">
        <v>1613.881275829405</v>
      </c>
      <c r="I7" s="10"/>
      <c r="J7" s="350">
        <v>12.051205395146221</v>
      </c>
      <c r="K7" s="350">
        <v>13.73427879059836</v>
      </c>
      <c r="L7" s="350">
        <v>10.413648212470033</v>
      </c>
      <c r="M7" s="351">
        <v>0.75822315618047409</v>
      </c>
    </row>
    <row r="8" spans="1:16" ht="16.5" customHeight="1" x14ac:dyDescent="0.2">
      <c r="A8" s="274" t="s">
        <v>542</v>
      </c>
      <c r="B8" s="254"/>
      <c r="C8" s="254"/>
      <c r="D8" s="254"/>
      <c r="E8" s="254"/>
      <c r="F8" s="254"/>
      <c r="G8" s="254"/>
      <c r="H8" s="254"/>
      <c r="I8" s="254"/>
      <c r="J8" s="352"/>
      <c r="K8" s="352"/>
      <c r="L8" s="352"/>
      <c r="M8" s="353"/>
    </row>
    <row r="9" spans="1:16" s="335" customFormat="1" x14ac:dyDescent="0.2">
      <c r="A9" s="371" t="s">
        <v>458</v>
      </c>
      <c r="B9" s="8">
        <v>27214.901674964047</v>
      </c>
      <c r="C9" s="8">
        <v>13316.962885512485</v>
      </c>
      <c r="D9" s="8">
        <v>13897.938789453245</v>
      </c>
      <c r="E9" s="8"/>
      <c r="F9" s="8">
        <v>4638.125449115455</v>
      </c>
      <c r="G9" s="8">
        <v>2708.3854828181734</v>
      </c>
      <c r="H9" s="8">
        <v>1929.7399662973885</v>
      </c>
      <c r="I9" s="8"/>
      <c r="J9" s="348">
        <v>17.04259491549951</v>
      </c>
      <c r="K9" s="348">
        <v>20.337861613812819</v>
      </c>
      <c r="L9" s="348">
        <v>13.885080338401236</v>
      </c>
      <c r="M9" s="349">
        <v>0.68272076003167104</v>
      </c>
    </row>
    <row r="10" spans="1:16" x14ac:dyDescent="0.2">
      <c r="A10" s="61" t="s">
        <v>458</v>
      </c>
      <c r="B10" s="10">
        <v>27214.901674964047</v>
      </c>
      <c r="C10" s="10">
        <v>13316.962885512485</v>
      </c>
      <c r="D10" s="10">
        <v>13897.938789453245</v>
      </c>
      <c r="E10" s="10"/>
      <c r="F10" s="10">
        <v>4638.125449115455</v>
      </c>
      <c r="G10" s="10">
        <v>2708.3854828181734</v>
      </c>
      <c r="H10" s="10">
        <v>1929.7399662973885</v>
      </c>
      <c r="I10" s="10"/>
      <c r="J10" s="350">
        <v>17.04259491549951</v>
      </c>
      <c r="K10" s="350">
        <v>20.337861613812819</v>
      </c>
      <c r="L10" s="350">
        <v>13.885080338401236</v>
      </c>
      <c r="M10" s="351">
        <v>0.68272076003167104</v>
      </c>
    </row>
    <row r="11" spans="1:16" s="335" customFormat="1" x14ac:dyDescent="0.2">
      <c r="A11" s="371" t="s">
        <v>459</v>
      </c>
      <c r="B11" s="8">
        <v>17974.521752315632</v>
      </c>
      <c r="C11" s="8">
        <v>9022.7907953871581</v>
      </c>
      <c r="D11" s="8">
        <v>8951.7309569301251</v>
      </c>
      <c r="E11" s="8"/>
      <c r="F11" s="8">
        <v>3342.4278312958145</v>
      </c>
      <c r="G11" s="8">
        <v>1947.3129981589891</v>
      </c>
      <c r="H11" s="8">
        <v>1395.1148331370246</v>
      </c>
      <c r="I11" s="8"/>
      <c r="J11" s="348">
        <v>18.595364468406249</v>
      </c>
      <c r="K11" s="348">
        <v>21.582158362294788</v>
      </c>
      <c r="L11" s="348">
        <v>15.584861071556011</v>
      </c>
      <c r="M11" s="349">
        <v>0.72211781648232254</v>
      </c>
      <c r="P11" s="335" t="s">
        <v>472</v>
      </c>
    </row>
    <row r="12" spans="1:16" x14ac:dyDescent="0.2">
      <c r="A12" s="61" t="s">
        <v>459</v>
      </c>
      <c r="B12" s="10">
        <v>15069.611380197379</v>
      </c>
      <c r="C12" s="10">
        <v>7715.9542054466547</v>
      </c>
      <c r="D12" s="10">
        <v>7353.6571747519465</v>
      </c>
      <c r="E12" s="10"/>
      <c r="F12" s="10">
        <v>2800.4086225495066</v>
      </c>
      <c r="G12" s="10">
        <v>1696.2630541068215</v>
      </c>
      <c r="H12" s="10">
        <v>1104.145568442779</v>
      </c>
      <c r="I12" s="10"/>
      <c r="J12" s="350">
        <v>18.583150898168729</v>
      </c>
      <c r="K12" s="350">
        <v>21.983840351326194</v>
      </c>
      <c r="L12" s="350">
        <v>15.014917641711206</v>
      </c>
      <c r="M12" s="351">
        <v>0.68299793856560731</v>
      </c>
    </row>
    <row r="13" spans="1:16" x14ac:dyDescent="0.2">
      <c r="A13" s="61" t="s">
        <v>473</v>
      </c>
      <c r="B13" s="10">
        <v>2904.9103721184997</v>
      </c>
      <c r="C13" s="10">
        <v>1306.8365899405103</v>
      </c>
      <c r="D13" s="10">
        <v>1598.0737821781133</v>
      </c>
      <c r="E13" s="10"/>
      <c r="F13" s="10">
        <v>542.01920874639427</v>
      </c>
      <c r="G13" s="10">
        <v>251.04994405215831</v>
      </c>
      <c r="H13" s="10">
        <v>290.96926469423613</v>
      </c>
      <c r="I13" s="10"/>
      <c r="J13" s="350">
        <v>18.658723998809808</v>
      </c>
      <c r="K13" s="350">
        <v>19.210507724120671</v>
      </c>
      <c r="L13" s="350">
        <v>18.207498798813536</v>
      </c>
      <c r="M13" s="351">
        <v>0.94778852596135399</v>
      </c>
    </row>
    <row r="14" spans="1:16" s="335" customFormat="1" x14ac:dyDescent="0.2">
      <c r="A14" s="371" t="s">
        <v>461</v>
      </c>
      <c r="B14" s="8">
        <v>4741.3390587944687</v>
      </c>
      <c r="C14" s="8">
        <v>2559.2580797223573</v>
      </c>
      <c r="D14" s="8">
        <v>2182.0809790722192</v>
      </c>
      <c r="E14" s="8"/>
      <c r="F14" s="8">
        <v>1266.891085451309</v>
      </c>
      <c r="G14" s="8">
        <v>655.3989580959568</v>
      </c>
      <c r="H14" s="8">
        <v>611.49212735535639</v>
      </c>
      <c r="I14" s="8"/>
      <c r="J14" s="348">
        <v>26.720111549530102</v>
      </c>
      <c r="K14" s="348">
        <v>25.608943595366338</v>
      </c>
      <c r="L14" s="348">
        <v>28.023347126894791</v>
      </c>
      <c r="M14" s="349">
        <v>1.0942797004701637</v>
      </c>
    </row>
    <row r="15" spans="1:16" x14ac:dyDescent="0.2">
      <c r="A15" s="61" t="s">
        <v>461</v>
      </c>
      <c r="B15" s="10">
        <v>4741.3390587944687</v>
      </c>
      <c r="C15" s="10">
        <v>2559.2580797223573</v>
      </c>
      <c r="D15" s="10">
        <v>2182.0809790722192</v>
      </c>
      <c r="E15" s="10"/>
      <c r="F15" s="10">
        <v>1266.891085451309</v>
      </c>
      <c r="G15" s="10">
        <v>655.3989580959568</v>
      </c>
      <c r="H15" s="10">
        <v>611.49212735535639</v>
      </c>
      <c r="I15" s="10"/>
      <c r="J15" s="350">
        <v>26.720111549530102</v>
      </c>
      <c r="K15" s="350">
        <v>25.608943595366338</v>
      </c>
      <c r="L15" s="350">
        <v>28.023347126894791</v>
      </c>
      <c r="M15" s="351">
        <v>1.0942797004701637</v>
      </c>
    </row>
    <row r="16" spans="1:16" s="335" customFormat="1" x14ac:dyDescent="0.2">
      <c r="A16" s="371" t="s">
        <v>462</v>
      </c>
      <c r="B16" s="8">
        <v>6505.8697924992648</v>
      </c>
      <c r="C16" s="8">
        <v>3182.0253176388064</v>
      </c>
      <c r="D16" s="8">
        <v>3323.8444748598754</v>
      </c>
      <c r="E16" s="8"/>
      <c r="F16" s="8">
        <v>936.13689882039398</v>
      </c>
      <c r="G16" s="8">
        <v>532.72432637717793</v>
      </c>
      <c r="H16" s="8">
        <v>403.41257244322975</v>
      </c>
      <c r="I16" s="8"/>
      <c r="J16" s="348">
        <v>14.389112119945803</v>
      </c>
      <c r="K16" s="348">
        <v>16.741674663119198</v>
      </c>
      <c r="L16" s="348">
        <v>12.136926847644805</v>
      </c>
      <c r="M16" s="349">
        <v>0.72495297464964192</v>
      </c>
    </row>
    <row r="17" spans="1:13" x14ac:dyDescent="0.2">
      <c r="A17" s="61" t="s">
        <v>462</v>
      </c>
      <c r="B17" s="10">
        <v>6505.8697924992648</v>
      </c>
      <c r="C17" s="10">
        <v>3182.0253176388064</v>
      </c>
      <c r="D17" s="10">
        <v>3323.8444748598754</v>
      </c>
      <c r="E17" s="10"/>
      <c r="F17" s="10">
        <v>936.13689882039398</v>
      </c>
      <c r="G17" s="10">
        <v>532.72432637717793</v>
      </c>
      <c r="H17" s="10">
        <v>403.41257244322975</v>
      </c>
      <c r="I17" s="10"/>
      <c r="J17" s="350">
        <v>14.389112119945803</v>
      </c>
      <c r="K17" s="350">
        <v>16.741674663119198</v>
      </c>
      <c r="L17" s="350">
        <v>12.136926847644805</v>
      </c>
      <c r="M17" s="351">
        <v>0.72495297464964192</v>
      </c>
    </row>
    <row r="18" spans="1:13" s="335" customFormat="1" x14ac:dyDescent="0.2">
      <c r="A18" s="371" t="s">
        <v>463</v>
      </c>
      <c r="B18" s="8">
        <v>6084.4015706693117</v>
      </c>
      <c r="C18" s="8">
        <v>3331.3278596270393</v>
      </c>
      <c r="D18" s="8">
        <v>2753.0737110418572</v>
      </c>
      <c r="E18" s="8"/>
      <c r="F18" s="8">
        <v>1827.0273291834417</v>
      </c>
      <c r="G18" s="8">
        <v>999.5609179951457</v>
      </c>
      <c r="H18" s="8">
        <v>827.46641118826585</v>
      </c>
      <c r="I18" s="8"/>
      <c r="J18" s="348">
        <v>30.02805301331345</v>
      </c>
      <c r="K18" s="348">
        <v>30.004879739067867</v>
      </c>
      <c r="L18" s="348">
        <v>30.056093589848956</v>
      </c>
      <c r="M18" s="349">
        <v>1.0017068507264972</v>
      </c>
    </row>
    <row r="19" spans="1:13" x14ac:dyDescent="0.2">
      <c r="A19" s="61" t="s">
        <v>463</v>
      </c>
      <c r="B19" s="10">
        <v>6084.4015706693117</v>
      </c>
      <c r="C19" s="10">
        <v>3331.3278596270393</v>
      </c>
      <c r="D19" s="10">
        <v>2753.0737110418572</v>
      </c>
      <c r="E19" s="10"/>
      <c r="F19" s="10">
        <v>1827.0273291834417</v>
      </c>
      <c r="G19" s="10">
        <v>999.5609179951457</v>
      </c>
      <c r="H19" s="10">
        <v>827.46641118826585</v>
      </c>
      <c r="I19" s="10"/>
      <c r="J19" s="350">
        <v>30.02805301331345</v>
      </c>
      <c r="K19" s="350">
        <v>30.004879739067867</v>
      </c>
      <c r="L19" s="350">
        <v>30.056093589848956</v>
      </c>
      <c r="M19" s="351">
        <v>1.0017068507264972</v>
      </c>
    </row>
    <row r="20" spans="1:13" s="335" customFormat="1" x14ac:dyDescent="0.2">
      <c r="A20" s="371" t="s">
        <v>464</v>
      </c>
      <c r="B20" s="8">
        <v>2431.6856801516215</v>
      </c>
      <c r="C20" s="8">
        <v>1207.5601816310182</v>
      </c>
      <c r="D20" s="8">
        <v>1224.1254985206401</v>
      </c>
      <c r="E20" s="8"/>
      <c r="F20" s="8">
        <v>91.631571122347381</v>
      </c>
      <c r="G20" s="8">
        <v>50.677481793722023</v>
      </c>
      <c r="H20" s="8">
        <v>40.954089328625315</v>
      </c>
      <c r="I20" s="8"/>
      <c r="J20" s="348">
        <v>3.7682325421529734</v>
      </c>
      <c r="K20" s="348">
        <v>4.1966837400412915</v>
      </c>
      <c r="L20" s="348">
        <v>3.3455793036023267</v>
      </c>
      <c r="M20" s="349">
        <v>0.79719595538771981</v>
      </c>
    </row>
    <row r="21" spans="1:13" x14ac:dyDescent="0.2">
      <c r="A21" s="61" t="s">
        <v>464</v>
      </c>
      <c r="B21" s="10">
        <v>606.37152148430812</v>
      </c>
      <c r="C21" s="10">
        <v>312.9492988453826</v>
      </c>
      <c r="D21" s="10">
        <v>293.42222263892705</v>
      </c>
      <c r="E21" s="10"/>
      <c r="F21" s="10">
        <v>14.183632316335492</v>
      </c>
      <c r="G21" s="10">
        <v>9.4825186363109637</v>
      </c>
      <c r="H21" s="10">
        <v>4.7011136800245268</v>
      </c>
      <c r="I21" s="10"/>
      <c r="J21" s="350">
        <v>2.3390993497874133</v>
      </c>
      <c r="K21" s="350">
        <v>3.0300494908588846</v>
      </c>
      <c r="L21" s="350">
        <v>1.602166883525219</v>
      </c>
      <c r="M21" s="351">
        <v>0.52875931180618296</v>
      </c>
    </row>
    <row r="22" spans="1:13" x14ac:dyDescent="0.2">
      <c r="A22" s="61" t="s">
        <v>465</v>
      </c>
      <c r="B22" s="10">
        <v>1825.3141586673703</v>
      </c>
      <c r="C22" s="10">
        <v>894.6108827856325</v>
      </c>
      <c r="D22" s="10">
        <v>930.70327588170903</v>
      </c>
      <c r="E22" s="10"/>
      <c r="F22" s="10">
        <v>77.447938806011862</v>
      </c>
      <c r="G22" s="10">
        <v>41.194963157411053</v>
      </c>
      <c r="H22" s="10">
        <v>36.252975648600795</v>
      </c>
      <c r="I22" s="10"/>
      <c r="J22" s="350">
        <v>4.2429922782473346</v>
      </c>
      <c r="K22" s="350">
        <v>4.6047911947078619</v>
      </c>
      <c r="L22" s="350">
        <v>3.8952238149431966</v>
      </c>
      <c r="M22" s="351">
        <v>0.84590671981388688</v>
      </c>
    </row>
    <row r="23" spans="1:13" s="335" customFormat="1" x14ac:dyDescent="0.2">
      <c r="A23" s="371" t="s">
        <v>466</v>
      </c>
      <c r="B23" s="8">
        <v>1566.8512333519893</v>
      </c>
      <c r="C23" s="8">
        <v>759.16179010380563</v>
      </c>
      <c r="D23" s="8">
        <v>807.68944324816857</v>
      </c>
      <c r="E23" s="8"/>
      <c r="F23" s="8">
        <v>11.552056009406542</v>
      </c>
      <c r="G23" s="8">
        <v>2.3104112018813083</v>
      </c>
      <c r="H23" s="8">
        <v>9.2416448075252333</v>
      </c>
      <c r="I23" s="8"/>
      <c r="J23" s="348">
        <v>0.73727841951485373</v>
      </c>
      <c r="K23" s="348">
        <v>0.30433712971320503</v>
      </c>
      <c r="L23" s="348">
        <v>1.1442077007171763</v>
      </c>
      <c r="M23" s="349">
        <v>3.7596717225907703</v>
      </c>
    </row>
    <row r="24" spans="1:13" x14ac:dyDescent="0.2">
      <c r="A24" s="61" t="s">
        <v>466</v>
      </c>
      <c r="B24" s="10">
        <v>1566.8512333519893</v>
      </c>
      <c r="C24" s="10">
        <v>759.16179010380563</v>
      </c>
      <c r="D24" s="10">
        <v>807.68944324816857</v>
      </c>
      <c r="E24" s="10"/>
      <c r="F24" s="10">
        <v>11.552056009406542</v>
      </c>
      <c r="G24" s="10">
        <v>2.3104112018813083</v>
      </c>
      <c r="H24" s="10">
        <v>9.2416448075252333</v>
      </c>
      <c r="I24" s="10"/>
      <c r="J24" s="350">
        <v>0.73727841951485373</v>
      </c>
      <c r="K24" s="350">
        <v>0.30433712971320503</v>
      </c>
      <c r="L24" s="350">
        <v>1.1442077007171763</v>
      </c>
      <c r="M24" s="351">
        <v>3.7596717225907703</v>
      </c>
    </row>
    <row r="25" spans="1:13" s="335" customFormat="1" x14ac:dyDescent="0.2">
      <c r="A25" s="371" t="s">
        <v>467</v>
      </c>
      <c r="B25" s="8">
        <v>2244.1589522276695</v>
      </c>
      <c r="C25" s="8">
        <v>1136.6600558590517</v>
      </c>
      <c r="D25" s="8">
        <v>1107.4988963686171</v>
      </c>
      <c r="E25" s="8"/>
      <c r="F25" s="8">
        <v>258.15077811518302</v>
      </c>
      <c r="G25" s="8">
        <v>155.52918991726204</v>
      </c>
      <c r="H25" s="8">
        <v>102.62158819792054</v>
      </c>
      <c r="I25" s="8"/>
      <c r="J25" s="348">
        <v>11.503230546968512</v>
      </c>
      <c r="K25" s="348">
        <v>13.682999513844772</v>
      </c>
      <c r="L25" s="348">
        <v>9.2660668587938808</v>
      </c>
      <c r="M25" s="349">
        <v>0.67719558488752873</v>
      </c>
    </row>
    <row r="26" spans="1:13" x14ac:dyDescent="0.2">
      <c r="A26" s="61" t="s">
        <v>467</v>
      </c>
      <c r="B26" s="10">
        <v>2244.1589522276695</v>
      </c>
      <c r="C26" s="10">
        <v>1136.6600558590517</v>
      </c>
      <c r="D26" s="10">
        <v>1107.4988963686171</v>
      </c>
      <c r="E26" s="10"/>
      <c r="F26" s="10">
        <v>258.15077811518302</v>
      </c>
      <c r="G26" s="10">
        <v>155.52918991726204</v>
      </c>
      <c r="H26" s="10">
        <v>102.62158819792054</v>
      </c>
      <c r="I26" s="10"/>
      <c r="J26" s="350">
        <v>11.503230546968512</v>
      </c>
      <c r="K26" s="350">
        <v>13.682999513844772</v>
      </c>
      <c r="L26" s="350">
        <v>9.2660668587938808</v>
      </c>
      <c r="M26" s="351">
        <v>0.67719558488752873</v>
      </c>
    </row>
    <row r="27" spans="1:13" s="335" customFormat="1" x14ac:dyDescent="0.2">
      <c r="A27" s="371" t="s">
        <v>468</v>
      </c>
      <c r="B27" s="8">
        <v>1113.0832140875241</v>
      </c>
      <c r="C27" s="8">
        <v>488.21938508331544</v>
      </c>
      <c r="D27" s="8">
        <v>624.86382900421506</v>
      </c>
      <c r="E27" s="8"/>
      <c r="F27" s="8">
        <v>14.263923592597401</v>
      </c>
      <c r="G27" s="8">
        <v>9.5628099125728756</v>
      </c>
      <c r="H27" s="8">
        <v>4.7011136800245268</v>
      </c>
      <c r="I27" s="8"/>
      <c r="J27" s="348">
        <v>1.2814786362842234</v>
      </c>
      <c r="K27" s="348">
        <v>1.9587116375850104</v>
      </c>
      <c r="L27" s="348">
        <v>0.7523421042815418</v>
      </c>
      <c r="M27" s="349">
        <v>0.38410049230582022</v>
      </c>
    </row>
    <row r="28" spans="1:13" x14ac:dyDescent="0.2">
      <c r="A28" s="61" t="s">
        <v>468</v>
      </c>
      <c r="B28" s="10">
        <v>1113.0832140875241</v>
      </c>
      <c r="C28" s="10">
        <v>488.21938508331544</v>
      </c>
      <c r="D28" s="10">
        <v>624.86382900421506</v>
      </c>
      <c r="E28" s="10"/>
      <c r="F28" s="10">
        <v>14.263923592597401</v>
      </c>
      <c r="G28" s="10">
        <v>9.5628099125728756</v>
      </c>
      <c r="H28" s="10">
        <v>4.7011136800245268</v>
      </c>
      <c r="I28" s="10"/>
      <c r="J28" s="350">
        <v>1.2814786362842234</v>
      </c>
      <c r="K28" s="350">
        <v>1.9587116375850104</v>
      </c>
      <c r="L28" s="350">
        <v>0.7523421042815418</v>
      </c>
      <c r="M28" s="351">
        <v>0.38410049230582022</v>
      </c>
    </row>
    <row r="31" spans="1:13" x14ac:dyDescent="0.2">
      <c r="B31" s="335"/>
    </row>
  </sheetData>
  <mergeCells count="6">
    <mergeCell ref="A1:M1"/>
    <mergeCell ref="A2:A3"/>
    <mergeCell ref="B2:D2"/>
    <mergeCell ref="F2:H2"/>
    <mergeCell ref="J2:L2"/>
    <mergeCell ref="M2:M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D4D4D"/>
  </sheetPr>
  <dimension ref="A1"/>
  <sheetViews>
    <sheetView workbookViewId="0">
      <selection activeCell="L21" sqref="L21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zoomScaleNormal="100" workbookViewId="0">
      <selection activeCell="A2" sqref="A2:A3"/>
    </sheetView>
  </sheetViews>
  <sheetFormatPr defaultRowHeight="12" x14ac:dyDescent="0.2"/>
  <cols>
    <col min="1" max="1" width="17.7109375" style="322" customWidth="1"/>
    <col min="2" max="16384" width="9.140625" style="322"/>
  </cols>
  <sheetData>
    <row r="1" spans="1:12" x14ac:dyDescent="0.2">
      <c r="A1" s="588" t="s">
        <v>51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</row>
    <row r="2" spans="1:12" ht="15" customHeight="1" x14ac:dyDescent="0.2">
      <c r="A2" s="579" t="s">
        <v>501</v>
      </c>
      <c r="B2" s="589" t="s">
        <v>52</v>
      </c>
      <c r="C2" s="591" t="s">
        <v>53</v>
      </c>
      <c r="D2" s="591"/>
      <c r="E2" s="591"/>
      <c r="F2" s="591"/>
      <c r="G2" s="591"/>
      <c r="H2" s="591"/>
      <c r="I2" s="591"/>
      <c r="J2" s="591"/>
      <c r="K2" s="591"/>
      <c r="L2" s="591"/>
    </row>
    <row r="3" spans="1:12" ht="48" x14ac:dyDescent="0.2">
      <c r="A3" s="580"/>
      <c r="B3" s="590"/>
      <c r="C3" s="7" t="s">
        <v>54</v>
      </c>
      <c r="D3" s="264" t="s">
        <v>55</v>
      </c>
      <c r="E3" s="264" t="s">
        <v>56</v>
      </c>
      <c r="F3" s="264" t="s">
        <v>57</v>
      </c>
      <c r="G3" s="264" t="s">
        <v>58</v>
      </c>
      <c r="H3" s="7" t="s">
        <v>59</v>
      </c>
      <c r="I3" s="264" t="s">
        <v>60</v>
      </c>
      <c r="J3" s="264" t="s">
        <v>61</v>
      </c>
      <c r="K3" s="264" t="s">
        <v>62</v>
      </c>
      <c r="L3" s="264" t="s">
        <v>63</v>
      </c>
    </row>
    <row r="4" spans="1:12" x14ac:dyDescent="0.2">
      <c r="A4" s="228" t="s">
        <v>457</v>
      </c>
      <c r="B4" s="237">
        <v>93784.445916290002</v>
      </c>
      <c r="C4" s="237">
        <v>8047.0273407195864</v>
      </c>
      <c r="D4" s="237">
        <v>3013.5238399280515</v>
      </c>
      <c r="E4" s="237">
        <v>2702.757738256928</v>
      </c>
      <c r="F4" s="237">
        <v>2482.7262648109499</v>
      </c>
      <c r="G4" s="237">
        <v>63742.210511065292</v>
      </c>
      <c r="H4" s="237">
        <v>2826.3836692136888</v>
      </c>
      <c r="I4" s="237">
        <v>3202.9323763480429</v>
      </c>
      <c r="J4" s="237">
        <v>4884.9255470719954</v>
      </c>
      <c r="K4" s="237">
        <v>2441.8956821096344</v>
      </c>
      <c r="L4" s="275">
        <v>440.06294689203793</v>
      </c>
    </row>
    <row r="5" spans="1:12" ht="16.5" customHeight="1" x14ac:dyDescent="0.2">
      <c r="A5" s="232" t="s">
        <v>14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</row>
    <row r="6" spans="1:12" x14ac:dyDescent="0.2">
      <c r="A6" s="378" t="s">
        <v>5</v>
      </c>
      <c r="B6" s="10">
        <v>49596.681970736739</v>
      </c>
      <c r="C6" s="10">
        <v>5745.7703323584092</v>
      </c>
      <c r="D6" s="10">
        <v>1713.7502906027742</v>
      </c>
      <c r="E6" s="10">
        <v>1441.5464059272829</v>
      </c>
      <c r="F6" s="10">
        <v>1368.9587033471519</v>
      </c>
      <c r="G6" s="10">
        <v>33920.006579105786</v>
      </c>
      <c r="H6" s="10">
        <v>1311.11537785361</v>
      </c>
      <c r="I6" s="10">
        <v>1812.4241987976397</v>
      </c>
      <c r="J6" s="10">
        <v>1135.3170356673552</v>
      </c>
      <c r="K6" s="10">
        <v>867.64988240312209</v>
      </c>
      <c r="L6" s="11">
        <v>280.1431646451868</v>
      </c>
    </row>
    <row r="7" spans="1:12" x14ac:dyDescent="0.2">
      <c r="A7" s="72" t="s">
        <v>6</v>
      </c>
      <c r="B7" s="10">
        <v>44187.763945654406</v>
      </c>
      <c r="C7" s="10">
        <v>2301.2570083606588</v>
      </c>
      <c r="D7" s="10">
        <v>1299.7735493254645</v>
      </c>
      <c r="E7" s="10">
        <v>1261.2113323297699</v>
      </c>
      <c r="F7" s="10">
        <v>1113.7675614638788</v>
      </c>
      <c r="G7" s="10">
        <v>29822.203931888886</v>
      </c>
      <c r="H7" s="10">
        <v>1515.2682913602284</v>
      </c>
      <c r="I7" s="10">
        <v>1390.5081775506283</v>
      </c>
      <c r="J7" s="10">
        <v>3749.608511404545</v>
      </c>
      <c r="K7" s="10">
        <v>1574.2457997065849</v>
      </c>
      <c r="L7" s="11">
        <v>159.91978224684723</v>
      </c>
    </row>
    <row r="8" spans="1:12" x14ac:dyDescent="0.2">
      <c r="A8" s="274" t="s">
        <v>542</v>
      </c>
      <c r="B8" s="276"/>
      <c r="C8" s="276"/>
      <c r="D8" s="276"/>
      <c r="E8" s="276"/>
      <c r="F8" s="276"/>
      <c r="G8" s="276"/>
      <c r="H8" s="276"/>
      <c r="I8" s="276"/>
      <c r="J8" s="276"/>
      <c r="K8" s="276"/>
      <c r="L8" s="277"/>
    </row>
    <row r="9" spans="1:12" ht="15" customHeight="1" x14ac:dyDescent="0.2">
      <c r="A9" s="371" t="s">
        <v>458</v>
      </c>
      <c r="B9" s="8">
        <v>39689.594751383796</v>
      </c>
      <c r="C9" s="8">
        <v>5858.0544347870718</v>
      </c>
      <c r="D9" s="8">
        <v>1630.9549423473122</v>
      </c>
      <c r="E9" s="8">
        <v>1488.0479028926793</v>
      </c>
      <c r="F9" s="8">
        <v>1464.2300629835738</v>
      </c>
      <c r="G9" s="8">
        <v>23825.77918906679</v>
      </c>
      <c r="H9" s="8">
        <v>1659.3095136676759</v>
      </c>
      <c r="I9" s="8">
        <v>1801.0823702694943</v>
      </c>
      <c r="J9" s="8">
        <v>789.39126555891835</v>
      </c>
      <c r="K9" s="8">
        <v>914.15137936851852</v>
      </c>
      <c r="L9" s="9">
        <v>258.59369044171041</v>
      </c>
    </row>
    <row r="10" spans="1:12" ht="15" customHeight="1" x14ac:dyDescent="0.2">
      <c r="A10" s="61" t="s">
        <v>458</v>
      </c>
      <c r="B10" s="10">
        <v>39689.594751383796</v>
      </c>
      <c r="C10" s="10">
        <v>5858.0544347870718</v>
      </c>
      <c r="D10" s="10">
        <v>1630.9549423473122</v>
      </c>
      <c r="E10" s="10">
        <v>1488.0479028926793</v>
      </c>
      <c r="F10" s="10">
        <v>1464.2300629835738</v>
      </c>
      <c r="G10" s="10">
        <v>23825.77918906679</v>
      </c>
      <c r="H10" s="10">
        <v>1659.3095136676759</v>
      </c>
      <c r="I10" s="10">
        <v>1801.0823702694943</v>
      </c>
      <c r="J10" s="10">
        <v>789.39126555891835</v>
      </c>
      <c r="K10" s="10">
        <v>914.15137936851852</v>
      </c>
      <c r="L10" s="11">
        <v>258.59369044171041</v>
      </c>
    </row>
    <row r="11" spans="1:12" ht="16.5" customHeight="1" x14ac:dyDescent="0.2">
      <c r="A11" s="371" t="s">
        <v>459</v>
      </c>
      <c r="B11" s="10">
        <v>22422.795000137165</v>
      </c>
      <c r="C11" s="10">
        <v>660.09442033805999</v>
      </c>
      <c r="D11" s="10">
        <v>570.49397496571078</v>
      </c>
      <c r="E11" s="10">
        <v>562.55469499600895</v>
      </c>
      <c r="F11" s="10">
        <v>381.08543854568148</v>
      </c>
      <c r="G11" s="10">
        <v>17744.290732283724</v>
      </c>
      <c r="H11" s="10">
        <v>385.62216995693967</v>
      </c>
      <c r="I11" s="10">
        <v>476.35679818210343</v>
      </c>
      <c r="J11" s="10">
        <v>951.57941351139857</v>
      </c>
      <c r="K11" s="10">
        <v>604.51946055014719</v>
      </c>
      <c r="L11" s="11">
        <v>86.197896813903512</v>
      </c>
    </row>
    <row r="12" spans="1:12" x14ac:dyDescent="0.2">
      <c r="A12" s="61" t="s">
        <v>459</v>
      </c>
      <c r="B12" s="10">
        <v>18748.042557023189</v>
      </c>
      <c r="C12" s="10">
        <v>615.86128907829266</v>
      </c>
      <c r="D12" s="10">
        <v>503.57718664965256</v>
      </c>
      <c r="E12" s="10">
        <v>469.55170106521615</v>
      </c>
      <c r="F12" s="10">
        <v>337.9864901387287</v>
      </c>
      <c r="G12" s="10">
        <v>14967.811108595339</v>
      </c>
      <c r="H12" s="10">
        <v>327.77884446339777</v>
      </c>
      <c r="I12" s="10">
        <v>401.50072989634333</v>
      </c>
      <c r="J12" s="10">
        <v>551.21286646786348</v>
      </c>
      <c r="K12" s="10">
        <v>491.10117526869254</v>
      </c>
      <c r="L12" s="11">
        <v>81.661165402645437</v>
      </c>
    </row>
    <row r="13" spans="1:12" ht="24" x14ac:dyDescent="0.2">
      <c r="A13" s="61" t="s">
        <v>473</v>
      </c>
      <c r="B13" s="8">
        <v>3674.7524431187999</v>
      </c>
      <c r="C13" s="8">
        <v>44.233131259766317</v>
      </c>
      <c r="D13" s="8">
        <v>66.916788316056696</v>
      </c>
      <c r="E13" s="8">
        <v>93.002993930790623</v>
      </c>
      <c r="F13" s="8">
        <v>43.098948406951799</v>
      </c>
      <c r="G13" s="8">
        <v>2776.4796236898587</v>
      </c>
      <c r="H13" s="8">
        <v>57.84332549354054</v>
      </c>
      <c r="I13" s="8">
        <v>74.856068285758326</v>
      </c>
      <c r="J13" s="8">
        <v>400.36654704352878</v>
      </c>
      <c r="K13" s="8">
        <v>113.41828528145196</v>
      </c>
      <c r="L13" s="9">
        <v>4.5367314112580859</v>
      </c>
    </row>
    <row r="14" spans="1:12" x14ac:dyDescent="0.2">
      <c r="A14" s="371" t="s">
        <v>461</v>
      </c>
      <c r="B14" s="10">
        <v>4164.7194355346137</v>
      </c>
      <c r="C14" s="10">
        <v>669.16788316057637</v>
      </c>
      <c r="D14" s="10">
        <v>79.3927996970164</v>
      </c>
      <c r="E14" s="10">
        <v>36.293851290064687</v>
      </c>
      <c r="F14" s="10">
        <v>45.367314112580836</v>
      </c>
      <c r="G14" s="10">
        <v>2986.3034514605079</v>
      </c>
      <c r="H14" s="10">
        <v>47.635679818209873</v>
      </c>
      <c r="I14" s="10">
        <v>54.440776935096984</v>
      </c>
      <c r="J14" s="10">
        <v>153.11468512996012</v>
      </c>
      <c r="K14" s="10">
        <v>89.600445372347068</v>
      </c>
      <c r="L14" s="11">
        <v>3.4025485584435646</v>
      </c>
    </row>
    <row r="15" spans="1:12" x14ac:dyDescent="0.2">
      <c r="A15" s="61" t="s">
        <v>461</v>
      </c>
      <c r="B15" s="10">
        <v>4164.7194355346137</v>
      </c>
      <c r="C15" s="10">
        <v>669.16788316057637</v>
      </c>
      <c r="D15" s="10">
        <v>79.3927996970164</v>
      </c>
      <c r="E15" s="10">
        <v>36.293851290064687</v>
      </c>
      <c r="F15" s="10">
        <v>45.367314112580836</v>
      </c>
      <c r="G15" s="10">
        <v>2986.3034514605079</v>
      </c>
      <c r="H15" s="10">
        <v>47.635679818209873</v>
      </c>
      <c r="I15" s="10">
        <v>54.440776935096984</v>
      </c>
      <c r="J15" s="10">
        <v>153.11468512996012</v>
      </c>
      <c r="K15" s="10">
        <v>89.600445372347068</v>
      </c>
      <c r="L15" s="11">
        <v>3.4025485584435646</v>
      </c>
    </row>
    <row r="16" spans="1:12" x14ac:dyDescent="0.2">
      <c r="A16" s="371" t="s">
        <v>462</v>
      </c>
      <c r="B16" s="8">
        <v>12694.908671554531</v>
      </c>
      <c r="C16" s="115">
        <v>571.62815781852532</v>
      </c>
      <c r="D16" s="8">
        <v>563.68887784882349</v>
      </c>
      <c r="E16" s="8">
        <v>412.8425584244888</v>
      </c>
      <c r="F16" s="8">
        <v>442.33131259766702</v>
      </c>
      <c r="G16" s="8">
        <v>9003.1434856424403</v>
      </c>
      <c r="H16" s="8">
        <v>435.52621548077974</v>
      </c>
      <c r="I16" s="8">
        <v>660.09442033805999</v>
      </c>
      <c r="J16" s="8">
        <v>457.07568968425613</v>
      </c>
      <c r="K16" s="8">
        <v>134.96775948492783</v>
      </c>
      <c r="L16" s="9">
        <v>13.61019423377426</v>
      </c>
    </row>
    <row r="17" spans="1:12" x14ac:dyDescent="0.2">
      <c r="A17" s="61" t="s">
        <v>462</v>
      </c>
      <c r="B17" s="10">
        <v>12694.908671554531</v>
      </c>
      <c r="C17" s="10">
        <v>571.62815781852532</v>
      </c>
      <c r="D17" s="10">
        <v>563.68887784882349</v>
      </c>
      <c r="E17" s="10">
        <v>412.8425584244888</v>
      </c>
      <c r="F17" s="10">
        <v>442.33131259766702</v>
      </c>
      <c r="G17" s="10">
        <v>9003.1434856424403</v>
      </c>
      <c r="H17" s="10">
        <v>435.52621548077974</v>
      </c>
      <c r="I17" s="10">
        <v>660.09442033805999</v>
      </c>
      <c r="J17" s="10">
        <v>457.07568968425613</v>
      </c>
      <c r="K17" s="10">
        <v>134.96775948492783</v>
      </c>
      <c r="L17" s="11">
        <v>13.61019423377426</v>
      </c>
    </row>
    <row r="18" spans="1:12" x14ac:dyDescent="0.2">
      <c r="A18" s="371" t="s">
        <v>463</v>
      </c>
      <c r="B18" s="10">
        <v>5439.5409620984201</v>
      </c>
      <c r="C18" s="10">
        <v>197.34781638972635</v>
      </c>
      <c r="D18" s="10">
        <v>85.063713961088993</v>
      </c>
      <c r="E18" s="10">
        <v>70.319336874500252</v>
      </c>
      <c r="F18" s="10">
        <v>73.721885432943807</v>
      </c>
      <c r="G18" s="10">
        <v>3950.3588763526795</v>
      </c>
      <c r="H18" s="10">
        <v>57.84332549354054</v>
      </c>
      <c r="I18" s="10">
        <v>91.868811077976105</v>
      </c>
      <c r="J18" s="10">
        <v>803.00145979269291</v>
      </c>
      <c r="K18" s="10">
        <v>107.74737101737936</v>
      </c>
      <c r="L18" s="11">
        <v>2.2683657056290429</v>
      </c>
    </row>
    <row r="19" spans="1:12" x14ac:dyDescent="0.2">
      <c r="A19" s="61" t="s">
        <v>463</v>
      </c>
      <c r="B19" s="8">
        <v>5439.5409620984201</v>
      </c>
      <c r="C19" s="8">
        <v>197.34781638972635</v>
      </c>
      <c r="D19" s="8">
        <v>85.063713961088993</v>
      </c>
      <c r="E19" s="8">
        <v>70.319336874500252</v>
      </c>
      <c r="F19" s="8">
        <v>73.721885432943807</v>
      </c>
      <c r="G19" s="8">
        <v>3950.3588763526795</v>
      </c>
      <c r="H19" s="8">
        <v>57.84332549354054</v>
      </c>
      <c r="I19" s="8">
        <v>91.868811077976105</v>
      </c>
      <c r="J19" s="8">
        <v>803.00145979269291</v>
      </c>
      <c r="K19" s="8">
        <v>107.74737101737936</v>
      </c>
      <c r="L19" s="9">
        <v>2.2683657056290429</v>
      </c>
    </row>
    <row r="20" spans="1:12" x14ac:dyDescent="0.2">
      <c r="A20" s="371" t="s">
        <v>464</v>
      </c>
      <c r="B20" s="10">
        <v>2944.338685906378</v>
      </c>
      <c r="C20" s="10">
        <v>30.622937025992091</v>
      </c>
      <c r="D20" s="10">
        <v>34.02548558443565</v>
      </c>
      <c r="E20" s="10">
        <v>57.84332549354054</v>
      </c>
      <c r="F20" s="10">
        <v>29.488754173177568</v>
      </c>
      <c r="G20" s="10">
        <v>1508.4631942433411</v>
      </c>
      <c r="H20" s="10">
        <v>22.683657056290436</v>
      </c>
      <c r="I20" s="10">
        <v>49.90404552383891</v>
      </c>
      <c r="J20" s="10">
        <v>1067.2660644984824</v>
      </c>
      <c r="K20" s="10">
        <v>144.04122230744397</v>
      </c>
      <c r="L20" s="11">
        <v>0</v>
      </c>
    </row>
    <row r="21" spans="1:12" x14ac:dyDescent="0.2">
      <c r="A21" s="61" t="s">
        <v>464</v>
      </c>
      <c r="B21" s="8">
        <v>640.81331184021269</v>
      </c>
      <c r="C21" s="8">
        <v>6.8050971168871284</v>
      </c>
      <c r="D21" s="8">
        <v>9.0734628225161718</v>
      </c>
      <c r="E21" s="8">
        <v>23.817839909104958</v>
      </c>
      <c r="F21" s="8">
        <v>6.8050971168871284</v>
      </c>
      <c r="G21" s="8">
        <v>258.59369044171041</v>
      </c>
      <c r="H21" s="8">
        <v>2.2683657056290429</v>
      </c>
      <c r="I21" s="8">
        <v>12.476011380959738</v>
      </c>
      <c r="J21" s="8">
        <v>277.87479893955771</v>
      </c>
      <c r="K21" s="8">
        <v>43.098948406951799</v>
      </c>
      <c r="L21" s="9">
        <v>0</v>
      </c>
    </row>
    <row r="22" spans="1:12" x14ac:dyDescent="0.2">
      <c r="A22" s="61" t="s">
        <v>465</v>
      </c>
      <c r="B22" s="10">
        <v>2303.5253740662874</v>
      </c>
      <c r="C22" s="10">
        <v>23.817839909104958</v>
      </c>
      <c r="D22" s="10">
        <v>24.95202276191948</v>
      </c>
      <c r="E22" s="10">
        <v>34.02548558443565</v>
      </c>
      <c r="F22" s="10">
        <v>22.683657056290436</v>
      </c>
      <c r="G22" s="10">
        <v>1249.8695038016244</v>
      </c>
      <c r="H22" s="10">
        <v>20.415291350661391</v>
      </c>
      <c r="I22" s="10">
        <v>37.428034142879206</v>
      </c>
      <c r="J22" s="10">
        <v>789.39126555891835</v>
      </c>
      <c r="K22" s="10">
        <v>100.94227390049225</v>
      </c>
      <c r="L22" s="11">
        <v>0</v>
      </c>
    </row>
    <row r="23" spans="1:12" x14ac:dyDescent="0.2">
      <c r="A23" s="371" t="s">
        <v>466</v>
      </c>
      <c r="B23" s="10">
        <v>1390.5081775506283</v>
      </c>
      <c r="C23" s="10">
        <v>15.878559939403305</v>
      </c>
      <c r="D23" s="10">
        <v>9.0734628225161718</v>
      </c>
      <c r="E23" s="10">
        <v>23.817839909104958</v>
      </c>
      <c r="F23" s="10">
        <v>13.61019423377426</v>
      </c>
      <c r="G23" s="10">
        <v>1118.304292875137</v>
      </c>
      <c r="H23" s="10">
        <v>13.61019423377426</v>
      </c>
      <c r="I23" s="10">
        <v>15.878559939403305</v>
      </c>
      <c r="J23" s="10">
        <v>110.0157367230084</v>
      </c>
      <c r="K23" s="10">
        <v>68.050971168871214</v>
      </c>
      <c r="L23" s="11">
        <v>2.2683657056290429</v>
      </c>
    </row>
    <row r="24" spans="1:12" ht="17.25" customHeight="1" x14ac:dyDescent="0.2">
      <c r="A24" s="61" t="s">
        <v>466</v>
      </c>
      <c r="B24" s="8">
        <v>1390.5081775506283</v>
      </c>
      <c r="C24" s="8">
        <v>15.878559939403305</v>
      </c>
      <c r="D24" s="8">
        <v>9.0734628225161718</v>
      </c>
      <c r="E24" s="8">
        <v>23.817839909104958</v>
      </c>
      <c r="F24" s="8">
        <v>13.61019423377426</v>
      </c>
      <c r="G24" s="8">
        <v>1118.304292875137</v>
      </c>
      <c r="H24" s="8">
        <v>13.61019423377426</v>
      </c>
      <c r="I24" s="8">
        <v>15.878559939403305</v>
      </c>
      <c r="J24" s="8">
        <v>110.0157367230084</v>
      </c>
      <c r="K24" s="8">
        <v>68.050971168871214</v>
      </c>
      <c r="L24" s="9">
        <v>2.2683657056290429</v>
      </c>
    </row>
    <row r="25" spans="1:12" ht="15.75" customHeight="1" x14ac:dyDescent="0.2">
      <c r="A25" s="371" t="s">
        <v>467</v>
      </c>
      <c r="B25" s="10">
        <v>3188.1879992614568</v>
      </c>
      <c r="C25" s="10">
        <v>39.696399848508243</v>
      </c>
      <c r="D25" s="10">
        <v>34.02548558443565</v>
      </c>
      <c r="E25" s="10">
        <v>45.367314112580836</v>
      </c>
      <c r="F25" s="10">
        <v>27.220388467548524</v>
      </c>
      <c r="G25" s="10">
        <v>2263.8289742177863</v>
      </c>
      <c r="H25" s="10">
        <v>200.7503649481699</v>
      </c>
      <c r="I25" s="10">
        <v>48.769862671024391</v>
      </c>
      <c r="J25" s="10">
        <v>306.22937025992138</v>
      </c>
      <c r="K25" s="10">
        <v>151.9805022771456</v>
      </c>
      <c r="L25" s="11">
        <v>70.319336874500252</v>
      </c>
    </row>
    <row r="26" spans="1:12" x14ac:dyDescent="0.2">
      <c r="A26" s="61" t="s">
        <v>467</v>
      </c>
      <c r="B26" s="10">
        <v>3188.1879992614568</v>
      </c>
      <c r="C26" s="10">
        <v>39.696399848508243</v>
      </c>
      <c r="D26" s="10">
        <v>34.02548558443565</v>
      </c>
      <c r="E26" s="10">
        <v>45.367314112580836</v>
      </c>
      <c r="F26" s="10">
        <v>27.220388467548524</v>
      </c>
      <c r="G26" s="10">
        <v>2263.8289742177863</v>
      </c>
      <c r="H26" s="10">
        <v>200.7503649481699</v>
      </c>
      <c r="I26" s="10">
        <v>48.769862671024391</v>
      </c>
      <c r="J26" s="10">
        <v>306.22937025992138</v>
      </c>
      <c r="K26" s="10">
        <v>151.9805022771456</v>
      </c>
      <c r="L26" s="11">
        <v>70.319336874500252</v>
      </c>
    </row>
    <row r="27" spans="1:12" x14ac:dyDescent="0.2">
      <c r="A27" s="371" t="s">
        <v>468</v>
      </c>
      <c r="B27" s="8">
        <v>1849.8522329405198</v>
      </c>
      <c r="C27" s="8">
        <v>4.5367314112580859</v>
      </c>
      <c r="D27" s="8">
        <v>6.8050971168871284</v>
      </c>
      <c r="E27" s="8">
        <v>5.6709142640726071</v>
      </c>
      <c r="F27" s="8">
        <v>5.6709142640726071</v>
      </c>
      <c r="G27" s="8">
        <v>1341.7383148796027</v>
      </c>
      <c r="H27" s="8">
        <v>3.4025485584435646</v>
      </c>
      <c r="I27" s="8">
        <v>4.5367314112580859</v>
      </c>
      <c r="J27" s="8">
        <v>247.25186191356516</v>
      </c>
      <c r="K27" s="8">
        <v>226.83657056290383</v>
      </c>
      <c r="L27" s="9">
        <v>3.4025485584435646</v>
      </c>
    </row>
    <row r="28" spans="1:12" x14ac:dyDescent="0.2">
      <c r="A28" s="61" t="s">
        <v>468</v>
      </c>
      <c r="B28" s="10">
        <v>1849.8522329405198</v>
      </c>
      <c r="C28" s="10">
        <v>4.5367314112580859</v>
      </c>
      <c r="D28" s="10">
        <v>6.8050971168871284</v>
      </c>
      <c r="E28" s="10">
        <v>5.6709142640726071</v>
      </c>
      <c r="F28" s="10">
        <v>5.6709142640726071</v>
      </c>
      <c r="G28" s="10">
        <v>1341.7383148796027</v>
      </c>
      <c r="H28" s="10">
        <v>3.4025485584435646</v>
      </c>
      <c r="I28" s="10">
        <v>4.5367314112580859</v>
      </c>
      <c r="J28" s="10">
        <v>247.25186191356516</v>
      </c>
      <c r="K28" s="10">
        <v>226.83657056290383</v>
      </c>
      <c r="L28" s="11">
        <v>3.4025485584435646</v>
      </c>
    </row>
    <row r="32" spans="1:12" ht="14.25" customHeight="1" x14ac:dyDescent="0.2"/>
  </sheetData>
  <mergeCells count="4">
    <mergeCell ref="A1:L1"/>
    <mergeCell ref="B2:B3"/>
    <mergeCell ref="C2:L2"/>
    <mergeCell ref="A2:A3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zoomScale="120" zoomScaleNormal="120" workbookViewId="0">
      <selection activeCell="J6" sqref="J6:J7"/>
    </sheetView>
  </sheetViews>
  <sheetFormatPr defaultRowHeight="12" x14ac:dyDescent="0.2"/>
  <cols>
    <col min="1" max="1" width="20.42578125" style="322" customWidth="1"/>
    <col min="2" max="2" width="12" style="322" bestFit="1" customWidth="1"/>
    <col min="3" max="4" width="11.7109375" style="322" customWidth="1"/>
    <col min="5" max="5" width="12.85546875" style="322" customWidth="1"/>
    <col min="6" max="6" width="11.85546875" style="322" customWidth="1"/>
    <col min="7" max="7" width="11.140625" style="322" customWidth="1"/>
    <col min="8" max="8" width="12" style="322" customWidth="1"/>
    <col min="9" max="9" width="11.85546875" style="322" customWidth="1"/>
    <col min="10" max="10" width="11.7109375" style="322" customWidth="1"/>
    <col min="11" max="16384" width="9.140625" style="322"/>
  </cols>
  <sheetData>
    <row r="1" spans="1:10" ht="18.75" customHeight="1" x14ac:dyDescent="0.2">
      <c r="A1" s="592" t="s">
        <v>563</v>
      </c>
      <c r="B1" s="592"/>
      <c r="C1" s="592"/>
      <c r="D1" s="592"/>
      <c r="E1" s="592"/>
      <c r="F1" s="592"/>
      <c r="G1" s="592"/>
      <c r="H1" s="592"/>
      <c r="I1" s="592"/>
      <c r="J1" s="592"/>
    </row>
    <row r="2" spans="1:10" ht="15" customHeight="1" x14ac:dyDescent="0.2">
      <c r="A2" s="579" t="s">
        <v>501</v>
      </c>
      <c r="B2" s="594" t="s">
        <v>52</v>
      </c>
      <c r="C2" s="593" t="s">
        <v>64</v>
      </c>
      <c r="D2" s="593"/>
      <c r="E2" s="593"/>
      <c r="F2" s="593"/>
      <c r="G2" s="593"/>
      <c r="H2" s="593"/>
      <c r="I2" s="593"/>
      <c r="J2" s="593"/>
    </row>
    <row r="3" spans="1:10" ht="32.25" customHeight="1" x14ac:dyDescent="0.2">
      <c r="A3" s="580"/>
      <c r="B3" s="595"/>
      <c r="C3" s="430" t="s">
        <v>482</v>
      </c>
      <c r="D3" s="430" t="s">
        <v>65</v>
      </c>
      <c r="E3" s="430" t="s">
        <v>66</v>
      </c>
      <c r="F3" s="430" t="s">
        <v>67</v>
      </c>
      <c r="G3" s="430" t="s">
        <v>68</v>
      </c>
      <c r="H3" s="430" t="s">
        <v>69</v>
      </c>
      <c r="I3" s="430" t="s">
        <v>70</v>
      </c>
      <c r="J3" s="431" t="s">
        <v>569</v>
      </c>
    </row>
    <row r="4" spans="1:10" x14ac:dyDescent="0.2">
      <c r="A4" s="228" t="s">
        <v>457</v>
      </c>
      <c r="B4" s="237">
        <v>93784.445916290002</v>
      </c>
      <c r="C4" s="237">
        <v>4432.3865887989004</v>
      </c>
      <c r="D4" s="237">
        <v>3497.819918079766</v>
      </c>
      <c r="E4" s="237">
        <v>5677.7193611895227</v>
      </c>
      <c r="F4" s="237">
        <v>3353.7786957723474</v>
      </c>
      <c r="G4" s="237">
        <v>39856.319630747836</v>
      </c>
      <c r="H4" s="237">
        <v>36831.453962285981</v>
      </c>
      <c r="I4" s="237">
        <v>41.96476555413728</v>
      </c>
      <c r="J4" s="237">
        <v>93.002993930790623</v>
      </c>
    </row>
    <row r="5" spans="1:10" x14ac:dyDescent="0.2">
      <c r="A5" s="232" t="s">
        <v>14</v>
      </c>
      <c r="B5" s="8"/>
      <c r="C5" s="8"/>
      <c r="D5" s="8"/>
      <c r="E5" s="8"/>
      <c r="F5" s="8"/>
      <c r="G5" s="8"/>
      <c r="H5" s="8"/>
      <c r="I5" s="8"/>
      <c r="J5" s="8"/>
    </row>
    <row r="6" spans="1:10" x14ac:dyDescent="0.2">
      <c r="A6" s="380" t="s">
        <v>5</v>
      </c>
      <c r="B6" s="8">
        <v>49596.681970736739</v>
      </c>
      <c r="C6" s="8">
        <v>2330.7457625338311</v>
      </c>
      <c r="D6" s="8">
        <v>1871.4017071439962</v>
      </c>
      <c r="E6" s="8">
        <v>3446.7816897031216</v>
      </c>
      <c r="F6" s="8">
        <v>1763.6543361266142</v>
      </c>
      <c r="G6" s="8">
        <v>30128.433302148384</v>
      </c>
      <c r="H6" s="8">
        <v>9996.6876647081826</v>
      </c>
      <c r="I6" s="8">
        <v>17.012742792217825</v>
      </c>
      <c r="J6" s="8">
        <v>41.96476555413728</v>
      </c>
    </row>
    <row r="7" spans="1:10" x14ac:dyDescent="0.2">
      <c r="A7" s="72" t="s">
        <v>6</v>
      </c>
      <c r="B7" s="10">
        <v>44187.763945654406</v>
      </c>
      <c r="C7" s="10">
        <v>2101.6408262653385</v>
      </c>
      <c r="D7" s="10">
        <v>1626.418210936054</v>
      </c>
      <c r="E7" s="10">
        <v>2230.937671486171</v>
      </c>
      <c r="F7" s="10">
        <v>1590.1243596459885</v>
      </c>
      <c r="G7" s="10">
        <v>9727.8863285910811</v>
      </c>
      <c r="H7" s="10">
        <v>26834.766297579561</v>
      </c>
      <c r="I7" s="10">
        <v>24.95202276191948</v>
      </c>
      <c r="J7" s="10">
        <v>51.038228376653429</v>
      </c>
    </row>
    <row r="8" spans="1:10" ht="12" customHeight="1" x14ac:dyDescent="0.2">
      <c r="A8" s="234" t="s">
        <v>542</v>
      </c>
      <c r="B8" s="254"/>
      <c r="C8" s="254"/>
      <c r="D8" s="254"/>
      <c r="E8" s="254"/>
      <c r="F8" s="254"/>
      <c r="G8" s="254"/>
      <c r="H8" s="254"/>
      <c r="I8" s="254"/>
      <c r="J8" s="254"/>
    </row>
    <row r="9" spans="1:10" x14ac:dyDescent="0.2">
      <c r="A9" s="371" t="s">
        <v>458</v>
      </c>
      <c r="B9" s="8">
        <v>39689.594751383796</v>
      </c>
      <c r="C9" s="8">
        <v>2555.3139673910664</v>
      </c>
      <c r="D9" s="8">
        <v>2071.0178892393519</v>
      </c>
      <c r="E9" s="8">
        <v>3662.2764317378424</v>
      </c>
      <c r="F9" s="8">
        <v>1984.8199924254509</v>
      </c>
      <c r="G9" s="8">
        <v>20935.88128009938</v>
      </c>
      <c r="H9" s="8">
        <v>8421.307682148461</v>
      </c>
      <c r="I9" s="8">
        <v>13.61019423377426</v>
      </c>
      <c r="J9" s="8">
        <v>45.367314112580836</v>
      </c>
    </row>
    <row r="10" spans="1:10" s="335" customFormat="1" x14ac:dyDescent="0.2">
      <c r="A10" s="61" t="s">
        <v>458</v>
      </c>
      <c r="B10" s="10">
        <v>39689.594751383796</v>
      </c>
      <c r="C10" s="10">
        <v>2555.3139673910664</v>
      </c>
      <c r="D10" s="10">
        <v>2071.0178892393519</v>
      </c>
      <c r="E10" s="10">
        <v>3662.2764317378424</v>
      </c>
      <c r="F10" s="10">
        <v>1984.8199924254509</v>
      </c>
      <c r="G10" s="10">
        <v>20935.88128009938</v>
      </c>
      <c r="H10" s="10">
        <v>8421.307682148461</v>
      </c>
      <c r="I10" s="10">
        <v>13.61019423377426</v>
      </c>
      <c r="J10" s="10">
        <v>45.367314112580836</v>
      </c>
    </row>
    <row r="11" spans="1:10" x14ac:dyDescent="0.2">
      <c r="A11" s="371" t="s">
        <v>459</v>
      </c>
      <c r="B11" s="8">
        <v>22422.795000137165</v>
      </c>
      <c r="C11" s="8">
        <v>599.982729138889</v>
      </c>
      <c r="D11" s="8">
        <v>500.17463809120892</v>
      </c>
      <c r="E11" s="8">
        <v>670.30206601339091</v>
      </c>
      <c r="F11" s="8">
        <v>536.46848938127437</v>
      </c>
      <c r="G11" s="8">
        <v>11466.58864195613</v>
      </c>
      <c r="H11" s="8">
        <v>8623.1922299494909</v>
      </c>
      <c r="I11" s="8">
        <v>12.476011380959738</v>
      </c>
      <c r="J11" s="8">
        <v>13.61019423377426</v>
      </c>
    </row>
    <row r="12" spans="1:10" ht="16.5" customHeight="1" x14ac:dyDescent="0.2">
      <c r="A12" s="61" t="s">
        <v>459</v>
      </c>
      <c r="B12" s="10">
        <v>18748.042557023189</v>
      </c>
      <c r="C12" s="10">
        <v>525.1266608531289</v>
      </c>
      <c r="D12" s="10">
        <v>438.92876403922338</v>
      </c>
      <c r="E12" s="10">
        <v>586.37253490511443</v>
      </c>
      <c r="F12" s="10">
        <v>469.55170106521615</v>
      </c>
      <c r="G12" s="10">
        <v>11000.439489449258</v>
      </c>
      <c r="H12" s="10">
        <v>5704.9397496570773</v>
      </c>
      <c r="I12" s="10">
        <v>10.207645675330694</v>
      </c>
      <c r="J12" s="10">
        <v>12.476011380959738</v>
      </c>
    </row>
    <row r="13" spans="1:10" x14ac:dyDescent="0.2">
      <c r="A13" s="61" t="s">
        <v>473</v>
      </c>
      <c r="B13" s="10">
        <v>3674.7524431187999</v>
      </c>
      <c r="C13" s="10">
        <v>74.856068285758326</v>
      </c>
      <c r="D13" s="10">
        <v>61.245874051984096</v>
      </c>
      <c r="E13" s="10">
        <v>83.929531108274475</v>
      </c>
      <c r="F13" s="10">
        <v>66.916788316056696</v>
      </c>
      <c r="G13" s="10">
        <v>466.14915250677251</v>
      </c>
      <c r="H13" s="10">
        <v>2918.2524802916487</v>
      </c>
      <c r="I13" s="10">
        <v>2.2683657056290429</v>
      </c>
      <c r="J13" s="10">
        <v>1.1341828528145215</v>
      </c>
    </row>
    <row r="14" spans="1:10" s="335" customFormat="1" x14ac:dyDescent="0.2">
      <c r="A14" s="371" t="s">
        <v>461</v>
      </c>
      <c r="B14" s="8">
        <v>4164.7194355346137</v>
      </c>
      <c r="C14" s="8">
        <v>238.17839909104902</v>
      </c>
      <c r="D14" s="8">
        <v>70.319336874500252</v>
      </c>
      <c r="E14" s="8">
        <v>250.65441047200872</v>
      </c>
      <c r="F14" s="8">
        <v>53.306594082282466</v>
      </c>
      <c r="G14" s="8">
        <v>2108.4459233822245</v>
      </c>
      <c r="H14" s="8">
        <v>1439.2780402216538</v>
      </c>
      <c r="I14" s="8">
        <v>2.2683657056290429</v>
      </c>
      <c r="J14" s="8">
        <v>2.2683657056290429</v>
      </c>
    </row>
    <row r="15" spans="1:10" x14ac:dyDescent="0.2">
      <c r="A15" s="61" t="s">
        <v>461</v>
      </c>
      <c r="B15" s="10">
        <v>4164.7194355346137</v>
      </c>
      <c r="C15" s="10">
        <v>238.17839909104902</v>
      </c>
      <c r="D15" s="10">
        <v>70.319336874500252</v>
      </c>
      <c r="E15" s="10">
        <v>250.65441047200872</v>
      </c>
      <c r="F15" s="10">
        <v>53.306594082282466</v>
      </c>
      <c r="G15" s="10">
        <v>2108.4459233822245</v>
      </c>
      <c r="H15" s="10">
        <v>1439.2780402216538</v>
      </c>
      <c r="I15" s="10">
        <v>2.2683657056290429</v>
      </c>
      <c r="J15" s="10">
        <v>2.2683657056290429</v>
      </c>
    </row>
    <row r="16" spans="1:10" x14ac:dyDescent="0.2">
      <c r="A16" s="371" t="s">
        <v>462</v>
      </c>
      <c r="B16" s="8">
        <v>12694.908671554531</v>
      </c>
      <c r="C16" s="8">
        <v>672.57043171902001</v>
      </c>
      <c r="D16" s="8">
        <v>653.28932322117271</v>
      </c>
      <c r="E16" s="8">
        <v>784.85453414766016</v>
      </c>
      <c r="F16" s="8">
        <v>606.78782625577628</v>
      </c>
      <c r="G16" s="8">
        <v>3615.7749347724553</v>
      </c>
      <c r="H16" s="8">
        <v>6350.2897929086839</v>
      </c>
      <c r="I16" s="8">
        <v>2.2683657056290429</v>
      </c>
      <c r="J16" s="8">
        <v>9.0734628225161718</v>
      </c>
    </row>
    <row r="17" spans="1:10" s="335" customFormat="1" x14ac:dyDescent="0.2">
      <c r="A17" s="61" t="s">
        <v>462</v>
      </c>
      <c r="B17" s="10">
        <v>12694.908671554531</v>
      </c>
      <c r="C17" s="10">
        <v>672.57043171902001</v>
      </c>
      <c r="D17" s="10">
        <v>653.28932322117271</v>
      </c>
      <c r="E17" s="10">
        <v>784.85453414766016</v>
      </c>
      <c r="F17" s="10">
        <v>606.78782625577628</v>
      </c>
      <c r="G17" s="10">
        <v>3615.7749347724553</v>
      </c>
      <c r="H17" s="10">
        <v>6350.2897929086839</v>
      </c>
      <c r="I17" s="10">
        <v>2.2683657056290429</v>
      </c>
      <c r="J17" s="10">
        <v>9.0734628225161718</v>
      </c>
    </row>
    <row r="18" spans="1:10" x14ac:dyDescent="0.2">
      <c r="A18" s="371" t="s">
        <v>463</v>
      </c>
      <c r="B18" s="8">
        <v>5439.5409620984201</v>
      </c>
      <c r="C18" s="8">
        <v>116.82083383989551</v>
      </c>
      <c r="D18" s="8">
        <v>95.27135963641966</v>
      </c>
      <c r="E18" s="8">
        <v>154.24886798277464</v>
      </c>
      <c r="F18" s="8">
        <v>93.002993930790623</v>
      </c>
      <c r="G18" s="8">
        <v>749.6948657104092</v>
      </c>
      <c r="H18" s="8">
        <v>4221.4285781753524</v>
      </c>
      <c r="I18" s="9">
        <v>4.5367314112580859</v>
      </c>
      <c r="J18" s="8">
        <v>4.5367314112580859</v>
      </c>
    </row>
    <row r="19" spans="1:10" x14ac:dyDescent="0.2">
      <c r="A19" s="61" t="s">
        <v>463</v>
      </c>
      <c r="B19" s="10">
        <v>5439.5409620984201</v>
      </c>
      <c r="C19" s="10">
        <v>116.82083383989551</v>
      </c>
      <c r="D19" s="10">
        <v>95.27135963641966</v>
      </c>
      <c r="E19" s="10">
        <v>154.24886798277464</v>
      </c>
      <c r="F19" s="10">
        <v>93.002993930790623</v>
      </c>
      <c r="G19" s="10">
        <v>749.6948657104092</v>
      </c>
      <c r="H19" s="10">
        <v>4221.4285781753524</v>
      </c>
      <c r="I19" s="11">
        <v>4.5367314112580859</v>
      </c>
      <c r="J19" s="10">
        <v>4.5367314112580859</v>
      </c>
    </row>
    <row r="20" spans="1:10" s="335" customFormat="1" x14ac:dyDescent="0.2">
      <c r="A20" s="371" t="s">
        <v>464</v>
      </c>
      <c r="B20" s="8">
        <v>2944.338685906378</v>
      </c>
      <c r="C20" s="8">
        <v>63.514239757613133</v>
      </c>
      <c r="D20" s="8">
        <v>32.891302731621131</v>
      </c>
      <c r="E20" s="8">
        <v>82.795348255459956</v>
      </c>
      <c r="F20" s="8">
        <v>32.891302731621131</v>
      </c>
      <c r="G20" s="8">
        <v>94.137176783605142</v>
      </c>
      <c r="H20" s="8">
        <v>2623.3649385599256</v>
      </c>
      <c r="I20" s="8">
        <v>3.4025485584435646</v>
      </c>
      <c r="J20" s="8">
        <v>11.341828528145216</v>
      </c>
    </row>
    <row r="21" spans="1:10" x14ac:dyDescent="0.2">
      <c r="A21" s="61" t="s">
        <v>464</v>
      </c>
      <c r="B21" s="10">
        <v>640.81331184021269</v>
      </c>
      <c r="C21" s="10">
        <v>6.8050971168871284</v>
      </c>
      <c r="D21" s="10">
        <v>4.5367314112580859</v>
      </c>
      <c r="E21" s="10">
        <v>10.207645675330694</v>
      </c>
      <c r="F21" s="10">
        <v>5.6709142640726071</v>
      </c>
      <c r="G21" s="10">
        <v>34.02548558443565</v>
      </c>
      <c r="H21" s="11">
        <v>579.56743778822715</v>
      </c>
      <c r="I21" s="11">
        <v>0</v>
      </c>
      <c r="J21" s="11">
        <v>0</v>
      </c>
    </row>
    <row r="22" spans="1:10" s="335" customFormat="1" x14ac:dyDescent="0.2">
      <c r="A22" s="61" t="s">
        <v>465</v>
      </c>
      <c r="B22" s="10">
        <v>2303.5253740662874</v>
      </c>
      <c r="C22" s="10">
        <v>56.709142640726022</v>
      </c>
      <c r="D22" s="10">
        <v>28.354571320363046</v>
      </c>
      <c r="E22" s="10">
        <v>72.587702580129289</v>
      </c>
      <c r="F22" s="10">
        <v>27.220388467548524</v>
      </c>
      <c r="G22" s="10">
        <v>60.111691199169577</v>
      </c>
      <c r="H22" s="10">
        <v>2043.7975007718073</v>
      </c>
      <c r="I22" s="11">
        <v>3.4025485584435646</v>
      </c>
      <c r="J22" s="10">
        <v>11.341828528145216</v>
      </c>
    </row>
    <row r="23" spans="1:10" x14ac:dyDescent="0.2">
      <c r="A23" s="371" t="s">
        <v>466</v>
      </c>
      <c r="B23" s="8">
        <v>1390.5081775506283</v>
      </c>
      <c r="C23" s="8">
        <v>107.74737101737936</v>
      </c>
      <c r="D23" s="8">
        <v>14.744377086588782</v>
      </c>
      <c r="E23" s="8">
        <v>17.012742792217825</v>
      </c>
      <c r="F23" s="8">
        <v>13.61019423377426</v>
      </c>
      <c r="G23" s="8">
        <v>52.172411229467947</v>
      </c>
      <c r="H23" s="8">
        <v>1185.2210811911953</v>
      </c>
      <c r="I23" s="9">
        <v>0</v>
      </c>
      <c r="J23" s="9">
        <v>0</v>
      </c>
    </row>
    <row r="24" spans="1:10" x14ac:dyDescent="0.2">
      <c r="A24" s="61" t="s">
        <v>466</v>
      </c>
      <c r="B24" s="10">
        <v>1390.5081775506283</v>
      </c>
      <c r="C24" s="10">
        <v>107.74737101737936</v>
      </c>
      <c r="D24" s="10">
        <v>14.744377086588782</v>
      </c>
      <c r="E24" s="10">
        <v>17.012742792217825</v>
      </c>
      <c r="F24" s="10">
        <v>13.61019423377426</v>
      </c>
      <c r="G24" s="10">
        <v>52.172411229467947</v>
      </c>
      <c r="H24" s="10">
        <v>1185.2210811911953</v>
      </c>
      <c r="I24" s="11">
        <v>0</v>
      </c>
      <c r="J24" s="11">
        <v>0</v>
      </c>
    </row>
    <row r="25" spans="1:10" s="335" customFormat="1" x14ac:dyDescent="0.2">
      <c r="A25" s="371" t="s">
        <v>467</v>
      </c>
      <c r="B25" s="8">
        <v>3188.1879992614568</v>
      </c>
      <c r="C25" s="8">
        <v>58.977508346355059</v>
      </c>
      <c r="D25" s="8">
        <v>47.635679818209873</v>
      </c>
      <c r="E25" s="8">
        <v>44.233131259766317</v>
      </c>
      <c r="F25" s="8">
        <v>30.622937025992091</v>
      </c>
      <c r="G25" s="8">
        <v>699.79082018656914</v>
      </c>
      <c r="H25" s="8">
        <v>2302.3911912134731</v>
      </c>
      <c r="I25" s="8">
        <v>2.2683657056290429</v>
      </c>
      <c r="J25" s="8">
        <v>2.2683657056290429</v>
      </c>
    </row>
    <row r="26" spans="1:10" x14ac:dyDescent="0.2">
      <c r="A26" s="61" t="s">
        <v>467</v>
      </c>
      <c r="B26" s="10">
        <v>3188.1879992614568</v>
      </c>
      <c r="C26" s="10">
        <v>58.977508346355059</v>
      </c>
      <c r="D26" s="10">
        <v>47.635679818209873</v>
      </c>
      <c r="E26" s="10">
        <v>44.233131259766317</v>
      </c>
      <c r="F26" s="10">
        <v>30.622937025992091</v>
      </c>
      <c r="G26" s="10">
        <v>699.79082018656914</v>
      </c>
      <c r="H26" s="10">
        <v>2302.3911912134731</v>
      </c>
      <c r="I26" s="10">
        <v>2.2683657056290429</v>
      </c>
      <c r="J26" s="10">
        <v>2.2683657056290429</v>
      </c>
    </row>
    <row r="27" spans="1:10" x14ac:dyDescent="0.2">
      <c r="A27" s="371" t="s">
        <v>468</v>
      </c>
      <c r="B27" s="8">
        <v>1849.8522329405198</v>
      </c>
      <c r="C27" s="8">
        <v>19.281108497846869</v>
      </c>
      <c r="D27" s="8">
        <v>12.476011380959738</v>
      </c>
      <c r="E27" s="8">
        <v>11.341828528145216</v>
      </c>
      <c r="F27" s="8">
        <v>2.2683657056290429</v>
      </c>
      <c r="G27" s="8">
        <v>133.83357663211331</v>
      </c>
      <c r="H27" s="8">
        <v>1664.9804279317486</v>
      </c>
      <c r="I27" s="8">
        <v>1.1341828528145215</v>
      </c>
      <c r="J27" s="8">
        <v>4.5367314112580859</v>
      </c>
    </row>
    <row r="28" spans="1:10" s="335" customFormat="1" x14ac:dyDescent="0.2">
      <c r="A28" s="61" t="s">
        <v>468</v>
      </c>
      <c r="B28" s="10">
        <v>1849.8522329405198</v>
      </c>
      <c r="C28" s="10">
        <v>19.281108497846869</v>
      </c>
      <c r="D28" s="10">
        <v>12.476011380959738</v>
      </c>
      <c r="E28" s="10">
        <v>11.341828528145216</v>
      </c>
      <c r="F28" s="10">
        <v>2.2683657056290429</v>
      </c>
      <c r="G28" s="10">
        <v>133.83357663211331</v>
      </c>
      <c r="H28" s="10">
        <v>1664.9804279317486</v>
      </c>
      <c r="I28" s="10">
        <v>1.1341828528145215</v>
      </c>
      <c r="J28" s="10">
        <v>4.5367314112580859</v>
      </c>
    </row>
    <row r="31" spans="1:10" s="335" customFormat="1" x14ac:dyDescent="0.2"/>
    <row r="34" s="335" customFormat="1" x14ac:dyDescent="0.2"/>
    <row r="38" s="335" customFormat="1" x14ac:dyDescent="0.2"/>
    <row r="41" s="335" customFormat="1" x14ac:dyDescent="0.2"/>
    <row r="42" ht="15" customHeight="1" x14ac:dyDescent="0.2"/>
    <row r="43" ht="15" customHeight="1" x14ac:dyDescent="0.2"/>
    <row r="44" s="335" customFormat="1" x14ac:dyDescent="0.2"/>
    <row r="47" s="335" customFormat="1" x14ac:dyDescent="0.2"/>
    <row r="50" s="335" customFormat="1" x14ac:dyDescent="0.2"/>
    <row r="53" s="335" customFormat="1" x14ac:dyDescent="0.2"/>
    <row r="55" s="335" customFormat="1" x14ac:dyDescent="0.2"/>
    <row r="57" s="335" customFormat="1" x14ac:dyDescent="0.2"/>
  </sheetData>
  <mergeCells count="4">
    <mergeCell ref="A1:J1"/>
    <mergeCell ref="A2:A3"/>
    <mergeCell ref="C2:J2"/>
    <mergeCell ref="B2:B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130" zoomScaleNormal="130" workbookViewId="0">
      <selection sqref="A1:XFD1048576"/>
    </sheetView>
  </sheetViews>
  <sheetFormatPr defaultRowHeight="12" x14ac:dyDescent="0.2"/>
  <cols>
    <col min="1" max="1" width="19.28515625" style="322" customWidth="1"/>
    <col min="2" max="2" width="11" style="322" customWidth="1"/>
    <col min="3" max="4" width="10.28515625" style="322" bestFit="1" customWidth="1"/>
    <col min="5" max="5" width="10.85546875" style="322" customWidth="1"/>
    <col min="6" max="6" width="13" style="322" customWidth="1"/>
    <col min="7" max="7" width="13.140625" style="322" customWidth="1"/>
    <col min="8" max="8" width="12.85546875" style="322" customWidth="1"/>
    <col min="9" max="9" width="2" style="322" customWidth="1"/>
    <col min="10" max="10" width="12.7109375" style="322" customWidth="1"/>
    <col min="11" max="11" width="12.85546875" style="322" customWidth="1"/>
    <col min="12" max="12" width="13" style="322" customWidth="1"/>
    <col min="13" max="13" width="13.5703125" style="322" customWidth="1"/>
    <col min="14" max="14" width="11.28515625" style="322" customWidth="1"/>
    <col min="15" max="15" width="10.5703125" style="322" customWidth="1"/>
    <col min="16" max="16" width="11.42578125" style="322" customWidth="1"/>
    <col min="17" max="17" width="9.140625" style="322" customWidth="1"/>
    <col min="18" max="16384" width="9.140625" style="322"/>
  </cols>
  <sheetData>
    <row r="1" spans="1:18" ht="15" customHeight="1" x14ac:dyDescent="0.2">
      <c r="A1" s="596" t="s">
        <v>562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6"/>
      <c r="P1" s="596"/>
    </row>
    <row r="2" spans="1:18" x14ac:dyDescent="0.2">
      <c r="A2" s="597" t="s">
        <v>501</v>
      </c>
      <c r="B2" s="600" t="s">
        <v>52</v>
      </c>
      <c r="C2" s="603" t="s">
        <v>483</v>
      </c>
      <c r="D2" s="603"/>
      <c r="E2" s="603"/>
      <c r="F2" s="603"/>
      <c r="G2" s="603"/>
      <c r="H2" s="603"/>
      <c r="I2" s="603"/>
      <c r="J2" s="603"/>
      <c r="K2" s="603"/>
      <c r="L2" s="603"/>
      <c r="M2" s="603"/>
      <c r="N2" s="603"/>
      <c r="O2" s="603"/>
      <c r="P2" s="603"/>
    </row>
    <row r="3" spans="1:18" x14ac:dyDescent="0.2">
      <c r="A3" s="598"/>
      <c r="B3" s="601"/>
      <c r="C3" s="604" t="s">
        <v>71</v>
      </c>
      <c r="D3" s="604"/>
      <c r="E3" s="604"/>
      <c r="F3" s="604"/>
      <c r="G3" s="604"/>
      <c r="H3" s="604"/>
      <c r="I3" s="432"/>
      <c r="J3" s="604" t="s">
        <v>72</v>
      </c>
      <c r="K3" s="604"/>
      <c r="L3" s="604"/>
      <c r="M3" s="604"/>
      <c r="N3" s="604"/>
      <c r="O3" s="604"/>
      <c r="P3" s="604"/>
    </row>
    <row r="4" spans="1:18" ht="61.5" customHeight="1" x14ac:dyDescent="0.2">
      <c r="A4" s="599"/>
      <c r="B4" s="602"/>
      <c r="C4" s="87" t="s">
        <v>73</v>
      </c>
      <c r="D4" s="87" t="s">
        <v>74</v>
      </c>
      <c r="E4" s="87" t="s">
        <v>75</v>
      </c>
      <c r="F4" s="87" t="s">
        <v>76</v>
      </c>
      <c r="G4" s="87" t="s">
        <v>77</v>
      </c>
      <c r="H4" s="87" t="s">
        <v>78</v>
      </c>
      <c r="I4" s="384"/>
      <c r="J4" s="87" t="s">
        <v>73</v>
      </c>
      <c r="K4" s="87" t="s">
        <v>79</v>
      </c>
      <c r="L4" s="87" t="s">
        <v>80</v>
      </c>
      <c r="M4" s="87" t="s">
        <v>81</v>
      </c>
      <c r="N4" s="87" t="s">
        <v>77</v>
      </c>
      <c r="O4" s="87" t="s">
        <v>82</v>
      </c>
      <c r="P4" s="87" t="s">
        <v>83</v>
      </c>
    </row>
    <row r="5" spans="1:18" x14ac:dyDescent="0.2">
      <c r="A5" s="228" t="s">
        <v>457</v>
      </c>
      <c r="B5" s="229">
        <v>93784.445916290002</v>
      </c>
      <c r="C5" s="229">
        <v>4097.802647218542</v>
      </c>
      <c r="D5" s="229">
        <v>5208.1676601242061</v>
      </c>
      <c r="E5" s="229">
        <v>4457.3386115608255</v>
      </c>
      <c r="F5" s="229">
        <v>3933.3461335604648</v>
      </c>
      <c r="G5" s="229">
        <v>7072.7642701516952</v>
      </c>
      <c r="H5" s="229">
        <v>1311.11537785361</v>
      </c>
      <c r="I5" s="229"/>
      <c r="J5" s="229">
        <v>444.59967830329612</v>
      </c>
      <c r="K5" s="229">
        <v>3485.3439066988085</v>
      </c>
      <c r="L5" s="229">
        <v>1272.5531608579154</v>
      </c>
      <c r="M5" s="229">
        <v>917.55392792696216</v>
      </c>
      <c r="N5" s="229">
        <v>24728.588739905903</v>
      </c>
      <c r="O5" s="229">
        <v>10309.72213208506</v>
      </c>
      <c r="P5" s="229">
        <v>26545.549670112257</v>
      </c>
    </row>
    <row r="6" spans="1:18" x14ac:dyDescent="0.2">
      <c r="A6" s="232" t="s">
        <v>14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</row>
    <row r="7" spans="1:18" x14ac:dyDescent="0.2">
      <c r="A7" s="378" t="s">
        <v>5</v>
      </c>
      <c r="B7" s="68">
        <v>49596.681970736739</v>
      </c>
      <c r="C7" s="68">
        <v>2201.4489173129987</v>
      </c>
      <c r="D7" s="68">
        <v>3004.450377105537</v>
      </c>
      <c r="E7" s="68">
        <v>2748.1250523695007</v>
      </c>
      <c r="F7" s="68">
        <v>2049.4684150358798</v>
      </c>
      <c r="G7" s="68">
        <v>4045.6302359890824</v>
      </c>
      <c r="H7" s="68">
        <v>652.15514036835816</v>
      </c>
      <c r="I7" s="68"/>
      <c r="J7" s="68">
        <v>258.59369044171041</v>
      </c>
      <c r="K7" s="68">
        <v>2541.7037731572946</v>
      </c>
      <c r="L7" s="68">
        <v>801.86727693987837</v>
      </c>
      <c r="M7" s="68">
        <v>705.46173445064187</v>
      </c>
      <c r="N7" s="68">
        <v>15162.89055927948</v>
      </c>
      <c r="O7" s="68">
        <v>6253.8842504194281</v>
      </c>
      <c r="P7" s="68">
        <v>9171.0025478590269</v>
      </c>
      <c r="R7" s="322" t="s">
        <v>472</v>
      </c>
    </row>
    <row r="8" spans="1:18" x14ac:dyDescent="0.2">
      <c r="A8" s="72" t="s">
        <v>6</v>
      </c>
      <c r="B8" s="68">
        <v>44187.763945654406</v>
      </c>
      <c r="C8" s="68">
        <v>1896.3537299059162</v>
      </c>
      <c r="D8" s="68">
        <v>2203.7172830186273</v>
      </c>
      <c r="E8" s="68">
        <v>1709.213559191516</v>
      </c>
      <c r="F8" s="68">
        <v>1883.8777185249562</v>
      </c>
      <c r="G8" s="68">
        <v>3027.1340341618234</v>
      </c>
      <c r="H8" s="68">
        <v>658.96023748524544</v>
      </c>
      <c r="I8" s="68"/>
      <c r="J8" s="68">
        <v>186.00598786158116</v>
      </c>
      <c r="K8" s="68">
        <v>943.64013354169674</v>
      </c>
      <c r="L8" s="68">
        <v>470.6858839180307</v>
      </c>
      <c r="M8" s="68">
        <v>212.09219347631509</v>
      </c>
      <c r="N8" s="68">
        <v>9565.6981806385684</v>
      </c>
      <c r="O8" s="68">
        <v>4055.8378816644113</v>
      </c>
      <c r="P8" s="68">
        <v>17374.5471222667</v>
      </c>
    </row>
    <row r="9" spans="1:18" ht="12.75" customHeight="1" x14ac:dyDescent="0.2">
      <c r="A9" s="274" t="s">
        <v>542</v>
      </c>
      <c r="B9" s="278"/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8"/>
    </row>
    <row r="10" spans="1:18" s="335" customFormat="1" x14ac:dyDescent="0.2">
      <c r="A10" s="371" t="s">
        <v>458</v>
      </c>
      <c r="B10" s="69">
        <v>39689.594751383796</v>
      </c>
      <c r="C10" s="69">
        <v>2226.4009400749137</v>
      </c>
      <c r="D10" s="69">
        <v>2870.6168004734473</v>
      </c>
      <c r="E10" s="69">
        <v>2599.5470986508249</v>
      </c>
      <c r="F10" s="69">
        <v>2255.889694248086</v>
      </c>
      <c r="G10" s="69">
        <v>3730.3274029067015</v>
      </c>
      <c r="H10" s="69">
        <v>647.61840895709997</v>
      </c>
      <c r="I10" s="69"/>
      <c r="J10" s="69">
        <v>77.124433991387363</v>
      </c>
      <c r="K10" s="69">
        <v>1468.766794394832</v>
      </c>
      <c r="L10" s="69">
        <v>572.76234067133987</v>
      </c>
      <c r="M10" s="69">
        <v>382.21962139849603</v>
      </c>
      <c r="N10" s="69">
        <v>8221.6915000530607</v>
      </c>
      <c r="O10" s="69">
        <v>5771.856537973149</v>
      </c>
      <c r="P10" s="69">
        <v>8864.7731775990378</v>
      </c>
    </row>
    <row r="11" spans="1:18" x14ac:dyDescent="0.2">
      <c r="A11" s="61" t="s">
        <v>458</v>
      </c>
      <c r="B11" s="68">
        <v>39689.594751383796</v>
      </c>
      <c r="C11" s="68">
        <v>2226.4009400749137</v>
      </c>
      <c r="D11" s="68">
        <v>2870.6168004734473</v>
      </c>
      <c r="E11" s="68">
        <v>2599.5470986508249</v>
      </c>
      <c r="F11" s="68">
        <v>2255.889694248086</v>
      </c>
      <c r="G11" s="68">
        <v>3730.3274029067015</v>
      </c>
      <c r="H11" s="68">
        <v>647.61840895709997</v>
      </c>
      <c r="I11" s="68"/>
      <c r="J11" s="68">
        <v>77.124433991387363</v>
      </c>
      <c r="K11" s="68">
        <v>1468.766794394832</v>
      </c>
      <c r="L11" s="68">
        <v>572.76234067133987</v>
      </c>
      <c r="M11" s="68">
        <v>382.21962139849603</v>
      </c>
      <c r="N11" s="68">
        <v>8221.6915000530607</v>
      </c>
      <c r="O11" s="68">
        <v>5771.856537973149</v>
      </c>
      <c r="P11" s="68">
        <v>8864.7731775990378</v>
      </c>
    </row>
    <row r="12" spans="1:18" s="335" customFormat="1" x14ac:dyDescent="0.2">
      <c r="A12" s="371" t="s">
        <v>459</v>
      </c>
      <c r="B12" s="69">
        <v>22422.795000137165</v>
      </c>
      <c r="C12" s="69">
        <v>651.02095751554361</v>
      </c>
      <c r="D12" s="69">
        <v>885.79680804815484</v>
      </c>
      <c r="E12" s="69">
        <v>792.79381411736199</v>
      </c>
      <c r="F12" s="69">
        <v>636.2765804289545</v>
      </c>
      <c r="G12" s="69">
        <v>1630.9549423473122</v>
      </c>
      <c r="H12" s="69">
        <v>111.14991957582292</v>
      </c>
      <c r="I12" s="69"/>
      <c r="J12" s="69">
        <v>314.16865022962321</v>
      </c>
      <c r="K12" s="69">
        <v>1278.2240751219881</v>
      </c>
      <c r="L12" s="69">
        <v>513.78483232498343</v>
      </c>
      <c r="M12" s="69">
        <v>350.46250151968871</v>
      </c>
      <c r="N12" s="69">
        <v>9406.9125812445</v>
      </c>
      <c r="O12" s="69">
        <v>1446.0831373385411</v>
      </c>
      <c r="P12" s="69">
        <v>4405.1662003313459</v>
      </c>
    </row>
    <row r="13" spans="1:18" x14ac:dyDescent="0.2">
      <c r="A13" s="61" t="s">
        <v>459</v>
      </c>
      <c r="B13" s="68">
        <v>18748.042557023189</v>
      </c>
      <c r="C13" s="68">
        <v>492.23535812150709</v>
      </c>
      <c r="D13" s="68">
        <v>827.95348255461295</v>
      </c>
      <c r="E13" s="68">
        <v>724.74284294848917</v>
      </c>
      <c r="F13" s="68">
        <v>572.76234067133987</v>
      </c>
      <c r="G13" s="68">
        <v>1551.5621426502939</v>
      </c>
      <c r="H13" s="68">
        <v>99.808091047677735</v>
      </c>
      <c r="I13" s="68"/>
      <c r="J13" s="68">
        <v>293.75335887896136</v>
      </c>
      <c r="K13" s="68">
        <v>1045.716590295006</v>
      </c>
      <c r="L13" s="68">
        <v>457.07568968425613</v>
      </c>
      <c r="M13" s="68">
        <v>335.7181244330996</v>
      </c>
      <c r="N13" s="68">
        <v>8170.6532716763968</v>
      </c>
      <c r="O13" s="68">
        <v>1118.304292875137</v>
      </c>
      <c r="P13" s="68">
        <v>3057.75697118781</v>
      </c>
    </row>
    <row r="14" spans="1:18" x14ac:dyDescent="0.2">
      <c r="A14" s="61" t="s">
        <v>473</v>
      </c>
      <c r="B14" s="68">
        <v>3674.7524431187999</v>
      </c>
      <c r="C14" s="68">
        <v>158.78559939403272</v>
      </c>
      <c r="D14" s="68">
        <v>57.84332549354054</v>
      </c>
      <c r="E14" s="68">
        <v>68.050971168871214</v>
      </c>
      <c r="F14" s="68">
        <v>63.514239757613133</v>
      </c>
      <c r="G14" s="68">
        <v>79.3927996970164</v>
      </c>
      <c r="H14" s="68">
        <v>11.341828528145216</v>
      </c>
      <c r="I14" s="68"/>
      <c r="J14" s="68">
        <v>20.415291350661391</v>
      </c>
      <c r="K14" s="68">
        <v>232.50748482697642</v>
      </c>
      <c r="L14" s="68">
        <v>56.709142640726022</v>
      </c>
      <c r="M14" s="68">
        <v>14.744377086588782</v>
      </c>
      <c r="N14" s="68">
        <v>1236.2593095678499</v>
      </c>
      <c r="O14" s="68">
        <v>327.77884446339777</v>
      </c>
      <c r="P14" s="68">
        <v>1347.4092291436755</v>
      </c>
    </row>
    <row r="15" spans="1:18" s="335" customFormat="1" x14ac:dyDescent="0.2">
      <c r="A15" s="371" t="s">
        <v>461</v>
      </c>
      <c r="B15" s="69">
        <v>4164.7194355346137</v>
      </c>
      <c r="C15" s="69">
        <v>289.21662746770318</v>
      </c>
      <c r="D15" s="69">
        <v>72.587702580129289</v>
      </c>
      <c r="E15" s="69">
        <v>63.514239757613133</v>
      </c>
      <c r="F15" s="69">
        <v>61.245874051984096</v>
      </c>
      <c r="G15" s="69">
        <v>90.734628225161586</v>
      </c>
      <c r="H15" s="69">
        <v>325.51047875776868</v>
      </c>
      <c r="I15" s="69"/>
      <c r="J15" s="69">
        <v>1.1341828528145215</v>
      </c>
      <c r="K15" s="69">
        <v>62.380056904798614</v>
      </c>
      <c r="L15" s="69">
        <v>1.1341828528145215</v>
      </c>
      <c r="M15" s="69">
        <v>82.795348255459956</v>
      </c>
      <c r="N15" s="69">
        <v>1018.4962018274568</v>
      </c>
      <c r="O15" s="69">
        <v>560.28632929037985</v>
      </c>
      <c r="P15" s="69">
        <v>1535.6835827108903</v>
      </c>
    </row>
    <row r="16" spans="1:18" x14ac:dyDescent="0.2">
      <c r="A16" s="61" t="s">
        <v>461</v>
      </c>
      <c r="B16" s="68">
        <v>4164.7194355346137</v>
      </c>
      <c r="C16" s="68">
        <v>289.21662746770318</v>
      </c>
      <c r="D16" s="68">
        <v>72.587702580129289</v>
      </c>
      <c r="E16" s="68">
        <v>63.514239757613133</v>
      </c>
      <c r="F16" s="68">
        <v>61.245874051984096</v>
      </c>
      <c r="G16" s="68">
        <v>90.734628225161586</v>
      </c>
      <c r="H16" s="68">
        <v>325.51047875776868</v>
      </c>
      <c r="I16" s="68"/>
      <c r="J16" s="68">
        <v>1.1341828528145215</v>
      </c>
      <c r="K16" s="68">
        <v>62.380056904798614</v>
      </c>
      <c r="L16" s="68">
        <v>1.1341828528145215</v>
      </c>
      <c r="M16" s="68">
        <v>82.795348255459956</v>
      </c>
      <c r="N16" s="68">
        <v>1018.4962018274568</v>
      </c>
      <c r="O16" s="68">
        <v>560.28632929037985</v>
      </c>
      <c r="P16" s="68">
        <v>1535.6835827108903</v>
      </c>
    </row>
    <row r="17" spans="1:18" s="335" customFormat="1" x14ac:dyDescent="0.2">
      <c r="A17" s="371" t="s">
        <v>462</v>
      </c>
      <c r="B17" s="69">
        <v>12694.908671554531</v>
      </c>
      <c r="C17" s="69">
        <v>702.05918589219823</v>
      </c>
      <c r="D17" s="69">
        <v>916.41974507414761</v>
      </c>
      <c r="E17" s="69">
        <v>740.62140288789283</v>
      </c>
      <c r="F17" s="69">
        <v>719.07192868441643</v>
      </c>
      <c r="G17" s="69">
        <v>1184.0868983383807</v>
      </c>
      <c r="H17" s="69">
        <v>73.721885432943807</v>
      </c>
      <c r="I17" s="69"/>
      <c r="J17" s="69">
        <v>18.146925645032347</v>
      </c>
      <c r="K17" s="69">
        <v>437.79458118640883</v>
      </c>
      <c r="L17" s="69">
        <v>7.9392799697016496</v>
      </c>
      <c r="M17" s="69">
        <v>49.90404552383891</v>
      </c>
      <c r="N17" s="69">
        <v>2143.6055918194684</v>
      </c>
      <c r="O17" s="69">
        <v>809.80655690958019</v>
      </c>
      <c r="P17" s="69">
        <v>4891.7306441888841</v>
      </c>
      <c r="R17" s="393"/>
    </row>
    <row r="18" spans="1:18" x14ac:dyDescent="0.2">
      <c r="A18" s="61" t="s">
        <v>462</v>
      </c>
      <c r="B18" s="68">
        <v>12694.908671554531</v>
      </c>
      <c r="C18" s="68">
        <v>702.05918589219823</v>
      </c>
      <c r="D18" s="68">
        <v>916.41974507414761</v>
      </c>
      <c r="E18" s="68">
        <v>740.62140288789283</v>
      </c>
      <c r="F18" s="68">
        <v>719.07192868441643</v>
      </c>
      <c r="G18" s="68">
        <v>1184.0868983383807</v>
      </c>
      <c r="H18" s="68">
        <v>73.721885432943807</v>
      </c>
      <c r="I18" s="68"/>
      <c r="J18" s="68">
        <v>18.146925645032347</v>
      </c>
      <c r="K18" s="68">
        <v>437.79458118640883</v>
      </c>
      <c r="L18" s="68">
        <v>7.9392799697016496</v>
      </c>
      <c r="M18" s="68">
        <v>49.90404552383891</v>
      </c>
      <c r="N18" s="68">
        <v>2143.6055918194684</v>
      </c>
      <c r="O18" s="68">
        <v>809.80655690958019</v>
      </c>
      <c r="P18" s="68">
        <v>4891.7306441888841</v>
      </c>
    </row>
    <row r="19" spans="1:18" s="335" customFormat="1" x14ac:dyDescent="0.2">
      <c r="A19" s="371" t="s">
        <v>463</v>
      </c>
      <c r="B19" s="69">
        <v>5439.5409620984201</v>
      </c>
      <c r="C19" s="69">
        <v>124.76011380959714</v>
      </c>
      <c r="D19" s="69">
        <v>325.51047875776868</v>
      </c>
      <c r="E19" s="69">
        <v>146.30958801307301</v>
      </c>
      <c r="F19" s="69">
        <v>127.02847951522618</v>
      </c>
      <c r="G19" s="69">
        <v>168.99324506936338</v>
      </c>
      <c r="H19" s="69">
        <v>121.35756525115359</v>
      </c>
      <c r="I19" s="69"/>
      <c r="J19" s="69">
        <v>1.1341828528145215</v>
      </c>
      <c r="K19" s="69">
        <v>3.4025485584435646</v>
      </c>
      <c r="L19" s="69">
        <v>1.1341828528145215</v>
      </c>
      <c r="M19" s="69">
        <v>24.95202276191948</v>
      </c>
      <c r="N19" s="69">
        <v>523.99247800031435</v>
      </c>
      <c r="O19" s="69">
        <v>844.96622534683115</v>
      </c>
      <c r="P19" s="69">
        <v>3025.999851309009</v>
      </c>
    </row>
    <row r="20" spans="1:18" x14ac:dyDescent="0.2">
      <c r="A20" s="61" t="s">
        <v>463</v>
      </c>
      <c r="B20" s="68">
        <v>5439.5409620984201</v>
      </c>
      <c r="C20" s="68">
        <v>124.76011380959714</v>
      </c>
      <c r="D20" s="68">
        <v>325.51047875776868</v>
      </c>
      <c r="E20" s="68">
        <v>146.30958801307301</v>
      </c>
      <c r="F20" s="68">
        <v>127.02847951522618</v>
      </c>
      <c r="G20" s="68">
        <v>168.99324506936338</v>
      </c>
      <c r="H20" s="68">
        <v>121.35756525115359</v>
      </c>
      <c r="I20" s="68"/>
      <c r="J20" s="68">
        <v>1.1341828528145215</v>
      </c>
      <c r="K20" s="68">
        <v>3.4025485584435646</v>
      </c>
      <c r="L20" s="68">
        <v>1.1341828528145215</v>
      </c>
      <c r="M20" s="68">
        <v>24.95202276191948</v>
      </c>
      <c r="N20" s="68">
        <v>523.99247800031435</v>
      </c>
      <c r="O20" s="68">
        <v>844.96622534683115</v>
      </c>
      <c r="P20" s="68">
        <v>3025.999851309009</v>
      </c>
    </row>
    <row r="21" spans="1:18" s="335" customFormat="1" x14ac:dyDescent="0.2">
      <c r="A21" s="371" t="s">
        <v>464</v>
      </c>
      <c r="B21" s="69">
        <v>2944.338685906378</v>
      </c>
      <c r="C21" s="69">
        <v>39.696399848508243</v>
      </c>
      <c r="D21" s="69">
        <v>46.501496965395354</v>
      </c>
      <c r="E21" s="69">
        <v>36.293851290064687</v>
      </c>
      <c r="F21" s="69">
        <v>45.367314112580836</v>
      </c>
      <c r="G21" s="69">
        <v>70.319336874500252</v>
      </c>
      <c r="H21" s="69">
        <v>13.61019423377426</v>
      </c>
      <c r="I21" s="69"/>
      <c r="J21" s="69">
        <v>17.012742792217825</v>
      </c>
      <c r="K21" s="69">
        <v>150.84631942433109</v>
      </c>
      <c r="L21" s="69">
        <v>34.02548558443565</v>
      </c>
      <c r="M21" s="69">
        <v>14.744377086588782</v>
      </c>
      <c r="N21" s="69">
        <v>1653.6385994036032</v>
      </c>
      <c r="O21" s="69">
        <v>288.08244461488863</v>
      </c>
      <c r="P21" s="69">
        <v>534.20012367564527</v>
      </c>
    </row>
    <row r="22" spans="1:18" x14ac:dyDescent="0.2">
      <c r="A22" s="61" t="s">
        <v>464</v>
      </c>
      <c r="B22" s="68">
        <v>640.81331184021269</v>
      </c>
      <c r="C22" s="68">
        <v>5.6709142640726071</v>
      </c>
      <c r="D22" s="68">
        <v>11.341828528145216</v>
      </c>
      <c r="E22" s="68">
        <v>2.2683657056290429</v>
      </c>
      <c r="F22" s="68">
        <v>7.9392799697016496</v>
      </c>
      <c r="G22" s="68">
        <v>43.098948406951799</v>
      </c>
      <c r="H22" s="11">
        <v>0</v>
      </c>
      <c r="I22" s="11"/>
      <c r="J22" s="68">
        <v>1.1341828528145215</v>
      </c>
      <c r="K22" s="68">
        <v>137.23612519055686</v>
      </c>
      <c r="L22" s="68">
        <v>19.281108497846869</v>
      </c>
      <c r="M22" s="68">
        <v>1.1341828528145215</v>
      </c>
      <c r="N22" s="68">
        <v>337.9864901387287</v>
      </c>
      <c r="O22" s="68">
        <v>5.6709142640726071</v>
      </c>
      <c r="P22" s="68">
        <v>68.050971168871214</v>
      </c>
    </row>
    <row r="23" spans="1:18" x14ac:dyDescent="0.2">
      <c r="A23" s="61" t="s">
        <v>465</v>
      </c>
      <c r="B23" s="68">
        <v>2303.5253740662874</v>
      </c>
      <c r="C23" s="68">
        <v>34.02548558443565</v>
      </c>
      <c r="D23" s="68">
        <v>35.159668437250168</v>
      </c>
      <c r="E23" s="68">
        <v>34.02548558443565</v>
      </c>
      <c r="F23" s="68">
        <v>37.428034142879206</v>
      </c>
      <c r="G23" s="68">
        <v>27.220388467548524</v>
      </c>
      <c r="H23" s="68">
        <v>13.61019423377426</v>
      </c>
      <c r="I23" s="68"/>
      <c r="J23" s="68">
        <v>15.878559939403305</v>
      </c>
      <c r="K23" s="68">
        <v>13.61019423377426</v>
      </c>
      <c r="L23" s="68">
        <v>14.744377086588782</v>
      </c>
      <c r="M23" s="68">
        <v>13.61019423377426</v>
      </c>
      <c r="N23" s="68">
        <v>1315.6521092648682</v>
      </c>
      <c r="O23" s="68">
        <v>282.41153035081589</v>
      </c>
      <c r="P23" s="68">
        <v>466.14915250677251</v>
      </c>
    </row>
    <row r="24" spans="1:18" s="335" customFormat="1" x14ac:dyDescent="0.2">
      <c r="A24" s="371" t="s">
        <v>466</v>
      </c>
      <c r="B24" s="69">
        <v>1390.5081775506283</v>
      </c>
      <c r="C24" s="69">
        <v>22.683657056290436</v>
      </c>
      <c r="D24" s="69">
        <v>26.086205614734002</v>
      </c>
      <c r="E24" s="69">
        <v>18.146925645032347</v>
      </c>
      <c r="F24" s="69">
        <v>40.830582701322761</v>
      </c>
      <c r="G24" s="69">
        <v>88.466262519532549</v>
      </c>
      <c r="H24" s="69">
        <v>3.4025485584435646</v>
      </c>
      <c r="I24" s="69"/>
      <c r="J24" s="69">
        <v>2.2683657056290429</v>
      </c>
      <c r="K24" s="69">
        <v>29.488754173177568</v>
      </c>
      <c r="L24" s="9">
        <v>0</v>
      </c>
      <c r="M24" s="69">
        <v>1.1341828528145215</v>
      </c>
      <c r="N24" s="69">
        <v>466.14915250677251</v>
      </c>
      <c r="O24" s="69">
        <v>133.83357663211331</v>
      </c>
      <c r="P24" s="69">
        <v>558.01796358475076</v>
      </c>
    </row>
    <row r="25" spans="1:18" x14ac:dyDescent="0.2">
      <c r="A25" s="61" t="s">
        <v>466</v>
      </c>
      <c r="B25" s="68">
        <v>1390.5081775506283</v>
      </c>
      <c r="C25" s="68">
        <v>22.683657056290436</v>
      </c>
      <c r="D25" s="68">
        <v>26.086205614734002</v>
      </c>
      <c r="E25" s="68">
        <v>18.146925645032347</v>
      </c>
      <c r="F25" s="68">
        <v>40.830582701322761</v>
      </c>
      <c r="G25" s="68">
        <v>88.466262519532549</v>
      </c>
      <c r="H25" s="68">
        <v>3.4025485584435646</v>
      </c>
      <c r="I25" s="68"/>
      <c r="J25" s="68">
        <v>2.2683657056290429</v>
      </c>
      <c r="K25" s="68">
        <v>29.488754173177568</v>
      </c>
      <c r="L25" s="11">
        <v>0</v>
      </c>
      <c r="M25" s="68">
        <v>1.1341828528145215</v>
      </c>
      <c r="N25" s="68">
        <v>466.14915250677251</v>
      </c>
      <c r="O25" s="68">
        <v>133.83357663211331</v>
      </c>
      <c r="P25" s="68">
        <v>558.01796358475076</v>
      </c>
    </row>
    <row r="26" spans="1:18" s="335" customFormat="1" x14ac:dyDescent="0.2">
      <c r="A26" s="371" t="s">
        <v>467</v>
      </c>
      <c r="B26" s="69">
        <v>3188.1879992614568</v>
      </c>
      <c r="C26" s="69">
        <v>32.891302731621131</v>
      </c>
      <c r="D26" s="69">
        <v>60.111691199169577</v>
      </c>
      <c r="E26" s="69">
        <v>49.90404552383891</v>
      </c>
      <c r="F26" s="69">
        <v>39.696399848508243</v>
      </c>
      <c r="G26" s="69">
        <v>95.27135963641966</v>
      </c>
      <c r="H26" s="69">
        <v>11.341828528145216</v>
      </c>
      <c r="I26" s="69"/>
      <c r="J26" s="69">
        <v>13.61019423377426</v>
      </c>
      <c r="K26" s="69">
        <v>32.891302731621131</v>
      </c>
      <c r="L26" s="69">
        <v>100.94227390049225</v>
      </c>
      <c r="M26" s="69">
        <v>9.0734628225161718</v>
      </c>
      <c r="N26" s="69">
        <v>500.17463809120892</v>
      </c>
      <c r="O26" s="69">
        <v>285.81407890925954</v>
      </c>
      <c r="P26" s="69">
        <v>1956.4654211050872</v>
      </c>
    </row>
    <row r="27" spans="1:18" x14ac:dyDescent="0.2">
      <c r="A27" s="61" t="s">
        <v>467</v>
      </c>
      <c r="B27" s="68">
        <v>3188.1879992614568</v>
      </c>
      <c r="C27" s="68">
        <v>32.891302731621131</v>
      </c>
      <c r="D27" s="68">
        <v>60.111691199169577</v>
      </c>
      <c r="E27" s="68">
        <v>49.90404552383891</v>
      </c>
      <c r="F27" s="68">
        <v>39.696399848508243</v>
      </c>
      <c r="G27" s="68">
        <v>95.27135963641966</v>
      </c>
      <c r="H27" s="68">
        <v>11.341828528145216</v>
      </c>
      <c r="I27" s="68"/>
      <c r="J27" s="68">
        <v>13.61019423377426</v>
      </c>
      <c r="K27" s="68">
        <v>32.891302731621131</v>
      </c>
      <c r="L27" s="68">
        <v>100.94227390049225</v>
      </c>
      <c r="M27" s="68">
        <v>9.0734628225161718</v>
      </c>
      <c r="N27" s="68">
        <v>500.17463809120892</v>
      </c>
      <c r="O27" s="68">
        <v>285.81407890925954</v>
      </c>
      <c r="P27" s="68">
        <v>1956.4654211050872</v>
      </c>
    </row>
    <row r="28" spans="1:18" s="335" customFormat="1" x14ac:dyDescent="0.2">
      <c r="A28" s="371" t="s">
        <v>468</v>
      </c>
      <c r="B28" s="69">
        <v>1849.8522329405198</v>
      </c>
      <c r="C28" s="69">
        <v>9.0734628225161718</v>
      </c>
      <c r="D28" s="69">
        <v>4.5367314112580859</v>
      </c>
      <c r="E28" s="69">
        <v>10.207645675330694</v>
      </c>
      <c r="F28" s="69">
        <v>7.9392799697016496</v>
      </c>
      <c r="G28" s="69">
        <v>13.61019423377426</v>
      </c>
      <c r="H28" s="69">
        <v>3.4025485584435646</v>
      </c>
      <c r="I28" s="69"/>
      <c r="J28" s="9">
        <v>0</v>
      </c>
      <c r="K28" s="69">
        <v>21.549474203475913</v>
      </c>
      <c r="L28" s="69">
        <v>40.830582701322761</v>
      </c>
      <c r="M28" s="69">
        <v>2.2683657056290429</v>
      </c>
      <c r="N28" s="69">
        <v>793.92799697017654</v>
      </c>
      <c r="O28" s="69">
        <v>168.99324506936338</v>
      </c>
      <c r="P28" s="69">
        <v>773.51270561951469</v>
      </c>
    </row>
    <row r="29" spans="1:18" x14ac:dyDescent="0.2">
      <c r="A29" s="61" t="s">
        <v>468</v>
      </c>
      <c r="B29" s="68">
        <v>1849.8522329405198</v>
      </c>
      <c r="C29" s="68">
        <v>9.0734628225161718</v>
      </c>
      <c r="D29" s="68">
        <v>4.5367314112580859</v>
      </c>
      <c r="E29" s="68">
        <v>10.207645675330694</v>
      </c>
      <c r="F29" s="68">
        <v>7.9392799697016496</v>
      </c>
      <c r="G29" s="68">
        <v>13.61019423377426</v>
      </c>
      <c r="H29" s="68">
        <v>3.4025485584435646</v>
      </c>
      <c r="I29" s="68"/>
      <c r="J29" s="11">
        <v>0</v>
      </c>
      <c r="K29" s="68">
        <v>21.549474203475913</v>
      </c>
      <c r="L29" s="68">
        <v>40.830582701322761</v>
      </c>
      <c r="M29" s="68">
        <v>2.2683657056290429</v>
      </c>
      <c r="N29" s="68">
        <v>793.92799697017654</v>
      </c>
      <c r="O29" s="68">
        <v>168.99324506936338</v>
      </c>
      <c r="P29" s="68">
        <v>773.51270561951469</v>
      </c>
    </row>
    <row r="34" spans="3:3" x14ac:dyDescent="0.2">
      <c r="C34" s="335"/>
    </row>
  </sheetData>
  <mergeCells count="6">
    <mergeCell ref="A1:P1"/>
    <mergeCell ref="A2:A4"/>
    <mergeCell ref="B2:B4"/>
    <mergeCell ref="C2:P2"/>
    <mergeCell ref="C3:H3"/>
    <mergeCell ref="J3:P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zoomScale="120" zoomScaleNormal="120" workbookViewId="0">
      <selection activeCell="R20" sqref="R20"/>
    </sheetView>
  </sheetViews>
  <sheetFormatPr defaultRowHeight="12" x14ac:dyDescent="0.2"/>
  <cols>
    <col min="1" max="1" width="17.42578125" style="322" customWidth="1"/>
    <col min="2" max="2" width="11.42578125" style="322" customWidth="1"/>
    <col min="3" max="3" width="10.7109375" style="322" customWidth="1"/>
    <col min="4" max="4" width="12" style="322" customWidth="1"/>
    <col min="5" max="5" width="10.85546875" style="322" customWidth="1"/>
    <col min="6" max="6" width="10.140625" style="322" customWidth="1"/>
    <col min="7" max="7" width="11.5703125" style="322" customWidth="1"/>
    <col min="8" max="8" width="9.7109375" style="322" customWidth="1"/>
    <col min="9" max="9" width="10.28515625" style="322" customWidth="1"/>
    <col min="10" max="10" width="10.85546875" style="322" customWidth="1"/>
    <col min="11" max="11" width="11.42578125" style="435" customWidth="1"/>
    <col min="12" max="16384" width="9.140625" style="322"/>
  </cols>
  <sheetData>
    <row r="1" spans="1:14" ht="22.5" customHeight="1" x14ac:dyDescent="0.2">
      <c r="A1" s="605" t="s">
        <v>561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</row>
    <row r="2" spans="1:14" ht="15" customHeight="1" x14ac:dyDescent="0.2">
      <c r="A2" s="579" t="s">
        <v>501</v>
      </c>
      <c r="B2" s="606" t="s">
        <v>52</v>
      </c>
      <c r="C2" s="608" t="s">
        <v>84</v>
      </c>
      <c r="D2" s="608"/>
      <c r="E2" s="608"/>
      <c r="F2" s="608"/>
      <c r="G2" s="608"/>
      <c r="H2" s="608"/>
      <c r="I2" s="608"/>
      <c r="J2" s="608"/>
      <c r="K2" s="608"/>
    </row>
    <row r="3" spans="1:14" ht="40.5" customHeight="1" x14ac:dyDescent="0.2">
      <c r="A3" s="580"/>
      <c r="B3" s="607"/>
      <c r="C3" s="438" t="s">
        <v>85</v>
      </c>
      <c r="D3" s="438" t="s">
        <v>86</v>
      </c>
      <c r="E3" s="438" t="s">
        <v>87</v>
      </c>
      <c r="F3" s="438" t="s">
        <v>88</v>
      </c>
      <c r="G3" s="438" t="s">
        <v>89</v>
      </c>
      <c r="H3" s="438" t="s">
        <v>90</v>
      </c>
      <c r="I3" s="438" t="s">
        <v>91</v>
      </c>
      <c r="J3" s="438" t="s">
        <v>92</v>
      </c>
      <c r="K3" s="439" t="s">
        <v>93</v>
      </c>
    </row>
    <row r="4" spans="1:14" x14ac:dyDescent="0.2">
      <c r="A4" s="228" t="s">
        <v>457</v>
      </c>
      <c r="B4" s="229">
        <v>93784.445916290002</v>
      </c>
      <c r="C4" s="229">
        <v>4169.2561669458728</v>
      </c>
      <c r="D4" s="229">
        <v>3878.9053566253774</v>
      </c>
      <c r="E4" s="229">
        <v>2317.1355683000593</v>
      </c>
      <c r="F4" s="229">
        <v>2109.5801062350388</v>
      </c>
      <c r="G4" s="229">
        <v>2337.550859650717</v>
      </c>
      <c r="H4" s="229">
        <v>2457.7742420490349</v>
      </c>
      <c r="I4" s="229">
        <v>72175.994204566887</v>
      </c>
      <c r="J4" s="229">
        <v>4207.8183839415751</v>
      </c>
      <c r="K4" s="436">
        <v>130.43102807366975</v>
      </c>
    </row>
    <row r="5" spans="1:14" x14ac:dyDescent="0.2">
      <c r="A5" s="232" t="s">
        <v>14</v>
      </c>
      <c r="B5" s="69"/>
      <c r="C5" s="69"/>
      <c r="D5" s="69"/>
      <c r="E5" s="69"/>
      <c r="F5" s="69"/>
      <c r="G5" s="69"/>
      <c r="H5" s="69"/>
      <c r="I5" s="69"/>
      <c r="J5" s="69"/>
      <c r="K5" s="433"/>
    </row>
    <row r="6" spans="1:14" x14ac:dyDescent="0.2">
      <c r="A6" s="380" t="s">
        <v>5</v>
      </c>
      <c r="B6" s="69">
        <v>49596.681970736739</v>
      </c>
      <c r="C6" s="69">
        <v>2502.0073733087934</v>
      </c>
      <c r="D6" s="69">
        <v>2531.4961274819657</v>
      </c>
      <c r="E6" s="69">
        <v>1298.63936647265</v>
      </c>
      <c r="F6" s="69">
        <v>1144.3904984898716</v>
      </c>
      <c r="G6" s="69">
        <v>1190.891995455268</v>
      </c>
      <c r="H6" s="69">
        <v>1261.2113323297699</v>
      </c>
      <c r="I6" s="69">
        <v>37126.341504018295</v>
      </c>
      <c r="J6" s="69">
        <v>2470.2502534299924</v>
      </c>
      <c r="K6" s="433">
        <v>71.45351972731477</v>
      </c>
    </row>
    <row r="7" spans="1:14" x14ac:dyDescent="0.2">
      <c r="A7" s="72" t="s">
        <v>6</v>
      </c>
      <c r="B7" s="68">
        <v>44187.763945654406</v>
      </c>
      <c r="C7" s="68">
        <v>1667.2487936373777</v>
      </c>
      <c r="D7" s="68">
        <v>1347.4092291436755</v>
      </c>
      <c r="E7" s="68">
        <v>1018.4962018274568</v>
      </c>
      <c r="F7" s="68">
        <v>965.18960774517313</v>
      </c>
      <c r="G7" s="68">
        <v>1146.6588641955007</v>
      </c>
      <c r="H7" s="68">
        <v>1196.5629097193407</v>
      </c>
      <c r="I7" s="68">
        <v>35049.652700511113</v>
      </c>
      <c r="J7" s="68">
        <v>1737.5681305118796</v>
      </c>
      <c r="K7" s="434">
        <v>58.977508346355059</v>
      </c>
    </row>
    <row r="8" spans="1:14" x14ac:dyDescent="0.2">
      <c r="A8" s="234" t="s">
        <v>542</v>
      </c>
      <c r="B8" s="235"/>
      <c r="C8" s="235"/>
      <c r="D8" s="235"/>
      <c r="E8" s="235"/>
      <c r="F8" s="235"/>
      <c r="G8" s="235"/>
      <c r="H8" s="235"/>
      <c r="I8" s="235"/>
      <c r="J8" s="235"/>
      <c r="K8" s="437"/>
    </row>
    <row r="9" spans="1:14" s="335" customFormat="1" x14ac:dyDescent="0.2">
      <c r="A9" s="371" t="s">
        <v>458</v>
      </c>
      <c r="B9" s="69">
        <v>39689.594751383796</v>
      </c>
      <c r="C9" s="69">
        <v>1947.3919582825708</v>
      </c>
      <c r="D9" s="69">
        <v>1789.7405417413488</v>
      </c>
      <c r="E9" s="69">
        <v>1272.5531608579154</v>
      </c>
      <c r="F9" s="69">
        <v>1228.320029598148</v>
      </c>
      <c r="G9" s="69">
        <v>1341.7383148796027</v>
      </c>
      <c r="H9" s="69">
        <v>1393.9107261090719</v>
      </c>
      <c r="I9" s="69">
        <v>28309.204006236403</v>
      </c>
      <c r="J9" s="69">
        <v>2333.0141282394598</v>
      </c>
      <c r="K9" s="433">
        <v>73.721885432943807</v>
      </c>
    </row>
    <row r="10" spans="1:14" x14ac:dyDescent="0.2">
      <c r="A10" s="61" t="s">
        <v>458</v>
      </c>
      <c r="B10" s="68">
        <v>39689.594751383796</v>
      </c>
      <c r="C10" s="68">
        <v>1947.3919582825708</v>
      </c>
      <c r="D10" s="68">
        <v>1789.7405417413488</v>
      </c>
      <c r="E10" s="68">
        <v>1272.5531608579154</v>
      </c>
      <c r="F10" s="68">
        <v>1228.320029598148</v>
      </c>
      <c r="G10" s="68">
        <v>1341.7383148796027</v>
      </c>
      <c r="H10" s="68">
        <v>1393.9107261090719</v>
      </c>
      <c r="I10" s="68">
        <v>28309.204006236403</v>
      </c>
      <c r="J10" s="68">
        <v>2333.0141282394598</v>
      </c>
      <c r="K10" s="434">
        <v>73.721885432943807</v>
      </c>
    </row>
    <row r="11" spans="1:14" s="335" customFormat="1" x14ac:dyDescent="0.2">
      <c r="A11" s="371" t="s">
        <v>459</v>
      </c>
      <c r="B11" s="69">
        <v>22422.795000137165</v>
      </c>
      <c r="C11" s="69">
        <v>534.20012367564527</v>
      </c>
      <c r="D11" s="69">
        <v>1266.8822465938426</v>
      </c>
      <c r="E11" s="69">
        <v>377.68288998723784</v>
      </c>
      <c r="F11" s="69">
        <v>340.25485584435779</v>
      </c>
      <c r="G11" s="69">
        <v>313.03446737680866</v>
      </c>
      <c r="H11" s="69">
        <v>392.42726707382695</v>
      </c>
      <c r="I11" s="69">
        <v>18633.490088889081</v>
      </c>
      <c r="J11" s="69">
        <v>546.67613505660529</v>
      </c>
      <c r="K11" s="433">
        <v>18.146925645032347</v>
      </c>
    </row>
    <row r="12" spans="1:14" x14ac:dyDescent="0.2">
      <c r="A12" s="61" t="s">
        <v>459</v>
      </c>
      <c r="B12" s="68">
        <v>18748.042557023189</v>
      </c>
      <c r="C12" s="68">
        <v>441.19712974485248</v>
      </c>
      <c r="D12" s="68">
        <v>1211.3072868059298</v>
      </c>
      <c r="E12" s="68">
        <v>336.85230728591415</v>
      </c>
      <c r="F12" s="68">
        <v>306.22937025992138</v>
      </c>
      <c r="G12" s="68">
        <v>273.33806752829952</v>
      </c>
      <c r="H12" s="68">
        <v>335.7181244330996</v>
      </c>
      <c r="I12" s="68">
        <v>15351.164912846732</v>
      </c>
      <c r="J12" s="68">
        <v>474.08843247647434</v>
      </c>
      <c r="K12" s="434">
        <v>18.146925645032347</v>
      </c>
      <c r="N12" s="340"/>
    </row>
    <row r="13" spans="1:14" ht="18" customHeight="1" x14ac:dyDescent="0.2">
      <c r="A13" s="440" t="s">
        <v>473</v>
      </c>
      <c r="B13" s="68">
        <v>3674.7524431187999</v>
      </c>
      <c r="C13" s="68">
        <v>93.002993930790623</v>
      </c>
      <c r="D13" s="68">
        <v>55.574959787911503</v>
      </c>
      <c r="E13" s="68">
        <v>40.830582701322761</v>
      </c>
      <c r="F13" s="68">
        <v>34.02548558443565</v>
      </c>
      <c r="G13" s="68">
        <v>39.696399848508243</v>
      </c>
      <c r="H13" s="68">
        <v>56.709142640726022</v>
      </c>
      <c r="I13" s="68">
        <v>3282.3251760450453</v>
      </c>
      <c r="J13" s="68">
        <v>72.587702580129289</v>
      </c>
      <c r="K13" s="434">
        <v>0</v>
      </c>
    </row>
    <row r="14" spans="1:14" s="335" customFormat="1" x14ac:dyDescent="0.2">
      <c r="A14" s="371" t="s">
        <v>461</v>
      </c>
      <c r="B14" s="69">
        <v>4164.7194355346137</v>
      </c>
      <c r="C14" s="69">
        <v>288.08244461488863</v>
      </c>
      <c r="D14" s="69">
        <v>91.868811077976105</v>
      </c>
      <c r="E14" s="69">
        <v>32.891302731621131</v>
      </c>
      <c r="F14" s="69">
        <v>44.233131259766317</v>
      </c>
      <c r="G14" s="69">
        <v>29.488754173177568</v>
      </c>
      <c r="H14" s="69">
        <v>43.098948406951799</v>
      </c>
      <c r="I14" s="69">
        <v>3593.0912777161689</v>
      </c>
      <c r="J14" s="69">
        <v>31.757119878806613</v>
      </c>
      <c r="K14" s="433">
        <v>10.207645675330694</v>
      </c>
    </row>
    <row r="15" spans="1:14" x14ac:dyDescent="0.2">
      <c r="A15" s="61" t="s">
        <v>461</v>
      </c>
      <c r="B15" s="68">
        <v>4164.7194355346137</v>
      </c>
      <c r="C15" s="68">
        <v>288.08244461488863</v>
      </c>
      <c r="D15" s="68">
        <v>91.868811077976105</v>
      </c>
      <c r="E15" s="68">
        <v>32.891302731621131</v>
      </c>
      <c r="F15" s="68">
        <v>44.233131259766317</v>
      </c>
      <c r="G15" s="68">
        <v>29.488754173177568</v>
      </c>
      <c r="H15" s="68">
        <v>43.098948406951799</v>
      </c>
      <c r="I15" s="68">
        <v>3593.0912777161689</v>
      </c>
      <c r="J15" s="68">
        <v>31.757119878806613</v>
      </c>
      <c r="K15" s="434">
        <v>10.207645675330694</v>
      </c>
    </row>
    <row r="16" spans="1:14" s="335" customFormat="1" x14ac:dyDescent="0.2">
      <c r="A16" s="371" t="s">
        <v>462</v>
      </c>
      <c r="B16" s="69">
        <v>12694.908671554531</v>
      </c>
      <c r="C16" s="69">
        <v>1147.7930470483152</v>
      </c>
      <c r="D16" s="69">
        <v>588.64090061074353</v>
      </c>
      <c r="E16" s="69">
        <v>497.90627238557983</v>
      </c>
      <c r="F16" s="69">
        <v>377.68288998723784</v>
      </c>
      <c r="G16" s="69">
        <v>424.18438695263427</v>
      </c>
      <c r="H16" s="69">
        <v>436.66039833359429</v>
      </c>
      <c r="I16" s="69">
        <v>8547.201978810901</v>
      </c>
      <c r="J16" s="69">
        <v>668.03370030776182</v>
      </c>
      <c r="K16" s="433">
        <v>6.8050971168871284</v>
      </c>
    </row>
    <row r="17" spans="1:11" x14ac:dyDescent="0.2">
      <c r="A17" s="61" t="s">
        <v>462</v>
      </c>
      <c r="B17" s="68">
        <v>12694.908671554531</v>
      </c>
      <c r="C17" s="68">
        <v>1147.7930470483152</v>
      </c>
      <c r="D17" s="68">
        <v>588.64090061074353</v>
      </c>
      <c r="E17" s="68">
        <v>497.90627238557983</v>
      </c>
      <c r="F17" s="68">
        <v>377.68288998723784</v>
      </c>
      <c r="G17" s="68">
        <v>424.18438695263427</v>
      </c>
      <c r="H17" s="68">
        <v>436.66039833359429</v>
      </c>
      <c r="I17" s="68">
        <v>8547.201978810901</v>
      </c>
      <c r="J17" s="68">
        <v>668.03370030776182</v>
      </c>
      <c r="K17" s="434">
        <v>6.8050971168871284</v>
      </c>
    </row>
    <row r="18" spans="1:11" s="335" customFormat="1" x14ac:dyDescent="0.2">
      <c r="A18" s="371" t="s">
        <v>463</v>
      </c>
      <c r="B18" s="69">
        <v>5439.5409620984201</v>
      </c>
      <c r="C18" s="69">
        <v>171.26161077499242</v>
      </c>
      <c r="D18" s="69">
        <v>62.380056904798614</v>
      </c>
      <c r="E18" s="69">
        <v>65.782605463242177</v>
      </c>
      <c r="F18" s="69">
        <v>48.769862671024391</v>
      </c>
      <c r="G18" s="69">
        <v>65.782605463242177</v>
      </c>
      <c r="H18" s="69">
        <v>102.07645675330677</v>
      </c>
      <c r="I18" s="69">
        <v>4857.7051586044408</v>
      </c>
      <c r="J18" s="69">
        <v>60.111691199169577</v>
      </c>
      <c r="K18" s="433">
        <v>5.6709142640726071</v>
      </c>
    </row>
    <row r="19" spans="1:11" x14ac:dyDescent="0.2">
      <c r="A19" s="61" t="s">
        <v>463</v>
      </c>
      <c r="B19" s="68">
        <v>5439.5409620984201</v>
      </c>
      <c r="C19" s="68">
        <v>171.26161077499242</v>
      </c>
      <c r="D19" s="68">
        <v>62.380056904798614</v>
      </c>
      <c r="E19" s="68">
        <v>65.782605463242177</v>
      </c>
      <c r="F19" s="68">
        <v>48.769862671024391</v>
      </c>
      <c r="G19" s="68">
        <v>65.782605463242177</v>
      </c>
      <c r="H19" s="68">
        <v>102.07645675330677</v>
      </c>
      <c r="I19" s="68">
        <v>4857.7051586044408</v>
      </c>
      <c r="J19" s="68">
        <v>60.111691199169577</v>
      </c>
      <c r="K19" s="434">
        <v>5.6709142640726071</v>
      </c>
    </row>
    <row r="20" spans="1:11" s="335" customFormat="1" x14ac:dyDescent="0.2">
      <c r="A20" s="371" t="s">
        <v>464</v>
      </c>
      <c r="B20" s="69">
        <v>2944.338685906378</v>
      </c>
      <c r="C20" s="69">
        <v>32.891302731621131</v>
      </c>
      <c r="D20" s="69">
        <v>31.757119878806613</v>
      </c>
      <c r="E20" s="69">
        <v>26.086205614734002</v>
      </c>
      <c r="F20" s="69">
        <v>22.683657056290436</v>
      </c>
      <c r="G20" s="69">
        <v>117.95501669271003</v>
      </c>
      <c r="H20" s="69">
        <v>34.02548558443565</v>
      </c>
      <c r="I20" s="69">
        <v>2426.017122170234</v>
      </c>
      <c r="J20" s="69">
        <v>247.25186191356516</v>
      </c>
      <c r="K20" s="433">
        <v>5.6709142640726071</v>
      </c>
    </row>
    <row r="21" spans="1:11" x14ac:dyDescent="0.2">
      <c r="A21" s="61" t="s">
        <v>464</v>
      </c>
      <c r="B21" s="68">
        <v>640.81331184021269</v>
      </c>
      <c r="C21" s="68">
        <v>2.2683657056290429</v>
      </c>
      <c r="D21" s="68">
        <v>4.5367314112580859</v>
      </c>
      <c r="E21" s="68">
        <v>6.8050971168871284</v>
      </c>
      <c r="F21" s="68">
        <v>3.4025485584435646</v>
      </c>
      <c r="G21" s="68">
        <v>4.5367314112580859</v>
      </c>
      <c r="H21" s="68">
        <v>7.9392799697016496</v>
      </c>
      <c r="I21" s="68">
        <v>606.78782625577628</v>
      </c>
      <c r="J21" s="68">
        <v>2.2683657056290429</v>
      </c>
      <c r="K21" s="434">
        <v>2.2683657056290429</v>
      </c>
    </row>
    <row r="22" spans="1:11" x14ac:dyDescent="0.2">
      <c r="A22" s="61" t="s">
        <v>465</v>
      </c>
      <c r="B22" s="68">
        <v>2303.5253740662874</v>
      </c>
      <c r="C22" s="68">
        <v>30.622937025992091</v>
      </c>
      <c r="D22" s="68">
        <v>27.220388467548524</v>
      </c>
      <c r="E22" s="68">
        <v>19.281108497846869</v>
      </c>
      <c r="F22" s="68">
        <v>19.281108497846869</v>
      </c>
      <c r="G22" s="68">
        <v>113.41828528145196</v>
      </c>
      <c r="H22" s="68">
        <v>26.086205614734002</v>
      </c>
      <c r="I22" s="68">
        <v>1819.229295914527</v>
      </c>
      <c r="J22" s="68">
        <v>244.98349620793613</v>
      </c>
      <c r="K22" s="434">
        <v>3.4025485584435646</v>
      </c>
    </row>
    <row r="23" spans="1:11" s="335" customFormat="1" x14ac:dyDescent="0.2">
      <c r="A23" s="371" t="s">
        <v>466</v>
      </c>
      <c r="B23" s="69">
        <v>1390.5081775506283</v>
      </c>
      <c r="C23" s="69">
        <v>12.476011380959738</v>
      </c>
      <c r="D23" s="69">
        <v>12.476011380959738</v>
      </c>
      <c r="E23" s="69">
        <v>14.744377086588782</v>
      </c>
      <c r="F23" s="69">
        <v>9.0734628225161718</v>
      </c>
      <c r="G23" s="69">
        <v>9.0734628225161718</v>
      </c>
      <c r="H23" s="69">
        <v>13.61019423377426</v>
      </c>
      <c r="I23" s="69">
        <v>1303.1760978839081</v>
      </c>
      <c r="J23" s="69">
        <v>15.878559939403305</v>
      </c>
      <c r="K23" s="433">
        <v>0</v>
      </c>
    </row>
    <row r="24" spans="1:11" x14ac:dyDescent="0.2">
      <c r="A24" s="61" t="s">
        <v>466</v>
      </c>
      <c r="B24" s="68">
        <v>1390.5081775506283</v>
      </c>
      <c r="C24" s="68">
        <v>12.476011380959738</v>
      </c>
      <c r="D24" s="68">
        <v>12.476011380959738</v>
      </c>
      <c r="E24" s="68">
        <v>14.744377086588782</v>
      </c>
      <c r="F24" s="68">
        <v>9.0734628225161718</v>
      </c>
      <c r="G24" s="68">
        <v>9.0734628225161718</v>
      </c>
      <c r="H24" s="68">
        <v>13.61019423377426</v>
      </c>
      <c r="I24" s="68">
        <v>1303.1760978839081</v>
      </c>
      <c r="J24" s="68">
        <v>15.878559939403305</v>
      </c>
      <c r="K24" s="434">
        <v>0</v>
      </c>
    </row>
    <row r="25" spans="1:11" s="335" customFormat="1" x14ac:dyDescent="0.2">
      <c r="A25" s="371" t="s">
        <v>467</v>
      </c>
      <c r="B25" s="69">
        <v>3188.1879992614568</v>
      </c>
      <c r="C25" s="69">
        <v>27.220388467548524</v>
      </c>
      <c r="D25" s="69">
        <v>24.95202276191948</v>
      </c>
      <c r="E25" s="69">
        <v>23.817839909104958</v>
      </c>
      <c r="F25" s="69">
        <v>32.891302731621131</v>
      </c>
      <c r="G25" s="69">
        <v>34.02548558443565</v>
      </c>
      <c r="H25" s="69">
        <v>39.696399848508243</v>
      </c>
      <c r="I25" s="69">
        <v>2708.4286525209995</v>
      </c>
      <c r="J25" s="69">
        <v>286.94826176207408</v>
      </c>
      <c r="K25" s="433">
        <v>10.207645675330694</v>
      </c>
    </row>
    <row r="26" spans="1:11" x14ac:dyDescent="0.2">
      <c r="A26" s="61" t="s">
        <v>467</v>
      </c>
      <c r="B26" s="68">
        <v>3188.1879992614568</v>
      </c>
      <c r="C26" s="68">
        <v>27.220388467548524</v>
      </c>
      <c r="D26" s="68">
        <v>24.95202276191948</v>
      </c>
      <c r="E26" s="68">
        <v>23.817839909104958</v>
      </c>
      <c r="F26" s="68">
        <v>32.891302731621131</v>
      </c>
      <c r="G26" s="68">
        <v>34.02548558443565</v>
      </c>
      <c r="H26" s="68">
        <v>39.696399848508243</v>
      </c>
      <c r="I26" s="68">
        <v>2708.4286525209995</v>
      </c>
      <c r="J26" s="68">
        <v>286.94826176207408</v>
      </c>
      <c r="K26" s="434">
        <v>10.207645675330694</v>
      </c>
    </row>
    <row r="27" spans="1:11" s="335" customFormat="1" x14ac:dyDescent="0.2">
      <c r="A27" s="371" t="s">
        <v>468</v>
      </c>
      <c r="B27" s="69">
        <v>1849.8522329405198</v>
      </c>
      <c r="C27" s="69">
        <v>7.9392799697016496</v>
      </c>
      <c r="D27" s="69">
        <v>10.207645675330694</v>
      </c>
      <c r="E27" s="69">
        <v>5.6709142640726071</v>
      </c>
      <c r="F27" s="69">
        <v>5.6709142640726071</v>
      </c>
      <c r="G27" s="69">
        <v>2.2683657056290429</v>
      </c>
      <c r="H27" s="69">
        <v>2.2683657056290429</v>
      </c>
      <c r="I27" s="69">
        <v>1797.6798217110506</v>
      </c>
      <c r="J27" s="69">
        <v>18.146925645032347</v>
      </c>
      <c r="K27" s="433">
        <v>0</v>
      </c>
    </row>
    <row r="28" spans="1:11" x14ac:dyDescent="0.2">
      <c r="A28" s="61" t="s">
        <v>468</v>
      </c>
      <c r="B28" s="68">
        <v>1849.8522329405198</v>
      </c>
      <c r="C28" s="68">
        <v>7.9392799697016496</v>
      </c>
      <c r="D28" s="68">
        <v>10.207645675330694</v>
      </c>
      <c r="E28" s="68">
        <v>5.6709142640726071</v>
      </c>
      <c r="F28" s="68">
        <v>5.6709142640726071</v>
      </c>
      <c r="G28" s="68">
        <v>2.2683657056290429</v>
      </c>
      <c r="H28" s="68">
        <v>2.2683657056290429</v>
      </c>
      <c r="I28" s="68">
        <v>1797.6798217110506</v>
      </c>
      <c r="J28" s="68">
        <v>18.146925645032347</v>
      </c>
      <c r="K28" s="434">
        <v>0</v>
      </c>
    </row>
  </sheetData>
  <mergeCells count="4">
    <mergeCell ref="A1:K1"/>
    <mergeCell ref="A2:A3"/>
    <mergeCell ref="B2:B3"/>
    <mergeCell ref="C2:K2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zoomScale="120" zoomScaleNormal="120" workbookViewId="0">
      <selection activeCell="O14" sqref="O14"/>
    </sheetView>
  </sheetViews>
  <sheetFormatPr defaultRowHeight="12" x14ac:dyDescent="0.2"/>
  <cols>
    <col min="1" max="1" width="17.28515625" style="322" customWidth="1"/>
    <col min="2" max="16384" width="9.140625" style="322"/>
  </cols>
  <sheetData>
    <row r="1" spans="1:4" ht="39" customHeight="1" x14ac:dyDescent="0.2">
      <c r="A1" s="609" t="s">
        <v>560</v>
      </c>
      <c r="B1" s="609"/>
      <c r="C1" s="609"/>
      <c r="D1" s="609"/>
    </row>
    <row r="2" spans="1:4" ht="21.75" customHeight="1" x14ac:dyDescent="0.2">
      <c r="A2" s="584" t="s">
        <v>341</v>
      </c>
      <c r="B2" s="610" t="s">
        <v>52</v>
      </c>
      <c r="C2" s="610" t="s">
        <v>94</v>
      </c>
      <c r="D2" s="610"/>
    </row>
    <row r="3" spans="1:4" x14ac:dyDescent="0.2">
      <c r="A3" s="585"/>
      <c r="B3" s="611"/>
      <c r="C3" s="12" t="s">
        <v>95</v>
      </c>
      <c r="D3" s="12" t="s">
        <v>96</v>
      </c>
    </row>
    <row r="4" spans="1:4" x14ac:dyDescent="0.2">
      <c r="A4" s="228" t="s">
        <v>457</v>
      </c>
      <c r="B4" s="279">
        <v>93784.445916290002</v>
      </c>
      <c r="C4" s="279">
        <v>56026.364563354007</v>
      </c>
      <c r="D4" s="279">
        <v>37758.081353037138</v>
      </c>
    </row>
    <row r="5" spans="1:4" x14ac:dyDescent="0.2">
      <c r="A5" s="232" t="s">
        <v>14</v>
      </c>
      <c r="B5" s="71"/>
      <c r="C5" s="71"/>
      <c r="D5" s="71"/>
    </row>
    <row r="6" spans="1:4" x14ac:dyDescent="0.2">
      <c r="A6" s="380" t="s">
        <v>5</v>
      </c>
      <c r="B6" s="70">
        <v>49596.681970736739</v>
      </c>
      <c r="C6" s="70">
        <v>31234.261583641015</v>
      </c>
      <c r="D6" s="70">
        <v>18362.420387066784</v>
      </c>
    </row>
    <row r="7" spans="1:4" x14ac:dyDescent="0.2">
      <c r="A7" s="72" t="s">
        <v>6</v>
      </c>
      <c r="B7" s="70">
        <v>44187.763945654406</v>
      </c>
      <c r="C7" s="70">
        <v>24792.102979663428</v>
      </c>
      <c r="D7" s="70">
        <v>19395.660965979387</v>
      </c>
    </row>
    <row r="8" spans="1:4" ht="14.25" customHeight="1" x14ac:dyDescent="0.2">
      <c r="A8" s="234" t="s">
        <v>542</v>
      </c>
      <c r="B8" s="280"/>
      <c r="C8" s="280"/>
      <c r="D8" s="280"/>
    </row>
    <row r="9" spans="1:4" x14ac:dyDescent="0.2">
      <c r="A9" s="371" t="s">
        <v>458</v>
      </c>
      <c r="B9" s="71">
        <v>39689.594751383796</v>
      </c>
      <c r="C9" s="71">
        <v>24195.522799083814</v>
      </c>
      <c r="D9" s="71">
        <v>15494.071952301394</v>
      </c>
    </row>
    <row r="10" spans="1:4" x14ac:dyDescent="0.2">
      <c r="A10" s="61" t="s">
        <v>458</v>
      </c>
      <c r="B10" s="70">
        <v>39689.594751383796</v>
      </c>
      <c r="C10" s="70">
        <v>24195.522799083814</v>
      </c>
      <c r="D10" s="70">
        <v>15494.071952301394</v>
      </c>
    </row>
    <row r="11" spans="1:4" x14ac:dyDescent="0.2">
      <c r="A11" s="371" t="s">
        <v>459</v>
      </c>
      <c r="B11" s="70">
        <v>22422.795000137165</v>
      </c>
      <c r="C11" s="70">
        <v>15150.414547898517</v>
      </c>
      <c r="D11" s="70">
        <v>7272.3804522470955</v>
      </c>
    </row>
    <row r="12" spans="1:4" x14ac:dyDescent="0.2">
      <c r="A12" s="61" t="s">
        <v>459</v>
      </c>
      <c r="B12" s="70">
        <v>18748.042557023189</v>
      </c>
      <c r="C12" s="70">
        <v>12878.646293710524</v>
      </c>
      <c r="D12" s="70">
        <v>5869.3962633152196</v>
      </c>
    </row>
    <row r="13" spans="1:4" x14ac:dyDescent="0.2">
      <c r="A13" s="440" t="s">
        <v>473</v>
      </c>
      <c r="B13" s="71">
        <v>3674.7524431187999</v>
      </c>
      <c r="C13" s="71">
        <v>2271.7682541874865</v>
      </c>
      <c r="D13" s="71">
        <v>1402.9841889315883</v>
      </c>
    </row>
    <row r="14" spans="1:4" x14ac:dyDescent="0.2">
      <c r="A14" s="371" t="s">
        <v>461</v>
      </c>
      <c r="B14" s="70">
        <v>4164.7194355346137</v>
      </c>
      <c r="C14" s="70">
        <v>2744.7225038110578</v>
      </c>
      <c r="D14" s="70">
        <v>1419.9969317238065</v>
      </c>
    </row>
    <row r="15" spans="1:4" x14ac:dyDescent="0.2">
      <c r="A15" s="61" t="s">
        <v>461</v>
      </c>
      <c r="B15" s="70">
        <v>4164.7194355346137</v>
      </c>
      <c r="C15" s="70">
        <v>2744.7225038110578</v>
      </c>
      <c r="D15" s="70">
        <v>1419.9969317238065</v>
      </c>
    </row>
    <row r="16" spans="1:4" x14ac:dyDescent="0.2">
      <c r="A16" s="371" t="s">
        <v>462</v>
      </c>
      <c r="B16" s="71">
        <v>12694.908671554531</v>
      </c>
      <c r="C16" s="71">
        <v>5557.4959787911566</v>
      </c>
      <c r="D16" s="71">
        <v>7137.4126927621373</v>
      </c>
    </row>
    <row r="17" spans="1:4" x14ac:dyDescent="0.2">
      <c r="A17" s="61" t="s">
        <v>462</v>
      </c>
      <c r="B17" s="70">
        <v>12694.908671554531</v>
      </c>
      <c r="C17" s="70">
        <v>5557.4959787911566</v>
      </c>
      <c r="D17" s="70">
        <v>7137.4126927621373</v>
      </c>
    </row>
    <row r="18" spans="1:4" x14ac:dyDescent="0.2">
      <c r="A18" s="371" t="s">
        <v>463</v>
      </c>
      <c r="B18" s="70">
        <v>5439.5409620984201</v>
      </c>
      <c r="C18" s="70">
        <v>2254.7555113952717</v>
      </c>
      <c r="D18" s="70">
        <v>3184.7854507030138</v>
      </c>
    </row>
    <row r="19" spans="1:4" x14ac:dyDescent="0.2">
      <c r="A19" s="61" t="s">
        <v>463</v>
      </c>
      <c r="B19" s="71">
        <v>5439.5409620984201</v>
      </c>
      <c r="C19" s="71">
        <v>2254.7555113952717</v>
      </c>
      <c r="D19" s="71">
        <v>3184.7854507030138</v>
      </c>
    </row>
    <row r="20" spans="1:4" x14ac:dyDescent="0.2">
      <c r="A20" s="371" t="s">
        <v>464</v>
      </c>
      <c r="B20" s="70">
        <v>2944.338685906378</v>
      </c>
      <c r="C20" s="70">
        <v>2203.7172830186273</v>
      </c>
      <c r="D20" s="70">
        <v>740.62140288789283</v>
      </c>
    </row>
    <row r="21" spans="1:4" x14ac:dyDescent="0.2">
      <c r="A21" s="61" t="s">
        <v>464</v>
      </c>
      <c r="B21" s="71">
        <v>640.81331184021269</v>
      </c>
      <c r="C21" s="71">
        <v>484.29607815180526</v>
      </c>
      <c r="D21" s="71">
        <v>156.51723368840368</v>
      </c>
    </row>
    <row r="22" spans="1:4" x14ac:dyDescent="0.2">
      <c r="A22" s="61" t="s">
        <v>465</v>
      </c>
      <c r="B22" s="70">
        <v>2303.5253740662874</v>
      </c>
      <c r="C22" s="70">
        <v>1719.4212048668469</v>
      </c>
      <c r="D22" s="70">
        <v>584.10416919948534</v>
      </c>
    </row>
    <row r="23" spans="1:4" x14ac:dyDescent="0.2">
      <c r="A23" s="371" t="s">
        <v>466</v>
      </c>
      <c r="B23" s="70">
        <v>1390.5081775506283</v>
      </c>
      <c r="C23" s="70">
        <v>934.56667071918037</v>
      </c>
      <c r="D23" s="70">
        <v>455.94150683144159</v>
      </c>
    </row>
    <row r="24" spans="1:4" x14ac:dyDescent="0.2">
      <c r="A24" s="61" t="s">
        <v>466</v>
      </c>
      <c r="B24" s="71">
        <v>1390.5081775506283</v>
      </c>
      <c r="C24" s="71">
        <v>934.56667071918037</v>
      </c>
      <c r="D24" s="71">
        <v>455.94150683144159</v>
      </c>
    </row>
    <row r="25" spans="1:4" x14ac:dyDescent="0.2">
      <c r="A25" s="371" t="s">
        <v>467</v>
      </c>
      <c r="B25" s="70">
        <v>3188.1879992614568</v>
      </c>
      <c r="C25" s="70">
        <v>1710.3477420443305</v>
      </c>
      <c r="D25" s="70">
        <v>1477.8402572173484</v>
      </c>
    </row>
    <row r="26" spans="1:4" x14ac:dyDescent="0.2">
      <c r="A26" s="61" t="s">
        <v>467</v>
      </c>
      <c r="B26" s="70">
        <v>3188.1879992614568</v>
      </c>
      <c r="C26" s="70">
        <v>1710.3477420443305</v>
      </c>
      <c r="D26" s="70">
        <v>1477.8402572173484</v>
      </c>
    </row>
    <row r="27" spans="1:4" x14ac:dyDescent="0.2">
      <c r="A27" s="371" t="s">
        <v>468</v>
      </c>
      <c r="B27" s="71">
        <v>1849.8522329405198</v>
      </c>
      <c r="C27" s="71">
        <v>1274.8215265635445</v>
      </c>
      <c r="D27" s="71">
        <v>575.03070637696896</v>
      </c>
    </row>
    <row r="28" spans="1:4" x14ac:dyDescent="0.2">
      <c r="A28" s="61" t="s">
        <v>468</v>
      </c>
      <c r="B28" s="70">
        <v>1849.8522329405198</v>
      </c>
      <c r="C28" s="70">
        <v>1274.8215265635445</v>
      </c>
      <c r="D28" s="70">
        <v>575.03070637696896</v>
      </c>
    </row>
    <row r="44" s="335" customFormat="1" x14ac:dyDescent="0.2"/>
    <row r="47" s="335" customFormat="1" x14ac:dyDescent="0.2"/>
    <row r="50" s="335" customFormat="1" x14ac:dyDescent="0.2"/>
    <row r="53" s="335" customFormat="1" x14ac:dyDescent="0.2"/>
    <row r="55" s="335" customFormat="1" x14ac:dyDescent="0.2"/>
    <row r="57" s="335" customFormat="1" x14ac:dyDescent="0.2"/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="110" zoomScaleNormal="110" workbookViewId="0">
      <selection activeCell="P24" sqref="P24"/>
    </sheetView>
  </sheetViews>
  <sheetFormatPr defaultRowHeight="15" x14ac:dyDescent="0.25"/>
  <cols>
    <col min="1" max="1" width="19" style="1" customWidth="1"/>
    <col min="2" max="3" width="9.140625" style="1"/>
    <col min="4" max="4" width="11.42578125" style="1" customWidth="1"/>
    <col min="5" max="5" width="9.140625" style="1"/>
    <col min="6" max="6" width="14.85546875" style="1" customWidth="1"/>
    <col min="7" max="16384" width="9.140625" style="1"/>
  </cols>
  <sheetData>
    <row r="1" spans="1:8" ht="25.5" customHeight="1" x14ac:dyDescent="0.25">
      <c r="A1" s="618" t="s">
        <v>559</v>
      </c>
      <c r="B1" s="618"/>
      <c r="C1" s="618"/>
      <c r="D1" s="618"/>
      <c r="E1" s="618"/>
      <c r="F1" s="618"/>
    </row>
    <row r="2" spans="1:8" x14ac:dyDescent="0.25">
      <c r="A2" s="612" t="s">
        <v>501</v>
      </c>
      <c r="B2" s="614" t="s">
        <v>98</v>
      </c>
      <c r="C2" s="614" t="s">
        <v>99</v>
      </c>
      <c r="D2" s="614"/>
      <c r="E2" s="614"/>
      <c r="F2" s="616" t="s">
        <v>570</v>
      </c>
    </row>
    <row r="3" spans="1:8" ht="36.75" customHeight="1" x14ac:dyDescent="0.25">
      <c r="A3" s="613"/>
      <c r="B3" s="615"/>
      <c r="C3" s="442" t="s">
        <v>100</v>
      </c>
      <c r="D3" s="442" t="s">
        <v>101</v>
      </c>
      <c r="E3" s="442" t="s">
        <v>102</v>
      </c>
      <c r="F3" s="617"/>
    </row>
    <row r="4" spans="1:8" x14ac:dyDescent="0.25">
      <c r="A4" s="228" t="s">
        <v>457</v>
      </c>
      <c r="B4" s="237">
        <v>93784.445916290002</v>
      </c>
      <c r="C4" s="237">
        <v>7310.9426692427978</v>
      </c>
      <c r="D4" s="237">
        <v>9505.5864894393853</v>
      </c>
      <c r="E4" s="237">
        <v>76967.916757686253</v>
      </c>
      <c r="F4" s="237">
        <v>16816.529158682184</v>
      </c>
      <c r="G4" s="441"/>
    </row>
    <row r="5" spans="1:8" x14ac:dyDescent="0.25">
      <c r="A5" s="232" t="s">
        <v>14</v>
      </c>
      <c r="B5" s="8"/>
      <c r="C5" s="8"/>
      <c r="D5" s="8"/>
      <c r="E5" s="8"/>
      <c r="F5" s="9"/>
    </row>
    <row r="6" spans="1:8" x14ac:dyDescent="0.25">
      <c r="A6" s="378" t="s">
        <v>5</v>
      </c>
      <c r="B6" s="10">
        <v>49596.681970736739</v>
      </c>
      <c r="C6" s="10">
        <v>3948.0905106470509</v>
      </c>
      <c r="D6" s="10">
        <v>5589.2530986699703</v>
      </c>
      <c r="E6" s="10">
        <v>40059.338361402006</v>
      </c>
      <c r="F6" s="10">
        <v>9537.3436093170203</v>
      </c>
    </row>
    <row r="7" spans="1:8" x14ac:dyDescent="0.25">
      <c r="A7" s="72" t="s">
        <v>6</v>
      </c>
      <c r="B7" s="10">
        <v>44187.763945654406</v>
      </c>
      <c r="C7" s="10">
        <v>3362.852158594862</v>
      </c>
      <c r="D7" s="10">
        <v>3916.33339076825</v>
      </c>
      <c r="E7" s="10">
        <v>36908.578396277509</v>
      </c>
      <c r="F7" s="10">
        <v>7279.1855493631119</v>
      </c>
    </row>
    <row r="8" spans="1:8" ht="15.75" customHeight="1" x14ac:dyDescent="0.25">
      <c r="A8" s="234" t="s">
        <v>542</v>
      </c>
      <c r="B8" s="276"/>
      <c r="C8" s="276"/>
      <c r="D8" s="276"/>
      <c r="E8" s="237"/>
      <c r="F8" s="237"/>
    </row>
    <row r="9" spans="1:8" x14ac:dyDescent="0.25">
      <c r="A9" s="371" t="s">
        <v>458</v>
      </c>
      <c r="B9" s="8">
        <v>39689.594751383796</v>
      </c>
      <c r="C9" s="8">
        <v>4232.7704067035002</v>
      </c>
      <c r="D9" s="8">
        <v>5178.678905951022</v>
      </c>
      <c r="E9" s="8">
        <v>30278.145438719694</v>
      </c>
      <c r="F9" s="8">
        <v>9411.4493126545221</v>
      </c>
    </row>
    <row r="10" spans="1:8" x14ac:dyDescent="0.25">
      <c r="A10" s="61" t="s">
        <v>458</v>
      </c>
      <c r="B10" s="10">
        <v>39689.594751383796</v>
      </c>
      <c r="C10" s="10">
        <v>4232.7704067035002</v>
      </c>
      <c r="D10" s="10">
        <v>5178.678905951022</v>
      </c>
      <c r="E10" s="10">
        <v>30278.145438719694</v>
      </c>
      <c r="F10" s="10">
        <v>9411.4493126545221</v>
      </c>
    </row>
    <row r="11" spans="1:8" x14ac:dyDescent="0.25">
      <c r="A11" s="371" t="s">
        <v>459</v>
      </c>
      <c r="B11" s="8">
        <v>22422.795000137165</v>
      </c>
      <c r="C11" s="8">
        <v>1077.4737101738133</v>
      </c>
      <c r="D11" s="8">
        <v>2004.1011009232982</v>
      </c>
      <c r="E11" s="8">
        <v>19341.220189044365</v>
      </c>
      <c r="F11" s="8">
        <v>3081.5748110971117</v>
      </c>
      <c r="H11" s="1" t="s">
        <v>472</v>
      </c>
    </row>
    <row r="12" spans="1:8" x14ac:dyDescent="0.25">
      <c r="A12" s="61" t="s">
        <v>459</v>
      </c>
      <c r="B12" s="10">
        <v>18748.042557023189</v>
      </c>
      <c r="C12" s="10">
        <v>945.90849924732584</v>
      </c>
      <c r="D12" s="10">
        <v>1874.8042557024398</v>
      </c>
      <c r="E12" s="10">
        <v>15927.329802076638</v>
      </c>
      <c r="F12" s="10">
        <v>2820.7127549497654</v>
      </c>
    </row>
    <row r="13" spans="1:8" x14ac:dyDescent="0.25">
      <c r="A13" s="61" t="s">
        <v>473</v>
      </c>
      <c r="B13" s="10">
        <v>3674.7524431187999</v>
      </c>
      <c r="C13" s="10">
        <v>131.56521092648427</v>
      </c>
      <c r="D13" s="10">
        <v>129.29684522085523</v>
      </c>
      <c r="E13" s="10">
        <v>3413.8903869715064</v>
      </c>
      <c r="F13" s="10">
        <v>260.8620561473395</v>
      </c>
    </row>
    <row r="14" spans="1:8" x14ac:dyDescent="0.25">
      <c r="A14" s="371" t="s">
        <v>461</v>
      </c>
      <c r="B14" s="8">
        <v>4164.7194355346137</v>
      </c>
      <c r="C14" s="8">
        <v>381.08543854568148</v>
      </c>
      <c r="D14" s="8">
        <v>137.23612519055686</v>
      </c>
      <c r="E14" s="8">
        <v>3646.3978717984419</v>
      </c>
      <c r="F14" s="8">
        <v>518.32156373623832</v>
      </c>
    </row>
    <row r="15" spans="1:8" x14ac:dyDescent="0.25">
      <c r="A15" s="61" t="s">
        <v>461</v>
      </c>
      <c r="B15" s="10">
        <v>4164.7194355346137</v>
      </c>
      <c r="C15" s="10">
        <v>381.08543854568148</v>
      </c>
      <c r="D15" s="10">
        <v>137.23612519055686</v>
      </c>
      <c r="E15" s="10">
        <v>3646.3978717984419</v>
      </c>
      <c r="F15" s="10">
        <v>518.32156373623832</v>
      </c>
    </row>
    <row r="16" spans="1:8" x14ac:dyDescent="0.25">
      <c r="A16" s="371" t="s">
        <v>462</v>
      </c>
      <c r="B16" s="8">
        <v>12694.908671554531</v>
      </c>
      <c r="C16" s="8">
        <v>1184.0868983383807</v>
      </c>
      <c r="D16" s="8">
        <v>1535.6835827108903</v>
      </c>
      <c r="E16" s="8">
        <v>9975.1381905047019</v>
      </c>
      <c r="F16" s="8">
        <v>2719.770481049271</v>
      </c>
    </row>
    <row r="17" spans="1:6" x14ac:dyDescent="0.25">
      <c r="A17" s="61" t="s">
        <v>462</v>
      </c>
      <c r="B17" s="10">
        <v>12694.908671554531</v>
      </c>
      <c r="C17" s="10">
        <v>1184.0868983383807</v>
      </c>
      <c r="D17" s="10">
        <v>1535.6835827108903</v>
      </c>
      <c r="E17" s="10">
        <v>9975.1381905047019</v>
      </c>
      <c r="F17" s="10">
        <v>2719.770481049271</v>
      </c>
    </row>
    <row r="18" spans="1:6" x14ac:dyDescent="0.25">
      <c r="A18" s="371" t="s">
        <v>463</v>
      </c>
      <c r="B18" s="8">
        <v>5439.5409620984201</v>
      </c>
      <c r="C18" s="8">
        <v>229.10493626853287</v>
      </c>
      <c r="D18" s="8">
        <v>306.22937025992138</v>
      </c>
      <c r="E18" s="8">
        <v>4904.2066555698466</v>
      </c>
      <c r="F18" s="8">
        <v>535.33430652845425</v>
      </c>
    </row>
    <row r="19" spans="1:6" x14ac:dyDescent="0.25">
      <c r="A19" s="61" t="s">
        <v>463</v>
      </c>
      <c r="B19" s="10">
        <v>5439.5409620984201</v>
      </c>
      <c r="C19" s="10">
        <v>229.10493626853287</v>
      </c>
      <c r="D19" s="10">
        <v>306.22937025992138</v>
      </c>
      <c r="E19" s="10">
        <v>4904.2066555698466</v>
      </c>
      <c r="F19" s="10">
        <v>535.33430652845425</v>
      </c>
    </row>
    <row r="20" spans="1:6" x14ac:dyDescent="0.25">
      <c r="A20" s="371" t="s">
        <v>464</v>
      </c>
      <c r="B20" s="8">
        <v>2944.338685906378</v>
      </c>
      <c r="C20" s="8">
        <v>83.929531108274475</v>
      </c>
      <c r="D20" s="8">
        <v>139.5044908961859</v>
      </c>
      <c r="E20" s="8">
        <v>2720.9046639019571</v>
      </c>
      <c r="F20" s="8">
        <v>223.43402200446036</v>
      </c>
    </row>
    <row r="21" spans="1:6" x14ac:dyDescent="0.25">
      <c r="A21" s="61" t="s">
        <v>464</v>
      </c>
      <c r="B21" s="8">
        <v>640.81331184021269</v>
      </c>
      <c r="C21" s="8">
        <v>17.012742792217825</v>
      </c>
      <c r="D21" s="8">
        <v>57.84332549354054</v>
      </c>
      <c r="E21" s="8">
        <v>565.95724355445259</v>
      </c>
      <c r="F21" s="8">
        <v>74.856068285758369</v>
      </c>
    </row>
    <row r="22" spans="1:6" x14ac:dyDescent="0.25">
      <c r="A22" s="61" t="s">
        <v>465</v>
      </c>
      <c r="B22" s="10">
        <v>2303.5253740662874</v>
      </c>
      <c r="C22" s="10">
        <v>66.916788316056696</v>
      </c>
      <c r="D22" s="10">
        <v>81.661165402645437</v>
      </c>
      <c r="E22" s="10">
        <v>2154.9474203476116</v>
      </c>
      <c r="F22" s="10">
        <v>148.57795371870213</v>
      </c>
    </row>
    <row r="23" spans="1:6" x14ac:dyDescent="0.25">
      <c r="A23" s="371" t="s">
        <v>466</v>
      </c>
      <c r="B23" s="8">
        <v>1390.5081775506283</v>
      </c>
      <c r="C23" s="8">
        <v>29.488754173177568</v>
      </c>
      <c r="D23" s="8">
        <v>49.90404552383891</v>
      </c>
      <c r="E23" s="8">
        <v>1311.11537785361</v>
      </c>
      <c r="F23" s="8">
        <v>79.392799697016471</v>
      </c>
    </row>
    <row r="24" spans="1:6" x14ac:dyDescent="0.25">
      <c r="A24" s="61" t="s">
        <v>466</v>
      </c>
      <c r="B24" s="10">
        <v>1390.5081775506283</v>
      </c>
      <c r="C24" s="10">
        <v>29.488754173177568</v>
      </c>
      <c r="D24" s="10">
        <v>49.90404552383891</v>
      </c>
      <c r="E24" s="10">
        <v>1311.11537785361</v>
      </c>
      <c r="F24" s="10">
        <v>79.392799697016471</v>
      </c>
    </row>
    <row r="25" spans="1:6" x14ac:dyDescent="0.25">
      <c r="A25" s="371" t="s">
        <v>467</v>
      </c>
      <c r="B25" s="8">
        <v>3188.1879992614568</v>
      </c>
      <c r="C25" s="8">
        <v>74.856068285758326</v>
      </c>
      <c r="D25" s="8">
        <v>133.83357663211331</v>
      </c>
      <c r="E25" s="8">
        <v>2979.4983543436219</v>
      </c>
      <c r="F25" s="8">
        <v>208.68964491787165</v>
      </c>
    </row>
    <row r="26" spans="1:6" x14ac:dyDescent="0.25">
      <c r="A26" s="61" t="s">
        <v>467</v>
      </c>
      <c r="B26" s="10">
        <v>3188.1879992614568</v>
      </c>
      <c r="C26" s="10">
        <v>74.856068285758326</v>
      </c>
      <c r="D26" s="10">
        <v>133.83357663211331</v>
      </c>
      <c r="E26" s="10">
        <v>2979.4983543436219</v>
      </c>
      <c r="F26" s="10">
        <v>208.68964491787165</v>
      </c>
    </row>
    <row r="27" spans="1:6" x14ac:dyDescent="0.25">
      <c r="A27" s="371" t="s">
        <v>468</v>
      </c>
      <c r="B27" s="8">
        <v>1849.8522329405198</v>
      </c>
      <c r="C27" s="8">
        <v>18.146925645032347</v>
      </c>
      <c r="D27" s="8">
        <v>20.415291350661391</v>
      </c>
      <c r="E27" s="8">
        <v>1811.2900159448252</v>
      </c>
      <c r="F27" s="8">
        <v>38.562216995693738</v>
      </c>
    </row>
    <row r="28" spans="1:6" x14ac:dyDescent="0.25">
      <c r="A28" s="61" t="s">
        <v>468</v>
      </c>
      <c r="B28" s="10">
        <v>1849.8522329405198</v>
      </c>
      <c r="C28" s="10">
        <v>18.146925645032347</v>
      </c>
      <c r="D28" s="10">
        <v>20.415291350661391</v>
      </c>
      <c r="E28" s="10">
        <v>1811.2900159448252</v>
      </c>
      <c r="F28" s="10">
        <v>38.562216995693738</v>
      </c>
    </row>
  </sheetData>
  <mergeCells count="5">
    <mergeCell ref="A2:A3"/>
    <mergeCell ref="B2:B3"/>
    <mergeCell ref="C2:E2"/>
    <mergeCell ref="F2:F3"/>
    <mergeCell ref="A1:F1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zoomScale="120" zoomScaleNormal="120" workbookViewId="0">
      <selection activeCell="AC33" sqref="AC33"/>
    </sheetView>
  </sheetViews>
  <sheetFormatPr defaultRowHeight="12" x14ac:dyDescent="0.2"/>
  <cols>
    <col min="1" max="1" width="19.7109375" style="322" customWidth="1"/>
    <col min="2" max="2" width="13.5703125" style="322" customWidth="1"/>
    <col min="3" max="3" width="12.7109375" style="322" customWidth="1"/>
    <col min="4" max="4" width="12.42578125" style="322" customWidth="1"/>
    <col min="5" max="16384" width="9.140625" style="322"/>
  </cols>
  <sheetData>
    <row r="1" spans="1:4" ht="24" customHeight="1" x14ac:dyDescent="0.2">
      <c r="A1" s="619" t="s">
        <v>103</v>
      </c>
      <c r="B1" s="619"/>
      <c r="C1" s="619"/>
      <c r="D1" s="619"/>
    </row>
    <row r="2" spans="1:4" ht="26.25" customHeight="1" x14ac:dyDescent="0.2">
      <c r="A2" s="584" t="s">
        <v>501</v>
      </c>
      <c r="B2" s="620" t="s">
        <v>52</v>
      </c>
      <c r="C2" s="620" t="s">
        <v>104</v>
      </c>
      <c r="D2" s="620"/>
    </row>
    <row r="3" spans="1:4" x14ac:dyDescent="0.2">
      <c r="A3" s="585"/>
      <c r="B3" s="621"/>
      <c r="C3" s="13" t="s">
        <v>105</v>
      </c>
      <c r="D3" s="13" t="s">
        <v>96</v>
      </c>
    </row>
    <row r="4" spans="1:4" x14ac:dyDescent="0.2">
      <c r="A4" s="228" t="s">
        <v>457</v>
      </c>
      <c r="B4" s="237">
        <v>93784.445916290002</v>
      </c>
      <c r="C4" s="237">
        <v>72947.238544477223</v>
      </c>
      <c r="D4" s="237">
        <v>20837.207371904653</v>
      </c>
    </row>
    <row r="5" spans="1:4" x14ac:dyDescent="0.2">
      <c r="A5" s="232" t="s">
        <v>14</v>
      </c>
      <c r="B5" s="8"/>
      <c r="C5" s="8"/>
      <c r="D5" s="8"/>
    </row>
    <row r="6" spans="1:4" x14ac:dyDescent="0.2">
      <c r="A6" s="378" t="s">
        <v>5</v>
      </c>
      <c r="B6" s="10">
        <v>49596.681970736739</v>
      </c>
      <c r="C6" s="10">
        <v>38040.49288338847</v>
      </c>
      <c r="D6" s="10">
        <v>11556.189087328497</v>
      </c>
    </row>
    <row r="7" spans="1:4" x14ac:dyDescent="0.2">
      <c r="A7" s="72" t="s">
        <v>6</v>
      </c>
      <c r="B7" s="10">
        <v>44187.763945654406</v>
      </c>
      <c r="C7" s="10">
        <v>34906.745661056222</v>
      </c>
      <c r="D7" s="10">
        <v>9281.01828458206</v>
      </c>
    </row>
    <row r="8" spans="1:4" x14ac:dyDescent="0.2">
      <c r="A8" s="234" t="s">
        <v>542</v>
      </c>
      <c r="B8" s="276"/>
      <c r="C8" s="276"/>
      <c r="D8" s="276"/>
    </row>
    <row r="9" spans="1:4" x14ac:dyDescent="0.2">
      <c r="A9" s="371" t="s">
        <v>458</v>
      </c>
      <c r="B9" s="8">
        <v>39689.594751383796</v>
      </c>
      <c r="C9" s="8">
        <v>32038.3972262854</v>
      </c>
      <c r="D9" s="8">
        <v>7651.1975250872301</v>
      </c>
    </row>
    <row r="10" spans="1:4" x14ac:dyDescent="0.2">
      <c r="A10" s="61" t="s">
        <v>458</v>
      </c>
      <c r="B10" s="10">
        <v>39689.594751383796</v>
      </c>
      <c r="C10" s="10">
        <v>32038.3972262854</v>
      </c>
      <c r="D10" s="10">
        <v>7651.1975250872301</v>
      </c>
    </row>
    <row r="11" spans="1:4" x14ac:dyDescent="0.2">
      <c r="A11" s="371" t="s">
        <v>459</v>
      </c>
      <c r="B11" s="10">
        <v>22422.795000137165</v>
      </c>
      <c r="C11" s="10">
        <v>17644.482641236184</v>
      </c>
      <c r="D11" s="10">
        <v>4778.3123589074066</v>
      </c>
    </row>
    <row r="12" spans="1:4" x14ac:dyDescent="0.2">
      <c r="A12" s="61" t="s">
        <v>459</v>
      </c>
      <c r="B12" s="10">
        <v>18748.042557023189</v>
      </c>
      <c r="C12" s="10">
        <v>14818.098972023789</v>
      </c>
      <c r="D12" s="10">
        <v>3929.9435850020218</v>
      </c>
    </row>
    <row r="13" spans="1:4" x14ac:dyDescent="0.2">
      <c r="A13" s="61" t="s">
        <v>473</v>
      </c>
      <c r="B13" s="8">
        <v>3674.7524431187999</v>
      </c>
      <c r="C13" s="8">
        <v>2826.3836692136888</v>
      </c>
      <c r="D13" s="8">
        <v>848.36877390527479</v>
      </c>
    </row>
    <row r="14" spans="1:4" x14ac:dyDescent="0.2">
      <c r="A14" s="371" t="s">
        <v>461</v>
      </c>
      <c r="B14" s="10">
        <v>4164.7194355346137</v>
      </c>
      <c r="C14" s="10">
        <v>3642.9953232399989</v>
      </c>
      <c r="D14" s="10">
        <v>521.72411229468526</v>
      </c>
    </row>
    <row r="15" spans="1:4" x14ac:dyDescent="0.2">
      <c r="A15" s="61" t="s">
        <v>461</v>
      </c>
      <c r="B15" s="10">
        <v>4164.7194355346137</v>
      </c>
      <c r="C15" s="10">
        <v>3642.9953232399989</v>
      </c>
      <c r="D15" s="10">
        <v>521.72411229468526</v>
      </c>
    </row>
    <row r="16" spans="1:4" x14ac:dyDescent="0.2">
      <c r="A16" s="371" t="s">
        <v>462</v>
      </c>
      <c r="B16" s="8">
        <v>12694.908671554531</v>
      </c>
      <c r="C16" s="8">
        <v>7799.7754788059656</v>
      </c>
      <c r="D16" s="8">
        <v>4895.1331927473284</v>
      </c>
    </row>
    <row r="17" spans="1:4" x14ac:dyDescent="0.2">
      <c r="A17" s="61" t="s">
        <v>462</v>
      </c>
      <c r="B17" s="10">
        <v>12694.908671554531</v>
      </c>
      <c r="C17" s="10">
        <v>7799.7754788059656</v>
      </c>
      <c r="D17" s="10">
        <v>4895.1331927473284</v>
      </c>
    </row>
    <row r="18" spans="1:4" x14ac:dyDescent="0.2">
      <c r="A18" s="371" t="s">
        <v>463</v>
      </c>
      <c r="B18" s="10">
        <v>5439.5409620984201</v>
      </c>
      <c r="C18" s="10">
        <v>3999.1287390236953</v>
      </c>
      <c r="D18" s="10">
        <v>1440.4122230744683</v>
      </c>
    </row>
    <row r="19" spans="1:4" x14ac:dyDescent="0.2">
      <c r="A19" s="61" t="s">
        <v>463</v>
      </c>
      <c r="B19" s="8">
        <v>5439.5409620984201</v>
      </c>
      <c r="C19" s="8">
        <v>3999.1287390236953</v>
      </c>
      <c r="D19" s="8">
        <v>1440.4122230744683</v>
      </c>
    </row>
    <row r="20" spans="1:4" x14ac:dyDescent="0.2">
      <c r="A20" s="371" t="s">
        <v>464</v>
      </c>
      <c r="B20" s="10">
        <v>2944.338685906378</v>
      </c>
      <c r="C20" s="10">
        <v>2361.3686995598177</v>
      </c>
      <c r="D20" s="10">
        <v>582.96998634667079</v>
      </c>
    </row>
    <row r="21" spans="1:4" x14ac:dyDescent="0.2">
      <c r="A21" s="61" t="s">
        <v>464</v>
      </c>
      <c r="B21" s="8">
        <v>640.81331184021269</v>
      </c>
      <c r="C21" s="8">
        <v>570.49397496571078</v>
      </c>
      <c r="D21" s="8">
        <v>70.319336874500252</v>
      </c>
    </row>
    <row r="22" spans="1:4" x14ac:dyDescent="0.2">
      <c r="A22" s="61" t="s">
        <v>465</v>
      </c>
      <c r="B22" s="10">
        <v>2303.5253740662874</v>
      </c>
      <c r="C22" s="10">
        <v>1790.8747245941634</v>
      </c>
      <c r="D22" s="10">
        <v>512.65064947216888</v>
      </c>
    </row>
    <row r="23" spans="1:4" x14ac:dyDescent="0.2">
      <c r="A23" s="371" t="s">
        <v>466</v>
      </c>
      <c r="B23" s="10">
        <v>1390.5081775506283</v>
      </c>
      <c r="C23" s="10">
        <v>1206.7705553946716</v>
      </c>
      <c r="D23" s="10">
        <v>183.73762215595212</v>
      </c>
    </row>
    <row r="24" spans="1:4" x14ac:dyDescent="0.2">
      <c r="A24" s="61" t="s">
        <v>466</v>
      </c>
      <c r="B24" s="8">
        <v>1390.5081775506283</v>
      </c>
      <c r="C24" s="8">
        <v>1206.7705553946716</v>
      </c>
      <c r="D24" s="8">
        <v>183.73762215595212</v>
      </c>
    </row>
    <row r="25" spans="1:4" x14ac:dyDescent="0.2">
      <c r="A25" s="371" t="s">
        <v>467</v>
      </c>
      <c r="B25" s="10">
        <v>3188.1879992614568</v>
      </c>
      <c r="C25" s="10">
        <v>2768.5403437201585</v>
      </c>
      <c r="D25" s="10">
        <v>419.64765554137608</v>
      </c>
    </row>
    <row r="26" spans="1:4" x14ac:dyDescent="0.2">
      <c r="A26" s="61" t="s">
        <v>467</v>
      </c>
      <c r="B26" s="10">
        <v>3188.1879992614568</v>
      </c>
      <c r="C26" s="10">
        <v>2768.5403437201585</v>
      </c>
      <c r="D26" s="10">
        <v>419.64765554137608</v>
      </c>
    </row>
    <row r="27" spans="1:4" x14ac:dyDescent="0.2">
      <c r="A27" s="371" t="s">
        <v>468</v>
      </c>
      <c r="B27" s="8">
        <v>1849.8522329405198</v>
      </c>
      <c r="C27" s="8">
        <v>1485.7795371870502</v>
      </c>
      <c r="D27" s="8">
        <v>364.07269575346328</v>
      </c>
    </row>
    <row r="28" spans="1:4" x14ac:dyDescent="0.2">
      <c r="A28" s="61" t="s">
        <v>468</v>
      </c>
      <c r="B28" s="10">
        <v>1849.8522329405198</v>
      </c>
      <c r="C28" s="10">
        <v>1485.7795371870502</v>
      </c>
      <c r="D28" s="10">
        <v>364.07269575346328</v>
      </c>
    </row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opLeftCell="A3" zoomScale="120" zoomScaleNormal="120" workbookViewId="0">
      <selection sqref="A1:XFD1048576"/>
    </sheetView>
  </sheetViews>
  <sheetFormatPr defaultRowHeight="12" x14ac:dyDescent="0.2"/>
  <cols>
    <col min="1" max="1" width="21.28515625" style="322" customWidth="1"/>
    <col min="2" max="8" width="9.140625" style="322"/>
    <col min="9" max="9" width="10.28515625" style="322" customWidth="1"/>
    <col min="10" max="10" width="9.140625" style="322"/>
    <col min="11" max="11" width="9.85546875" style="322" customWidth="1"/>
    <col min="12" max="16384" width="9.140625" style="322"/>
  </cols>
  <sheetData>
    <row r="1" spans="1:14" x14ac:dyDescent="0.2">
      <c r="A1" s="622" t="s">
        <v>106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</row>
    <row r="2" spans="1:14" ht="15" customHeight="1" x14ac:dyDescent="0.2">
      <c r="A2" s="579" t="s">
        <v>501</v>
      </c>
      <c r="B2" s="623" t="s">
        <v>52</v>
      </c>
      <c r="C2" s="625" t="s">
        <v>108</v>
      </c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</row>
    <row r="3" spans="1:14" ht="63.75" customHeight="1" x14ac:dyDescent="0.2">
      <c r="A3" s="580"/>
      <c r="B3" s="624"/>
      <c r="C3" s="281" t="s">
        <v>109</v>
      </c>
      <c r="D3" s="281" t="s">
        <v>110</v>
      </c>
      <c r="E3" s="281" t="s">
        <v>111</v>
      </c>
      <c r="F3" s="281" t="s">
        <v>112</v>
      </c>
      <c r="G3" s="281" t="s">
        <v>113</v>
      </c>
      <c r="H3" s="281" t="s">
        <v>114</v>
      </c>
      <c r="I3" s="281" t="s">
        <v>115</v>
      </c>
      <c r="J3" s="281" t="s">
        <v>116</v>
      </c>
      <c r="K3" s="281" t="s">
        <v>117</v>
      </c>
      <c r="L3" s="281" t="s">
        <v>118</v>
      </c>
      <c r="M3" s="281" t="s">
        <v>119</v>
      </c>
      <c r="N3" s="281" t="s">
        <v>63</v>
      </c>
    </row>
    <row r="4" spans="1:14" x14ac:dyDescent="0.2">
      <c r="A4" s="228" t="s">
        <v>457</v>
      </c>
      <c r="B4" s="237">
        <v>93784.445916290002</v>
      </c>
      <c r="C4" s="237">
        <v>9005.4118513480698</v>
      </c>
      <c r="D4" s="237">
        <v>8665.1569955036375</v>
      </c>
      <c r="E4" s="237">
        <v>2562.1190645079523</v>
      </c>
      <c r="F4" s="237">
        <v>11466.58864195613</v>
      </c>
      <c r="G4" s="237">
        <v>5731.0259552718171</v>
      </c>
      <c r="H4" s="237">
        <v>8923.7506859454061</v>
      </c>
      <c r="I4" s="237">
        <v>24237.487564637893</v>
      </c>
      <c r="J4" s="237">
        <v>1705.8110106330723</v>
      </c>
      <c r="K4" s="237">
        <v>4887.193912777625</v>
      </c>
      <c r="L4" s="237">
        <v>249.5202276191942</v>
      </c>
      <c r="M4" s="237">
        <v>15601.819323318798</v>
      </c>
      <c r="N4" s="237">
        <v>748.56068285759466</v>
      </c>
    </row>
    <row r="5" spans="1:14" x14ac:dyDescent="0.2">
      <c r="A5" s="232" t="s">
        <v>14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x14ac:dyDescent="0.2">
      <c r="A6" s="233" t="s">
        <v>5</v>
      </c>
      <c r="B6" s="10">
        <v>49596.681970736739</v>
      </c>
      <c r="C6" s="10">
        <v>4764.7021646736293</v>
      </c>
      <c r="D6" s="10">
        <v>4579.8303596648211</v>
      </c>
      <c r="E6" s="10">
        <v>1966.6730667804181</v>
      </c>
      <c r="F6" s="10">
        <v>7891.6442898839623</v>
      </c>
      <c r="G6" s="10">
        <v>3936.7486821189077</v>
      </c>
      <c r="H6" s="10">
        <v>6007.7665713586221</v>
      </c>
      <c r="I6" s="10">
        <v>11580.006927237608</v>
      </c>
      <c r="J6" s="10">
        <v>724.74284294848917</v>
      </c>
      <c r="K6" s="10">
        <v>1790.8747245941634</v>
      </c>
      <c r="L6" s="10">
        <v>164.45651365810531</v>
      </c>
      <c r="M6" s="10">
        <v>5670.9142640726341</v>
      </c>
      <c r="N6" s="10">
        <v>518.32156373624161</v>
      </c>
    </row>
    <row r="7" spans="1:14" x14ac:dyDescent="0.2">
      <c r="A7" s="44" t="s">
        <v>6</v>
      </c>
      <c r="B7" s="10">
        <v>44187.763945654406</v>
      </c>
      <c r="C7" s="10">
        <v>4240.7096866732036</v>
      </c>
      <c r="D7" s="10">
        <v>4085.3266358375836</v>
      </c>
      <c r="E7" s="10">
        <v>595.44599772763081</v>
      </c>
      <c r="F7" s="10">
        <v>3574.9443520711397</v>
      </c>
      <c r="G7" s="10">
        <v>1794.277273152607</v>
      </c>
      <c r="H7" s="10">
        <v>2915.98411458602</v>
      </c>
      <c r="I7" s="10">
        <v>12657.480637411643</v>
      </c>
      <c r="J7" s="10">
        <v>981.06816768457679</v>
      </c>
      <c r="K7" s="10">
        <v>3096.3191881834969</v>
      </c>
      <c r="L7" s="10">
        <v>85.063713961088993</v>
      </c>
      <c r="M7" s="10">
        <v>9930.9050592449257</v>
      </c>
      <c r="N7" s="10">
        <v>230.23911912134739</v>
      </c>
    </row>
    <row r="8" spans="1:14" ht="14.25" customHeight="1" x14ac:dyDescent="0.2">
      <c r="A8" s="234" t="s">
        <v>542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</row>
    <row r="9" spans="1:14" x14ac:dyDescent="0.2">
      <c r="A9" s="371" t="s">
        <v>458</v>
      </c>
      <c r="B9" s="8">
        <v>39689.594751383796</v>
      </c>
      <c r="C9" s="8">
        <v>5306.8415683190915</v>
      </c>
      <c r="D9" s="8">
        <v>5205.8992944185766</v>
      </c>
      <c r="E9" s="8">
        <v>2435.0905849927485</v>
      </c>
      <c r="F9" s="8">
        <v>7169.169812640951</v>
      </c>
      <c r="G9" s="8">
        <v>5489.4450076222702</v>
      </c>
      <c r="H9" s="8">
        <v>890.33353945941303</v>
      </c>
      <c r="I9" s="8">
        <v>1587.8559939403594</v>
      </c>
      <c r="J9" s="8">
        <v>618.12965478392175</v>
      </c>
      <c r="K9" s="8">
        <v>1602.6003710269486</v>
      </c>
      <c r="L9" s="8">
        <v>147.44377086588753</v>
      </c>
      <c r="M9" s="8">
        <v>8816.0033149280025</v>
      </c>
      <c r="N9" s="8">
        <v>420.78183839419063</v>
      </c>
    </row>
    <row r="10" spans="1:14" x14ac:dyDescent="0.2">
      <c r="A10" s="61" t="s">
        <v>458</v>
      </c>
      <c r="B10" s="10">
        <v>39689.594751383796</v>
      </c>
      <c r="C10" s="10">
        <v>5306.8415683190915</v>
      </c>
      <c r="D10" s="10">
        <v>5205.8992944185766</v>
      </c>
      <c r="E10" s="10">
        <v>2435.0905849927485</v>
      </c>
      <c r="F10" s="10">
        <v>7169.169812640951</v>
      </c>
      <c r="G10" s="10">
        <v>5489.4450076222702</v>
      </c>
      <c r="H10" s="10">
        <v>890.33353945941303</v>
      </c>
      <c r="I10" s="10">
        <v>1587.8559939403594</v>
      </c>
      <c r="J10" s="10">
        <v>618.12965478392175</v>
      </c>
      <c r="K10" s="10">
        <v>1602.6003710269486</v>
      </c>
      <c r="L10" s="10">
        <v>147.44377086588753</v>
      </c>
      <c r="M10" s="10">
        <v>8816.0033149280025</v>
      </c>
      <c r="N10" s="10">
        <v>420.78183839419063</v>
      </c>
    </row>
    <row r="11" spans="1:14" x14ac:dyDescent="0.2">
      <c r="A11" s="371" t="s">
        <v>459</v>
      </c>
      <c r="B11" s="8">
        <v>22422.795000137165</v>
      </c>
      <c r="C11" s="8">
        <v>1326.9939377930136</v>
      </c>
      <c r="D11" s="8">
        <v>1199.9654582777844</v>
      </c>
      <c r="E11" s="8">
        <v>93.002993930790623</v>
      </c>
      <c r="F11" s="8">
        <v>575.03070637696896</v>
      </c>
      <c r="G11" s="8">
        <v>134.96775948492783</v>
      </c>
      <c r="H11" s="8">
        <v>4780.5807246130362</v>
      </c>
      <c r="I11" s="8">
        <v>10562.644908262755</v>
      </c>
      <c r="J11" s="8">
        <v>354.9992329309469</v>
      </c>
      <c r="K11" s="8">
        <v>1389.3739946978137</v>
      </c>
      <c r="L11" s="8">
        <v>32.891302731621131</v>
      </c>
      <c r="M11" s="8">
        <v>1809.0216502391961</v>
      </c>
      <c r="N11" s="8">
        <v>163.32233080529079</v>
      </c>
    </row>
    <row r="12" spans="1:14" x14ac:dyDescent="0.2">
      <c r="A12" s="61" t="s">
        <v>459</v>
      </c>
      <c r="B12" s="10">
        <v>18748.042557023189</v>
      </c>
      <c r="C12" s="10">
        <v>1142.1221327842425</v>
      </c>
      <c r="D12" s="10">
        <v>1036.6431274724896</v>
      </c>
      <c r="E12" s="10">
        <v>91.868811077976105</v>
      </c>
      <c r="F12" s="10">
        <v>572.76234067133987</v>
      </c>
      <c r="G12" s="10">
        <v>133.83357663211331</v>
      </c>
      <c r="H12" s="10">
        <v>4574.1594454007472</v>
      </c>
      <c r="I12" s="10">
        <v>8944.165977296072</v>
      </c>
      <c r="J12" s="10">
        <v>206.4212792122425</v>
      </c>
      <c r="K12" s="10">
        <v>1032.1063960612314</v>
      </c>
      <c r="L12" s="10">
        <v>26.086205614734002</v>
      </c>
      <c r="M12" s="10">
        <v>869.91824810875119</v>
      </c>
      <c r="N12" s="10">
        <v>117.95501669271003</v>
      </c>
    </row>
    <row r="13" spans="1:14" x14ac:dyDescent="0.2">
      <c r="A13" s="61" t="s">
        <v>473</v>
      </c>
      <c r="B13" s="10">
        <v>3674.7524431187999</v>
      </c>
      <c r="C13" s="10">
        <v>184.87180500876664</v>
      </c>
      <c r="D13" s="10">
        <v>163.32233080529079</v>
      </c>
      <c r="E13" s="10">
        <v>1.1341828528145215</v>
      </c>
      <c r="F13" s="10">
        <v>2.2683657056290429</v>
      </c>
      <c r="G13" s="10">
        <v>1.1341828528145215</v>
      </c>
      <c r="H13" s="10">
        <v>206.4212792122425</v>
      </c>
      <c r="I13" s="10">
        <v>1618.4789309663522</v>
      </c>
      <c r="J13" s="10">
        <v>148.57795371870205</v>
      </c>
      <c r="K13" s="10">
        <v>357.267598636576</v>
      </c>
      <c r="L13" s="10">
        <v>6.8050971168871284</v>
      </c>
      <c r="M13" s="10">
        <v>939.10340213043855</v>
      </c>
      <c r="N13" s="10">
        <v>45.367314112580836</v>
      </c>
    </row>
    <row r="14" spans="1:14" x14ac:dyDescent="0.2">
      <c r="A14" s="371" t="s">
        <v>461</v>
      </c>
      <c r="B14" s="8">
        <v>4164.7194355346137</v>
      </c>
      <c r="C14" s="8">
        <v>328.91302731621232</v>
      </c>
      <c r="D14" s="8">
        <v>131.56521092648427</v>
      </c>
      <c r="E14" s="8">
        <v>14.744377086588782</v>
      </c>
      <c r="F14" s="8">
        <v>2229.8034886333567</v>
      </c>
      <c r="G14" s="8">
        <v>14.744377086588782</v>
      </c>
      <c r="H14" s="8">
        <v>124.76011380959714</v>
      </c>
      <c r="I14" s="8">
        <v>519.45574658905616</v>
      </c>
      <c r="J14" s="8">
        <v>13.61019423377426</v>
      </c>
      <c r="K14" s="8">
        <v>65.782605463242177</v>
      </c>
      <c r="L14" s="8">
        <v>12.476011380959738</v>
      </c>
      <c r="M14" s="8">
        <v>694.1199059224964</v>
      </c>
      <c r="N14" s="8">
        <v>14.744377086588782</v>
      </c>
    </row>
    <row r="15" spans="1:14" x14ac:dyDescent="0.2">
      <c r="A15" s="61" t="s">
        <v>461</v>
      </c>
      <c r="B15" s="10">
        <v>4164.7194355346137</v>
      </c>
      <c r="C15" s="10">
        <v>328.91302731621232</v>
      </c>
      <c r="D15" s="10">
        <v>131.56521092648427</v>
      </c>
      <c r="E15" s="10">
        <v>14.744377086588782</v>
      </c>
      <c r="F15" s="10">
        <v>2229.8034886333567</v>
      </c>
      <c r="G15" s="10">
        <v>14.744377086588782</v>
      </c>
      <c r="H15" s="10">
        <v>124.76011380959714</v>
      </c>
      <c r="I15" s="10">
        <v>519.45574658905616</v>
      </c>
      <c r="J15" s="10">
        <v>13.61019423377426</v>
      </c>
      <c r="K15" s="10">
        <v>65.782605463242177</v>
      </c>
      <c r="L15" s="10">
        <v>12.476011380959738</v>
      </c>
      <c r="M15" s="10">
        <v>694.1199059224964</v>
      </c>
      <c r="N15" s="10">
        <v>14.744377086588782</v>
      </c>
    </row>
    <row r="16" spans="1:14" x14ac:dyDescent="0.2">
      <c r="A16" s="371" t="s">
        <v>462</v>
      </c>
      <c r="B16" s="8">
        <v>12694.908671554531</v>
      </c>
      <c r="C16" s="8">
        <v>1500.5239142736393</v>
      </c>
      <c r="D16" s="8">
        <v>1642.2967708754577</v>
      </c>
      <c r="E16" s="8">
        <v>6.8050971168871284</v>
      </c>
      <c r="F16" s="8">
        <v>1053.6558702647078</v>
      </c>
      <c r="G16" s="8">
        <v>53.306594082282466</v>
      </c>
      <c r="H16" s="8">
        <v>2217.3274772523991</v>
      </c>
      <c r="I16" s="8">
        <v>4527.6579484353415</v>
      </c>
      <c r="J16" s="8">
        <v>259.72787329452495</v>
      </c>
      <c r="K16" s="8">
        <v>272.20388467548497</v>
      </c>
      <c r="L16" s="8">
        <v>32.891302731621131</v>
      </c>
      <c r="M16" s="8">
        <v>1080.8762587322569</v>
      </c>
      <c r="N16" s="8">
        <v>47.635679818209873</v>
      </c>
    </row>
    <row r="17" spans="1:14" x14ac:dyDescent="0.2">
      <c r="A17" s="61" t="s">
        <v>462</v>
      </c>
      <c r="B17" s="10">
        <v>12694.908671554531</v>
      </c>
      <c r="C17" s="10">
        <v>1500.5239142736393</v>
      </c>
      <c r="D17" s="10">
        <v>1642.2967708754577</v>
      </c>
      <c r="E17" s="10">
        <v>6.8050971168871284</v>
      </c>
      <c r="F17" s="10">
        <v>1053.6558702647078</v>
      </c>
      <c r="G17" s="10">
        <v>53.306594082282466</v>
      </c>
      <c r="H17" s="10">
        <v>2217.3274772523991</v>
      </c>
      <c r="I17" s="10">
        <v>4527.6579484353415</v>
      </c>
      <c r="J17" s="10">
        <v>259.72787329452495</v>
      </c>
      <c r="K17" s="10">
        <v>272.20388467548497</v>
      </c>
      <c r="L17" s="10">
        <v>32.891302731621131</v>
      </c>
      <c r="M17" s="10">
        <v>1080.8762587322569</v>
      </c>
      <c r="N17" s="10">
        <v>47.635679818209873</v>
      </c>
    </row>
    <row r="18" spans="1:14" x14ac:dyDescent="0.2">
      <c r="A18" s="371" t="s">
        <v>463</v>
      </c>
      <c r="B18" s="8">
        <v>5439.5409620984201</v>
      </c>
      <c r="C18" s="8">
        <v>271.06970182267042</v>
      </c>
      <c r="D18" s="8">
        <v>224.56820485727479</v>
      </c>
      <c r="E18" s="8">
        <v>11.341828528145216</v>
      </c>
      <c r="F18" s="8">
        <v>432.1236669223361</v>
      </c>
      <c r="G18" s="8">
        <v>2.2683657056290429</v>
      </c>
      <c r="H18" s="8">
        <v>180.33507359750857</v>
      </c>
      <c r="I18" s="8">
        <v>2684.6108126118988</v>
      </c>
      <c r="J18" s="8">
        <v>64.648422610427659</v>
      </c>
      <c r="K18" s="8">
        <v>374.2803414287942</v>
      </c>
      <c r="L18" s="8">
        <v>17.012742792217825</v>
      </c>
      <c r="M18" s="8">
        <v>1169.3425212517916</v>
      </c>
      <c r="N18" s="8">
        <v>7.9392799697016496</v>
      </c>
    </row>
    <row r="19" spans="1:14" x14ac:dyDescent="0.2">
      <c r="A19" s="61" t="s">
        <v>463</v>
      </c>
      <c r="B19" s="10">
        <v>5439.5409620984201</v>
      </c>
      <c r="C19" s="10">
        <v>271.06970182267042</v>
      </c>
      <c r="D19" s="10">
        <v>224.56820485727479</v>
      </c>
      <c r="E19" s="10">
        <v>11.341828528145216</v>
      </c>
      <c r="F19" s="10">
        <v>432.1236669223361</v>
      </c>
      <c r="G19" s="10">
        <v>2.2683657056290429</v>
      </c>
      <c r="H19" s="10">
        <v>180.33507359750857</v>
      </c>
      <c r="I19" s="10">
        <v>2684.6108126118988</v>
      </c>
      <c r="J19" s="10">
        <v>64.648422610427659</v>
      </c>
      <c r="K19" s="10">
        <v>374.2803414287942</v>
      </c>
      <c r="L19" s="10">
        <v>17.012742792217825</v>
      </c>
      <c r="M19" s="10">
        <v>1169.3425212517916</v>
      </c>
      <c r="N19" s="10">
        <v>7.9392799697016496</v>
      </c>
    </row>
    <row r="20" spans="1:14" x14ac:dyDescent="0.2">
      <c r="A20" s="371" t="s">
        <v>464</v>
      </c>
      <c r="B20" s="10">
        <v>2944.338685906378</v>
      </c>
      <c r="C20" s="10">
        <v>105.47900531175033</v>
      </c>
      <c r="D20" s="10">
        <v>89.600445372347068</v>
      </c>
      <c r="E20" s="11">
        <v>0</v>
      </c>
      <c r="F20" s="10">
        <v>1.1341828528145215</v>
      </c>
      <c r="G20" s="10">
        <v>3.4025485584435646</v>
      </c>
      <c r="H20" s="10">
        <v>182.60343930313761</v>
      </c>
      <c r="I20" s="10">
        <v>1309.9811950007954</v>
      </c>
      <c r="J20" s="10">
        <v>113.41828528145196</v>
      </c>
      <c r="K20" s="10">
        <v>580.7016206410417</v>
      </c>
      <c r="L20" s="10">
        <v>1.1341828528145215</v>
      </c>
      <c r="M20" s="10">
        <v>541.00522079253255</v>
      </c>
      <c r="N20" s="10">
        <v>15.878559939403305</v>
      </c>
    </row>
    <row r="21" spans="1:14" x14ac:dyDescent="0.2">
      <c r="A21" s="61" t="s">
        <v>464</v>
      </c>
      <c r="B21" s="8">
        <v>640.81331184021269</v>
      </c>
      <c r="C21" s="8">
        <v>19.281108497846869</v>
      </c>
      <c r="D21" s="8">
        <v>14.744377086588782</v>
      </c>
      <c r="E21" s="9">
        <v>0</v>
      </c>
      <c r="F21" s="9">
        <v>0</v>
      </c>
      <c r="G21" s="9">
        <v>0</v>
      </c>
      <c r="H21" s="8">
        <v>2.2683657056290429</v>
      </c>
      <c r="I21" s="8">
        <v>19.281108497846869</v>
      </c>
      <c r="J21" s="8">
        <v>23.817839909104958</v>
      </c>
      <c r="K21" s="8">
        <v>246.11767906075065</v>
      </c>
      <c r="L21" s="8">
        <v>1.1341828528145215</v>
      </c>
      <c r="M21" s="8">
        <v>314.16865022962321</v>
      </c>
      <c r="N21" s="9">
        <v>0</v>
      </c>
    </row>
    <row r="22" spans="1:14" x14ac:dyDescent="0.2">
      <c r="A22" s="61" t="s">
        <v>465</v>
      </c>
      <c r="B22" s="10">
        <v>2303.5253740662874</v>
      </c>
      <c r="C22" s="10">
        <v>86.197896813903512</v>
      </c>
      <c r="D22" s="10">
        <v>74.856068285758326</v>
      </c>
      <c r="E22" s="11">
        <v>0</v>
      </c>
      <c r="F22" s="10">
        <v>1.1341828528145215</v>
      </c>
      <c r="G22" s="10">
        <v>3.4025485584435646</v>
      </c>
      <c r="H22" s="10">
        <v>180.33507359750857</v>
      </c>
      <c r="I22" s="10">
        <v>1290.7000865029481</v>
      </c>
      <c r="J22" s="10">
        <v>89.600445372347068</v>
      </c>
      <c r="K22" s="10">
        <v>334.58394158028506</v>
      </c>
      <c r="L22" s="11">
        <v>0</v>
      </c>
      <c r="M22" s="10">
        <v>226.83657056290383</v>
      </c>
      <c r="N22" s="10">
        <v>15.878559939403305</v>
      </c>
    </row>
    <row r="23" spans="1:14" x14ac:dyDescent="0.2">
      <c r="A23" s="371" t="s">
        <v>466</v>
      </c>
      <c r="B23" s="10">
        <v>1390.5081775506283</v>
      </c>
      <c r="C23" s="10">
        <v>54.440776935096984</v>
      </c>
      <c r="D23" s="10">
        <v>43.098948406951799</v>
      </c>
      <c r="E23" s="11">
        <v>0</v>
      </c>
      <c r="F23" s="11">
        <v>0</v>
      </c>
      <c r="G23" s="11">
        <v>0</v>
      </c>
      <c r="H23" s="10">
        <v>232.50748482697642</v>
      </c>
      <c r="I23" s="10">
        <v>145.17540516025849</v>
      </c>
      <c r="J23" s="10">
        <v>113.41828528145196</v>
      </c>
      <c r="K23" s="10">
        <v>140.63867374900042</v>
      </c>
      <c r="L23" s="11">
        <v>0</v>
      </c>
      <c r="M23" s="10">
        <v>652.15514036835816</v>
      </c>
      <c r="N23" s="10">
        <v>9.0734628225161718</v>
      </c>
    </row>
    <row r="24" spans="1:14" x14ac:dyDescent="0.2">
      <c r="A24" s="61" t="s">
        <v>466</v>
      </c>
      <c r="B24" s="10">
        <v>1390.5081775506283</v>
      </c>
      <c r="C24" s="10">
        <v>54.440776935096984</v>
      </c>
      <c r="D24" s="10">
        <v>43.098948406951799</v>
      </c>
      <c r="E24" s="11">
        <v>0</v>
      </c>
      <c r="F24" s="11">
        <v>0</v>
      </c>
      <c r="G24" s="11">
        <v>0</v>
      </c>
      <c r="H24" s="10">
        <v>232.50748482697642</v>
      </c>
      <c r="I24" s="10">
        <v>145.17540516025849</v>
      </c>
      <c r="J24" s="10">
        <v>113.41828528145196</v>
      </c>
      <c r="K24" s="10">
        <v>140.63867374900042</v>
      </c>
      <c r="L24" s="11">
        <v>0</v>
      </c>
      <c r="M24" s="10">
        <v>652.15514036835816</v>
      </c>
      <c r="N24" s="10">
        <v>9.0734628225161718</v>
      </c>
    </row>
    <row r="25" spans="1:14" x14ac:dyDescent="0.2">
      <c r="A25" s="371" t="s">
        <v>467</v>
      </c>
      <c r="B25" s="8">
        <v>3188.1879992614568</v>
      </c>
      <c r="C25" s="8">
        <v>97.539725342048698</v>
      </c>
      <c r="D25" s="8">
        <v>107.74737101737936</v>
      </c>
      <c r="E25" s="8">
        <v>1.1341828528145215</v>
      </c>
      <c r="F25" s="8">
        <v>5.6709142640726071</v>
      </c>
      <c r="G25" s="8">
        <v>31.757119878806613</v>
      </c>
      <c r="H25" s="8">
        <v>231.3733019741619</v>
      </c>
      <c r="I25" s="8">
        <v>2226.4009400749137</v>
      </c>
      <c r="J25" s="8">
        <v>123.62593095678263</v>
      </c>
      <c r="K25" s="8">
        <v>150.84631942433109</v>
      </c>
      <c r="L25" s="9">
        <v>3.4025485584435646</v>
      </c>
      <c r="M25" s="8">
        <v>146.30958801307301</v>
      </c>
      <c r="N25" s="8">
        <v>62.380056904798614</v>
      </c>
    </row>
    <row r="26" spans="1:14" x14ac:dyDescent="0.2">
      <c r="A26" s="61" t="s">
        <v>467</v>
      </c>
      <c r="B26" s="10">
        <v>3188.1879992614568</v>
      </c>
      <c r="C26" s="10">
        <v>97.539725342048698</v>
      </c>
      <c r="D26" s="10">
        <v>107.74737101737936</v>
      </c>
      <c r="E26" s="10">
        <v>1.1341828528145215</v>
      </c>
      <c r="F26" s="10">
        <v>5.6709142640726071</v>
      </c>
      <c r="G26" s="10">
        <v>31.757119878806613</v>
      </c>
      <c r="H26" s="10">
        <v>231.3733019741619</v>
      </c>
      <c r="I26" s="10">
        <v>2226.4009400749137</v>
      </c>
      <c r="J26" s="10">
        <v>123.62593095678263</v>
      </c>
      <c r="K26" s="10">
        <v>150.84631942433109</v>
      </c>
      <c r="L26" s="10">
        <v>3.4025485584435646</v>
      </c>
      <c r="M26" s="10">
        <v>146.30958801307301</v>
      </c>
      <c r="N26" s="10">
        <v>62.380056904798614</v>
      </c>
    </row>
    <row r="27" spans="1:14" x14ac:dyDescent="0.2">
      <c r="A27" s="371" t="s">
        <v>468</v>
      </c>
      <c r="B27" s="8">
        <v>1849.8522329405198</v>
      </c>
      <c r="C27" s="8">
        <v>13.61019423377426</v>
      </c>
      <c r="D27" s="8">
        <v>20.415291350661391</v>
      </c>
      <c r="E27" s="9">
        <v>0</v>
      </c>
      <c r="F27" s="9">
        <v>0</v>
      </c>
      <c r="G27" s="8">
        <v>1.1341828528145215</v>
      </c>
      <c r="H27" s="8">
        <v>83.929531108274475</v>
      </c>
      <c r="I27" s="8">
        <v>673.70461457183455</v>
      </c>
      <c r="J27" s="8">
        <v>44.233131259766317</v>
      </c>
      <c r="K27" s="8">
        <v>310.76610167117957</v>
      </c>
      <c r="L27" s="8">
        <v>2.2683657056290429</v>
      </c>
      <c r="M27" s="8">
        <v>692.98572306968185</v>
      </c>
      <c r="N27" s="8">
        <v>6.8050971168871284</v>
      </c>
    </row>
    <row r="28" spans="1:14" x14ac:dyDescent="0.2">
      <c r="A28" s="61" t="s">
        <v>468</v>
      </c>
      <c r="B28" s="10">
        <v>1849.8522329405198</v>
      </c>
      <c r="C28" s="10">
        <v>13.61019423377426</v>
      </c>
      <c r="D28" s="10">
        <v>20.415291350661391</v>
      </c>
      <c r="E28" s="11">
        <v>0</v>
      </c>
      <c r="F28" s="11">
        <v>0</v>
      </c>
      <c r="G28" s="10">
        <v>1.1341828528145215</v>
      </c>
      <c r="H28" s="10">
        <v>83.929531108274475</v>
      </c>
      <c r="I28" s="10">
        <v>673.70461457183455</v>
      </c>
      <c r="J28" s="10">
        <v>44.233131259766317</v>
      </c>
      <c r="K28" s="10">
        <v>310.76610167117957</v>
      </c>
      <c r="L28" s="10">
        <v>2.2683657056290429</v>
      </c>
      <c r="M28" s="10">
        <v>692.98572306968185</v>
      </c>
      <c r="N28" s="10">
        <v>6.8050971168871284</v>
      </c>
    </row>
  </sheetData>
  <mergeCells count="4">
    <mergeCell ref="A1:N1"/>
    <mergeCell ref="A2:A3"/>
    <mergeCell ref="B2:B3"/>
    <mergeCell ref="C2:N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zoomScale="120" zoomScaleNormal="120" workbookViewId="0">
      <selection sqref="A1:E1"/>
    </sheetView>
  </sheetViews>
  <sheetFormatPr defaultRowHeight="12" x14ac:dyDescent="0.2"/>
  <cols>
    <col min="1" max="1" width="18" style="322" customWidth="1"/>
    <col min="2" max="16384" width="9.140625" style="322"/>
  </cols>
  <sheetData>
    <row r="1" spans="1:5" ht="37.5" customHeight="1" x14ac:dyDescent="0.2">
      <c r="A1" s="626" t="s">
        <v>558</v>
      </c>
      <c r="B1" s="626"/>
      <c r="C1" s="626"/>
      <c r="D1" s="626"/>
      <c r="E1" s="626"/>
    </row>
    <row r="2" spans="1:5" ht="25.5" customHeight="1" x14ac:dyDescent="0.2">
      <c r="A2" s="584" t="s">
        <v>501</v>
      </c>
      <c r="B2" s="627" t="s">
        <v>52</v>
      </c>
      <c r="C2" s="627" t="s">
        <v>571</v>
      </c>
      <c r="D2" s="627"/>
      <c r="E2" s="627"/>
    </row>
    <row r="3" spans="1:5" ht="24" x14ac:dyDescent="0.2">
      <c r="A3" s="585"/>
      <c r="B3" s="628"/>
      <c r="C3" s="14" t="s">
        <v>120</v>
      </c>
      <c r="D3" s="14" t="s">
        <v>121</v>
      </c>
      <c r="E3" s="14" t="s">
        <v>122</v>
      </c>
    </row>
    <row r="4" spans="1:5" x14ac:dyDescent="0.2">
      <c r="A4" s="228" t="s">
        <v>457</v>
      </c>
      <c r="B4" s="237">
        <v>93784.445916290002</v>
      </c>
      <c r="C4" s="237">
        <v>44100.431865987528</v>
      </c>
      <c r="D4" s="237">
        <v>49655.659479083202</v>
      </c>
      <c r="E4" s="237">
        <v>28.354571320363046</v>
      </c>
    </row>
    <row r="5" spans="1:5" x14ac:dyDescent="0.2">
      <c r="A5" s="232" t="s">
        <v>14</v>
      </c>
      <c r="B5" s="8"/>
      <c r="C5" s="8"/>
      <c r="D5" s="8"/>
      <c r="E5" s="8"/>
    </row>
    <row r="6" spans="1:5" x14ac:dyDescent="0.2">
      <c r="A6" s="378" t="s">
        <v>5</v>
      </c>
      <c r="B6" s="10">
        <v>49596.681970736739</v>
      </c>
      <c r="C6" s="10">
        <v>20498.086698913579</v>
      </c>
      <c r="D6" s="10">
        <v>29084.985077560465</v>
      </c>
      <c r="E6" s="10">
        <v>13.61019423377426</v>
      </c>
    </row>
    <row r="7" spans="1:5" x14ac:dyDescent="0.2">
      <c r="A7" s="72" t="s">
        <v>6</v>
      </c>
      <c r="B7" s="10">
        <v>44187.763945654406</v>
      </c>
      <c r="C7" s="10">
        <v>23602.345167062638</v>
      </c>
      <c r="D7" s="10">
        <v>20570.674401493608</v>
      </c>
      <c r="E7" s="10">
        <v>14.744377086588782</v>
      </c>
    </row>
    <row r="8" spans="1:5" ht="13.5" customHeight="1" x14ac:dyDescent="0.2">
      <c r="A8" s="234" t="s">
        <v>542</v>
      </c>
      <c r="B8" s="254"/>
      <c r="C8" s="254"/>
      <c r="D8" s="254"/>
      <c r="E8" s="254"/>
    </row>
    <row r="9" spans="1:5" x14ac:dyDescent="0.2">
      <c r="A9" s="371" t="s">
        <v>458</v>
      </c>
      <c r="B9" s="8">
        <v>39689.594751383796</v>
      </c>
      <c r="C9" s="8">
        <v>18322.723987218331</v>
      </c>
      <c r="D9" s="8">
        <v>21361.199849904238</v>
      </c>
      <c r="E9" s="8">
        <v>5.6709142640726071</v>
      </c>
    </row>
    <row r="10" spans="1:5" x14ac:dyDescent="0.2">
      <c r="A10" s="61" t="s">
        <v>458</v>
      </c>
      <c r="B10" s="10">
        <v>39689.594751383796</v>
      </c>
      <c r="C10" s="10">
        <v>18322.723987218331</v>
      </c>
      <c r="D10" s="10">
        <v>21361.199849904238</v>
      </c>
      <c r="E10" s="10">
        <v>5.6709142640726071</v>
      </c>
    </row>
    <row r="11" spans="1:5" x14ac:dyDescent="0.2">
      <c r="A11" s="371" t="s">
        <v>459</v>
      </c>
      <c r="B11" s="10">
        <v>22422.795000137165</v>
      </c>
      <c r="C11" s="10">
        <v>10987.963478068295</v>
      </c>
      <c r="D11" s="10">
        <v>11422.355510696354</v>
      </c>
      <c r="E11" s="10">
        <v>12.476011380959738</v>
      </c>
    </row>
    <row r="12" spans="1:5" x14ac:dyDescent="0.2">
      <c r="A12" s="61" t="s">
        <v>459</v>
      </c>
      <c r="B12" s="10">
        <v>18748.042557023189</v>
      </c>
      <c r="C12" s="10">
        <v>9045.1082511965869</v>
      </c>
      <c r="D12" s="10">
        <v>9691.5924773010083</v>
      </c>
      <c r="E12" s="10">
        <v>11.341828528145216</v>
      </c>
    </row>
    <row r="13" spans="1:5" ht="24" x14ac:dyDescent="0.2">
      <c r="A13" s="61" t="s">
        <v>473</v>
      </c>
      <c r="B13" s="8">
        <v>3674.7524431187999</v>
      </c>
      <c r="C13" s="8">
        <v>1942.8552268713127</v>
      </c>
      <c r="D13" s="8">
        <v>1730.7630333949924</v>
      </c>
      <c r="E13" s="8">
        <v>1.1341828528145215</v>
      </c>
    </row>
    <row r="14" spans="1:5" x14ac:dyDescent="0.2">
      <c r="A14" s="371" t="s">
        <v>461</v>
      </c>
      <c r="B14" s="10">
        <v>4164.7194355346137</v>
      </c>
      <c r="C14" s="10">
        <v>2118.6535690575533</v>
      </c>
      <c r="D14" s="10">
        <v>2039.2607693605491</v>
      </c>
      <c r="E14" s="10">
        <v>6.8050971168871284</v>
      </c>
    </row>
    <row r="15" spans="1:5" x14ac:dyDescent="0.2">
      <c r="A15" s="61" t="s">
        <v>461</v>
      </c>
      <c r="B15" s="10">
        <v>4164.7194355346137</v>
      </c>
      <c r="C15" s="10">
        <v>2118.6535690575533</v>
      </c>
      <c r="D15" s="10">
        <v>2039.2607693605491</v>
      </c>
      <c r="E15" s="10">
        <v>6.8050971168871284</v>
      </c>
    </row>
    <row r="16" spans="1:5" x14ac:dyDescent="0.2">
      <c r="A16" s="371" t="s">
        <v>462</v>
      </c>
      <c r="B16" s="8">
        <v>12694.908671554531</v>
      </c>
      <c r="C16" s="8">
        <v>5259.205888500871</v>
      </c>
      <c r="D16" s="8">
        <v>7435.702783052423</v>
      </c>
      <c r="E16" s="9">
        <v>0</v>
      </c>
    </row>
    <row r="17" spans="1:5" x14ac:dyDescent="0.2">
      <c r="A17" s="61" t="s">
        <v>462</v>
      </c>
      <c r="B17" s="10">
        <v>12694.908671554531</v>
      </c>
      <c r="C17" s="10">
        <v>5259.205888500871</v>
      </c>
      <c r="D17" s="10">
        <v>7435.702783052423</v>
      </c>
      <c r="E17" s="11">
        <v>0</v>
      </c>
    </row>
    <row r="18" spans="1:5" x14ac:dyDescent="0.2">
      <c r="A18" s="371" t="s">
        <v>463</v>
      </c>
      <c r="B18" s="10">
        <v>5439.5409620984201</v>
      </c>
      <c r="C18" s="10">
        <v>1811.2900159448252</v>
      </c>
      <c r="D18" s="10">
        <v>3627.1167633005984</v>
      </c>
      <c r="E18" s="11">
        <v>1.1341828528145215</v>
      </c>
    </row>
    <row r="19" spans="1:5" x14ac:dyDescent="0.2">
      <c r="A19" s="61" t="s">
        <v>463</v>
      </c>
      <c r="B19" s="10">
        <v>5439.5409620984201</v>
      </c>
      <c r="C19" s="10">
        <v>1811.2900159448252</v>
      </c>
      <c r="D19" s="10">
        <v>3627.1167633005984</v>
      </c>
      <c r="E19" s="11">
        <v>1.1341828528145215</v>
      </c>
    </row>
    <row r="20" spans="1:5" x14ac:dyDescent="0.2">
      <c r="A20" s="371" t="s">
        <v>464</v>
      </c>
      <c r="B20" s="10">
        <v>2944.338685906378</v>
      </c>
      <c r="C20" s="10">
        <v>1702.4084620746287</v>
      </c>
      <c r="D20" s="10">
        <v>1241.9302238319226</v>
      </c>
      <c r="E20" s="11">
        <v>0</v>
      </c>
    </row>
    <row r="21" spans="1:5" x14ac:dyDescent="0.2">
      <c r="A21" s="61" t="s">
        <v>464</v>
      </c>
      <c r="B21" s="8">
        <v>640.81331184021269</v>
      </c>
      <c r="C21" s="8">
        <v>410.57419271885971</v>
      </c>
      <c r="D21" s="8">
        <v>230.23911912134739</v>
      </c>
      <c r="E21" s="9">
        <v>0</v>
      </c>
    </row>
    <row r="22" spans="1:5" x14ac:dyDescent="0.2">
      <c r="A22" s="61" t="s">
        <v>465</v>
      </c>
      <c r="B22" s="10">
        <v>2303.5253740662874</v>
      </c>
      <c r="C22" s="10">
        <v>1291.8342693557627</v>
      </c>
      <c r="D22" s="10">
        <v>1011.6911047105696</v>
      </c>
      <c r="E22" s="11">
        <v>0</v>
      </c>
    </row>
    <row r="23" spans="1:5" x14ac:dyDescent="0.2">
      <c r="A23" s="371" t="s">
        <v>466</v>
      </c>
      <c r="B23" s="10">
        <v>1390.5081775506283</v>
      </c>
      <c r="C23" s="10">
        <v>775.78107132514378</v>
      </c>
      <c r="D23" s="10">
        <v>614.72710622547811</v>
      </c>
      <c r="E23" s="11">
        <v>0</v>
      </c>
    </row>
    <row r="24" spans="1:5" x14ac:dyDescent="0.2">
      <c r="A24" s="61" t="s">
        <v>466</v>
      </c>
      <c r="B24" s="8">
        <v>1390.5081775506283</v>
      </c>
      <c r="C24" s="8">
        <v>775.78107132514378</v>
      </c>
      <c r="D24" s="8">
        <v>614.72710622547811</v>
      </c>
      <c r="E24" s="9">
        <v>0</v>
      </c>
    </row>
    <row r="25" spans="1:5" x14ac:dyDescent="0.2">
      <c r="A25" s="371" t="s">
        <v>467</v>
      </c>
      <c r="B25" s="10">
        <v>3188.1879992614568</v>
      </c>
      <c r="C25" s="10">
        <v>2008.6378323345564</v>
      </c>
      <c r="D25" s="10">
        <v>1178.415984074308</v>
      </c>
      <c r="E25" s="10">
        <v>1.1341828528145215</v>
      </c>
    </row>
    <row r="26" spans="1:5" x14ac:dyDescent="0.2">
      <c r="A26" s="61" t="s">
        <v>467</v>
      </c>
      <c r="B26" s="10">
        <v>3188.1879992614568</v>
      </c>
      <c r="C26" s="10">
        <v>2008.6378323345564</v>
      </c>
      <c r="D26" s="10">
        <v>1178.415984074308</v>
      </c>
      <c r="E26" s="10">
        <v>1.1341828528145215</v>
      </c>
    </row>
    <row r="27" spans="1:5" x14ac:dyDescent="0.2">
      <c r="A27" s="371" t="s">
        <v>468</v>
      </c>
      <c r="B27" s="8">
        <v>1849.8522329405198</v>
      </c>
      <c r="C27" s="8">
        <v>1113.7675614638788</v>
      </c>
      <c r="D27" s="8">
        <v>734.95048862382009</v>
      </c>
      <c r="E27" s="8">
        <v>1.1341828528145215</v>
      </c>
    </row>
    <row r="28" spans="1:5" x14ac:dyDescent="0.2">
      <c r="A28" s="61" t="s">
        <v>468</v>
      </c>
      <c r="B28" s="10">
        <v>1849.8522329405198</v>
      </c>
      <c r="C28" s="10">
        <v>1113.7675614638788</v>
      </c>
      <c r="D28" s="10">
        <v>734.95048862382009</v>
      </c>
      <c r="E28" s="10">
        <v>1.1341828528145215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zoomScale="120" zoomScaleNormal="120" workbookViewId="0">
      <selection activeCell="S23" sqref="S23"/>
    </sheetView>
  </sheetViews>
  <sheetFormatPr defaultRowHeight="12" x14ac:dyDescent="0.2"/>
  <cols>
    <col min="1" max="1" width="18.5703125" style="322" customWidth="1"/>
    <col min="2" max="16384" width="9.140625" style="322"/>
  </cols>
  <sheetData>
    <row r="1" spans="1:12" x14ac:dyDescent="0.2">
      <c r="A1" s="629" t="s">
        <v>342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</row>
    <row r="2" spans="1:12" ht="15" customHeight="1" x14ac:dyDescent="0.2">
      <c r="A2" s="584" t="s">
        <v>501</v>
      </c>
      <c r="B2" s="630" t="s">
        <v>52</v>
      </c>
      <c r="C2" s="630" t="s">
        <v>343</v>
      </c>
      <c r="D2" s="632" t="s">
        <v>344</v>
      </c>
      <c r="E2" s="632"/>
      <c r="F2" s="632"/>
      <c r="G2" s="632"/>
      <c r="H2" s="632"/>
      <c r="I2" s="632"/>
      <c r="J2" s="632"/>
      <c r="K2" s="632"/>
      <c r="L2" s="632"/>
    </row>
    <row r="3" spans="1:12" ht="70.5" customHeight="1" x14ac:dyDescent="0.2">
      <c r="A3" s="585"/>
      <c r="B3" s="631"/>
      <c r="C3" s="631"/>
      <c r="D3" s="282" t="s">
        <v>345</v>
      </c>
      <c r="E3" s="282" t="s">
        <v>346</v>
      </c>
      <c r="F3" s="282" t="s">
        <v>347</v>
      </c>
      <c r="G3" s="282" t="s">
        <v>348</v>
      </c>
      <c r="H3" s="282" t="s">
        <v>349</v>
      </c>
      <c r="I3" s="282" t="s">
        <v>350</v>
      </c>
      <c r="J3" s="282" t="s">
        <v>351</v>
      </c>
      <c r="K3" s="282" t="s">
        <v>352</v>
      </c>
      <c r="L3" s="282" t="s">
        <v>353</v>
      </c>
    </row>
    <row r="4" spans="1:12" x14ac:dyDescent="0.2">
      <c r="A4" s="228" t="s">
        <v>457</v>
      </c>
      <c r="B4" s="237">
        <v>93784.445916290002</v>
      </c>
      <c r="C4" s="237">
        <v>44100.431865987528</v>
      </c>
      <c r="D4" s="237">
        <v>23701.019075257365</v>
      </c>
      <c r="E4" s="237">
        <v>125.89429666241166</v>
      </c>
      <c r="F4" s="237">
        <v>1409.7892860484756</v>
      </c>
      <c r="G4" s="237">
        <v>31.757119878806613</v>
      </c>
      <c r="H4" s="237">
        <v>3708.7779287032295</v>
      </c>
      <c r="I4" s="237">
        <v>5303.4390197606472</v>
      </c>
      <c r="J4" s="237">
        <v>1097.8890015244751</v>
      </c>
      <c r="K4" s="237">
        <v>203.01873065379894</v>
      </c>
      <c r="L4" s="237">
        <v>8518.8474074905316</v>
      </c>
    </row>
    <row r="5" spans="1:12" x14ac:dyDescent="0.2">
      <c r="A5" s="232" t="s">
        <v>14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x14ac:dyDescent="0.2">
      <c r="A6" s="378" t="s">
        <v>5</v>
      </c>
      <c r="B6" s="10">
        <v>49596.681970736739</v>
      </c>
      <c r="C6" s="10">
        <v>20498.086698913579</v>
      </c>
      <c r="D6" s="10">
        <v>9134.7086965689541</v>
      </c>
      <c r="E6" s="10">
        <v>97.539725342048698</v>
      </c>
      <c r="F6" s="10">
        <v>775.78107132514378</v>
      </c>
      <c r="G6" s="10">
        <v>21.549474203475913</v>
      </c>
      <c r="H6" s="10">
        <v>1035.508944619675</v>
      </c>
      <c r="I6" s="10">
        <v>4303.0897435780162</v>
      </c>
      <c r="J6" s="10">
        <v>656.69187177961635</v>
      </c>
      <c r="K6" s="10">
        <v>141.77285660181494</v>
      </c>
      <c r="L6" s="10">
        <v>4331.4443148983855</v>
      </c>
    </row>
    <row r="7" spans="1:12" x14ac:dyDescent="0.2">
      <c r="A7" s="72" t="s">
        <v>6</v>
      </c>
      <c r="B7" s="10">
        <v>44187.763945654406</v>
      </c>
      <c r="C7" s="10">
        <v>23602.345167062638</v>
      </c>
      <c r="D7" s="10">
        <v>14566.310378698909</v>
      </c>
      <c r="E7" s="10">
        <v>28.354571320363046</v>
      </c>
      <c r="F7" s="10">
        <v>634.00821472332541</v>
      </c>
      <c r="G7" s="10">
        <v>10.207645675330694</v>
      </c>
      <c r="H7" s="10">
        <v>2673.2689840837556</v>
      </c>
      <c r="I7" s="10">
        <v>1000.3492761824241</v>
      </c>
      <c r="J7" s="10">
        <v>441.19712974485248</v>
      </c>
      <c r="K7" s="10">
        <v>61.245874051984096</v>
      </c>
      <c r="L7" s="10">
        <v>4187.4030925909092</v>
      </c>
    </row>
    <row r="8" spans="1:12" ht="15" customHeight="1" x14ac:dyDescent="0.2">
      <c r="A8" s="234" t="s">
        <v>542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</row>
    <row r="9" spans="1:12" s="335" customFormat="1" x14ac:dyDescent="0.2">
      <c r="A9" s="371" t="s">
        <v>458</v>
      </c>
      <c r="B9" s="8">
        <v>39689.594751383796</v>
      </c>
      <c r="C9" s="8">
        <v>18322.723987218331</v>
      </c>
      <c r="D9" s="8">
        <v>7289.3931950393171</v>
      </c>
      <c r="E9" s="8">
        <v>87.33207966671803</v>
      </c>
      <c r="F9" s="8">
        <v>697.52245448094004</v>
      </c>
      <c r="G9" s="8">
        <v>23.817839909104958</v>
      </c>
      <c r="H9" s="8">
        <v>753.09741426885284</v>
      </c>
      <c r="I9" s="8">
        <v>3520.5035751360524</v>
      </c>
      <c r="J9" s="8">
        <v>649.88677466272907</v>
      </c>
      <c r="K9" s="8">
        <v>172.39579362780694</v>
      </c>
      <c r="L9" s="8">
        <v>5128.7748604271719</v>
      </c>
    </row>
    <row r="10" spans="1:12" x14ac:dyDescent="0.2">
      <c r="A10" s="61" t="s">
        <v>458</v>
      </c>
      <c r="B10" s="10">
        <v>39689.594751383796</v>
      </c>
      <c r="C10" s="10">
        <v>18322.723987218331</v>
      </c>
      <c r="D10" s="10">
        <v>7289.3931950393171</v>
      </c>
      <c r="E10" s="10">
        <v>87.33207966671803</v>
      </c>
      <c r="F10" s="10">
        <v>697.52245448094004</v>
      </c>
      <c r="G10" s="10">
        <v>23.817839909104958</v>
      </c>
      <c r="H10" s="10">
        <v>753.09741426885284</v>
      </c>
      <c r="I10" s="10">
        <v>3520.5035751360524</v>
      </c>
      <c r="J10" s="10">
        <v>649.88677466272907</v>
      </c>
      <c r="K10" s="10">
        <v>172.39579362780694</v>
      </c>
      <c r="L10" s="10">
        <v>5128.7748604271719</v>
      </c>
    </row>
    <row r="11" spans="1:12" s="335" customFormat="1" x14ac:dyDescent="0.2">
      <c r="A11" s="371" t="s">
        <v>459</v>
      </c>
      <c r="B11" s="8">
        <v>22422.795000137165</v>
      </c>
      <c r="C11" s="8">
        <v>10987.963478068295</v>
      </c>
      <c r="D11" s="8">
        <v>7300.7350235674649</v>
      </c>
      <c r="E11" s="8">
        <v>10.207645675330694</v>
      </c>
      <c r="F11" s="8">
        <v>282.41153035081589</v>
      </c>
      <c r="G11" s="8">
        <v>3.4025485584435646</v>
      </c>
      <c r="H11" s="8">
        <v>721.34029439004553</v>
      </c>
      <c r="I11" s="8">
        <v>1236.2593095678499</v>
      </c>
      <c r="J11" s="8">
        <v>235.91003338541998</v>
      </c>
      <c r="K11" s="8">
        <v>23.817839909104958</v>
      </c>
      <c r="L11" s="8">
        <v>1173.8792526630498</v>
      </c>
    </row>
    <row r="12" spans="1:12" x14ac:dyDescent="0.2">
      <c r="A12" s="61" t="s">
        <v>459</v>
      </c>
      <c r="B12" s="10">
        <v>18748.042557023189</v>
      </c>
      <c r="C12" s="10">
        <v>9045.1082511965869</v>
      </c>
      <c r="D12" s="10">
        <v>5691.3295554233</v>
      </c>
      <c r="E12" s="10">
        <v>10.207645675330694</v>
      </c>
      <c r="F12" s="10">
        <v>271.06970182267042</v>
      </c>
      <c r="G12" s="10">
        <v>3.4025485584435646</v>
      </c>
      <c r="H12" s="10">
        <v>595.44599772763081</v>
      </c>
      <c r="I12" s="10">
        <v>1223.7832981868899</v>
      </c>
      <c r="J12" s="10">
        <v>220.03147344601672</v>
      </c>
      <c r="K12" s="10">
        <v>20.415291350661391</v>
      </c>
      <c r="L12" s="10">
        <v>1009.4227390049405</v>
      </c>
    </row>
    <row r="13" spans="1:12" x14ac:dyDescent="0.2">
      <c r="A13" s="61" t="s">
        <v>473</v>
      </c>
      <c r="B13" s="10">
        <v>3674.7524431187999</v>
      </c>
      <c r="C13" s="10">
        <v>1942.8552268713127</v>
      </c>
      <c r="D13" s="10">
        <v>1609.4054681438358</v>
      </c>
      <c r="E13" s="11">
        <v>0</v>
      </c>
      <c r="F13" s="10">
        <v>11.341828528145216</v>
      </c>
      <c r="G13" s="11">
        <v>0</v>
      </c>
      <c r="H13" s="10">
        <v>125.89429666241166</v>
      </c>
      <c r="I13" s="10">
        <v>12.476011380959738</v>
      </c>
      <c r="J13" s="10">
        <v>15.878559939403305</v>
      </c>
      <c r="K13" s="10">
        <v>3.4025485584435646</v>
      </c>
      <c r="L13" s="10">
        <v>164.45651365810531</v>
      </c>
    </row>
    <row r="14" spans="1:12" s="335" customFormat="1" x14ac:dyDescent="0.2">
      <c r="A14" s="371" t="s">
        <v>461</v>
      </c>
      <c r="B14" s="8">
        <v>4164.7194355346137</v>
      </c>
      <c r="C14" s="8">
        <v>2118.6535690575533</v>
      </c>
      <c r="D14" s="8">
        <v>1355.3485091133773</v>
      </c>
      <c r="E14" s="8">
        <v>3.4025485584435646</v>
      </c>
      <c r="F14" s="8">
        <v>81.661165402645437</v>
      </c>
      <c r="G14" s="9">
        <v>0</v>
      </c>
      <c r="H14" s="8">
        <v>478.62516388773253</v>
      </c>
      <c r="I14" s="8">
        <v>55.574959787911503</v>
      </c>
      <c r="J14" s="8">
        <v>11.341828528145216</v>
      </c>
      <c r="K14" s="8">
        <v>1.1341828528145215</v>
      </c>
      <c r="L14" s="8">
        <v>131.56521092648427</v>
      </c>
    </row>
    <row r="15" spans="1:12" x14ac:dyDescent="0.2">
      <c r="A15" s="61" t="s">
        <v>461</v>
      </c>
      <c r="B15" s="10">
        <v>4164.7194355346137</v>
      </c>
      <c r="C15" s="10">
        <v>2118.6535690575533</v>
      </c>
      <c r="D15" s="10">
        <v>1355.3485091133773</v>
      </c>
      <c r="E15" s="10">
        <v>3.4025485584435646</v>
      </c>
      <c r="F15" s="10">
        <v>81.661165402645437</v>
      </c>
      <c r="G15" s="11">
        <v>0</v>
      </c>
      <c r="H15" s="10">
        <v>478.62516388773253</v>
      </c>
      <c r="I15" s="10">
        <v>55.574959787911503</v>
      </c>
      <c r="J15" s="10">
        <v>11.341828528145216</v>
      </c>
      <c r="K15" s="10">
        <v>1.1341828528145215</v>
      </c>
      <c r="L15" s="10">
        <v>131.56521092648427</v>
      </c>
    </row>
    <row r="16" spans="1:12" s="335" customFormat="1" x14ac:dyDescent="0.2">
      <c r="A16" s="371" t="s">
        <v>462</v>
      </c>
      <c r="B16" s="8">
        <v>12694.908671554531</v>
      </c>
      <c r="C16" s="8">
        <v>5259.205888500871</v>
      </c>
      <c r="D16" s="8">
        <v>2571.1925273304669</v>
      </c>
      <c r="E16" s="8">
        <v>21.549474203475913</v>
      </c>
      <c r="F16" s="8">
        <v>116.82083383989551</v>
      </c>
      <c r="G16" s="8">
        <v>2.2683657056290429</v>
      </c>
      <c r="H16" s="8">
        <v>472.95424962365979</v>
      </c>
      <c r="I16" s="8">
        <v>455.94150683144159</v>
      </c>
      <c r="J16" s="8">
        <v>57.84332549354054</v>
      </c>
      <c r="K16" s="8">
        <v>2.2683657056290429</v>
      </c>
      <c r="L16" s="8">
        <v>1558.3672397671812</v>
      </c>
    </row>
    <row r="17" spans="1:12" x14ac:dyDescent="0.2">
      <c r="A17" s="61" t="s">
        <v>462</v>
      </c>
      <c r="B17" s="10">
        <v>12694.908671554531</v>
      </c>
      <c r="C17" s="10">
        <v>5259.205888500871</v>
      </c>
      <c r="D17" s="10">
        <v>2571.1925273304669</v>
      </c>
      <c r="E17" s="10">
        <v>21.549474203475913</v>
      </c>
      <c r="F17" s="10">
        <v>116.82083383989551</v>
      </c>
      <c r="G17" s="10">
        <v>2.2683657056290429</v>
      </c>
      <c r="H17" s="10">
        <v>472.95424962365979</v>
      </c>
      <c r="I17" s="10">
        <v>455.94150683144159</v>
      </c>
      <c r="J17" s="10">
        <v>57.84332549354054</v>
      </c>
      <c r="K17" s="10">
        <v>2.2683657056290429</v>
      </c>
      <c r="L17" s="10">
        <v>1558.3672397671812</v>
      </c>
    </row>
    <row r="18" spans="1:12" s="335" customFormat="1" x14ac:dyDescent="0.2">
      <c r="A18" s="371" t="s">
        <v>463</v>
      </c>
      <c r="B18" s="8">
        <v>5439.5409620984201</v>
      </c>
      <c r="C18" s="8">
        <v>1811.2900159448252</v>
      </c>
      <c r="D18" s="8">
        <v>1077.4737101738133</v>
      </c>
      <c r="E18" s="8">
        <v>1.1341828528145215</v>
      </c>
      <c r="F18" s="8">
        <v>96.405542489234179</v>
      </c>
      <c r="G18" s="9">
        <v>2.2683657056290429</v>
      </c>
      <c r="H18" s="8">
        <v>344.79158725561598</v>
      </c>
      <c r="I18" s="8">
        <v>19.281108497846869</v>
      </c>
      <c r="J18" s="8">
        <v>7.9392799697016496</v>
      </c>
      <c r="K18" s="9">
        <v>0</v>
      </c>
      <c r="L18" s="8">
        <v>261.99623900015405</v>
      </c>
    </row>
    <row r="19" spans="1:12" x14ac:dyDescent="0.2">
      <c r="A19" s="61" t="s">
        <v>463</v>
      </c>
      <c r="B19" s="10">
        <v>5439.5409620984201</v>
      </c>
      <c r="C19" s="10">
        <v>1811.2900159448252</v>
      </c>
      <c r="D19" s="10">
        <v>1077.4737101738133</v>
      </c>
      <c r="E19" s="10">
        <v>1.1341828528145215</v>
      </c>
      <c r="F19" s="10">
        <v>96.405542489234179</v>
      </c>
      <c r="G19" s="11">
        <v>2.2683657056290429</v>
      </c>
      <c r="H19" s="10">
        <v>344.79158725561598</v>
      </c>
      <c r="I19" s="10">
        <v>19.281108497846869</v>
      </c>
      <c r="J19" s="10">
        <v>7.9392799697016496</v>
      </c>
      <c r="K19" s="11">
        <v>0</v>
      </c>
      <c r="L19" s="10">
        <v>261.99623900015405</v>
      </c>
    </row>
    <row r="20" spans="1:12" s="335" customFormat="1" x14ac:dyDescent="0.2">
      <c r="A20" s="371" t="s">
        <v>464</v>
      </c>
      <c r="B20" s="8">
        <v>2944.338685906378</v>
      </c>
      <c r="C20" s="8">
        <v>1702.4084620746287</v>
      </c>
      <c r="D20" s="8">
        <v>1308.8470121479809</v>
      </c>
      <c r="E20" s="9">
        <v>0</v>
      </c>
      <c r="F20" s="8">
        <v>79.3927996970164</v>
      </c>
      <c r="G20" s="9">
        <v>0</v>
      </c>
      <c r="H20" s="8">
        <v>149.71213657151657</v>
      </c>
      <c r="I20" s="9">
        <v>0</v>
      </c>
      <c r="J20" s="8">
        <v>68.050971168871214</v>
      </c>
      <c r="K20" s="8">
        <v>1.1341828528145215</v>
      </c>
      <c r="L20" s="8">
        <v>95.27135963641966</v>
      </c>
    </row>
    <row r="21" spans="1:12" x14ac:dyDescent="0.2">
      <c r="A21" s="61" t="s">
        <v>464</v>
      </c>
      <c r="B21" s="10">
        <v>640.81331184021269</v>
      </c>
      <c r="C21" s="10">
        <v>410.57419271885971</v>
      </c>
      <c r="D21" s="10">
        <v>254.05695903045228</v>
      </c>
      <c r="E21" s="11">
        <v>0</v>
      </c>
      <c r="F21" s="11">
        <v>0</v>
      </c>
      <c r="G21" s="11">
        <v>0</v>
      </c>
      <c r="H21" s="10">
        <v>136.10194233774234</v>
      </c>
      <c r="I21" s="11">
        <v>0</v>
      </c>
      <c r="J21" s="11">
        <v>0</v>
      </c>
      <c r="K21" s="11">
        <v>0</v>
      </c>
      <c r="L21" s="10">
        <v>20.415291350661391</v>
      </c>
    </row>
    <row r="22" spans="1:12" x14ac:dyDescent="0.2">
      <c r="A22" s="61" t="s">
        <v>465</v>
      </c>
      <c r="B22" s="10">
        <v>2303.5253740662874</v>
      </c>
      <c r="C22" s="10">
        <v>1291.8342693557627</v>
      </c>
      <c r="D22" s="10">
        <v>1054.7900531175223</v>
      </c>
      <c r="E22" s="11">
        <v>0</v>
      </c>
      <c r="F22" s="10">
        <v>79.3927996970164</v>
      </c>
      <c r="G22" s="11">
        <v>0</v>
      </c>
      <c r="H22" s="10">
        <v>13.61019423377426</v>
      </c>
      <c r="I22" s="11">
        <v>0</v>
      </c>
      <c r="J22" s="10">
        <v>68.050971168871214</v>
      </c>
      <c r="K22" s="10">
        <v>1.1341828528145215</v>
      </c>
      <c r="L22" s="10">
        <v>74.856068285758326</v>
      </c>
    </row>
    <row r="23" spans="1:12" s="335" customFormat="1" x14ac:dyDescent="0.2">
      <c r="A23" s="371" t="s">
        <v>466</v>
      </c>
      <c r="B23" s="8">
        <v>1390.5081775506283</v>
      </c>
      <c r="C23" s="8">
        <v>775.78107132514378</v>
      </c>
      <c r="D23" s="8">
        <v>699.79082018656914</v>
      </c>
      <c r="E23" s="9">
        <v>0</v>
      </c>
      <c r="F23" s="9">
        <v>0</v>
      </c>
      <c r="G23" s="9">
        <v>0</v>
      </c>
      <c r="H23" s="8">
        <v>24.95202276191948</v>
      </c>
      <c r="I23" s="9">
        <v>0</v>
      </c>
      <c r="J23" s="9">
        <v>0</v>
      </c>
      <c r="K23" s="9">
        <v>0</v>
      </c>
      <c r="L23" s="8">
        <v>51.038228376653429</v>
      </c>
    </row>
    <row r="24" spans="1:12" x14ac:dyDescent="0.2">
      <c r="A24" s="61" t="s">
        <v>466</v>
      </c>
      <c r="B24" s="10">
        <v>1390.5081775506283</v>
      </c>
      <c r="C24" s="10">
        <v>775.78107132514378</v>
      </c>
      <c r="D24" s="10">
        <v>699.79082018656914</v>
      </c>
      <c r="E24" s="11">
        <v>0</v>
      </c>
      <c r="F24" s="11">
        <v>0</v>
      </c>
      <c r="G24" s="11">
        <v>0</v>
      </c>
      <c r="H24" s="10">
        <v>24.95202276191948</v>
      </c>
      <c r="I24" s="11">
        <v>0</v>
      </c>
      <c r="J24" s="11">
        <v>0</v>
      </c>
      <c r="K24" s="11">
        <v>0</v>
      </c>
      <c r="L24" s="10">
        <v>51.038228376653429</v>
      </c>
    </row>
    <row r="25" spans="1:12" s="335" customFormat="1" ht="15" customHeight="1" x14ac:dyDescent="0.2">
      <c r="A25" s="371" t="s">
        <v>467</v>
      </c>
      <c r="B25" s="8">
        <v>3188.1879992614568</v>
      </c>
      <c r="C25" s="8">
        <v>2008.6378323345564</v>
      </c>
      <c r="D25" s="8">
        <v>1271.4189780051008</v>
      </c>
      <c r="E25" s="8">
        <v>1.1341828528145215</v>
      </c>
      <c r="F25" s="8">
        <v>39.696399848508243</v>
      </c>
      <c r="G25" s="9">
        <v>0</v>
      </c>
      <c r="H25" s="8">
        <v>512.65064947216888</v>
      </c>
      <c r="I25" s="8">
        <v>14.744377086588782</v>
      </c>
      <c r="J25" s="8">
        <v>63.514239757613133</v>
      </c>
      <c r="K25" s="8">
        <v>1.1341828528145215</v>
      </c>
      <c r="L25" s="8">
        <v>104.34482245893581</v>
      </c>
    </row>
    <row r="26" spans="1:12" ht="13.5" customHeight="1" x14ac:dyDescent="0.2">
      <c r="A26" s="61" t="s">
        <v>467</v>
      </c>
      <c r="B26" s="10">
        <v>3188.1879992614568</v>
      </c>
      <c r="C26" s="10">
        <v>2008.6378323345564</v>
      </c>
      <c r="D26" s="10">
        <v>1271.4189780051008</v>
      </c>
      <c r="E26" s="10">
        <v>1.1341828528145215</v>
      </c>
      <c r="F26" s="10">
        <v>39.696399848508243</v>
      </c>
      <c r="G26" s="11">
        <v>0</v>
      </c>
      <c r="H26" s="10">
        <v>512.65064947216888</v>
      </c>
      <c r="I26" s="10">
        <v>14.744377086588782</v>
      </c>
      <c r="J26" s="10">
        <v>63.514239757613133</v>
      </c>
      <c r="K26" s="10">
        <v>1.1341828528145215</v>
      </c>
      <c r="L26" s="10">
        <v>104.34482245893581</v>
      </c>
    </row>
    <row r="27" spans="1:12" s="335" customFormat="1" x14ac:dyDescent="0.2">
      <c r="A27" s="371" t="s">
        <v>468</v>
      </c>
      <c r="B27" s="8">
        <v>1849.8522329405198</v>
      </c>
      <c r="C27" s="8">
        <v>1113.7675614638788</v>
      </c>
      <c r="D27" s="8">
        <v>826.8192997017984</v>
      </c>
      <c r="E27" s="8">
        <v>1.1341828528145215</v>
      </c>
      <c r="F27" s="8">
        <v>15.878559939403305</v>
      </c>
      <c r="G27" s="9">
        <v>0</v>
      </c>
      <c r="H27" s="8">
        <v>250.65441047200872</v>
      </c>
      <c r="I27" s="8">
        <v>1.1341828528145215</v>
      </c>
      <c r="J27" s="8">
        <v>3.4025485584435646</v>
      </c>
      <c r="K27" s="8">
        <v>1.1341828528145215</v>
      </c>
      <c r="L27" s="8">
        <v>13.61019423377426</v>
      </c>
    </row>
    <row r="28" spans="1:12" x14ac:dyDescent="0.2">
      <c r="A28" s="61" t="s">
        <v>468</v>
      </c>
      <c r="B28" s="10">
        <v>1849.8522329405198</v>
      </c>
      <c r="C28" s="10">
        <v>1113.7675614638788</v>
      </c>
      <c r="D28" s="10">
        <v>826.8192997017984</v>
      </c>
      <c r="E28" s="10">
        <v>1.1341828528145215</v>
      </c>
      <c r="F28" s="10">
        <v>15.878559939403305</v>
      </c>
      <c r="G28" s="11">
        <v>0</v>
      </c>
      <c r="H28" s="10">
        <v>250.65441047200872</v>
      </c>
      <c r="I28" s="10">
        <v>1.1341828528145215</v>
      </c>
      <c r="J28" s="10">
        <v>3.4025485584435646</v>
      </c>
      <c r="K28" s="10">
        <v>1.1341828528145215</v>
      </c>
      <c r="L28" s="10">
        <v>13.61019423377426</v>
      </c>
    </row>
    <row r="43" spans="1:3" x14ac:dyDescent="0.2">
      <c r="A43" s="325"/>
      <c r="B43" s="325"/>
      <c r="C43" s="325"/>
    </row>
    <row r="44" spans="1:3" x14ac:dyDescent="0.2">
      <c r="A44" s="325"/>
      <c r="B44" s="325"/>
      <c r="C44" s="325"/>
    </row>
    <row r="45" spans="1:3" x14ac:dyDescent="0.2">
      <c r="A45" s="325"/>
      <c r="B45" s="325"/>
      <c r="C45" s="325"/>
    </row>
    <row r="46" spans="1:3" x14ac:dyDescent="0.2">
      <c r="A46" s="325"/>
      <c r="B46" s="325"/>
      <c r="C46" s="325"/>
    </row>
    <row r="47" spans="1:3" x14ac:dyDescent="0.2">
      <c r="A47" s="325"/>
      <c r="B47" s="325"/>
      <c r="C47" s="325"/>
    </row>
  </sheetData>
  <mergeCells count="5">
    <mergeCell ref="A1:L1"/>
    <mergeCell ref="A2:A3"/>
    <mergeCell ref="B2:B3"/>
    <mergeCell ref="C2:C3"/>
    <mergeCell ref="D2:L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zoomScale="160" zoomScaleNormal="160" workbookViewId="0">
      <selection sqref="A1:XFD1048576"/>
    </sheetView>
  </sheetViews>
  <sheetFormatPr defaultRowHeight="12" x14ac:dyDescent="0.2"/>
  <cols>
    <col min="1" max="1" width="17.42578125" style="322" customWidth="1"/>
    <col min="2" max="2" width="9.140625" style="322"/>
    <col min="3" max="3" width="13.28515625" style="322" customWidth="1"/>
    <col min="4" max="16384" width="9.140625" style="322"/>
  </cols>
  <sheetData>
    <row r="1" spans="1:4" ht="21.75" customHeight="1" x14ac:dyDescent="0.2">
      <c r="A1" s="633" t="s">
        <v>339</v>
      </c>
      <c r="B1" s="633"/>
      <c r="C1" s="633"/>
      <c r="D1" s="633"/>
    </row>
    <row r="2" spans="1:4" ht="27" customHeight="1" x14ac:dyDescent="0.2">
      <c r="A2" s="579" t="s">
        <v>501</v>
      </c>
      <c r="B2" s="634" t="s">
        <v>98</v>
      </c>
      <c r="C2" s="634" t="s">
        <v>340</v>
      </c>
      <c r="D2" s="634"/>
    </row>
    <row r="3" spans="1:4" ht="21.75" customHeight="1" x14ac:dyDescent="0.2">
      <c r="A3" s="580"/>
      <c r="B3" s="635"/>
      <c r="C3" s="84" t="s">
        <v>120</v>
      </c>
      <c r="D3" s="84" t="s">
        <v>121</v>
      </c>
    </row>
    <row r="4" spans="1:4" x14ac:dyDescent="0.2">
      <c r="A4" s="228" t="s">
        <v>457</v>
      </c>
      <c r="B4" s="237">
        <v>93784.445916290002</v>
      </c>
      <c r="C4" s="237">
        <v>2188.9729059320412</v>
      </c>
      <c r="D4" s="237">
        <v>91595.473010368019</v>
      </c>
    </row>
    <row r="5" spans="1:4" x14ac:dyDescent="0.2">
      <c r="A5" s="232" t="s">
        <v>14</v>
      </c>
      <c r="B5" s="8"/>
      <c r="C5" s="8"/>
      <c r="D5" s="8"/>
    </row>
    <row r="6" spans="1:4" x14ac:dyDescent="0.2">
      <c r="A6" s="378" t="s">
        <v>5</v>
      </c>
      <c r="B6" s="10">
        <v>49596.681970736739</v>
      </c>
      <c r="C6" s="10">
        <v>813.20910546802384</v>
      </c>
      <c r="D6" s="10">
        <v>48783.472865267242</v>
      </c>
    </row>
    <row r="7" spans="1:4" x14ac:dyDescent="0.2">
      <c r="A7" s="72" t="s">
        <v>6</v>
      </c>
      <c r="B7" s="10">
        <v>44187.763945654406</v>
      </c>
      <c r="C7" s="10">
        <v>1375.7638004640392</v>
      </c>
      <c r="D7" s="10">
        <v>42812.000145187878</v>
      </c>
    </row>
    <row r="8" spans="1:4" ht="14.25" customHeight="1" x14ac:dyDescent="0.2">
      <c r="A8" s="234" t="s">
        <v>542</v>
      </c>
      <c r="B8" s="276"/>
      <c r="C8" s="276"/>
      <c r="D8" s="276"/>
    </row>
    <row r="9" spans="1:4" x14ac:dyDescent="0.2">
      <c r="A9" s="371" t="s">
        <v>458</v>
      </c>
      <c r="B9" s="8">
        <v>39689.594751383796</v>
      </c>
      <c r="C9" s="8">
        <v>554.61541502630712</v>
      </c>
      <c r="D9" s="8">
        <v>39134.979336356482</v>
      </c>
    </row>
    <row r="10" spans="1:4" x14ac:dyDescent="0.2">
      <c r="A10" s="61" t="s">
        <v>458</v>
      </c>
      <c r="B10" s="10">
        <v>39689.594751383796</v>
      </c>
      <c r="C10" s="10">
        <v>554.61541502630712</v>
      </c>
      <c r="D10" s="10">
        <v>39134.979336356482</v>
      </c>
    </row>
    <row r="11" spans="1:4" x14ac:dyDescent="0.2">
      <c r="A11" s="371" t="s">
        <v>459</v>
      </c>
      <c r="B11" s="8">
        <v>22422.795000137165</v>
      </c>
      <c r="C11" s="8">
        <v>681.64389454153638</v>
      </c>
      <c r="D11" s="8">
        <v>21741.151105596578</v>
      </c>
    </row>
    <row r="12" spans="1:4" ht="15.75" customHeight="1" x14ac:dyDescent="0.2">
      <c r="A12" s="61" t="s">
        <v>459</v>
      </c>
      <c r="B12" s="10">
        <v>18748.042557023189</v>
      </c>
      <c r="C12" s="10">
        <v>551.21286646786348</v>
      </c>
      <c r="D12" s="10">
        <v>18196.829690556093</v>
      </c>
    </row>
    <row r="13" spans="1:4" x14ac:dyDescent="0.2">
      <c r="A13" s="440" t="s">
        <v>473</v>
      </c>
      <c r="B13" s="10">
        <v>3674.7524431187999</v>
      </c>
      <c r="C13" s="10">
        <v>130.43102807366975</v>
      </c>
      <c r="D13" s="10">
        <v>3544.3214150451531</v>
      </c>
    </row>
    <row r="14" spans="1:4" x14ac:dyDescent="0.2">
      <c r="A14" s="371" t="s">
        <v>461</v>
      </c>
      <c r="B14" s="8">
        <v>4164.7194355346137</v>
      </c>
      <c r="C14" s="8">
        <v>133.83357663211331</v>
      </c>
      <c r="D14" s="8">
        <v>4030.8858589024962</v>
      </c>
    </row>
    <row r="15" spans="1:4" x14ac:dyDescent="0.2">
      <c r="A15" s="61" t="s">
        <v>461</v>
      </c>
      <c r="B15" s="10">
        <v>4164.7194355346137</v>
      </c>
      <c r="C15" s="10">
        <v>133.83357663211331</v>
      </c>
      <c r="D15" s="10">
        <v>4030.8858589024962</v>
      </c>
    </row>
    <row r="16" spans="1:4" x14ac:dyDescent="0.2">
      <c r="A16" s="371" t="s">
        <v>462</v>
      </c>
      <c r="B16" s="8">
        <v>12694.908671554531</v>
      </c>
      <c r="C16" s="8">
        <v>182.60343930313761</v>
      </c>
      <c r="D16" s="8">
        <v>12512.305232251352</v>
      </c>
    </row>
    <row r="17" spans="1:4" x14ac:dyDescent="0.2">
      <c r="A17" s="61" t="s">
        <v>462</v>
      </c>
      <c r="B17" s="10">
        <v>12694.908671554531</v>
      </c>
      <c r="C17" s="10">
        <v>182.60343930313761</v>
      </c>
      <c r="D17" s="10">
        <v>12512.305232251352</v>
      </c>
    </row>
    <row r="18" spans="1:4" x14ac:dyDescent="0.2">
      <c r="A18" s="371" t="s">
        <v>463</v>
      </c>
      <c r="B18" s="8">
        <v>5439.5409620984201</v>
      </c>
      <c r="C18" s="8">
        <v>105.47900531175033</v>
      </c>
      <c r="D18" s="8">
        <v>5334.0619567866461</v>
      </c>
    </row>
    <row r="19" spans="1:4" x14ac:dyDescent="0.2">
      <c r="A19" s="61" t="s">
        <v>463</v>
      </c>
      <c r="B19" s="10">
        <v>5439.5409620984201</v>
      </c>
      <c r="C19" s="10">
        <v>105.47900531175033</v>
      </c>
      <c r="D19" s="10">
        <v>5334.0619567866461</v>
      </c>
    </row>
    <row r="20" spans="1:4" x14ac:dyDescent="0.2">
      <c r="A20" s="371" t="s">
        <v>464</v>
      </c>
      <c r="B20" s="8">
        <v>2944.338685906378</v>
      </c>
      <c r="C20" s="8">
        <v>178.06670789187953</v>
      </c>
      <c r="D20" s="8">
        <v>2766.2719780145299</v>
      </c>
    </row>
    <row r="21" spans="1:4" x14ac:dyDescent="0.2">
      <c r="A21" s="61" t="s">
        <v>464</v>
      </c>
      <c r="B21" s="10">
        <v>640.81331184021269</v>
      </c>
      <c r="C21" s="10">
        <v>48.769862671024391</v>
      </c>
      <c r="D21" s="10">
        <v>592.04344916918717</v>
      </c>
    </row>
    <row r="22" spans="1:4" x14ac:dyDescent="0.2">
      <c r="A22" s="61" t="s">
        <v>465</v>
      </c>
      <c r="B22" s="10">
        <v>2303.5253740662874</v>
      </c>
      <c r="C22" s="10">
        <v>129.29684522085523</v>
      </c>
      <c r="D22" s="10">
        <v>2174.228528845455</v>
      </c>
    </row>
    <row r="23" spans="1:4" x14ac:dyDescent="0.2">
      <c r="A23" s="371" t="s">
        <v>466</v>
      </c>
      <c r="B23" s="8">
        <v>1390.5081775506283</v>
      </c>
      <c r="C23" s="8">
        <v>89.600445372347068</v>
      </c>
      <c r="D23" s="8">
        <v>1300.907732178279</v>
      </c>
    </row>
    <row r="24" spans="1:4" x14ac:dyDescent="0.2">
      <c r="A24" s="61" t="s">
        <v>466</v>
      </c>
      <c r="B24" s="8">
        <v>1390.5081775506283</v>
      </c>
      <c r="C24" s="8">
        <v>89.600445372347068</v>
      </c>
      <c r="D24" s="8">
        <v>1300.907732178279</v>
      </c>
    </row>
    <row r="25" spans="1:4" x14ac:dyDescent="0.2">
      <c r="A25" s="371" t="s">
        <v>467</v>
      </c>
      <c r="B25" s="8">
        <v>3188.1879992614568</v>
      </c>
      <c r="C25" s="8">
        <v>189.40853642002472</v>
      </c>
      <c r="D25" s="8">
        <v>2998.7794628414654</v>
      </c>
    </row>
    <row r="26" spans="1:4" ht="18" customHeight="1" x14ac:dyDescent="0.2">
      <c r="A26" s="61" t="s">
        <v>467</v>
      </c>
      <c r="B26" s="10">
        <v>3188.1879992614568</v>
      </c>
      <c r="C26" s="10">
        <v>189.40853642002472</v>
      </c>
      <c r="D26" s="10">
        <v>2998.7794628414654</v>
      </c>
    </row>
    <row r="27" spans="1:4" x14ac:dyDescent="0.2">
      <c r="A27" s="371" t="s">
        <v>468</v>
      </c>
      <c r="B27" s="8">
        <v>1849.8522329405198</v>
      </c>
      <c r="C27" s="8">
        <v>73.721885432943807</v>
      </c>
      <c r="D27" s="8">
        <v>1776.1303475075742</v>
      </c>
    </row>
    <row r="28" spans="1:4" x14ac:dyDescent="0.2">
      <c r="A28" s="61" t="s">
        <v>468</v>
      </c>
      <c r="B28" s="10">
        <v>1849.8522329405198</v>
      </c>
      <c r="C28" s="10">
        <v>73.721885432943807</v>
      </c>
      <c r="D28" s="10">
        <v>1776.1303475075742</v>
      </c>
    </row>
    <row r="33" ht="17.25" customHeight="1" x14ac:dyDescent="0.2"/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zoomScale="120" zoomScaleNormal="120" workbookViewId="0">
      <selection activeCell="N6" sqref="N6"/>
    </sheetView>
  </sheetViews>
  <sheetFormatPr defaultRowHeight="12" x14ac:dyDescent="0.2"/>
  <cols>
    <col min="1" max="1" width="18.7109375" style="322" customWidth="1"/>
    <col min="2" max="2" width="9.140625" style="322"/>
    <col min="3" max="3" width="9.5703125" style="322" customWidth="1"/>
    <col min="4" max="7" width="9.140625" style="322"/>
    <col min="8" max="8" width="10.28515625" style="322" customWidth="1"/>
    <col min="9" max="16384" width="9.140625" style="322"/>
  </cols>
  <sheetData>
    <row r="1" spans="1:11" ht="29.25" customHeight="1" x14ac:dyDescent="0.2">
      <c r="A1" s="640" t="s">
        <v>557</v>
      </c>
      <c r="B1" s="640"/>
      <c r="C1" s="640"/>
      <c r="D1" s="640"/>
      <c r="E1" s="640"/>
      <c r="F1" s="640"/>
      <c r="G1" s="640"/>
      <c r="H1" s="640"/>
    </row>
    <row r="2" spans="1:11" ht="48" x14ac:dyDescent="0.2">
      <c r="A2" s="636" t="s">
        <v>501</v>
      </c>
      <c r="B2" s="638" t="s">
        <v>52</v>
      </c>
      <c r="C2" s="638" t="s">
        <v>484</v>
      </c>
      <c r="D2" s="443" t="s">
        <v>485</v>
      </c>
      <c r="E2" s="443" t="s">
        <v>486</v>
      </c>
      <c r="F2" s="443" t="s">
        <v>487</v>
      </c>
      <c r="G2" s="443" t="s">
        <v>488</v>
      </c>
      <c r="H2" s="443" t="s">
        <v>489</v>
      </c>
    </row>
    <row r="3" spans="1:11" ht="56.25" customHeight="1" x14ac:dyDescent="0.2">
      <c r="A3" s="637"/>
      <c r="B3" s="639"/>
      <c r="C3" s="639"/>
      <c r="D3" s="283" t="s">
        <v>334</v>
      </c>
      <c r="E3" s="283" t="s">
        <v>335</v>
      </c>
      <c r="F3" s="283" t="s">
        <v>336</v>
      </c>
      <c r="G3" s="283" t="s">
        <v>337</v>
      </c>
      <c r="H3" s="283" t="s">
        <v>338</v>
      </c>
    </row>
    <row r="4" spans="1:11" x14ac:dyDescent="0.2">
      <c r="A4" s="228" t="s">
        <v>457</v>
      </c>
      <c r="B4" s="237">
        <v>93784.445916290002</v>
      </c>
      <c r="C4" s="237">
        <v>2188.9729059320412</v>
      </c>
      <c r="D4" s="237">
        <v>774.64688847232924</v>
      </c>
      <c r="E4" s="237">
        <v>1650.2360508451595</v>
      </c>
      <c r="F4" s="237">
        <v>525.1266608531289</v>
      </c>
      <c r="G4" s="237">
        <v>289.21662746770318</v>
      </c>
      <c r="H4" s="237">
        <v>52.172411229467947</v>
      </c>
      <c r="K4" s="335"/>
    </row>
    <row r="5" spans="1:11" x14ac:dyDescent="0.2">
      <c r="A5" s="232" t="s">
        <v>14</v>
      </c>
      <c r="B5" s="8"/>
      <c r="C5" s="8"/>
      <c r="D5" s="8"/>
      <c r="E5" s="8"/>
      <c r="F5" s="8"/>
      <c r="G5" s="8"/>
      <c r="H5" s="8"/>
    </row>
    <row r="6" spans="1:11" x14ac:dyDescent="0.2">
      <c r="A6" s="378" t="s">
        <v>5</v>
      </c>
      <c r="B6" s="10">
        <v>49596.681970736739</v>
      </c>
      <c r="C6" s="10">
        <v>813.20910546802384</v>
      </c>
      <c r="D6" s="10">
        <v>357.267598636576</v>
      </c>
      <c r="E6" s="10">
        <v>598.84854628607445</v>
      </c>
      <c r="F6" s="10">
        <v>222.29983915164576</v>
      </c>
      <c r="G6" s="10">
        <v>94.137176783605142</v>
      </c>
      <c r="H6" s="10">
        <v>14.744377086588782</v>
      </c>
    </row>
    <row r="7" spans="1:11" x14ac:dyDescent="0.2">
      <c r="A7" s="72" t="s">
        <v>6</v>
      </c>
      <c r="B7" s="10">
        <v>44187.763945654406</v>
      </c>
      <c r="C7" s="10">
        <v>1375.7638004640392</v>
      </c>
      <c r="D7" s="10">
        <v>417.37928983574699</v>
      </c>
      <c r="E7" s="10">
        <v>1051.3875045590787</v>
      </c>
      <c r="F7" s="10">
        <v>302.82682170147774</v>
      </c>
      <c r="G7" s="10">
        <v>195.07945068409731</v>
      </c>
      <c r="H7" s="10">
        <v>37.428034142879206</v>
      </c>
    </row>
    <row r="8" spans="1:11" ht="14.25" customHeight="1" x14ac:dyDescent="0.2">
      <c r="A8" s="234" t="s">
        <v>542</v>
      </c>
      <c r="B8" s="276"/>
      <c r="C8" s="276"/>
      <c r="D8" s="276"/>
      <c r="E8" s="276"/>
      <c r="F8" s="276"/>
      <c r="G8" s="276"/>
      <c r="H8" s="276"/>
    </row>
    <row r="9" spans="1:11" s="335" customFormat="1" x14ac:dyDescent="0.2">
      <c r="A9" s="371" t="s">
        <v>458</v>
      </c>
      <c r="B9" s="8">
        <v>39689.594751383796</v>
      </c>
      <c r="C9" s="8">
        <v>554.61541502630712</v>
      </c>
      <c r="D9" s="8">
        <v>81.661165402645437</v>
      </c>
      <c r="E9" s="8">
        <v>409.44000986604516</v>
      </c>
      <c r="F9" s="8">
        <v>134.96775948492783</v>
      </c>
      <c r="G9" s="8">
        <v>71.45351972731477</v>
      </c>
      <c r="H9" s="8">
        <v>12.476011380959738</v>
      </c>
    </row>
    <row r="10" spans="1:11" x14ac:dyDescent="0.2">
      <c r="A10" s="61" t="s">
        <v>458</v>
      </c>
      <c r="B10" s="10">
        <v>39689.594751383796</v>
      </c>
      <c r="C10" s="10">
        <v>554.61541502630712</v>
      </c>
      <c r="D10" s="10">
        <v>81.661165402645437</v>
      </c>
      <c r="E10" s="10">
        <v>409.44000986604516</v>
      </c>
      <c r="F10" s="10">
        <v>134.96775948492783</v>
      </c>
      <c r="G10" s="10">
        <v>71.45351972731477</v>
      </c>
      <c r="H10" s="10">
        <v>12.476011380959738</v>
      </c>
    </row>
    <row r="11" spans="1:11" s="335" customFormat="1" x14ac:dyDescent="0.2">
      <c r="A11" s="371" t="s">
        <v>459</v>
      </c>
      <c r="B11" s="8">
        <v>22422.795000137165</v>
      </c>
      <c r="C11" s="8">
        <v>681.64389454153638</v>
      </c>
      <c r="D11" s="8">
        <v>300.55845599584865</v>
      </c>
      <c r="E11" s="8">
        <v>511.51646661935439</v>
      </c>
      <c r="F11" s="8">
        <v>191.67690212565375</v>
      </c>
      <c r="G11" s="8">
        <v>94.137176783605142</v>
      </c>
      <c r="H11" s="8">
        <v>19.281108497846869</v>
      </c>
    </row>
    <row r="12" spans="1:11" x14ac:dyDescent="0.2">
      <c r="A12" s="61" t="s">
        <v>459</v>
      </c>
      <c r="B12" s="10">
        <v>18748.042557023189</v>
      </c>
      <c r="C12" s="10">
        <v>551.21286646786348</v>
      </c>
      <c r="D12" s="10">
        <v>232.50748482697642</v>
      </c>
      <c r="E12" s="10">
        <v>435.52621548077974</v>
      </c>
      <c r="F12" s="10">
        <v>151.9805022771456</v>
      </c>
      <c r="G12" s="10">
        <v>82.795348255459956</v>
      </c>
      <c r="H12" s="10">
        <v>18.146925645032347</v>
      </c>
    </row>
    <row r="13" spans="1:11" x14ac:dyDescent="0.2">
      <c r="A13" s="61" t="s">
        <v>473</v>
      </c>
      <c r="B13" s="10">
        <v>3674.7524431187999</v>
      </c>
      <c r="C13" s="10">
        <v>130.43102807366975</v>
      </c>
      <c r="D13" s="10">
        <v>68.050971168871214</v>
      </c>
      <c r="E13" s="10">
        <v>75.990251138572845</v>
      </c>
      <c r="F13" s="10">
        <v>39.696399848508243</v>
      </c>
      <c r="G13" s="10">
        <v>11.341828528145216</v>
      </c>
      <c r="H13" s="10">
        <v>1.1341828528145215</v>
      </c>
    </row>
    <row r="14" spans="1:11" s="335" customFormat="1" x14ac:dyDescent="0.2">
      <c r="A14" s="371" t="s">
        <v>461</v>
      </c>
      <c r="B14" s="8">
        <v>4164.7194355346137</v>
      </c>
      <c r="C14" s="8">
        <v>133.83357663211331</v>
      </c>
      <c r="D14" s="8">
        <v>61.245874051984096</v>
      </c>
      <c r="E14" s="8">
        <v>94.137176783605142</v>
      </c>
      <c r="F14" s="8">
        <v>26.086205614734002</v>
      </c>
      <c r="G14" s="8">
        <v>11.341828528145216</v>
      </c>
      <c r="H14" s="8">
        <v>3.4025485584435646</v>
      </c>
    </row>
    <row r="15" spans="1:11" x14ac:dyDescent="0.2">
      <c r="A15" s="61" t="s">
        <v>461</v>
      </c>
      <c r="B15" s="10">
        <v>4164.7194355346137</v>
      </c>
      <c r="C15" s="10">
        <v>133.83357663211331</v>
      </c>
      <c r="D15" s="10">
        <v>61.245874051984096</v>
      </c>
      <c r="E15" s="10">
        <v>94.137176783605142</v>
      </c>
      <c r="F15" s="10">
        <v>26.086205614734002</v>
      </c>
      <c r="G15" s="10">
        <v>11.341828528145216</v>
      </c>
      <c r="H15" s="10">
        <v>3.4025485584435646</v>
      </c>
    </row>
    <row r="16" spans="1:11" s="335" customFormat="1" x14ac:dyDescent="0.2">
      <c r="A16" s="371" t="s">
        <v>462</v>
      </c>
      <c r="B16" s="8">
        <v>12694.908671554531</v>
      </c>
      <c r="C16" s="8">
        <v>182.60343930313761</v>
      </c>
      <c r="D16" s="8">
        <v>73.721885432943807</v>
      </c>
      <c r="E16" s="8">
        <v>141.77285660181494</v>
      </c>
      <c r="F16" s="8">
        <v>22.683657056290436</v>
      </c>
      <c r="G16" s="8">
        <v>10.207645675330694</v>
      </c>
      <c r="H16" s="8">
        <v>2.2683657056290429</v>
      </c>
    </row>
    <row r="17" spans="1:8" x14ac:dyDescent="0.2">
      <c r="A17" s="61" t="s">
        <v>462</v>
      </c>
      <c r="B17" s="10">
        <v>12694.908671554531</v>
      </c>
      <c r="C17" s="10">
        <v>182.60343930313761</v>
      </c>
      <c r="D17" s="10">
        <v>73.721885432943807</v>
      </c>
      <c r="E17" s="10">
        <v>141.77285660181494</v>
      </c>
      <c r="F17" s="10">
        <v>22.683657056290436</v>
      </c>
      <c r="G17" s="10">
        <v>10.207645675330694</v>
      </c>
      <c r="H17" s="10">
        <v>2.2683657056290429</v>
      </c>
    </row>
    <row r="18" spans="1:8" s="335" customFormat="1" x14ac:dyDescent="0.2">
      <c r="A18" s="371" t="s">
        <v>463</v>
      </c>
      <c r="B18" s="8">
        <v>5439.5409620984201</v>
      </c>
      <c r="C18" s="8">
        <v>105.47900531175033</v>
      </c>
      <c r="D18" s="8">
        <v>54.440776935096984</v>
      </c>
      <c r="E18" s="8">
        <v>85.063713961088993</v>
      </c>
      <c r="F18" s="8">
        <v>10.207645675330694</v>
      </c>
      <c r="G18" s="8">
        <v>10.207645675330694</v>
      </c>
      <c r="H18" s="9">
        <v>0</v>
      </c>
    </row>
    <row r="19" spans="1:8" x14ac:dyDescent="0.2">
      <c r="A19" s="61" t="s">
        <v>463</v>
      </c>
      <c r="B19" s="10">
        <v>5439.5409620984201</v>
      </c>
      <c r="C19" s="10">
        <v>105.47900531175033</v>
      </c>
      <c r="D19" s="10">
        <v>54.440776935096984</v>
      </c>
      <c r="E19" s="10">
        <v>85.063713961088993</v>
      </c>
      <c r="F19" s="10">
        <v>10.207645675330694</v>
      </c>
      <c r="G19" s="10">
        <v>10.207645675330694</v>
      </c>
      <c r="H19" s="11">
        <v>0</v>
      </c>
    </row>
    <row r="20" spans="1:8" s="335" customFormat="1" x14ac:dyDescent="0.2">
      <c r="A20" s="371" t="s">
        <v>464</v>
      </c>
      <c r="B20" s="8">
        <v>2944.338685906378</v>
      </c>
      <c r="C20" s="8">
        <v>178.06670789187953</v>
      </c>
      <c r="D20" s="8">
        <v>81.661165402645437</v>
      </c>
      <c r="E20" s="8">
        <v>151.9805022771456</v>
      </c>
      <c r="F20" s="8">
        <v>30.622937025992091</v>
      </c>
      <c r="G20" s="8">
        <v>30.622937025992091</v>
      </c>
      <c r="H20" s="8">
        <v>7.9392799697016496</v>
      </c>
    </row>
    <row r="21" spans="1:8" x14ac:dyDescent="0.2">
      <c r="A21" s="61" t="s">
        <v>464</v>
      </c>
      <c r="B21" s="10">
        <v>640.81331184021269</v>
      </c>
      <c r="C21" s="10">
        <v>48.769862671024391</v>
      </c>
      <c r="D21" s="10">
        <v>11.341828528145216</v>
      </c>
      <c r="E21" s="10">
        <v>44.233131259766317</v>
      </c>
      <c r="F21" s="10">
        <v>4.5367314112580859</v>
      </c>
      <c r="G21" s="11">
        <v>0</v>
      </c>
      <c r="H21" s="10">
        <v>1.1341828528145215</v>
      </c>
    </row>
    <row r="22" spans="1:8" x14ac:dyDescent="0.2">
      <c r="A22" s="61" t="s">
        <v>465</v>
      </c>
      <c r="B22" s="10">
        <v>2303.5253740662874</v>
      </c>
      <c r="C22" s="10">
        <v>129.29684522085523</v>
      </c>
      <c r="D22" s="10">
        <v>70.319336874500252</v>
      </c>
      <c r="E22" s="10">
        <v>107.74737101737936</v>
      </c>
      <c r="F22" s="10">
        <v>26.086205614734002</v>
      </c>
      <c r="G22" s="10">
        <v>30.622937025992091</v>
      </c>
      <c r="H22" s="10">
        <v>6.8050971168871284</v>
      </c>
    </row>
    <row r="23" spans="1:8" s="335" customFormat="1" x14ac:dyDescent="0.2">
      <c r="A23" s="371" t="s">
        <v>466</v>
      </c>
      <c r="B23" s="8">
        <v>1390.5081775506283</v>
      </c>
      <c r="C23" s="8">
        <v>89.600445372347068</v>
      </c>
      <c r="D23" s="8">
        <v>19.281108497846869</v>
      </c>
      <c r="E23" s="8">
        <v>81.661165402645437</v>
      </c>
      <c r="F23" s="8">
        <v>31.757119878806613</v>
      </c>
      <c r="G23" s="8">
        <v>29.488754173177568</v>
      </c>
      <c r="H23" s="8">
        <v>1.1341828528145215</v>
      </c>
    </row>
    <row r="24" spans="1:8" x14ac:dyDescent="0.2">
      <c r="A24" s="61" t="s">
        <v>466</v>
      </c>
      <c r="B24" s="10">
        <v>1390.5081775506283</v>
      </c>
      <c r="C24" s="10">
        <v>89.600445372347068</v>
      </c>
      <c r="D24" s="10">
        <v>19.281108497846869</v>
      </c>
      <c r="E24" s="10">
        <v>81.661165402645437</v>
      </c>
      <c r="F24" s="10">
        <v>31.757119878806613</v>
      </c>
      <c r="G24" s="10">
        <v>29.488754173177568</v>
      </c>
      <c r="H24" s="10">
        <v>1.1341828528145215</v>
      </c>
    </row>
    <row r="25" spans="1:8" s="335" customFormat="1" x14ac:dyDescent="0.2">
      <c r="A25" s="371" t="s">
        <v>467</v>
      </c>
      <c r="B25" s="8">
        <v>3188.1879992614568</v>
      </c>
      <c r="C25" s="8">
        <v>189.40853642002472</v>
      </c>
      <c r="D25" s="8">
        <v>85.063713961088993</v>
      </c>
      <c r="E25" s="8">
        <v>114.55246813426648</v>
      </c>
      <c r="F25" s="8">
        <v>63.514239757613133</v>
      </c>
      <c r="G25" s="8">
        <v>10.207645675330694</v>
      </c>
      <c r="H25" s="8">
        <v>5.6709142640726071</v>
      </c>
    </row>
    <row r="26" spans="1:8" x14ac:dyDescent="0.2">
      <c r="A26" s="61" t="s">
        <v>467</v>
      </c>
      <c r="B26" s="10">
        <v>3188.1879992614568</v>
      </c>
      <c r="C26" s="10">
        <v>189.40853642002472</v>
      </c>
      <c r="D26" s="10">
        <v>85.063713961088993</v>
      </c>
      <c r="E26" s="10">
        <v>114.55246813426648</v>
      </c>
      <c r="F26" s="10">
        <v>63.514239757613133</v>
      </c>
      <c r="G26" s="10">
        <v>10.207645675330694</v>
      </c>
      <c r="H26" s="10">
        <v>5.6709142640726071</v>
      </c>
    </row>
    <row r="27" spans="1:8" s="335" customFormat="1" x14ac:dyDescent="0.2">
      <c r="A27" s="371" t="s">
        <v>468</v>
      </c>
      <c r="B27" s="8">
        <v>1849.8522329405198</v>
      </c>
      <c r="C27" s="8">
        <v>73.721885432943807</v>
      </c>
      <c r="D27" s="8">
        <v>17.012742792217825</v>
      </c>
      <c r="E27" s="8">
        <v>60.111691199169577</v>
      </c>
      <c r="F27" s="8">
        <v>13.61019423377426</v>
      </c>
      <c r="G27" s="8">
        <v>21.549474203475913</v>
      </c>
      <c r="H27" s="9">
        <v>0</v>
      </c>
    </row>
    <row r="28" spans="1:8" x14ac:dyDescent="0.2">
      <c r="A28" s="61" t="s">
        <v>468</v>
      </c>
      <c r="B28" s="10">
        <v>1849.8522329405198</v>
      </c>
      <c r="C28" s="10">
        <v>73.721885432943807</v>
      </c>
      <c r="D28" s="10">
        <v>17.012742792217825</v>
      </c>
      <c r="E28" s="10">
        <v>60.111691199169577</v>
      </c>
      <c r="F28" s="10">
        <v>13.61019423377426</v>
      </c>
      <c r="G28" s="10">
        <v>21.549474203475913</v>
      </c>
      <c r="H28" s="11">
        <v>0</v>
      </c>
    </row>
    <row r="32" spans="1:8" ht="18" customHeight="1" x14ac:dyDescent="0.2"/>
  </sheetData>
  <mergeCells count="4">
    <mergeCell ref="A2:A3"/>
    <mergeCell ref="B2:B3"/>
    <mergeCell ref="C2:C3"/>
    <mergeCell ref="A1:H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activeCell="A2" sqref="A2:A3"/>
    </sheetView>
  </sheetViews>
  <sheetFormatPr defaultRowHeight="12" x14ac:dyDescent="0.2"/>
  <cols>
    <col min="1" max="1" width="22.7109375" style="322" customWidth="1"/>
    <col min="2" max="4" width="9.140625" style="322"/>
    <col min="5" max="5" width="10" style="322" customWidth="1"/>
    <col min="6" max="6" width="10.7109375" style="322" customWidth="1"/>
    <col min="7" max="16384" width="9.140625" style="322"/>
  </cols>
  <sheetData>
    <row r="1" spans="1:6" ht="31.5" customHeight="1" x14ac:dyDescent="0.2">
      <c r="A1" s="641" t="s">
        <v>556</v>
      </c>
      <c r="B1" s="641"/>
      <c r="C1" s="641"/>
      <c r="D1" s="641"/>
      <c r="E1" s="641"/>
      <c r="F1" s="641"/>
    </row>
    <row r="2" spans="1:6" ht="21" customHeight="1" x14ac:dyDescent="0.2">
      <c r="A2" s="584" t="s">
        <v>501</v>
      </c>
      <c r="B2" s="642" t="s">
        <v>98</v>
      </c>
      <c r="C2" s="644" t="s">
        <v>490</v>
      </c>
      <c r="D2" s="642"/>
      <c r="E2" s="642"/>
      <c r="F2" s="642"/>
    </row>
    <row r="3" spans="1:6" ht="37.5" customHeight="1" x14ac:dyDescent="0.2">
      <c r="A3" s="585"/>
      <c r="B3" s="643"/>
      <c r="C3" s="645"/>
      <c r="D3" s="227" t="s">
        <v>491</v>
      </c>
      <c r="E3" s="284" t="s">
        <v>333</v>
      </c>
      <c r="F3" s="227" t="s">
        <v>492</v>
      </c>
    </row>
    <row r="4" spans="1:6" x14ac:dyDescent="0.2">
      <c r="A4" s="228" t="s">
        <v>457</v>
      </c>
      <c r="B4" s="237">
        <v>93784.445916290002</v>
      </c>
      <c r="C4" s="237">
        <v>3004.450377105537</v>
      </c>
      <c r="D4" s="285">
        <v>4.5367314112580859</v>
      </c>
      <c r="E4" s="237">
        <v>940.2375849832531</v>
      </c>
      <c r="F4" s="275">
        <v>0</v>
      </c>
    </row>
    <row r="5" spans="1:6" x14ac:dyDescent="0.2">
      <c r="A5" s="232" t="s">
        <v>14</v>
      </c>
      <c r="B5" s="8"/>
      <c r="C5" s="8"/>
      <c r="D5" s="8"/>
      <c r="E5" s="8"/>
      <c r="F5" s="8"/>
    </row>
    <row r="6" spans="1:6" x14ac:dyDescent="0.2">
      <c r="A6" s="378" t="s">
        <v>5</v>
      </c>
      <c r="B6" s="10">
        <v>49596.681970736739</v>
      </c>
      <c r="C6" s="10">
        <v>1206.7705553946716</v>
      </c>
      <c r="D6" s="10">
        <v>2.2683657056290429</v>
      </c>
      <c r="E6" s="10">
        <v>398.09818133789969</v>
      </c>
      <c r="F6" s="11">
        <v>0</v>
      </c>
    </row>
    <row r="7" spans="1:6" x14ac:dyDescent="0.2">
      <c r="A7" s="72" t="s">
        <v>6</v>
      </c>
      <c r="B7" s="10">
        <v>44187.763945654406</v>
      </c>
      <c r="C7" s="10">
        <v>1797.6798217110506</v>
      </c>
      <c r="D7" s="10">
        <v>2.2683657056290429</v>
      </c>
      <c r="E7" s="10">
        <v>542.1394036453471</v>
      </c>
      <c r="F7" s="11">
        <v>0</v>
      </c>
    </row>
    <row r="8" spans="1:6" ht="15" customHeight="1" x14ac:dyDescent="0.2">
      <c r="A8" s="234" t="s">
        <v>542</v>
      </c>
      <c r="B8" s="276"/>
      <c r="C8" s="276"/>
      <c r="D8" s="276"/>
      <c r="E8" s="276"/>
      <c r="F8" s="276"/>
    </row>
    <row r="9" spans="1:6" s="335" customFormat="1" x14ac:dyDescent="0.2">
      <c r="A9" s="371" t="s">
        <v>458</v>
      </c>
      <c r="B9" s="8">
        <v>39689.594751383796</v>
      </c>
      <c r="C9" s="8">
        <v>272.20388467548497</v>
      </c>
      <c r="D9" s="8">
        <v>3.4025485584435646</v>
      </c>
      <c r="E9" s="9">
        <v>58.977508346355059</v>
      </c>
      <c r="F9" s="9">
        <v>0</v>
      </c>
    </row>
    <row r="10" spans="1:6" x14ac:dyDescent="0.2">
      <c r="A10" s="61" t="s">
        <v>458</v>
      </c>
      <c r="B10" s="10">
        <v>39689.594751383796</v>
      </c>
      <c r="C10" s="10">
        <v>272.20388467548497</v>
      </c>
      <c r="D10" s="10">
        <v>3.4025485584435646</v>
      </c>
      <c r="E10" s="11">
        <v>58.977508346355059</v>
      </c>
      <c r="F10" s="11">
        <v>0</v>
      </c>
    </row>
    <row r="11" spans="1:6" s="335" customFormat="1" x14ac:dyDescent="0.2">
      <c r="A11" s="371" t="s">
        <v>459</v>
      </c>
      <c r="B11" s="8">
        <v>22422.795000137165</v>
      </c>
      <c r="C11" s="8">
        <v>722.47447724286008</v>
      </c>
      <c r="D11" s="8">
        <v>1.1341828528145215</v>
      </c>
      <c r="E11" s="9">
        <v>193.94526783128279</v>
      </c>
      <c r="F11" s="9">
        <v>0</v>
      </c>
    </row>
    <row r="12" spans="1:6" ht="15.75" customHeight="1" x14ac:dyDescent="0.2">
      <c r="A12" s="61" t="s">
        <v>459</v>
      </c>
      <c r="B12" s="10">
        <v>18748.042557023189</v>
      </c>
      <c r="C12" s="10">
        <v>542.1394036453471</v>
      </c>
      <c r="D12" s="10">
        <v>1.1341828528145215</v>
      </c>
      <c r="E12" s="11">
        <v>145.17540516025849</v>
      </c>
      <c r="F12" s="11">
        <v>0</v>
      </c>
    </row>
    <row r="13" spans="1:6" x14ac:dyDescent="0.2">
      <c r="A13" s="61" t="s">
        <v>473</v>
      </c>
      <c r="B13" s="10">
        <v>3674.7524431187999</v>
      </c>
      <c r="C13" s="10">
        <v>180.33507359750857</v>
      </c>
      <c r="D13" s="11">
        <v>0</v>
      </c>
      <c r="E13" s="11">
        <v>48.769862671024391</v>
      </c>
      <c r="F13" s="11">
        <v>0</v>
      </c>
    </row>
    <row r="14" spans="1:6" s="335" customFormat="1" x14ac:dyDescent="0.2">
      <c r="A14" s="371" t="s">
        <v>461</v>
      </c>
      <c r="B14" s="8">
        <v>4164.7194355346137</v>
      </c>
      <c r="C14" s="8">
        <v>598.84854628607445</v>
      </c>
      <c r="D14" s="9">
        <v>0</v>
      </c>
      <c r="E14" s="9">
        <v>141.77285660181494</v>
      </c>
      <c r="F14" s="9">
        <v>0</v>
      </c>
    </row>
    <row r="15" spans="1:6" x14ac:dyDescent="0.2">
      <c r="A15" s="61" t="s">
        <v>461</v>
      </c>
      <c r="B15" s="10">
        <v>4164.7194355346137</v>
      </c>
      <c r="C15" s="10">
        <v>598.84854628607445</v>
      </c>
      <c r="D15" s="11">
        <v>0</v>
      </c>
      <c r="E15" s="11">
        <v>141.77285660181494</v>
      </c>
      <c r="F15" s="11">
        <v>0</v>
      </c>
    </row>
    <row r="16" spans="1:6" s="335" customFormat="1" x14ac:dyDescent="0.2">
      <c r="A16" s="371" t="s">
        <v>462</v>
      </c>
      <c r="B16" s="8">
        <v>12694.908671554531</v>
      </c>
      <c r="C16" s="8">
        <v>572.76234067133987</v>
      </c>
      <c r="D16" s="9">
        <v>0</v>
      </c>
      <c r="E16" s="9">
        <v>352.73086722531781</v>
      </c>
      <c r="F16" s="9">
        <v>0</v>
      </c>
    </row>
    <row r="17" spans="1:6" x14ac:dyDescent="0.2">
      <c r="A17" s="61" t="s">
        <v>462</v>
      </c>
      <c r="B17" s="10">
        <v>12694.908671554531</v>
      </c>
      <c r="C17" s="10">
        <v>572.76234067133987</v>
      </c>
      <c r="D17" s="11">
        <v>0</v>
      </c>
      <c r="E17" s="11">
        <v>352.73086722531781</v>
      </c>
      <c r="F17" s="11">
        <v>0</v>
      </c>
    </row>
    <row r="18" spans="1:6" s="335" customFormat="1" x14ac:dyDescent="0.2">
      <c r="A18" s="371" t="s">
        <v>463</v>
      </c>
      <c r="B18" s="8">
        <v>5439.5409620984201</v>
      </c>
      <c r="C18" s="8">
        <v>585.23835205229989</v>
      </c>
      <c r="D18" s="9">
        <v>0</v>
      </c>
      <c r="E18" s="9">
        <v>94.137176783605142</v>
      </c>
      <c r="F18" s="9">
        <v>0</v>
      </c>
    </row>
    <row r="19" spans="1:6" x14ac:dyDescent="0.2">
      <c r="A19" s="61" t="s">
        <v>463</v>
      </c>
      <c r="B19" s="10">
        <v>5439.5409620984201</v>
      </c>
      <c r="C19" s="10">
        <v>585.23835205229989</v>
      </c>
      <c r="D19" s="11">
        <v>0</v>
      </c>
      <c r="E19" s="11">
        <v>94.137176783605142</v>
      </c>
      <c r="F19" s="11">
        <v>0</v>
      </c>
    </row>
    <row r="20" spans="1:6" s="335" customFormat="1" x14ac:dyDescent="0.2">
      <c r="A20" s="371" t="s">
        <v>464</v>
      </c>
      <c r="B20" s="8">
        <v>2944.338685906378</v>
      </c>
      <c r="C20" s="8">
        <v>29.488754173177568</v>
      </c>
      <c r="D20" s="9">
        <v>0</v>
      </c>
      <c r="E20" s="9">
        <v>9.0734628225161718</v>
      </c>
      <c r="F20" s="9">
        <v>0</v>
      </c>
    </row>
    <row r="21" spans="1:6" x14ac:dyDescent="0.2">
      <c r="A21" s="61" t="s">
        <v>464</v>
      </c>
      <c r="B21" s="10">
        <v>640.81331184021269</v>
      </c>
      <c r="C21" s="11">
        <v>0</v>
      </c>
      <c r="D21" s="11">
        <v>0</v>
      </c>
      <c r="E21" s="11">
        <v>0</v>
      </c>
      <c r="F21" s="11">
        <v>0</v>
      </c>
    </row>
    <row r="22" spans="1:6" ht="19.5" customHeight="1" x14ac:dyDescent="0.2">
      <c r="A22" s="61" t="s">
        <v>465</v>
      </c>
      <c r="B22" s="10">
        <v>2303.5253740662874</v>
      </c>
      <c r="C22" s="10">
        <v>29.488754173177568</v>
      </c>
      <c r="D22" s="11">
        <v>0</v>
      </c>
      <c r="E22" s="11">
        <v>9.0734628225161718</v>
      </c>
      <c r="F22" s="11">
        <v>0</v>
      </c>
    </row>
    <row r="23" spans="1:6" s="335" customFormat="1" x14ac:dyDescent="0.2">
      <c r="A23" s="371" t="s">
        <v>466</v>
      </c>
      <c r="B23" s="8">
        <v>1390.5081775506283</v>
      </c>
      <c r="C23" s="8">
        <v>58.977508346355059</v>
      </c>
      <c r="D23" s="9">
        <v>0</v>
      </c>
      <c r="E23" s="9">
        <v>48.769862671024391</v>
      </c>
      <c r="F23" s="9">
        <v>0</v>
      </c>
    </row>
    <row r="24" spans="1:6" x14ac:dyDescent="0.2">
      <c r="A24" s="61" t="s">
        <v>466</v>
      </c>
      <c r="B24" s="10">
        <v>1390.5081775506283</v>
      </c>
      <c r="C24" s="10">
        <v>58.977508346355059</v>
      </c>
      <c r="D24" s="11">
        <v>0</v>
      </c>
      <c r="E24" s="11">
        <v>48.769862671024391</v>
      </c>
      <c r="F24" s="11">
        <v>0</v>
      </c>
    </row>
    <row r="25" spans="1:6" s="335" customFormat="1" x14ac:dyDescent="0.2">
      <c r="A25" s="371" t="s">
        <v>467</v>
      </c>
      <c r="B25" s="8">
        <v>3188.1879992614568</v>
      </c>
      <c r="C25" s="8">
        <v>86.197896813903512</v>
      </c>
      <c r="D25" s="9">
        <v>0</v>
      </c>
      <c r="E25" s="9">
        <v>36.293851290064687</v>
      </c>
      <c r="F25" s="9">
        <v>0</v>
      </c>
    </row>
    <row r="26" spans="1:6" x14ac:dyDescent="0.2">
      <c r="A26" s="61" t="s">
        <v>467</v>
      </c>
      <c r="B26" s="10">
        <v>3188.1879992614568</v>
      </c>
      <c r="C26" s="10">
        <v>86.197896813903512</v>
      </c>
      <c r="D26" s="11">
        <v>0</v>
      </c>
      <c r="E26" s="11">
        <v>36.293851290064687</v>
      </c>
      <c r="F26" s="11">
        <v>0</v>
      </c>
    </row>
    <row r="27" spans="1:6" s="335" customFormat="1" x14ac:dyDescent="0.2">
      <c r="A27" s="371" t="s">
        <v>468</v>
      </c>
      <c r="B27" s="8">
        <v>1849.8522329405198</v>
      </c>
      <c r="C27" s="8">
        <v>78.258616844201882</v>
      </c>
      <c r="D27" s="9">
        <v>0</v>
      </c>
      <c r="E27" s="8">
        <v>4.5367314112580859</v>
      </c>
      <c r="F27" s="9">
        <v>0</v>
      </c>
    </row>
    <row r="28" spans="1:6" x14ac:dyDescent="0.2">
      <c r="A28" s="61" t="s">
        <v>468</v>
      </c>
      <c r="B28" s="10">
        <v>1849.8522329405198</v>
      </c>
      <c r="C28" s="10">
        <v>78.258616844201882</v>
      </c>
      <c r="D28" s="11">
        <v>0</v>
      </c>
      <c r="E28" s="10">
        <v>4.5367314112580859</v>
      </c>
      <c r="F28" s="11">
        <v>0</v>
      </c>
    </row>
    <row r="29" spans="1:6" x14ac:dyDescent="0.2">
      <c r="A29" s="356"/>
      <c r="B29" s="286"/>
      <c r="C29" s="286"/>
      <c r="D29" s="287"/>
      <c r="E29" s="286"/>
      <c r="F29" s="287"/>
    </row>
    <row r="30" spans="1:6" x14ac:dyDescent="0.2">
      <c r="A30" s="357"/>
      <c r="B30" s="286"/>
      <c r="C30" s="286"/>
      <c r="D30" s="287"/>
      <c r="E30" s="286"/>
      <c r="F30" s="287"/>
    </row>
    <row r="31" spans="1:6" x14ac:dyDescent="0.2">
      <c r="A31" s="356"/>
      <c r="B31" s="286"/>
      <c r="C31" s="286"/>
      <c r="D31" s="286"/>
      <c r="E31" s="286"/>
      <c r="F31" s="286"/>
    </row>
    <row r="33" spans="1:1" ht="17.25" customHeight="1" x14ac:dyDescent="0.2"/>
    <row r="43" spans="1:1" x14ac:dyDescent="0.2">
      <c r="A43" s="325"/>
    </row>
    <row r="44" spans="1:1" x14ac:dyDescent="0.2">
      <c r="A44" s="325"/>
    </row>
    <row r="45" spans="1:1" x14ac:dyDescent="0.2">
      <c r="A45" s="325"/>
    </row>
    <row r="46" spans="1:1" x14ac:dyDescent="0.2">
      <c r="A46" s="325"/>
    </row>
    <row r="47" spans="1:1" x14ac:dyDescent="0.2">
      <c r="A47" s="325"/>
    </row>
  </sheetData>
  <mergeCells count="5">
    <mergeCell ref="A1:F1"/>
    <mergeCell ref="A2:A3"/>
    <mergeCell ref="B2:B3"/>
    <mergeCell ref="C2:C3"/>
    <mergeCell ref="D2:F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zoomScale="120" zoomScaleNormal="120" workbookViewId="0">
      <selection activeCell="M30" sqref="M30"/>
    </sheetView>
  </sheetViews>
  <sheetFormatPr defaultRowHeight="12" x14ac:dyDescent="0.2"/>
  <cols>
    <col min="1" max="1" width="18.42578125" style="322" customWidth="1"/>
    <col min="2" max="8" width="9.140625" style="322"/>
    <col min="9" max="9" width="10.85546875" style="322" customWidth="1"/>
    <col min="10" max="16384" width="9.140625" style="322"/>
  </cols>
  <sheetData>
    <row r="1" spans="1:12" x14ac:dyDescent="0.2">
      <c r="A1" s="646" t="s">
        <v>322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</row>
    <row r="2" spans="1:12" ht="15" customHeight="1" x14ac:dyDescent="0.2">
      <c r="A2" s="647" t="s">
        <v>501</v>
      </c>
      <c r="B2" s="288"/>
      <c r="C2" s="649" t="s">
        <v>493</v>
      </c>
      <c r="D2" s="649"/>
      <c r="E2" s="649"/>
      <c r="F2" s="649"/>
      <c r="G2" s="649"/>
      <c r="H2" s="649"/>
      <c r="I2" s="649"/>
      <c r="J2" s="649"/>
      <c r="K2" s="649"/>
      <c r="L2" s="649"/>
    </row>
    <row r="3" spans="1:12" ht="36" x14ac:dyDescent="0.2">
      <c r="A3" s="648"/>
      <c r="B3" s="289" t="s">
        <v>52</v>
      </c>
      <c r="C3" s="86" t="s">
        <v>323</v>
      </c>
      <c r="D3" s="83" t="s">
        <v>324</v>
      </c>
      <c r="E3" s="86" t="s">
        <v>325</v>
      </c>
      <c r="F3" s="86" t="s">
        <v>326</v>
      </c>
      <c r="G3" s="83" t="s">
        <v>327</v>
      </c>
      <c r="H3" s="83" t="s">
        <v>328</v>
      </c>
      <c r="I3" s="83" t="s">
        <v>329</v>
      </c>
      <c r="J3" s="83" t="s">
        <v>330</v>
      </c>
      <c r="K3" s="83" t="s">
        <v>331</v>
      </c>
      <c r="L3" s="83" t="s">
        <v>332</v>
      </c>
    </row>
    <row r="4" spans="1:12" x14ac:dyDescent="0.2">
      <c r="A4" s="228" t="s">
        <v>457</v>
      </c>
      <c r="B4" s="237">
        <v>93784.445916290002</v>
      </c>
      <c r="C4" s="237">
        <v>23289.310699686263</v>
      </c>
      <c r="D4" s="237">
        <v>14958.737645772821</v>
      </c>
      <c r="E4" s="237">
        <v>10181.559469716991</v>
      </c>
      <c r="F4" s="237">
        <v>8331.7072367760939</v>
      </c>
      <c r="G4" s="237">
        <v>8846.6262519540014</v>
      </c>
      <c r="H4" s="237">
        <v>8531.3234188714941</v>
      </c>
      <c r="I4" s="237">
        <v>8558.5438073390487</v>
      </c>
      <c r="J4" s="237">
        <v>13905.081775507895</v>
      </c>
      <c r="K4" s="237">
        <v>16866.433204206496</v>
      </c>
      <c r="L4" s="237">
        <v>9104.0857595429552</v>
      </c>
    </row>
    <row r="5" spans="1:12" x14ac:dyDescent="0.2">
      <c r="A5" s="232" t="s">
        <v>14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x14ac:dyDescent="0.2">
      <c r="A6" s="378" t="s">
        <v>5</v>
      </c>
      <c r="B6" s="10">
        <v>49596.681970736739</v>
      </c>
      <c r="C6" s="10">
        <v>12452.193541052169</v>
      </c>
      <c r="D6" s="10">
        <v>9172.1367307118417</v>
      </c>
      <c r="E6" s="10">
        <v>5648.2306070163386</v>
      </c>
      <c r="F6" s="10">
        <v>4347.3228748377924</v>
      </c>
      <c r="G6" s="10">
        <v>4729.5424962363713</v>
      </c>
      <c r="H6" s="10">
        <v>4529.926314140971</v>
      </c>
      <c r="I6" s="10">
        <v>4560.54925116697</v>
      </c>
      <c r="J6" s="10">
        <v>7724.9194105201905</v>
      </c>
      <c r="K6" s="10">
        <v>8253.4486199318744</v>
      </c>
      <c r="L6" s="10">
        <v>4955.2448839465114</v>
      </c>
    </row>
    <row r="7" spans="1:12" x14ac:dyDescent="0.2">
      <c r="A7" s="72" t="s">
        <v>6</v>
      </c>
      <c r="B7" s="10">
        <v>44187.763945654406</v>
      </c>
      <c r="C7" s="10">
        <v>10837.11715864393</v>
      </c>
      <c r="D7" s="10">
        <v>5786.6009150597411</v>
      </c>
      <c r="E7" s="10">
        <v>4533.3288626994154</v>
      </c>
      <c r="F7" s="10">
        <v>3984.3843619371091</v>
      </c>
      <c r="G7" s="10">
        <v>4117.0837557163932</v>
      </c>
      <c r="H7" s="10">
        <v>4001.3971047293239</v>
      </c>
      <c r="I7" s="10">
        <v>3997.994556170881</v>
      </c>
      <c r="J7" s="10">
        <v>6180.1623649864678</v>
      </c>
      <c r="K7" s="10">
        <v>8612.9845842741579</v>
      </c>
      <c r="L7" s="10">
        <v>4148.8408755952069</v>
      </c>
    </row>
    <row r="8" spans="1:12" ht="14.25" customHeight="1" x14ac:dyDescent="0.2">
      <c r="A8" s="234" t="s">
        <v>542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</row>
    <row r="9" spans="1:12" s="335" customFormat="1" x14ac:dyDescent="0.2">
      <c r="A9" s="371" t="s">
        <v>458</v>
      </c>
      <c r="B9" s="8">
        <v>39689.594751383796</v>
      </c>
      <c r="C9" s="8">
        <v>9130.171965157695</v>
      </c>
      <c r="D9" s="8">
        <v>8586.8983786594181</v>
      </c>
      <c r="E9" s="8">
        <v>5752.5754294752978</v>
      </c>
      <c r="F9" s="8">
        <v>4999.4780152062876</v>
      </c>
      <c r="G9" s="8">
        <v>5259.205888500871</v>
      </c>
      <c r="H9" s="8">
        <v>5180.9472716566515</v>
      </c>
      <c r="I9" s="8">
        <v>5118.5672147518389</v>
      </c>
      <c r="J9" s="8">
        <v>6987.7005561905871</v>
      </c>
      <c r="K9" s="8">
        <v>6549.9059750040842</v>
      </c>
      <c r="L9" s="8">
        <v>5600.5949271981181</v>
      </c>
    </row>
    <row r="10" spans="1:12" x14ac:dyDescent="0.2">
      <c r="A10" s="61" t="s">
        <v>458</v>
      </c>
      <c r="B10" s="10">
        <v>39689.594751383796</v>
      </c>
      <c r="C10" s="10">
        <v>9130.171965157695</v>
      </c>
      <c r="D10" s="10">
        <v>8586.8983786594181</v>
      </c>
      <c r="E10" s="10">
        <v>5752.5754294752978</v>
      </c>
      <c r="F10" s="10">
        <v>4999.4780152062876</v>
      </c>
      <c r="G10" s="10">
        <v>5259.205888500871</v>
      </c>
      <c r="H10" s="10">
        <v>5180.9472716566515</v>
      </c>
      <c r="I10" s="10">
        <v>5118.5672147518389</v>
      </c>
      <c r="J10" s="10">
        <v>6987.7005561905871</v>
      </c>
      <c r="K10" s="10">
        <v>6549.9059750040842</v>
      </c>
      <c r="L10" s="10">
        <v>5600.5949271981181</v>
      </c>
    </row>
    <row r="11" spans="1:12" s="335" customFormat="1" ht="16.5" customHeight="1" x14ac:dyDescent="0.2">
      <c r="A11" s="371" t="s">
        <v>459</v>
      </c>
      <c r="B11" s="8">
        <v>22422.795000137165</v>
      </c>
      <c r="C11" s="8">
        <v>5378.2950880464223</v>
      </c>
      <c r="D11" s="8">
        <v>2917.1182974388344</v>
      </c>
      <c r="E11" s="8">
        <v>1991.6250895423382</v>
      </c>
      <c r="F11" s="8">
        <v>1214.7098353643735</v>
      </c>
      <c r="G11" s="8">
        <v>1322.4572063817554</v>
      </c>
      <c r="H11" s="8">
        <v>1223.7832981868899</v>
      </c>
      <c r="I11" s="8">
        <v>1258.9429666241408</v>
      </c>
      <c r="J11" s="8">
        <v>2922.789211702906</v>
      </c>
      <c r="K11" s="8">
        <v>4452.8018801495664</v>
      </c>
      <c r="L11" s="8">
        <v>1300.907732178279</v>
      </c>
    </row>
    <row r="12" spans="1:12" ht="14.25" customHeight="1" x14ac:dyDescent="0.2">
      <c r="A12" s="61" t="s">
        <v>459</v>
      </c>
      <c r="B12" s="10">
        <v>18748.042557023189</v>
      </c>
      <c r="C12" s="10">
        <v>4237.3071381147593</v>
      </c>
      <c r="D12" s="10">
        <v>2541.7037731572946</v>
      </c>
      <c r="E12" s="10">
        <v>1799.9481874166797</v>
      </c>
      <c r="F12" s="10">
        <v>1063.8635159400387</v>
      </c>
      <c r="G12" s="10">
        <v>1162.5374241349043</v>
      </c>
      <c r="H12" s="10">
        <v>1055.9242359703369</v>
      </c>
      <c r="I12" s="10">
        <v>1089.9497215547733</v>
      </c>
      <c r="J12" s="10">
        <v>2521.2884818066368</v>
      </c>
      <c r="K12" s="10">
        <v>3850.5507853050194</v>
      </c>
      <c r="L12" s="10">
        <v>1142.1221327842425</v>
      </c>
    </row>
    <row r="13" spans="1:12" ht="15.75" customHeight="1" x14ac:dyDescent="0.2">
      <c r="A13" s="61" t="s">
        <v>473</v>
      </c>
      <c r="B13" s="10">
        <v>3674.7524431187999</v>
      </c>
      <c r="C13" s="10">
        <v>1140.9879499314279</v>
      </c>
      <c r="D13" s="10">
        <v>375.41452428160875</v>
      </c>
      <c r="E13" s="10">
        <v>191.67690212565375</v>
      </c>
      <c r="F13" s="10">
        <v>150.84631942433109</v>
      </c>
      <c r="G13" s="10">
        <v>159.91978224684723</v>
      </c>
      <c r="H13" s="10">
        <v>167.85906221654886</v>
      </c>
      <c r="I13" s="10">
        <v>168.99324506936338</v>
      </c>
      <c r="J13" s="10">
        <v>401.50072989634333</v>
      </c>
      <c r="K13" s="10">
        <v>602.25109484451809</v>
      </c>
      <c r="L13" s="10">
        <v>158.78559939403272</v>
      </c>
    </row>
    <row r="14" spans="1:12" s="335" customFormat="1" x14ac:dyDescent="0.2">
      <c r="A14" s="371" t="s">
        <v>461</v>
      </c>
      <c r="B14" s="8">
        <v>4164.7194355346137</v>
      </c>
      <c r="C14" s="8">
        <v>1279.3582579748027</v>
      </c>
      <c r="D14" s="8">
        <v>506.9797352080962</v>
      </c>
      <c r="E14" s="8">
        <v>172.39579362780694</v>
      </c>
      <c r="F14" s="8">
        <v>145.17540516025849</v>
      </c>
      <c r="G14" s="8">
        <v>200.7503649481699</v>
      </c>
      <c r="H14" s="8">
        <v>147.44377086588753</v>
      </c>
      <c r="I14" s="8">
        <v>137.23612519055686</v>
      </c>
      <c r="J14" s="8">
        <v>391.29308422101241</v>
      </c>
      <c r="K14" s="8">
        <v>336.85230728591415</v>
      </c>
      <c r="L14" s="8">
        <v>173.52997648062146</v>
      </c>
    </row>
    <row r="15" spans="1:12" x14ac:dyDescent="0.2">
      <c r="A15" s="61" t="s">
        <v>461</v>
      </c>
      <c r="B15" s="10">
        <v>4164.7194355346137</v>
      </c>
      <c r="C15" s="10">
        <v>1279.3582579748027</v>
      </c>
      <c r="D15" s="10">
        <v>506.9797352080962</v>
      </c>
      <c r="E15" s="10">
        <v>172.39579362780694</v>
      </c>
      <c r="F15" s="10">
        <v>145.17540516025849</v>
      </c>
      <c r="G15" s="10">
        <v>200.7503649481699</v>
      </c>
      <c r="H15" s="10">
        <v>147.44377086588753</v>
      </c>
      <c r="I15" s="10">
        <v>137.23612519055686</v>
      </c>
      <c r="J15" s="10">
        <v>391.29308422101241</v>
      </c>
      <c r="K15" s="10">
        <v>336.85230728591415</v>
      </c>
      <c r="L15" s="10">
        <v>173.52997648062146</v>
      </c>
    </row>
    <row r="16" spans="1:12" s="335" customFormat="1" x14ac:dyDescent="0.2">
      <c r="A16" s="371" t="s">
        <v>462</v>
      </c>
      <c r="B16" s="8">
        <v>12694.908671554531</v>
      </c>
      <c r="C16" s="8">
        <v>3869.8318938028629</v>
      </c>
      <c r="D16" s="8">
        <v>2154.9474203476116</v>
      </c>
      <c r="E16" s="8">
        <v>1640.0284051698286</v>
      </c>
      <c r="F16" s="8">
        <v>1475.5718915117193</v>
      </c>
      <c r="G16" s="8">
        <v>1558.3672397671812</v>
      </c>
      <c r="H16" s="8">
        <v>1482.3769886286066</v>
      </c>
      <c r="I16" s="8">
        <v>1534.5493998580757</v>
      </c>
      <c r="J16" s="8">
        <v>2288.7809969797013</v>
      </c>
      <c r="K16" s="8">
        <v>2342.0875910619743</v>
      </c>
      <c r="L16" s="8">
        <v>1548.1595940918503</v>
      </c>
    </row>
    <row r="17" spans="1:12" x14ac:dyDescent="0.2">
      <c r="A17" s="61" t="s">
        <v>462</v>
      </c>
      <c r="B17" s="10">
        <v>12694.908671554531</v>
      </c>
      <c r="C17" s="10">
        <v>3869.8318938028629</v>
      </c>
      <c r="D17" s="10">
        <v>2154.9474203476116</v>
      </c>
      <c r="E17" s="10">
        <v>1640.0284051698286</v>
      </c>
      <c r="F17" s="10">
        <v>1475.5718915117193</v>
      </c>
      <c r="G17" s="10">
        <v>1558.3672397671812</v>
      </c>
      <c r="H17" s="10">
        <v>1482.3769886286066</v>
      </c>
      <c r="I17" s="10">
        <v>1534.5493998580757</v>
      </c>
      <c r="J17" s="10">
        <v>2288.7809969797013</v>
      </c>
      <c r="K17" s="10">
        <v>2342.0875910619743</v>
      </c>
      <c r="L17" s="10">
        <v>1548.1595940918503</v>
      </c>
    </row>
    <row r="18" spans="1:12" s="335" customFormat="1" x14ac:dyDescent="0.2">
      <c r="A18" s="371" t="s">
        <v>463</v>
      </c>
      <c r="B18" s="8">
        <v>5439.5409620984201</v>
      </c>
      <c r="C18" s="8">
        <v>1338.3357663211591</v>
      </c>
      <c r="D18" s="8">
        <v>373.14615857597965</v>
      </c>
      <c r="E18" s="8">
        <v>261.99623900015405</v>
      </c>
      <c r="F18" s="8">
        <v>217.76310774038768</v>
      </c>
      <c r="G18" s="8">
        <v>233.64166767979094</v>
      </c>
      <c r="H18" s="8">
        <v>224.56820485727479</v>
      </c>
      <c r="I18" s="8">
        <v>218.8972905932022</v>
      </c>
      <c r="J18" s="8">
        <v>458.20987253707068</v>
      </c>
      <c r="K18" s="8">
        <v>657.8260546324309</v>
      </c>
      <c r="L18" s="8">
        <v>234.77585053260546</v>
      </c>
    </row>
    <row r="19" spans="1:12" x14ac:dyDescent="0.2">
      <c r="A19" s="61" t="s">
        <v>463</v>
      </c>
      <c r="B19" s="10">
        <v>5439.5409620984201</v>
      </c>
      <c r="C19" s="10">
        <v>1338.3357663211591</v>
      </c>
      <c r="D19" s="10">
        <v>373.14615857597965</v>
      </c>
      <c r="E19" s="10">
        <v>261.99623900015405</v>
      </c>
      <c r="F19" s="10">
        <v>217.76310774038768</v>
      </c>
      <c r="G19" s="10">
        <v>233.64166767979094</v>
      </c>
      <c r="H19" s="10">
        <v>224.56820485727479</v>
      </c>
      <c r="I19" s="10">
        <v>218.8972905932022</v>
      </c>
      <c r="J19" s="10">
        <v>458.20987253707068</v>
      </c>
      <c r="K19" s="10">
        <v>657.8260546324309</v>
      </c>
      <c r="L19" s="10">
        <v>234.77585053260546</v>
      </c>
    </row>
    <row r="20" spans="1:12" s="335" customFormat="1" x14ac:dyDescent="0.2">
      <c r="A20" s="371" t="s">
        <v>464</v>
      </c>
      <c r="B20" s="8">
        <v>2944.338685906378</v>
      </c>
      <c r="C20" s="8">
        <v>653.28932322117271</v>
      </c>
      <c r="D20" s="8">
        <v>138.37030804337138</v>
      </c>
      <c r="E20" s="8">
        <v>105.47900531175033</v>
      </c>
      <c r="F20" s="8">
        <v>99.808091047677735</v>
      </c>
      <c r="G20" s="8">
        <v>103.21063960612129</v>
      </c>
      <c r="H20" s="8">
        <v>90.734628225161586</v>
      </c>
      <c r="I20" s="8">
        <v>100.94227390049225</v>
      </c>
      <c r="J20" s="8">
        <v>294.88754173177591</v>
      </c>
      <c r="K20" s="8">
        <v>687.31480880560912</v>
      </c>
      <c r="L20" s="8">
        <v>90.734628225161586</v>
      </c>
    </row>
    <row r="21" spans="1:12" x14ac:dyDescent="0.2">
      <c r="A21" s="61" t="s">
        <v>464</v>
      </c>
      <c r="B21" s="10">
        <v>640.81331184021269</v>
      </c>
      <c r="C21" s="10">
        <v>114.55246813426648</v>
      </c>
      <c r="D21" s="10">
        <v>40.830582701322761</v>
      </c>
      <c r="E21" s="10">
        <v>20.415291350661391</v>
      </c>
      <c r="F21" s="10">
        <v>12.476011380959738</v>
      </c>
      <c r="G21" s="10">
        <v>14.744377086588782</v>
      </c>
      <c r="H21" s="10">
        <v>19.281108497846869</v>
      </c>
      <c r="I21" s="10">
        <v>21.549474203475913</v>
      </c>
      <c r="J21" s="10">
        <v>81.661165402645437</v>
      </c>
      <c r="K21" s="10">
        <v>117.95501669271003</v>
      </c>
      <c r="L21" s="10">
        <v>12.476011380959738</v>
      </c>
    </row>
    <row r="22" spans="1:12" x14ac:dyDescent="0.2">
      <c r="A22" s="61" t="s">
        <v>465</v>
      </c>
      <c r="B22" s="10">
        <v>2303.5253740662874</v>
      </c>
      <c r="C22" s="10">
        <v>538.73685508690346</v>
      </c>
      <c r="D22" s="10">
        <v>97.539725342048698</v>
      </c>
      <c r="E22" s="10">
        <v>85.063713961088993</v>
      </c>
      <c r="F22" s="10">
        <v>87.33207966671803</v>
      </c>
      <c r="G22" s="10">
        <v>88.466262519532549</v>
      </c>
      <c r="H22" s="10">
        <v>71.45351972731477</v>
      </c>
      <c r="I22" s="10">
        <v>79.3927996970164</v>
      </c>
      <c r="J22" s="10">
        <v>213.22637632912961</v>
      </c>
      <c r="K22" s="10">
        <v>569.35979211289623</v>
      </c>
      <c r="L22" s="10">
        <v>78.258616844201882</v>
      </c>
    </row>
    <row r="23" spans="1:12" s="335" customFormat="1" x14ac:dyDescent="0.2">
      <c r="A23" s="371" t="s">
        <v>466</v>
      </c>
      <c r="B23" s="8">
        <v>1390.5081775506283</v>
      </c>
      <c r="C23" s="8">
        <v>522.8582951474998</v>
      </c>
      <c r="D23" s="8">
        <v>71.45351972731477</v>
      </c>
      <c r="E23" s="8">
        <v>53.306594082282466</v>
      </c>
      <c r="F23" s="8">
        <v>58.977508346355059</v>
      </c>
      <c r="G23" s="8">
        <v>56.709142640726022</v>
      </c>
      <c r="H23" s="8">
        <v>54.440776935096984</v>
      </c>
      <c r="I23" s="8">
        <v>47.635679818209873</v>
      </c>
      <c r="J23" s="8">
        <v>165.59069651091983</v>
      </c>
      <c r="K23" s="8">
        <v>651.02095751554361</v>
      </c>
      <c r="L23" s="8">
        <v>40.830582701322761</v>
      </c>
    </row>
    <row r="24" spans="1:12" x14ac:dyDescent="0.2">
      <c r="A24" s="61" t="s">
        <v>466</v>
      </c>
      <c r="B24" s="10">
        <v>1390.5081775506283</v>
      </c>
      <c r="C24" s="10">
        <v>522.8582951474998</v>
      </c>
      <c r="D24" s="10">
        <v>71.45351972731477</v>
      </c>
      <c r="E24" s="10">
        <v>53.306594082282466</v>
      </c>
      <c r="F24" s="10">
        <v>58.977508346355059</v>
      </c>
      <c r="G24" s="10">
        <v>56.709142640726022</v>
      </c>
      <c r="H24" s="10">
        <v>54.440776935096984</v>
      </c>
      <c r="I24" s="10">
        <v>47.635679818209873</v>
      </c>
      <c r="J24" s="10">
        <v>165.59069651091983</v>
      </c>
      <c r="K24" s="10">
        <v>651.02095751554361</v>
      </c>
      <c r="L24" s="10">
        <v>40.830582701322761</v>
      </c>
    </row>
    <row r="25" spans="1:12" s="335" customFormat="1" x14ac:dyDescent="0.2">
      <c r="A25" s="371" t="s">
        <v>467</v>
      </c>
      <c r="B25" s="8">
        <v>3188.1879992614568</v>
      </c>
      <c r="C25" s="8">
        <v>648.75259180991452</v>
      </c>
      <c r="D25" s="8">
        <v>180.33507359750857</v>
      </c>
      <c r="E25" s="8">
        <v>183.73762215595212</v>
      </c>
      <c r="F25" s="8">
        <v>98.673908194863216</v>
      </c>
      <c r="G25" s="8">
        <v>97.539725342048698</v>
      </c>
      <c r="H25" s="8">
        <v>112.28410242863744</v>
      </c>
      <c r="I25" s="8">
        <v>125.89429666241166</v>
      </c>
      <c r="J25" s="8">
        <v>297.15590743740501</v>
      </c>
      <c r="K25" s="8">
        <v>734.95048862382009</v>
      </c>
      <c r="L25" s="8">
        <v>98.673908194863216</v>
      </c>
    </row>
    <row r="26" spans="1:12" x14ac:dyDescent="0.2">
      <c r="A26" s="61" t="s">
        <v>467</v>
      </c>
      <c r="B26" s="10">
        <v>3188.1879992614568</v>
      </c>
      <c r="C26" s="10">
        <v>648.75259180991452</v>
      </c>
      <c r="D26" s="10">
        <v>180.33507359750857</v>
      </c>
      <c r="E26" s="10">
        <v>183.73762215595212</v>
      </c>
      <c r="F26" s="10">
        <v>98.673908194863216</v>
      </c>
      <c r="G26" s="10">
        <v>97.539725342048698</v>
      </c>
      <c r="H26" s="10">
        <v>112.28410242863744</v>
      </c>
      <c r="I26" s="10">
        <v>125.89429666241166</v>
      </c>
      <c r="J26" s="10">
        <v>297.15590743740501</v>
      </c>
      <c r="K26" s="10">
        <v>734.95048862382009</v>
      </c>
      <c r="L26" s="10">
        <v>98.673908194863216</v>
      </c>
    </row>
    <row r="27" spans="1:12" s="335" customFormat="1" x14ac:dyDescent="0.2">
      <c r="A27" s="371" t="s">
        <v>468</v>
      </c>
      <c r="B27" s="8">
        <v>1849.8522329405198</v>
      </c>
      <c r="C27" s="8">
        <v>468.4175182124016</v>
      </c>
      <c r="D27" s="8">
        <v>29.488754173177568</v>
      </c>
      <c r="E27" s="8">
        <v>20.415291350661391</v>
      </c>
      <c r="F27" s="8">
        <v>21.549474203475913</v>
      </c>
      <c r="G27" s="8">
        <v>14.744377086588782</v>
      </c>
      <c r="H27" s="8">
        <v>14.744377086588782</v>
      </c>
      <c r="I27" s="8">
        <v>15.878559939403305</v>
      </c>
      <c r="J27" s="8">
        <v>98.673908194863216</v>
      </c>
      <c r="K27" s="8">
        <v>453.67314112581249</v>
      </c>
      <c r="L27" s="8">
        <v>15.878559939403305</v>
      </c>
    </row>
    <row r="28" spans="1:12" x14ac:dyDescent="0.2">
      <c r="A28" s="61" t="s">
        <v>468</v>
      </c>
      <c r="B28" s="10">
        <v>1849.8522329405198</v>
      </c>
      <c r="C28" s="10">
        <v>468.4175182124016</v>
      </c>
      <c r="D28" s="10">
        <v>29.488754173177568</v>
      </c>
      <c r="E28" s="10">
        <v>20.415291350661391</v>
      </c>
      <c r="F28" s="10">
        <v>21.549474203475913</v>
      </c>
      <c r="G28" s="10">
        <v>14.744377086588782</v>
      </c>
      <c r="H28" s="10">
        <v>14.744377086588782</v>
      </c>
      <c r="I28" s="10">
        <v>15.878559939403305</v>
      </c>
      <c r="J28" s="10">
        <v>98.673908194863216</v>
      </c>
      <c r="K28" s="10">
        <v>453.67314112581249</v>
      </c>
      <c r="L28" s="10">
        <v>15.878559939403305</v>
      </c>
    </row>
    <row r="33" ht="17.25" customHeight="1" x14ac:dyDescent="0.2"/>
  </sheetData>
  <mergeCells count="3">
    <mergeCell ref="A1:L1"/>
    <mergeCell ref="A2:A3"/>
    <mergeCell ref="C2:L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zoomScale="120" zoomScaleNormal="120" workbookViewId="0">
      <selection activeCell="G20" sqref="G20"/>
    </sheetView>
  </sheetViews>
  <sheetFormatPr defaultRowHeight="12" x14ac:dyDescent="0.2"/>
  <cols>
    <col min="1" max="1" width="17.42578125" style="322" customWidth="1"/>
    <col min="2" max="16384" width="9.140625" style="322"/>
  </cols>
  <sheetData>
    <row r="1" spans="1:5" ht="38.25" customHeight="1" x14ac:dyDescent="0.2">
      <c r="A1" s="650" t="s">
        <v>318</v>
      </c>
      <c r="B1" s="650"/>
      <c r="C1" s="650"/>
      <c r="D1" s="650"/>
      <c r="E1" s="650"/>
    </row>
    <row r="2" spans="1:5" ht="25.5" customHeight="1" x14ac:dyDescent="0.2">
      <c r="A2" s="584" t="s">
        <v>501</v>
      </c>
      <c r="B2" s="647" t="s">
        <v>52</v>
      </c>
      <c r="C2" s="651" t="s">
        <v>319</v>
      </c>
      <c r="D2" s="651"/>
      <c r="E2" s="651" t="s">
        <v>122</v>
      </c>
    </row>
    <row r="3" spans="1:5" ht="24.75" customHeight="1" x14ac:dyDescent="0.2">
      <c r="A3" s="585"/>
      <c r="B3" s="648"/>
      <c r="C3" s="82" t="s">
        <v>320</v>
      </c>
      <c r="D3" s="82" t="s">
        <v>321</v>
      </c>
      <c r="E3" s="652"/>
    </row>
    <row r="4" spans="1:5" x14ac:dyDescent="0.2">
      <c r="A4" s="228" t="s">
        <v>457</v>
      </c>
      <c r="B4" s="237">
        <v>93784.445916290002</v>
      </c>
      <c r="C4" s="237">
        <v>17440.329727729852</v>
      </c>
      <c r="D4" s="237">
        <v>76305.553971645611</v>
      </c>
      <c r="E4" s="237">
        <v>38.562216995693724</v>
      </c>
    </row>
    <row r="5" spans="1:5" ht="15" customHeight="1" x14ac:dyDescent="0.2">
      <c r="A5" s="232" t="s">
        <v>14</v>
      </c>
      <c r="B5" s="8"/>
      <c r="C5" s="8"/>
      <c r="D5" s="8"/>
      <c r="E5" s="8"/>
    </row>
    <row r="6" spans="1:5" x14ac:dyDescent="0.2">
      <c r="A6" s="378" t="s">
        <v>5</v>
      </c>
      <c r="B6" s="10">
        <v>49596.681970736739</v>
      </c>
      <c r="C6" s="10">
        <v>9202.7596677378406</v>
      </c>
      <c r="D6" s="10">
        <v>40374.641194485019</v>
      </c>
      <c r="E6" s="10">
        <v>19.281108497846869</v>
      </c>
    </row>
    <row r="7" spans="1:5" x14ac:dyDescent="0.2">
      <c r="A7" s="72" t="s">
        <v>6</v>
      </c>
      <c r="B7" s="10">
        <v>44187.763945654406</v>
      </c>
      <c r="C7" s="10">
        <v>8237.5700599924676</v>
      </c>
      <c r="D7" s="10">
        <v>35930.912777149606</v>
      </c>
      <c r="E7" s="10">
        <v>19.281108497846869</v>
      </c>
    </row>
    <row r="8" spans="1:5" ht="14.25" customHeight="1" x14ac:dyDescent="0.2">
      <c r="A8" s="234" t="s">
        <v>542</v>
      </c>
      <c r="B8" s="276"/>
      <c r="C8" s="276"/>
      <c r="D8" s="276"/>
      <c r="E8" s="276"/>
    </row>
    <row r="9" spans="1:5" s="335" customFormat="1" x14ac:dyDescent="0.2">
      <c r="A9" s="371" t="s">
        <v>458</v>
      </c>
      <c r="B9" s="8">
        <v>39689.594751383796</v>
      </c>
      <c r="C9" s="8">
        <v>13744.027810408197</v>
      </c>
      <c r="D9" s="8">
        <v>25936.4934781517</v>
      </c>
      <c r="E9" s="8">
        <v>9.0734628225161718</v>
      </c>
    </row>
    <row r="10" spans="1:5" x14ac:dyDescent="0.2">
      <c r="A10" s="61" t="s">
        <v>458</v>
      </c>
      <c r="B10" s="10">
        <v>39689.594751383796</v>
      </c>
      <c r="C10" s="10">
        <v>13744.027810408197</v>
      </c>
      <c r="D10" s="10">
        <v>25936.4934781517</v>
      </c>
      <c r="E10" s="10">
        <v>9.0734628225161718</v>
      </c>
    </row>
    <row r="11" spans="1:5" s="335" customFormat="1" x14ac:dyDescent="0.2">
      <c r="A11" s="371" t="s">
        <v>459</v>
      </c>
      <c r="B11" s="8">
        <v>22422.795000137165</v>
      </c>
      <c r="C11" s="8">
        <v>1309.9811950007954</v>
      </c>
      <c r="D11" s="8">
        <v>21094.666879493194</v>
      </c>
      <c r="E11" s="8">
        <v>18.146925645032347</v>
      </c>
    </row>
    <row r="12" spans="1:5" x14ac:dyDescent="0.2">
      <c r="A12" s="61" t="s">
        <v>459</v>
      </c>
      <c r="B12" s="10">
        <v>18748.042557023189</v>
      </c>
      <c r="C12" s="10">
        <v>1137.5854013729843</v>
      </c>
      <c r="D12" s="10">
        <v>17593.444412859601</v>
      </c>
      <c r="E12" s="10">
        <v>17.012742792217825</v>
      </c>
    </row>
    <row r="13" spans="1:5" ht="24" x14ac:dyDescent="0.2">
      <c r="A13" s="61" t="s">
        <v>473</v>
      </c>
      <c r="B13" s="10">
        <v>3674.7524431187999</v>
      </c>
      <c r="C13" s="10">
        <v>172.39579362780694</v>
      </c>
      <c r="D13" s="10">
        <v>3501.222466638209</v>
      </c>
      <c r="E13" s="10">
        <v>1.1341828528145215</v>
      </c>
    </row>
    <row r="14" spans="1:5" s="335" customFormat="1" x14ac:dyDescent="0.2">
      <c r="A14" s="371" t="s">
        <v>461</v>
      </c>
      <c r="B14" s="8">
        <v>4164.7194355346137</v>
      </c>
      <c r="C14" s="8">
        <v>178.06670789187953</v>
      </c>
      <c r="D14" s="8">
        <v>3979.8476305258519</v>
      </c>
      <c r="E14" s="8">
        <v>6.8050971168871284</v>
      </c>
    </row>
    <row r="15" spans="1:5" x14ac:dyDescent="0.2">
      <c r="A15" s="61" t="s">
        <v>461</v>
      </c>
      <c r="B15" s="10">
        <v>4164.7194355346137</v>
      </c>
      <c r="C15" s="10">
        <v>178.06670789187953</v>
      </c>
      <c r="D15" s="10">
        <v>3979.8476305258519</v>
      </c>
      <c r="E15" s="10">
        <v>6.8050971168871284</v>
      </c>
    </row>
    <row r="16" spans="1:5" s="335" customFormat="1" x14ac:dyDescent="0.2">
      <c r="A16" s="371" t="s">
        <v>462</v>
      </c>
      <c r="B16" s="8">
        <v>12694.908671554531</v>
      </c>
      <c r="C16" s="8">
        <v>1674.053890754265</v>
      </c>
      <c r="D16" s="8">
        <v>11019.720597947109</v>
      </c>
      <c r="E16" s="8">
        <v>1.1341828528145215</v>
      </c>
    </row>
    <row r="17" spans="1:5" x14ac:dyDescent="0.2">
      <c r="A17" s="61" t="s">
        <v>462</v>
      </c>
      <c r="B17" s="10">
        <v>12694.908671554531</v>
      </c>
      <c r="C17" s="10">
        <v>1674.053890754265</v>
      </c>
      <c r="D17" s="10">
        <v>11019.720597947109</v>
      </c>
      <c r="E17" s="11">
        <v>1.1341828528145215</v>
      </c>
    </row>
    <row r="18" spans="1:5" s="335" customFormat="1" x14ac:dyDescent="0.2">
      <c r="A18" s="371" t="s">
        <v>463</v>
      </c>
      <c r="B18" s="8">
        <v>5439.5409620984201</v>
      </c>
      <c r="C18" s="8">
        <v>243.84931335512161</v>
      </c>
      <c r="D18" s="8">
        <v>5194.5574658904288</v>
      </c>
      <c r="E18" s="9">
        <v>1.1341828528145215</v>
      </c>
    </row>
    <row r="19" spans="1:5" x14ac:dyDescent="0.2">
      <c r="A19" s="61" t="s">
        <v>463</v>
      </c>
      <c r="B19" s="10">
        <v>5439.5409620984201</v>
      </c>
      <c r="C19" s="10">
        <v>243.84931335512161</v>
      </c>
      <c r="D19" s="10">
        <v>5194.5574658904288</v>
      </c>
      <c r="E19" s="10">
        <v>1.1341828528145215</v>
      </c>
    </row>
    <row r="20" spans="1:5" s="335" customFormat="1" x14ac:dyDescent="0.2">
      <c r="A20" s="371" t="s">
        <v>464</v>
      </c>
      <c r="B20" s="8">
        <v>2944.338685906378</v>
      </c>
      <c r="C20" s="8">
        <v>108.88155387019388</v>
      </c>
      <c r="D20" s="8">
        <v>2835.4571320362033</v>
      </c>
      <c r="E20" s="9">
        <v>0</v>
      </c>
    </row>
    <row r="21" spans="1:5" ht="15.75" customHeight="1" x14ac:dyDescent="0.2">
      <c r="A21" s="61" t="s">
        <v>464</v>
      </c>
      <c r="B21" s="10">
        <v>640.81331184021269</v>
      </c>
      <c r="C21" s="10">
        <v>23.817839909104958</v>
      </c>
      <c r="D21" s="10">
        <v>616.9954719311072</v>
      </c>
      <c r="E21" s="11">
        <v>0</v>
      </c>
    </row>
    <row r="22" spans="1:5" x14ac:dyDescent="0.2">
      <c r="A22" s="61" t="s">
        <v>465</v>
      </c>
      <c r="B22" s="10">
        <v>2303.5253740662874</v>
      </c>
      <c r="C22" s="10">
        <v>85.063713961088993</v>
      </c>
      <c r="D22" s="10">
        <v>2218.4616601052135</v>
      </c>
      <c r="E22" s="11">
        <v>0</v>
      </c>
    </row>
    <row r="23" spans="1:5" s="335" customFormat="1" x14ac:dyDescent="0.2">
      <c r="A23" s="371" t="s">
        <v>466</v>
      </c>
      <c r="B23" s="8">
        <v>1390.5081775506283</v>
      </c>
      <c r="C23" s="8">
        <v>52.172411229467947</v>
      </c>
      <c r="D23" s="8">
        <v>1338.3357663211591</v>
      </c>
      <c r="E23" s="9">
        <v>0</v>
      </c>
    </row>
    <row r="24" spans="1:5" x14ac:dyDescent="0.2">
      <c r="A24" s="61" t="s">
        <v>466</v>
      </c>
      <c r="B24" s="10">
        <v>1390.5081775506283</v>
      </c>
      <c r="C24" s="10">
        <v>52.172411229467947</v>
      </c>
      <c r="D24" s="10">
        <v>1338.3357663211591</v>
      </c>
      <c r="E24" s="11">
        <v>0</v>
      </c>
    </row>
    <row r="25" spans="1:5" s="335" customFormat="1" ht="15" customHeight="1" x14ac:dyDescent="0.2">
      <c r="A25" s="371" t="s">
        <v>467</v>
      </c>
      <c r="B25" s="8">
        <v>3188.1879992614568</v>
      </c>
      <c r="C25" s="8">
        <v>111.14991957582292</v>
      </c>
      <c r="D25" s="8">
        <v>3075.9038968328391</v>
      </c>
      <c r="E25" s="9">
        <v>1.1341828528145215</v>
      </c>
    </row>
    <row r="26" spans="1:5" x14ac:dyDescent="0.2">
      <c r="A26" s="61" t="s">
        <v>467</v>
      </c>
      <c r="B26" s="10">
        <v>3188.1879992614568</v>
      </c>
      <c r="C26" s="10">
        <v>111.14991957582292</v>
      </c>
      <c r="D26" s="10">
        <v>3075.9038968328391</v>
      </c>
      <c r="E26" s="11">
        <v>1.1341828528145215</v>
      </c>
    </row>
    <row r="27" spans="1:5" s="335" customFormat="1" x14ac:dyDescent="0.2">
      <c r="A27" s="371" t="s">
        <v>468</v>
      </c>
      <c r="B27" s="8">
        <v>1849.8522329405198</v>
      </c>
      <c r="C27" s="8">
        <v>18.146925645032347</v>
      </c>
      <c r="D27" s="8">
        <v>1830.5711244426725</v>
      </c>
      <c r="E27" s="8">
        <v>1.1341828528145215</v>
      </c>
    </row>
    <row r="28" spans="1:5" x14ac:dyDescent="0.2">
      <c r="A28" s="61" t="s">
        <v>468</v>
      </c>
      <c r="B28" s="10">
        <v>1849.8522329405198</v>
      </c>
      <c r="C28" s="10">
        <v>18.146925645032347</v>
      </c>
      <c r="D28" s="10">
        <v>1830.5711244426725</v>
      </c>
      <c r="E28" s="11">
        <v>1.1341828528145215</v>
      </c>
    </row>
    <row r="29" spans="1:5" x14ac:dyDescent="0.2">
      <c r="A29" s="356"/>
      <c r="B29" s="290"/>
      <c r="C29" s="290"/>
      <c r="D29" s="290"/>
      <c r="E29" s="290"/>
    </row>
    <row r="32" spans="1:5" ht="15.75" customHeight="1" x14ac:dyDescent="0.2"/>
  </sheetData>
  <mergeCells count="5">
    <mergeCell ref="A1:E1"/>
    <mergeCell ref="A2:A3"/>
    <mergeCell ref="B2:B3"/>
    <mergeCell ref="C2:D2"/>
    <mergeCell ref="E2:E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zoomScale="130" zoomScaleNormal="130" workbookViewId="0">
      <selection activeCell="A2" sqref="A2:A3"/>
    </sheetView>
  </sheetViews>
  <sheetFormatPr defaultRowHeight="12" x14ac:dyDescent="0.2"/>
  <cols>
    <col min="1" max="1" width="24.5703125" style="322" customWidth="1"/>
    <col min="2" max="5" width="9.140625" style="322"/>
    <col min="6" max="6" width="15.140625" style="322" customWidth="1"/>
    <col min="7" max="16384" width="9.140625" style="322"/>
  </cols>
  <sheetData>
    <row r="1" spans="1:6" ht="30" customHeight="1" x14ac:dyDescent="0.2">
      <c r="A1" s="655" t="s">
        <v>312</v>
      </c>
      <c r="B1" s="655"/>
      <c r="C1" s="655"/>
      <c r="D1" s="655"/>
      <c r="E1" s="655"/>
      <c r="F1" s="655"/>
    </row>
    <row r="2" spans="1:6" ht="15" customHeight="1" x14ac:dyDescent="0.2">
      <c r="A2" s="584" t="s">
        <v>501</v>
      </c>
      <c r="B2" s="653" t="s">
        <v>52</v>
      </c>
      <c r="C2" s="653" t="s">
        <v>313</v>
      </c>
      <c r="D2" s="656" t="s">
        <v>314</v>
      </c>
      <c r="E2" s="656"/>
      <c r="F2" s="656"/>
    </row>
    <row r="3" spans="1:6" ht="102.75" customHeight="1" x14ac:dyDescent="0.2">
      <c r="A3" s="585"/>
      <c r="B3" s="654"/>
      <c r="C3" s="654"/>
      <c r="D3" s="291" t="s">
        <v>315</v>
      </c>
      <c r="E3" s="291" t="s">
        <v>316</v>
      </c>
      <c r="F3" s="291" t="s">
        <v>317</v>
      </c>
    </row>
    <row r="4" spans="1:6" x14ac:dyDescent="0.2">
      <c r="A4" s="228" t="s">
        <v>457</v>
      </c>
      <c r="B4" s="237">
        <v>93784.445916290002</v>
      </c>
      <c r="C4" s="237">
        <v>17440.329727729852</v>
      </c>
      <c r="D4" s="237">
        <v>8704.8533953521546</v>
      </c>
      <c r="E4" s="237">
        <v>48.769862671024391</v>
      </c>
      <c r="F4" s="237">
        <v>8686.7064697071182</v>
      </c>
    </row>
    <row r="5" spans="1:6" x14ac:dyDescent="0.2">
      <c r="A5" s="232" t="s">
        <v>14</v>
      </c>
      <c r="B5" s="8"/>
      <c r="C5" s="8"/>
      <c r="D5" s="8"/>
      <c r="E5" s="8"/>
      <c r="F5" s="8"/>
    </row>
    <row r="6" spans="1:6" x14ac:dyDescent="0.2">
      <c r="A6" s="378" t="s">
        <v>5</v>
      </c>
      <c r="B6" s="10">
        <v>49596.681970736739</v>
      </c>
      <c r="C6" s="10">
        <v>9202.7596677378406</v>
      </c>
      <c r="D6" s="10">
        <v>4697.7853763575577</v>
      </c>
      <c r="E6" s="10">
        <v>35.159668437250168</v>
      </c>
      <c r="F6" s="10">
        <v>4469.814622941788</v>
      </c>
    </row>
    <row r="7" spans="1:6" x14ac:dyDescent="0.2">
      <c r="A7" s="72" t="s">
        <v>6</v>
      </c>
      <c r="B7" s="10">
        <v>44187.763945654406</v>
      </c>
      <c r="C7" s="10">
        <v>8237.5700599924676</v>
      </c>
      <c r="D7" s="10">
        <v>4007.0680189933955</v>
      </c>
      <c r="E7" s="10">
        <v>13.61019423377426</v>
      </c>
      <c r="F7" s="10">
        <v>4216.8918467640933</v>
      </c>
    </row>
    <row r="8" spans="1:6" ht="15" customHeight="1" x14ac:dyDescent="0.2">
      <c r="A8" s="234" t="s">
        <v>542</v>
      </c>
      <c r="B8" s="276"/>
      <c r="C8" s="276"/>
      <c r="D8" s="276"/>
      <c r="E8" s="276"/>
      <c r="F8" s="276"/>
    </row>
    <row r="9" spans="1:6" s="335" customFormat="1" ht="16.5" customHeight="1" x14ac:dyDescent="0.2">
      <c r="A9" s="371" t="s">
        <v>458</v>
      </c>
      <c r="B9" s="8">
        <v>39689.594751383796</v>
      </c>
      <c r="C9" s="8">
        <v>13744.027810408197</v>
      </c>
      <c r="D9" s="8">
        <v>8665.1569955036375</v>
      </c>
      <c r="E9" s="8">
        <v>11.341828528145216</v>
      </c>
      <c r="F9" s="8">
        <v>5067.5289863751741</v>
      </c>
    </row>
    <row r="10" spans="1:6" ht="15" customHeight="1" x14ac:dyDescent="0.2">
      <c r="A10" s="61" t="s">
        <v>458</v>
      </c>
      <c r="B10" s="10">
        <v>39689.594751383796</v>
      </c>
      <c r="C10" s="10">
        <v>13744.027810408197</v>
      </c>
      <c r="D10" s="10">
        <v>8665.1569955036375</v>
      </c>
      <c r="E10" s="10">
        <v>11.341828528145216</v>
      </c>
      <c r="F10" s="10">
        <v>5067.5289863751741</v>
      </c>
    </row>
    <row r="11" spans="1:6" s="335" customFormat="1" x14ac:dyDescent="0.2">
      <c r="A11" s="371" t="s">
        <v>459</v>
      </c>
      <c r="B11" s="8">
        <v>22422.795000137165</v>
      </c>
      <c r="C11" s="8">
        <v>1309.9811950007954</v>
      </c>
      <c r="D11" s="8">
        <v>3.4025485584435646</v>
      </c>
      <c r="E11" s="8">
        <v>19.281108497846869</v>
      </c>
      <c r="F11" s="8">
        <v>1287.2975379445045</v>
      </c>
    </row>
    <row r="12" spans="1:6" x14ac:dyDescent="0.2">
      <c r="A12" s="61" t="s">
        <v>459</v>
      </c>
      <c r="B12" s="10">
        <v>18748.042557023189</v>
      </c>
      <c r="C12" s="10">
        <v>1137.5854013729843</v>
      </c>
      <c r="D12" s="10">
        <v>2.2683657056290429</v>
      </c>
      <c r="E12" s="10">
        <v>17.012742792217825</v>
      </c>
      <c r="F12" s="10">
        <v>1118.304292875137</v>
      </c>
    </row>
    <row r="13" spans="1:6" x14ac:dyDescent="0.2">
      <c r="A13" s="61" t="s">
        <v>473</v>
      </c>
      <c r="B13" s="10">
        <v>3674.7524431187999</v>
      </c>
      <c r="C13" s="10">
        <v>172.39579362780694</v>
      </c>
      <c r="D13" s="10">
        <v>1.1341828528145215</v>
      </c>
      <c r="E13" s="10">
        <v>2.2683657056290429</v>
      </c>
      <c r="F13" s="10">
        <v>168.99324506936338</v>
      </c>
    </row>
    <row r="14" spans="1:6" s="335" customFormat="1" x14ac:dyDescent="0.2">
      <c r="A14" s="371" t="s">
        <v>461</v>
      </c>
      <c r="B14" s="8">
        <v>4164.7194355346137</v>
      </c>
      <c r="C14" s="8">
        <v>178.06670789187953</v>
      </c>
      <c r="D14" s="8">
        <v>10.207645675330694</v>
      </c>
      <c r="E14" s="8">
        <v>3.4025485584435646</v>
      </c>
      <c r="F14" s="8">
        <v>164.45651365810531</v>
      </c>
    </row>
    <row r="15" spans="1:6" x14ac:dyDescent="0.2">
      <c r="A15" s="61" t="s">
        <v>461</v>
      </c>
      <c r="B15" s="10">
        <v>4164.7194355346137</v>
      </c>
      <c r="C15" s="10">
        <v>178.06670789187953</v>
      </c>
      <c r="D15" s="10">
        <v>10.207645675330694</v>
      </c>
      <c r="E15" s="10">
        <v>3.4025485584435646</v>
      </c>
      <c r="F15" s="10">
        <v>164.45651365810531</v>
      </c>
    </row>
    <row r="16" spans="1:6" s="335" customFormat="1" x14ac:dyDescent="0.2">
      <c r="A16" s="371" t="s">
        <v>462</v>
      </c>
      <c r="B16" s="8">
        <v>12694.908671554531</v>
      </c>
      <c r="C16" s="8">
        <v>1674.053890754265</v>
      </c>
      <c r="D16" s="8">
        <v>12.476011380959738</v>
      </c>
      <c r="E16" s="8">
        <v>10.207645675330694</v>
      </c>
      <c r="F16" s="8">
        <v>1651.3702336979741</v>
      </c>
    </row>
    <row r="17" spans="1:6" x14ac:dyDescent="0.2">
      <c r="A17" s="61" t="s">
        <v>462</v>
      </c>
      <c r="B17" s="10">
        <v>12694.908671554531</v>
      </c>
      <c r="C17" s="10">
        <v>1674.053890754265</v>
      </c>
      <c r="D17" s="10">
        <v>12.476011380959738</v>
      </c>
      <c r="E17" s="10">
        <v>10.207645675330694</v>
      </c>
      <c r="F17" s="10">
        <v>1651.3702336979741</v>
      </c>
    </row>
    <row r="18" spans="1:6" s="335" customFormat="1" x14ac:dyDescent="0.2">
      <c r="A18" s="371" t="s">
        <v>463</v>
      </c>
      <c r="B18" s="8">
        <v>5439.5409620984201</v>
      </c>
      <c r="C18" s="8">
        <v>243.84931335512161</v>
      </c>
      <c r="D18" s="8">
        <v>5.6709142640726071</v>
      </c>
      <c r="E18" s="9">
        <v>2.2683657056290429</v>
      </c>
      <c r="F18" s="8">
        <v>235.91003338541998</v>
      </c>
    </row>
    <row r="19" spans="1:6" x14ac:dyDescent="0.2">
      <c r="A19" s="61" t="s">
        <v>463</v>
      </c>
      <c r="B19" s="10">
        <v>5439.5409620984201</v>
      </c>
      <c r="C19" s="10">
        <v>243.84931335512161</v>
      </c>
      <c r="D19" s="10">
        <v>5.6709142640726071</v>
      </c>
      <c r="E19" s="10">
        <v>2.2683657056290429</v>
      </c>
      <c r="F19" s="10">
        <v>235.91003338541998</v>
      </c>
    </row>
    <row r="20" spans="1:6" s="335" customFormat="1" x14ac:dyDescent="0.2">
      <c r="A20" s="371" t="s">
        <v>464</v>
      </c>
      <c r="B20" s="8">
        <v>2944.338685906378</v>
      </c>
      <c r="C20" s="8">
        <v>108.88155387019388</v>
      </c>
      <c r="D20" s="8">
        <v>6.8050971168871284</v>
      </c>
      <c r="E20" s="8">
        <v>1.1341828528145215</v>
      </c>
      <c r="F20" s="8">
        <v>100.94227390049225</v>
      </c>
    </row>
    <row r="21" spans="1:6" x14ac:dyDescent="0.2">
      <c r="A21" s="61" t="s">
        <v>464</v>
      </c>
      <c r="B21" s="10">
        <v>640.81331184021269</v>
      </c>
      <c r="C21" s="10">
        <v>23.817839909104958</v>
      </c>
      <c r="D21" s="11">
        <v>0</v>
      </c>
      <c r="E21" s="10">
        <v>1.1341828528145215</v>
      </c>
      <c r="F21" s="10">
        <v>22.683657056290436</v>
      </c>
    </row>
    <row r="22" spans="1:6" x14ac:dyDescent="0.2">
      <c r="A22" s="61" t="s">
        <v>465</v>
      </c>
      <c r="B22" s="10">
        <v>2303.5253740662874</v>
      </c>
      <c r="C22" s="10">
        <v>85.063713961088993</v>
      </c>
      <c r="D22" s="10">
        <v>6.8050971168871284</v>
      </c>
      <c r="E22" s="11">
        <v>0</v>
      </c>
      <c r="F22" s="10">
        <v>78.258616844201882</v>
      </c>
    </row>
    <row r="23" spans="1:6" s="335" customFormat="1" x14ac:dyDescent="0.2">
      <c r="A23" s="371" t="s">
        <v>466</v>
      </c>
      <c r="B23" s="8">
        <v>1390.5081775506283</v>
      </c>
      <c r="C23" s="8">
        <v>52.172411229467947</v>
      </c>
      <c r="D23" s="9">
        <v>0</v>
      </c>
      <c r="E23" s="9">
        <v>0</v>
      </c>
      <c r="F23" s="8">
        <v>52.172411229467947</v>
      </c>
    </row>
    <row r="24" spans="1:6" x14ac:dyDescent="0.2">
      <c r="A24" s="61" t="s">
        <v>466</v>
      </c>
      <c r="B24" s="10">
        <v>1390.5081775506283</v>
      </c>
      <c r="C24" s="10">
        <v>52.172411229467947</v>
      </c>
      <c r="D24" s="11">
        <v>0</v>
      </c>
      <c r="E24" s="11">
        <v>0</v>
      </c>
      <c r="F24" s="10">
        <v>52.172411229467947</v>
      </c>
    </row>
    <row r="25" spans="1:6" s="335" customFormat="1" x14ac:dyDescent="0.2">
      <c r="A25" s="371" t="s">
        <v>467</v>
      </c>
      <c r="B25" s="8">
        <v>3188.1879992614568</v>
      </c>
      <c r="C25" s="8">
        <v>111.14991957582292</v>
      </c>
      <c r="D25" s="8">
        <v>1.1341828528145215</v>
      </c>
      <c r="E25" s="8">
        <v>1.1341828528145215</v>
      </c>
      <c r="F25" s="8">
        <v>108.88155387019388</v>
      </c>
    </row>
    <row r="26" spans="1:6" x14ac:dyDescent="0.2">
      <c r="A26" s="61" t="s">
        <v>467</v>
      </c>
      <c r="B26" s="10">
        <v>3188.1879992614568</v>
      </c>
      <c r="C26" s="10">
        <v>111.14991957582292</v>
      </c>
      <c r="D26" s="10">
        <v>1.1341828528145215</v>
      </c>
      <c r="E26" s="10">
        <v>1.1341828528145215</v>
      </c>
      <c r="F26" s="10">
        <v>108.88155387019388</v>
      </c>
    </row>
    <row r="27" spans="1:6" s="335" customFormat="1" x14ac:dyDescent="0.2">
      <c r="A27" s="371" t="s">
        <v>468</v>
      </c>
      <c r="B27" s="8">
        <v>1849.8522329405198</v>
      </c>
      <c r="C27" s="8">
        <v>18.146925645032347</v>
      </c>
      <c r="D27" s="9">
        <v>0</v>
      </c>
      <c r="E27" s="9">
        <v>0</v>
      </c>
      <c r="F27" s="8">
        <v>18.146925645032347</v>
      </c>
    </row>
    <row r="28" spans="1:6" x14ac:dyDescent="0.2">
      <c r="A28" s="61" t="s">
        <v>468</v>
      </c>
      <c r="B28" s="10">
        <v>1849.8522329405198</v>
      </c>
      <c r="C28" s="10">
        <v>18.146925645032347</v>
      </c>
      <c r="D28" s="11">
        <v>0</v>
      </c>
      <c r="E28" s="11">
        <v>0</v>
      </c>
      <c r="F28" s="10">
        <v>18.146925645032347</v>
      </c>
    </row>
    <row r="29" spans="1:6" x14ac:dyDescent="0.2">
      <c r="A29" s="356"/>
      <c r="B29" s="290"/>
      <c r="C29" s="290"/>
      <c r="D29" s="292"/>
      <c r="E29" s="292"/>
      <c r="F29" s="290"/>
    </row>
    <row r="32" spans="1:6" ht="18" customHeight="1" x14ac:dyDescent="0.2"/>
  </sheetData>
  <mergeCells count="5">
    <mergeCell ref="A2:A3"/>
    <mergeCell ref="B2:B3"/>
    <mergeCell ref="C2:C3"/>
    <mergeCell ref="A1:F1"/>
    <mergeCell ref="D2:F2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C19" sqref="C19"/>
    </sheetView>
  </sheetViews>
  <sheetFormatPr defaultRowHeight="12" x14ac:dyDescent="0.2"/>
  <cols>
    <col min="1" max="1" width="26.140625" style="322" customWidth="1"/>
    <col min="2" max="2" width="14.140625" style="322" customWidth="1"/>
    <col min="3" max="3" width="12.140625" style="322" customWidth="1"/>
    <col min="4" max="4" width="11.85546875" style="322" customWidth="1"/>
    <col min="5" max="16384" width="9.140625" style="322"/>
  </cols>
  <sheetData>
    <row r="1" spans="1:7" ht="38.25" customHeight="1" x14ac:dyDescent="0.2">
      <c r="A1" s="657" t="s">
        <v>310</v>
      </c>
      <c r="B1" s="657"/>
      <c r="C1" s="657"/>
      <c r="D1" s="657"/>
    </row>
    <row r="2" spans="1:7" ht="15" customHeight="1" x14ac:dyDescent="0.2">
      <c r="A2" s="584" t="s">
        <v>501</v>
      </c>
      <c r="B2" s="658" t="s">
        <v>1</v>
      </c>
      <c r="C2" s="658" t="s">
        <v>311</v>
      </c>
      <c r="D2" s="658"/>
    </row>
    <row r="3" spans="1:7" ht="30.75" customHeight="1" x14ac:dyDescent="0.2">
      <c r="A3" s="585"/>
      <c r="B3" s="659"/>
      <c r="C3" s="81" t="s">
        <v>2</v>
      </c>
      <c r="D3" s="81" t="s">
        <v>3</v>
      </c>
    </row>
    <row r="4" spans="1:7" x14ac:dyDescent="0.2">
      <c r="A4" s="228" t="s">
        <v>457</v>
      </c>
      <c r="B4" s="237">
        <v>93784.445916290002</v>
      </c>
      <c r="C4" s="237">
        <v>56398.37653907785</v>
      </c>
      <c r="D4" s="237">
        <v>37386.069377313295</v>
      </c>
    </row>
    <row r="5" spans="1:7" x14ac:dyDescent="0.2">
      <c r="A5" s="232" t="s">
        <v>14</v>
      </c>
      <c r="B5" s="8"/>
      <c r="C5" s="8"/>
      <c r="D5" s="8"/>
    </row>
    <row r="6" spans="1:7" x14ac:dyDescent="0.2">
      <c r="A6" s="378" t="s">
        <v>5</v>
      </c>
      <c r="B6" s="10">
        <v>49596.681970736739</v>
      </c>
      <c r="C6" s="10">
        <v>29098.59527179422</v>
      </c>
      <c r="D6" s="10">
        <v>20498.086698913579</v>
      </c>
      <c r="G6" s="335"/>
    </row>
    <row r="7" spans="1:7" x14ac:dyDescent="0.2">
      <c r="A7" s="72" t="s">
        <v>6</v>
      </c>
      <c r="B7" s="10">
        <v>44187.763945654406</v>
      </c>
      <c r="C7" s="10">
        <v>27299.781267232873</v>
      </c>
      <c r="D7" s="10">
        <v>16887.982678409942</v>
      </c>
    </row>
    <row r="8" spans="1:7" ht="15.75" customHeight="1" x14ac:dyDescent="0.2">
      <c r="A8" s="234" t="s">
        <v>542</v>
      </c>
      <c r="B8" s="276"/>
      <c r="C8" s="276"/>
      <c r="D8" s="276"/>
    </row>
    <row r="9" spans="1:7" s="335" customFormat="1" x14ac:dyDescent="0.2">
      <c r="A9" s="371" t="s">
        <v>458</v>
      </c>
      <c r="B9" s="8">
        <v>39689.594751383796</v>
      </c>
      <c r="C9" s="8">
        <v>22909.359443993922</v>
      </c>
      <c r="D9" s="8">
        <v>16780.235307392712</v>
      </c>
    </row>
    <row r="10" spans="1:7" x14ac:dyDescent="0.2">
      <c r="A10" s="61" t="s">
        <v>458</v>
      </c>
      <c r="B10" s="10">
        <v>39689.594751383796</v>
      </c>
      <c r="C10" s="10">
        <v>22909.359443993922</v>
      </c>
      <c r="D10" s="10">
        <v>16780.235307392712</v>
      </c>
    </row>
    <row r="11" spans="1:7" s="335" customFormat="1" ht="16.5" customHeight="1" x14ac:dyDescent="0.2">
      <c r="A11" s="371" t="s">
        <v>459</v>
      </c>
      <c r="B11" s="8">
        <v>22422.795000137165</v>
      </c>
      <c r="C11" s="8">
        <v>13550.082542576871</v>
      </c>
      <c r="D11" s="8">
        <v>8872.7124575687412</v>
      </c>
    </row>
    <row r="12" spans="1:7" x14ac:dyDescent="0.2">
      <c r="A12" s="61" t="s">
        <v>459</v>
      </c>
      <c r="B12" s="10">
        <v>18748.042557023189</v>
      </c>
      <c r="C12" s="10">
        <v>11074.161374882218</v>
      </c>
      <c r="D12" s="10">
        <v>7673.8811821435256</v>
      </c>
    </row>
    <row r="13" spans="1:7" x14ac:dyDescent="0.2">
      <c r="A13" s="61" t="s">
        <v>473</v>
      </c>
      <c r="B13" s="10">
        <v>3674.7524431187999</v>
      </c>
      <c r="C13" s="10">
        <v>2475.921167694064</v>
      </c>
      <c r="D13" s="10">
        <v>1198.8312754249698</v>
      </c>
    </row>
    <row r="14" spans="1:7" s="335" customFormat="1" x14ac:dyDescent="0.2">
      <c r="A14" s="371" t="s">
        <v>461</v>
      </c>
      <c r="B14" s="8">
        <v>4164.7194355346137</v>
      </c>
      <c r="C14" s="8">
        <v>2660.7929727027981</v>
      </c>
      <c r="D14" s="8">
        <v>1503.926462832083</v>
      </c>
    </row>
    <row r="15" spans="1:7" x14ac:dyDescent="0.2">
      <c r="A15" s="61" t="s">
        <v>461</v>
      </c>
      <c r="B15" s="10">
        <v>4164.7194355346137</v>
      </c>
      <c r="C15" s="10">
        <v>2660.7929727027981</v>
      </c>
      <c r="D15" s="10">
        <v>1503.926462832083</v>
      </c>
    </row>
    <row r="16" spans="1:7" s="335" customFormat="1" x14ac:dyDescent="0.2">
      <c r="A16" s="371" t="s">
        <v>462</v>
      </c>
      <c r="B16" s="8">
        <v>12694.908671554531</v>
      </c>
      <c r="C16" s="8">
        <v>7052.3489788010293</v>
      </c>
      <c r="D16" s="8">
        <v>5642.5596927522647</v>
      </c>
    </row>
    <row r="17" spans="1:4" x14ac:dyDescent="0.2">
      <c r="A17" s="61" t="s">
        <v>462</v>
      </c>
      <c r="B17" s="10">
        <v>12694.908671554531</v>
      </c>
      <c r="C17" s="10">
        <v>7052.3489788010293</v>
      </c>
      <c r="D17" s="10">
        <v>5642.5596927522647</v>
      </c>
    </row>
    <row r="18" spans="1:4" s="335" customFormat="1" x14ac:dyDescent="0.2">
      <c r="A18" s="371" t="s">
        <v>463</v>
      </c>
      <c r="B18" s="8">
        <v>5439.5409620984201</v>
      </c>
      <c r="C18" s="8">
        <v>3687.2284544997574</v>
      </c>
      <c r="D18" s="8">
        <v>1752.3125075984688</v>
      </c>
    </row>
    <row r="19" spans="1:4" x14ac:dyDescent="0.2">
      <c r="A19" s="61" t="s">
        <v>463</v>
      </c>
      <c r="B19" s="10">
        <v>5439.5409620984201</v>
      </c>
      <c r="C19" s="10">
        <v>3687.2284544997574</v>
      </c>
      <c r="D19" s="10">
        <v>1752.3125075984688</v>
      </c>
    </row>
    <row r="20" spans="1:4" s="335" customFormat="1" x14ac:dyDescent="0.2">
      <c r="A20" s="371" t="s">
        <v>464</v>
      </c>
      <c r="B20" s="8">
        <v>2944.338685906378</v>
      </c>
      <c r="C20" s="8">
        <v>2107.3117405294101</v>
      </c>
      <c r="D20" s="8">
        <v>837.02694537712932</v>
      </c>
    </row>
    <row r="21" spans="1:4" ht="16.5" customHeight="1" x14ac:dyDescent="0.2">
      <c r="A21" s="61" t="s">
        <v>464</v>
      </c>
      <c r="B21" s="10">
        <v>640.81331184021269</v>
      </c>
      <c r="C21" s="10">
        <v>477.49098103491798</v>
      </c>
      <c r="D21" s="10">
        <v>163.32233080529079</v>
      </c>
    </row>
    <row r="22" spans="1:4" x14ac:dyDescent="0.2">
      <c r="A22" s="61" t="s">
        <v>465</v>
      </c>
      <c r="B22" s="10">
        <v>2303.5253740662874</v>
      </c>
      <c r="C22" s="10">
        <v>1629.8207594944977</v>
      </c>
      <c r="D22" s="10">
        <v>673.70461457183455</v>
      </c>
    </row>
    <row r="23" spans="1:4" s="335" customFormat="1" x14ac:dyDescent="0.2">
      <c r="A23" s="371" t="s">
        <v>466</v>
      </c>
      <c r="B23" s="8">
        <v>1390.5081775506283</v>
      </c>
      <c r="C23" s="8">
        <v>1084.2788072907006</v>
      </c>
      <c r="D23" s="8">
        <v>306.22937025992138</v>
      </c>
    </row>
    <row r="24" spans="1:4" ht="18.75" customHeight="1" x14ac:dyDescent="0.2">
      <c r="A24" s="61" t="s">
        <v>466</v>
      </c>
      <c r="B24" s="10">
        <v>1390.5081775506283</v>
      </c>
      <c r="C24" s="10">
        <v>1084.2788072907006</v>
      </c>
      <c r="D24" s="10">
        <v>306.22937025992138</v>
      </c>
    </row>
    <row r="25" spans="1:4" s="335" customFormat="1" ht="17.25" customHeight="1" x14ac:dyDescent="0.2">
      <c r="A25" s="371" t="s">
        <v>467</v>
      </c>
      <c r="B25" s="8">
        <v>3188.1879992614568</v>
      </c>
      <c r="C25" s="8">
        <v>2007.5036494817418</v>
      </c>
      <c r="D25" s="8">
        <v>1180.6843497799371</v>
      </c>
    </row>
    <row r="26" spans="1:4" x14ac:dyDescent="0.2">
      <c r="A26" s="61" t="s">
        <v>467</v>
      </c>
      <c r="B26" s="10">
        <v>3188.1879992614568</v>
      </c>
      <c r="C26" s="10">
        <v>2007.5036494817418</v>
      </c>
      <c r="D26" s="10">
        <v>1180.6843497799371</v>
      </c>
    </row>
    <row r="27" spans="1:4" s="335" customFormat="1" x14ac:dyDescent="0.2">
      <c r="A27" s="371" t="s">
        <v>468</v>
      </c>
      <c r="B27" s="8">
        <v>1849.8522329405198</v>
      </c>
      <c r="C27" s="8">
        <v>1339.4699491739736</v>
      </c>
      <c r="D27" s="8">
        <v>510.38228376653984</v>
      </c>
    </row>
    <row r="28" spans="1:4" x14ac:dyDescent="0.2">
      <c r="A28" s="61" t="s">
        <v>468</v>
      </c>
      <c r="B28" s="10">
        <v>1849.8522329405198</v>
      </c>
      <c r="C28" s="10">
        <v>1339.4699491739736</v>
      </c>
      <c r="D28" s="10">
        <v>510.38228376653984</v>
      </c>
    </row>
    <row r="32" spans="1:4" ht="15" customHeight="1" x14ac:dyDescent="0.2"/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zoomScale="120" zoomScaleNormal="120" workbookViewId="0">
      <selection activeCell="A2" sqref="A2:A3"/>
    </sheetView>
  </sheetViews>
  <sheetFormatPr defaultRowHeight="12" x14ac:dyDescent="0.2"/>
  <cols>
    <col min="1" max="1" width="21" style="322" customWidth="1"/>
    <col min="2" max="16384" width="9.140625" style="322"/>
  </cols>
  <sheetData>
    <row r="1" spans="1:10" ht="17.25" customHeight="1" x14ac:dyDescent="0.2">
      <c r="A1" s="663" t="s">
        <v>555</v>
      </c>
      <c r="B1" s="663"/>
      <c r="C1" s="663"/>
      <c r="D1" s="663"/>
      <c r="E1" s="663"/>
      <c r="F1" s="663"/>
      <c r="G1" s="663"/>
      <c r="H1" s="663"/>
      <c r="I1" s="663"/>
      <c r="J1" s="663"/>
    </row>
    <row r="2" spans="1:10" ht="15" customHeight="1" x14ac:dyDescent="0.2">
      <c r="A2" s="636" t="s">
        <v>552</v>
      </c>
      <c r="B2" s="660" t="s">
        <v>52</v>
      </c>
      <c r="C2" s="662" t="s">
        <v>301</v>
      </c>
      <c r="D2" s="662"/>
      <c r="E2" s="662"/>
      <c r="F2" s="662"/>
      <c r="G2" s="662"/>
      <c r="H2" s="662"/>
      <c r="I2" s="662"/>
      <c r="J2" s="662"/>
    </row>
    <row r="3" spans="1:10" ht="66" customHeight="1" x14ac:dyDescent="0.2">
      <c r="A3" s="637"/>
      <c r="B3" s="661"/>
      <c r="C3" s="77" t="s">
        <v>302</v>
      </c>
      <c r="D3" s="77" t="s">
        <v>303</v>
      </c>
      <c r="E3" s="77" t="s">
        <v>304</v>
      </c>
      <c r="F3" s="78" t="s">
        <v>305</v>
      </c>
      <c r="G3" s="77" t="s">
        <v>306</v>
      </c>
      <c r="H3" s="78" t="s">
        <v>307</v>
      </c>
      <c r="I3" s="78" t="s">
        <v>308</v>
      </c>
      <c r="J3" s="77" t="s">
        <v>309</v>
      </c>
    </row>
    <row r="4" spans="1:10" x14ac:dyDescent="0.2">
      <c r="A4" s="228" t="s">
        <v>457</v>
      </c>
      <c r="B4" s="293">
        <v>93784.445916290002</v>
      </c>
      <c r="C4" s="294">
        <v>29.797191887692566</v>
      </c>
      <c r="D4" s="294">
        <v>5.0502485215737574</v>
      </c>
      <c r="E4" s="294">
        <v>1.7003470836524597</v>
      </c>
      <c r="F4" s="294">
        <v>32.064724449461238</v>
      </c>
      <c r="G4" s="294">
        <v>8.2526091741411971</v>
      </c>
      <c r="H4" s="294">
        <v>14.167543445933493</v>
      </c>
      <c r="I4" s="294">
        <v>4.4032458972820985</v>
      </c>
      <c r="J4" s="294">
        <v>4.564089540330305</v>
      </c>
    </row>
    <row r="5" spans="1:10" x14ac:dyDescent="0.2">
      <c r="A5" s="232" t="s">
        <v>14</v>
      </c>
      <c r="B5" s="79"/>
      <c r="C5" s="295"/>
      <c r="D5" s="295"/>
      <c r="E5" s="295"/>
      <c r="F5" s="295"/>
      <c r="G5" s="295"/>
      <c r="H5" s="295"/>
      <c r="I5" s="295"/>
      <c r="J5" s="295"/>
    </row>
    <row r="6" spans="1:10" x14ac:dyDescent="0.2">
      <c r="A6" s="378" t="s">
        <v>5</v>
      </c>
      <c r="B6" s="80">
        <v>49596.681970736739</v>
      </c>
      <c r="C6" s="101">
        <v>29.364952319955723</v>
      </c>
      <c r="D6" s="101">
        <v>4.9326533879109942</v>
      </c>
      <c r="E6" s="101">
        <v>1.7242562144111544</v>
      </c>
      <c r="F6" s="101">
        <v>29.957236616417614</v>
      </c>
      <c r="G6" s="101">
        <v>9.3393400260679371</v>
      </c>
      <c r="H6" s="101">
        <v>14.345171396551494</v>
      </c>
      <c r="I6" s="101">
        <v>5.4060234626896593</v>
      </c>
      <c r="J6" s="101">
        <v>4.9303665759555413</v>
      </c>
    </row>
    <row r="7" spans="1:10" x14ac:dyDescent="0.2">
      <c r="A7" s="72" t="s">
        <v>6</v>
      </c>
      <c r="B7" s="80">
        <v>44187.763945654406</v>
      </c>
      <c r="C7" s="101">
        <v>30.282340862413999</v>
      </c>
      <c r="D7" s="101">
        <v>5.1822381930185388</v>
      </c>
      <c r="E7" s="101">
        <v>1.6735112936344998</v>
      </c>
      <c r="F7" s="101">
        <v>34.430184804917069</v>
      </c>
      <c r="G7" s="101">
        <v>7.0328542094456727</v>
      </c>
      <c r="H7" s="101">
        <v>13.968172484598707</v>
      </c>
      <c r="I7" s="101">
        <v>3.2777207392197409</v>
      </c>
      <c r="J7" s="101">
        <v>4.1529774127310484</v>
      </c>
    </row>
    <row r="8" spans="1:10" ht="12.75" customHeight="1" x14ac:dyDescent="0.2">
      <c r="A8" s="234" t="s">
        <v>542</v>
      </c>
      <c r="B8" s="296"/>
      <c r="C8" s="297"/>
      <c r="D8" s="297"/>
      <c r="E8" s="297"/>
      <c r="F8" s="297"/>
      <c r="G8" s="297"/>
      <c r="H8" s="297"/>
      <c r="I8" s="297"/>
      <c r="J8" s="297"/>
    </row>
    <row r="9" spans="1:10" x14ac:dyDescent="0.2">
      <c r="A9" s="116" t="s">
        <v>458</v>
      </c>
      <c r="B9" s="80">
        <v>39689.594751383796</v>
      </c>
      <c r="C9" s="101">
        <v>34.951706006740558</v>
      </c>
      <c r="D9" s="101">
        <v>3.9978281991207072</v>
      </c>
      <c r="E9" s="101">
        <v>1.668857518432074</v>
      </c>
      <c r="F9" s="101">
        <v>30.208035663254488</v>
      </c>
      <c r="G9" s="101">
        <v>7.7556152483299741</v>
      </c>
      <c r="H9" s="101">
        <v>13.11081899754531</v>
      </c>
      <c r="I9" s="101">
        <v>4.1978624907135957</v>
      </c>
      <c r="J9" s="101">
        <v>4.1092758758653165</v>
      </c>
    </row>
    <row r="10" spans="1:10" ht="12.75" customHeight="1" x14ac:dyDescent="0.2">
      <c r="A10" s="116" t="s">
        <v>459</v>
      </c>
      <c r="B10" s="80">
        <v>22422.795000137165</v>
      </c>
      <c r="C10" s="101">
        <v>24.572584724336377</v>
      </c>
      <c r="D10" s="101">
        <v>5.4425897825002929</v>
      </c>
      <c r="E10" s="101">
        <v>1.5477996965102732</v>
      </c>
      <c r="F10" s="101">
        <v>32.802225594339639</v>
      </c>
      <c r="G10" s="101">
        <v>8.1234193222077096</v>
      </c>
      <c r="H10" s="101">
        <v>17.298937784527055</v>
      </c>
      <c r="I10" s="101">
        <v>5.4071825999003842</v>
      </c>
      <c r="J10" s="101">
        <v>4.8052604957019263</v>
      </c>
    </row>
    <row r="11" spans="1:10" ht="12.75" customHeight="1" x14ac:dyDescent="0.2">
      <c r="A11" s="116" t="s">
        <v>461</v>
      </c>
      <c r="B11" s="80">
        <v>4164.7194355346137</v>
      </c>
      <c r="C11" s="101">
        <v>18.355119825709732</v>
      </c>
      <c r="D11" s="101">
        <v>5.9640522875821347</v>
      </c>
      <c r="E11" s="101">
        <v>1.0893246187364638</v>
      </c>
      <c r="F11" s="101">
        <v>32.761437908499914</v>
      </c>
      <c r="G11" s="101">
        <v>15.196078431373891</v>
      </c>
      <c r="H11" s="101">
        <v>15.250544662310716</v>
      </c>
      <c r="I11" s="101">
        <v>6.5904139433556006</v>
      </c>
      <c r="J11" s="101">
        <v>4.7930283224404375</v>
      </c>
    </row>
    <row r="12" spans="1:10" x14ac:dyDescent="0.2">
      <c r="A12" s="116" t="s">
        <v>462</v>
      </c>
      <c r="B12" s="80">
        <v>12694.908671554531</v>
      </c>
      <c r="C12" s="101">
        <v>40.444920932721892</v>
      </c>
      <c r="D12" s="101">
        <v>7.1830608415966628</v>
      </c>
      <c r="E12" s="101">
        <v>1.6528187259892484</v>
      </c>
      <c r="F12" s="101">
        <v>26.29321897614323</v>
      </c>
      <c r="G12" s="101">
        <v>4.9048512463141138</v>
      </c>
      <c r="H12" s="101">
        <v>11.364245510585814</v>
      </c>
      <c r="I12" s="101">
        <v>2.8946663093000988</v>
      </c>
      <c r="J12" s="101">
        <v>5.262217457338827</v>
      </c>
    </row>
    <row r="13" spans="1:10" x14ac:dyDescent="0.2">
      <c r="A13" s="116" t="s">
        <v>463</v>
      </c>
      <c r="B13" s="80">
        <v>5439.5409620984201</v>
      </c>
      <c r="C13" s="101">
        <v>17.139282735613421</v>
      </c>
      <c r="D13" s="101">
        <v>3.7531276063386283</v>
      </c>
      <c r="E13" s="101">
        <v>2.6271893244370399</v>
      </c>
      <c r="F13" s="101">
        <v>33.006672226856679</v>
      </c>
      <c r="G13" s="101">
        <v>18.39032527105967</v>
      </c>
      <c r="H13" s="101">
        <v>11.989157631359696</v>
      </c>
      <c r="I13" s="101">
        <v>6.5679733110926168</v>
      </c>
      <c r="J13" s="101">
        <v>6.5262718932444077</v>
      </c>
    </row>
    <row r="14" spans="1:10" x14ac:dyDescent="0.2">
      <c r="A14" s="116" t="s">
        <v>464</v>
      </c>
      <c r="B14" s="80">
        <v>2944.338685906378</v>
      </c>
      <c r="C14" s="101">
        <v>18.682588597843811</v>
      </c>
      <c r="D14" s="101">
        <v>4.2758089368260555</v>
      </c>
      <c r="E14" s="101">
        <v>1.3867488443760188</v>
      </c>
      <c r="F14" s="101">
        <v>45.955315870573024</v>
      </c>
      <c r="G14" s="101">
        <v>6.3174114021574148</v>
      </c>
      <c r="H14" s="101">
        <v>15.446841294299668</v>
      </c>
      <c r="I14" s="101">
        <v>3.3898305084747107</v>
      </c>
      <c r="J14" s="101">
        <v>4.5454545454547253</v>
      </c>
    </row>
    <row r="15" spans="1:10" x14ac:dyDescent="0.2">
      <c r="A15" s="116" t="s">
        <v>466</v>
      </c>
      <c r="B15" s="80">
        <v>1390.5081775506283</v>
      </c>
      <c r="C15" s="101">
        <v>13.866231647634319</v>
      </c>
      <c r="D15" s="101">
        <v>2.3654159869493858</v>
      </c>
      <c r="E15" s="101">
        <v>0.97879282218595332</v>
      </c>
      <c r="F15" s="101">
        <v>54.159869494290305</v>
      </c>
      <c r="G15" s="101">
        <v>11.582381729200431</v>
      </c>
      <c r="H15" s="101">
        <v>12.642740619901879</v>
      </c>
      <c r="I15" s="101">
        <v>2.2838499184338898</v>
      </c>
      <c r="J15" s="101">
        <v>2.1207177814028979</v>
      </c>
    </row>
    <row r="16" spans="1:10" ht="15" customHeight="1" x14ac:dyDescent="0.2">
      <c r="A16" s="116" t="s">
        <v>467</v>
      </c>
      <c r="B16" s="80">
        <v>3188.1879992614568</v>
      </c>
      <c r="C16" s="101">
        <v>18.818925649236359</v>
      </c>
      <c r="D16" s="101">
        <v>7.8619708288869097</v>
      </c>
      <c r="E16" s="101">
        <v>2.952685876912279</v>
      </c>
      <c r="F16" s="101">
        <v>40.9107079331229</v>
      </c>
      <c r="G16" s="101">
        <v>4.9804340092496266</v>
      </c>
      <c r="H16" s="101">
        <v>17.289220917823926</v>
      </c>
      <c r="I16" s="101">
        <v>2.6680896478123004</v>
      </c>
      <c r="J16" s="101">
        <v>4.517965136962161</v>
      </c>
    </row>
    <row r="17" spans="1:10" x14ac:dyDescent="0.2">
      <c r="A17" s="116" t="s">
        <v>468</v>
      </c>
      <c r="B17" s="80">
        <v>1849.8522329405198</v>
      </c>
      <c r="C17" s="101">
        <v>21.030042918454615</v>
      </c>
      <c r="D17" s="101">
        <v>8.3997547516859115</v>
      </c>
      <c r="E17" s="101">
        <v>2.0846106683016146</v>
      </c>
      <c r="F17" s="101">
        <v>44.267320662170391</v>
      </c>
      <c r="G17" s="101">
        <v>4.2305334150826868</v>
      </c>
      <c r="H17" s="101">
        <v>15.818516247700474</v>
      </c>
      <c r="I17" s="101">
        <v>1.900674432863237</v>
      </c>
      <c r="J17" s="101">
        <v>2.2685469037399923</v>
      </c>
    </row>
    <row r="19" spans="1:10" ht="17.25" customHeight="1" x14ac:dyDescent="0.2"/>
  </sheetData>
  <mergeCells count="4">
    <mergeCell ref="A2:A3"/>
    <mergeCell ref="B2:B3"/>
    <mergeCell ref="C2:J2"/>
    <mergeCell ref="A1:J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zoomScale="120" zoomScaleNormal="120" workbookViewId="0">
      <selection activeCell="C20" sqref="C20"/>
    </sheetView>
  </sheetViews>
  <sheetFormatPr defaultRowHeight="12" x14ac:dyDescent="0.2"/>
  <cols>
    <col min="1" max="1" width="16.140625" style="322" customWidth="1"/>
    <col min="2" max="3" width="11.140625" style="322" bestFit="1" customWidth="1"/>
    <col min="4" max="4" width="10" style="322" bestFit="1" customWidth="1"/>
    <col min="5" max="5" width="11.28515625" style="322" bestFit="1" customWidth="1"/>
    <col min="6" max="6" width="10" style="322" bestFit="1" customWidth="1"/>
    <col min="7" max="16384" width="9.140625" style="322"/>
  </cols>
  <sheetData>
    <row r="1" spans="1:6" ht="18.75" customHeight="1" x14ac:dyDescent="0.2">
      <c r="A1" s="669" t="s">
        <v>554</v>
      </c>
      <c r="B1" s="669"/>
      <c r="C1" s="669"/>
      <c r="D1" s="669"/>
      <c r="E1" s="669"/>
      <c r="F1" s="669"/>
    </row>
    <row r="2" spans="1:6" x14ac:dyDescent="0.2">
      <c r="A2" s="664" t="s">
        <v>215</v>
      </c>
      <c r="B2" s="666" t="s">
        <v>52</v>
      </c>
      <c r="C2" s="668" t="s">
        <v>2</v>
      </c>
      <c r="D2" s="668"/>
      <c r="E2" s="666" t="s">
        <v>3</v>
      </c>
      <c r="F2" s="666"/>
    </row>
    <row r="3" spans="1:6" ht="29.25" customHeight="1" x14ac:dyDescent="0.2">
      <c r="A3" s="665"/>
      <c r="B3" s="667"/>
      <c r="C3" s="75" t="s">
        <v>296</v>
      </c>
      <c r="D3" s="75" t="s">
        <v>185</v>
      </c>
      <c r="E3" s="75" t="s">
        <v>296</v>
      </c>
      <c r="F3" s="75" t="s">
        <v>185</v>
      </c>
    </row>
    <row r="4" spans="1:6" x14ac:dyDescent="0.2">
      <c r="A4" s="298" t="s">
        <v>531</v>
      </c>
      <c r="B4" s="202">
        <v>93784.445916290002</v>
      </c>
      <c r="C4" s="202">
        <v>56398.37653907785</v>
      </c>
      <c r="D4" s="230">
        <v>100</v>
      </c>
      <c r="E4" s="202">
        <v>37386.069377313295</v>
      </c>
      <c r="F4" s="230">
        <v>100</v>
      </c>
    </row>
    <row r="5" spans="1:6" ht="15.75" customHeight="1" x14ac:dyDescent="0.2">
      <c r="A5" s="135" t="s">
        <v>215</v>
      </c>
      <c r="B5" s="67"/>
      <c r="C5" s="67"/>
      <c r="D5" s="67"/>
      <c r="E5" s="67"/>
      <c r="F5" s="67"/>
    </row>
    <row r="6" spans="1:6" x14ac:dyDescent="0.2">
      <c r="A6" s="298" t="s">
        <v>297</v>
      </c>
      <c r="B6" s="202">
        <v>15398.800592664953</v>
      </c>
      <c r="C6" s="202">
        <v>9110.8908566598438</v>
      </c>
      <c r="D6" s="230">
        <v>16.154526806896651</v>
      </c>
      <c r="E6" s="202">
        <v>6287.9097360038713</v>
      </c>
      <c r="F6" s="230">
        <v>16.818857506907413</v>
      </c>
    </row>
    <row r="7" spans="1:6" x14ac:dyDescent="0.2">
      <c r="A7" s="76" t="s">
        <v>298</v>
      </c>
      <c r="B7" s="66">
        <v>24665.074500148377</v>
      </c>
      <c r="C7" s="66">
        <v>15869.486476583084</v>
      </c>
      <c r="D7" s="117">
        <v>28.138197321313463</v>
      </c>
      <c r="E7" s="66">
        <v>8795.5880235773366</v>
      </c>
      <c r="F7" s="117">
        <v>23.526378060258715</v>
      </c>
    </row>
    <row r="8" spans="1:6" x14ac:dyDescent="0.2">
      <c r="A8" s="76" t="s">
        <v>299</v>
      </c>
      <c r="B8" s="66">
        <v>17812.341703452501</v>
      </c>
      <c r="C8" s="66">
        <v>10987.963478068295</v>
      </c>
      <c r="D8" s="117">
        <v>19.482765555236949</v>
      </c>
      <c r="E8" s="66">
        <v>6824.3782253852596</v>
      </c>
      <c r="F8" s="117">
        <v>18.253799714838291</v>
      </c>
    </row>
    <row r="9" spans="1:6" x14ac:dyDescent="0.2">
      <c r="A9" s="76" t="s">
        <v>300</v>
      </c>
      <c r="B9" s="66">
        <v>14324.729431049362</v>
      </c>
      <c r="C9" s="66">
        <v>8712.792675321858</v>
      </c>
      <c r="D9" s="117">
        <v>15.448658649393666</v>
      </c>
      <c r="E9" s="66">
        <v>5611.9367557262658</v>
      </c>
      <c r="F9" s="117">
        <v>15.010769650825381</v>
      </c>
    </row>
    <row r="10" spans="1:6" x14ac:dyDescent="0.2">
      <c r="A10" s="76" t="s">
        <v>277</v>
      </c>
      <c r="B10" s="66">
        <v>9799.3398483184119</v>
      </c>
      <c r="C10" s="66">
        <v>5449.7486077737531</v>
      </c>
      <c r="D10" s="117">
        <v>9.6629529823392684</v>
      </c>
      <c r="E10" s="66">
        <v>4349.5912405434219</v>
      </c>
      <c r="F10" s="117">
        <v>11.634256590725879</v>
      </c>
    </row>
    <row r="11" spans="1:6" x14ac:dyDescent="0.2">
      <c r="A11" s="76" t="s">
        <v>154</v>
      </c>
      <c r="B11" s="66">
        <v>11784.159840744267</v>
      </c>
      <c r="C11" s="66">
        <v>6267.4944446532054</v>
      </c>
      <c r="D11" s="117">
        <v>11.112898684788425</v>
      </c>
      <c r="E11" s="66">
        <v>5516.6653960898248</v>
      </c>
      <c r="F11" s="117">
        <v>14.755938476478249</v>
      </c>
    </row>
  </sheetData>
  <mergeCells count="5">
    <mergeCell ref="A2:A3"/>
    <mergeCell ref="B2:B3"/>
    <mergeCell ref="C2:D2"/>
    <mergeCell ref="A1:F1"/>
    <mergeCell ref="E2:F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zoomScale="120" zoomScaleNormal="120" workbookViewId="0">
      <selection activeCell="C22" sqref="C22"/>
    </sheetView>
  </sheetViews>
  <sheetFormatPr defaultRowHeight="12" x14ac:dyDescent="0.2"/>
  <cols>
    <col min="1" max="1" width="18.85546875" style="322" customWidth="1"/>
    <col min="2" max="16384" width="9.140625" style="322"/>
  </cols>
  <sheetData>
    <row r="1" spans="1:10" ht="23.25" customHeight="1" x14ac:dyDescent="0.2">
      <c r="A1" s="670" t="s">
        <v>553</v>
      </c>
      <c r="B1" s="670"/>
      <c r="C1" s="670"/>
      <c r="D1" s="670"/>
      <c r="E1" s="670"/>
      <c r="F1" s="670"/>
      <c r="G1" s="670"/>
      <c r="H1" s="670"/>
      <c r="I1" s="670"/>
      <c r="J1" s="670"/>
    </row>
    <row r="2" spans="1:10" ht="23.25" customHeight="1" x14ac:dyDescent="0.2">
      <c r="A2" s="579" t="s">
        <v>552</v>
      </c>
      <c r="B2" s="671" t="s">
        <v>52</v>
      </c>
      <c r="C2" s="673" t="s">
        <v>287</v>
      </c>
      <c r="D2" s="673"/>
      <c r="E2" s="673"/>
      <c r="F2" s="673"/>
      <c r="G2" s="673"/>
      <c r="H2" s="673"/>
      <c r="I2" s="673"/>
      <c r="J2" s="671" t="s">
        <v>288</v>
      </c>
    </row>
    <row r="3" spans="1:10" ht="27.75" customHeight="1" x14ac:dyDescent="0.2">
      <c r="A3" s="580"/>
      <c r="B3" s="672"/>
      <c r="C3" s="265" t="s">
        <v>289</v>
      </c>
      <c r="D3" s="265" t="s">
        <v>290</v>
      </c>
      <c r="E3" s="265" t="s">
        <v>291</v>
      </c>
      <c r="F3" s="265" t="s">
        <v>292</v>
      </c>
      <c r="G3" s="265" t="s">
        <v>293</v>
      </c>
      <c r="H3" s="265" t="s">
        <v>294</v>
      </c>
      <c r="I3" s="265" t="s">
        <v>295</v>
      </c>
      <c r="J3" s="672"/>
    </row>
    <row r="4" spans="1:10" x14ac:dyDescent="0.2">
      <c r="A4" s="228" t="s">
        <v>457</v>
      </c>
      <c r="B4" s="237">
        <v>93784.445916290002</v>
      </c>
      <c r="C4" s="237">
        <v>29.797191887689642</v>
      </c>
      <c r="D4" s="237">
        <v>10.046076261665673</v>
      </c>
      <c r="E4" s="237">
        <v>11.018394224152765</v>
      </c>
      <c r="F4" s="237">
        <v>10.584237322992484</v>
      </c>
      <c r="G4" s="237">
        <v>9.2551609041202045</v>
      </c>
      <c r="H4" s="237">
        <v>7.6177000568471689</v>
      </c>
      <c r="I4" s="237">
        <v>21.681239342614518</v>
      </c>
      <c r="J4" s="299">
        <v>4.2867491443868602</v>
      </c>
    </row>
    <row r="5" spans="1:10" x14ac:dyDescent="0.2">
      <c r="A5" s="232" t="s">
        <v>14</v>
      </c>
      <c r="B5" s="8"/>
      <c r="C5" s="73"/>
      <c r="D5" s="73"/>
      <c r="E5" s="73"/>
      <c r="F5" s="73"/>
      <c r="G5" s="73"/>
      <c r="H5" s="73"/>
      <c r="I5" s="73"/>
      <c r="J5" s="300"/>
    </row>
    <row r="6" spans="1:10" x14ac:dyDescent="0.2">
      <c r="A6" s="378" t="s">
        <v>5</v>
      </c>
      <c r="B6" s="10">
        <v>49596.681970736739</v>
      </c>
      <c r="C6" s="74">
        <v>29.364952319968545</v>
      </c>
      <c r="D6" s="74">
        <v>10.297514235402037</v>
      </c>
      <c r="E6" s="74">
        <v>10.741155754759905</v>
      </c>
      <c r="F6" s="74">
        <v>10.667977772185411</v>
      </c>
      <c r="G6" s="74">
        <v>9.0786434631456263</v>
      </c>
      <c r="H6" s="74">
        <v>7.6173706236114622</v>
      </c>
      <c r="I6" s="74">
        <v>22.232385830910864</v>
      </c>
      <c r="J6" s="301">
        <v>4.3077362848438154</v>
      </c>
    </row>
    <row r="7" spans="1:10" x14ac:dyDescent="0.2">
      <c r="A7" s="72" t="s">
        <v>6</v>
      </c>
      <c r="B7" s="10">
        <v>44187.763945654406</v>
      </c>
      <c r="C7" s="74">
        <v>30.282340862426501</v>
      </c>
      <c r="D7" s="74">
        <v>9.7638603696090893</v>
      </c>
      <c r="E7" s="74">
        <v>11.329568788500586</v>
      </c>
      <c r="F7" s="74">
        <v>10.490246406570225</v>
      </c>
      <c r="G7" s="74">
        <v>9.4532854209437271</v>
      </c>
      <c r="H7" s="74">
        <v>7.6180698151945192</v>
      </c>
      <c r="I7" s="74">
        <v>21.062628336757232</v>
      </c>
      <c r="J7" s="301">
        <v>4.2631930184797904</v>
      </c>
    </row>
    <row r="8" spans="1:10" ht="14.25" customHeight="1" x14ac:dyDescent="0.2">
      <c r="A8" s="234" t="s">
        <v>542</v>
      </c>
      <c r="B8" s="254"/>
      <c r="C8" s="302"/>
      <c r="D8" s="302"/>
      <c r="E8" s="302"/>
      <c r="F8" s="302"/>
      <c r="G8" s="302"/>
      <c r="H8" s="302"/>
      <c r="I8" s="302"/>
      <c r="J8" s="303"/>
    </row>
    <row r="9" spans="1:10" x14ac:dyDescent="0.2">
      <c r="A9" s="116" t="s">
        <v>458</v>
      </c>
      <c r="B9" s="85">
        <v>39689.594751383796</v>
      </c>
      <c r="C9" s="301">
        <v>14.79156840693849</v>
      </c>
      <c r="D9" s="301">
        <v>3.4853487162773864</v>
      </c>
      <c r="E9" s="301">
        <v>4.2641705668264356</v>
      </c>
      <c r="F9" s="301">
        <v>4.3705934283921453</v>
      </c>
      <c r="G9" s="301">
        <v>3.9134588639394416</v>
      </c>
      <c r="H9" s="301">
        <v>3.2567814340510353</v>
      </c>
      <c r="I9" s="301">
        <v>8.2380969657475145</v>
      </c>
      <c r="J9" s="301">
        <v>3.8635194604787535</v>
      </c>
    </row>
    <row r="10" spans="1:10" x14ac:dyDescent="0.2">
      <c r="A10" s="116" t="s">
        <v>459</v>
      </c>
      <c r="B10" s="85">
        <v>22422.795000137165</v>
      </c>
      <c r="C10" s="301">
        <v>5.8750256987079927</v>
      </c>
      <c r="D10" s="301">
        <v>2.7149923206256097</v>
      </c>
      <c r="E10" s="301">
        <v>2.9580718112472848</v>
      </c>
      <c r="F10" s="301">
        <v>2.7706224528076846</v>
      </c>
      <c r="G10" s="301">
        <v>2.4465164653121176</v>
      </c>
      <c r="H10" s="301">
        <v>1.9772883938632704</v>
      </c>
      <c r="I10" s="301">
        <v>5.1663461887360587</v>
      </c>
      <c r="J10" s="301">
        <v>4.360849772383256</v>
      </c>
    </row>
    <row r="11" spans="1:10" x14ac:dyDescent="0.2">
      <c r="A11" s="116" t="s">
        <v>461</v>
      </c>
      <c r="B11" s="85">
        <v>4164.7194355346137</v>
      </c>
      <c r="C11" s="301">
        <v>0.81510237153751541</v>
      </c>
      <c r="D11" s="301">
        <v>0.5671854781173491</v>
      </c>
      <c r="E11" s="301">
        <v>0.36885196338121623</v>
      </c>
      <c r="F11" s="301">
        <v>0.33257144239289921</v>
      </c>
      <c r="G11" s="301">
        <v>0.27452260881159196</v>
      </c>
      <c r="H11" s="301">
        <v>0.26726650461392876</v>
      </c>
      <c r="I11" s="301">
        <v>1.8152354001154543</v>
      </c>
      <c r="J11" s="301">
        <v>6.5422113289764585</v>
      </c>
    </row>
    <row r="12" spans="1:10" x14ac:dyDescent="0.2">
      <c r="A12" s="116" t="s">
        <v>462</v>
      </c>
      <c r="B12" s="85">
        <v>12694.908671554531</v>
      </c>
      <c r="C12" s="301">
        <v>5.4747306171368146</v>
      </c>
      <c r="D12" s="301">
        <v>1.6616478612649124</v>
      </c>
      <c r="E12" s="301">
        <v>1.5612717531972353</v>
      </c>
      <c r="F12" s="301">
        <v>1.3738223947575974</v>
      </c>
      <c r="G12" s="301">
        <v>1.0206919904713119</v>
      </c>
      <c r="H12" s="301">
        <v>0.81389302083790482</v>
      </c>
      <c r="I12" s="301">
        <v>1.6302047430750375</v>
      </c>
      <c r="J12" s="301">
        <v>3.1592066470110662</v>
      </c>
    </row>
    <row r="13" spans="1:10" x14ac:dyDescent="0.2">
      <c r="A13" s="116" t="s">
        <v>463</v>
      </c>
      <c r="B13" s="85">
        <v>5439.5409620984201</v>
      </c>
      <c r="C13" s="301">
        <v>0.99408627507987934</v>
      </c>
      <c r="D13" s="301">
        <v>0.47043742214850387</v>
      </c>
      <c r="E13" s="301">
        <v>0.500671189638768</v>
      </c>
      <c r="F13" s="301">
        <v>0.51518339803409485</v>
      </c>
      <c r="G13" s="301">
        <v>0.44020365465823968</v>
      </c>
      <c r="H13" s="301">
        <v>0.42327274486369171</v>
      </c>
      <c r="I13" s="301">
        <v>2.4561912709090001</v>
      </c>
      <c r="J13" s="301">
        <v>7.4783152627189695</v>
      </c>
    </row>
    <row r="14" spans="1:10" x14ac:dyDescent="0.2">
      <c r="A14" s="116" t="s">
        <v>464</v>
      </c>
      <c r="B14" s="85">
        <v>2944.338685906378</v>
      </c>
      <c r="C14" s="301">
        <v>0.5865350893111182</v>
      </c>
      <c r="D14" s="301">
        <v>0.29024416790652935</v>
      </c>
      <c r="E14" s="301">
        <v>0.34587430008861542</v>
      </c>
      <c r="F14" s="301">
        <v>0.38215482107693244</v>
      </c>
      <c r="G14" s="301">
        <v>0.40029508157109095</v>
      </c>
      <c r="H14" s="301">
        <v>0.31684988329796182</v>
      </c>
      <c r="I14" s="301">
        <v>0.81752107293673648</v>
      </c>
      <c r="J14" s="301">
        <v>4.7815870570109915</v>
      </c>
    </row>
    <row r="15" spans="1:10" x14ac:dyDescent="0.2">
      <c r="A15" s="116" t="s">
        <v>466</v>
      </c>
      <c r="B15" s="85">
        <v>1390.5081775506283</v>
      </c>
      <c r="C15" s="301">
        <v>0.20558961893379135</v>
      </c>
      <c r="D15" s="301">
        <v>8.3445198273127144E-2</v>
      </c>
      <c r="E15" s="301">
        <v>0.12698182345910647</v>
      </c>
      <c r="F15" s="301">
        <v>0.14149403185443291</v>
      </c>
      <c r="G15" s="301">
        <v>0.18503065704041224</v>
      </c>
      <c r="H15" s="301">
        <v>0.17172779934469634</v>
      </c>
      <c r="I15" s="301">
        <v>0.56839482881695969</v>
      </c>
      <c r="J15" s="301">
        <v>6.0668841761825822</v>
      </c>
    </row>
    <row r="16" spans="1:10" x14ac:dyDescent="0.2">
      <c r="A16" s="116" t="s">
        <v>467</v>
      </c>
      <c r="B16" s="85">
        <v>3188.1879992614568</v>
      </c>
      <c r="C16" s="301">
        <v>0.63974652009398314</v>
      </c>
      <c r="D16" s="301">
        <v>0.50429924173759977</v>
      </c>
      <c r="E16" s="301">
        <v>0.52485820363097935</v>
      </c>
      <c r="F16" s="301">
        <v>0.43052884906135513</v>
      </c>
      <c r="G16" s="301">
        <v>0.37489871687926907</v>
      </c>
      <c r="H16" s="301">
        <v>0.26605715391431822</v>
      </c>
      <c r="I16" s="301">
        <v>0.65909613128775224</v>
      </c>
      <c r="J16" s="301">
        <v>4.1341159729635866</v>
      </c>
    </row>
    <row r="17" spans="1:10" x14ac:dyDescent="0.2">
      <c r="A17" s="116" t="s">
        <v>468</v>
      </c>
      <c r="B17" s="85">
        <v>1849.8522329405198</v>
      </c>
      <c r="C17" s="301">
        <v>0.41480728996641775</v>
      </c>
      <c r="D17" s="301">
        <v>0.26847585531353929</v>
      </c>
      <c r="E17" s="301">
        <v>0.36764261268160564</v>
      </c>
      <c r="F17" s="301">
        <v>0.26726650461392876</v>
      </c>
      <c r="G17" s="301">
        <v>0.19954286543573868</v>
      </c>
      <c r="H17" s="301">
        <v>0.12456312205988539</v>
      </c>
      <c r="I17" s="301">
        <v>0.33015274099367808</v>
      </c>
      <c r="J17" s="301">
        <v>3.8816676885345518</v>
      </c>
    </row>
    <row r="18" spans="1:10" ht="18" customHeight="1" x14ac:dyDescent="0.2"/>
    <row r="23" spans="1:10" x14ac:dyDescent="0.2">
      <c r="A23" s="325"/>
    </row>
    <row r="24" spans="1:10" x14ac:dyDescent="0.2">
      <c r="A24" s="325"/>
    </row>
  </sheetData>
  <mergeCells count="5">
    <mergeCell ref="A1:J1"/>
    <mergeCell ref="A2:A3"/>
    <mergeCell ref="B2:B3"/>
    <mergeCell ref="C2:I2"/>
    <mergeCell ref="J2:J3"/>
  </mergeCells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D4D4D"/>
  </sheetPr>
  <dimension ref="A1"/>
  <sheetViews>
    <sheetView topLeftCell="A4" workbookViewId="0">
      <selection activeCell="M24" sqref="M24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zoomScale="120" zoomScaleNormal="120" workbookViewId="0">
      <selection activeCell="J18" sqref="J18"/>
    </sheetView>
  </sheetViews>
  <sheetFormatPr defaultRowHeight="12" x14ac:dyDescent="0.2"/>
  <cols>
    <col min="1" max="1" width="23.42578125" style="322" customWidth="1"/>
    <col min="2" max="2" width="13.85546875" style="322" customWidth="1"/>
    <col min="3" max="4" width="13.28515625" style="322" customWidth="1"/>
    <col min="5" max="5" width="12.5703125" style="322" customWidth="1"/>
    <col min="6" max="6" width="13.42578125" style="322" customWidth="1"/>
    <col min="7" max="16384" width="9.140625" style="322"/>
  </cols>
  <sheetData>
    <row r="1" spans="1:6" ht="12.75" thickBot="1" x14ac:dyDescent="0.25">
      <c r="A1" s="674" t="s">
        <v>532</v>
      </c>
      <c r="B1" s="674"/>
      <c r="C1" s="674"/>
      <c r="D1" s="674"/>
      <c r="E1" s="674"/>
      <c r="F1" s="674"/>
    </row>
    <row r="2" spans="1:6" x14ac:dyDescent="0.2">
      <c r="A2" s="675" t="s">
        <v>501</v>
      </c>
      <c r="B2" s="677" t="s">
        <v>8</v>
      </c>
      <c r="C2" s="679" t="s">
        <v>9</v>
      </c>
      <c r="D2" s="679"/>
      <c r="E2" s="679"/>
      <c r="F2" s="679"/>
    </row>
    <row r="3" spans="1:6" x14ac:dyDescent="0.2">
      <c r="A3" s="676"/>
      <c r="B3" s="678"/>
      <c r="C3" s="358" t="s">
        <v>10</v>
      </c>
      <c r="D3" s="358" t="s">
        <v>11</v>
      </c>
      <c r="E3" s="358" t="s">
        <v>12</v>
      </c>
      <c r="F3" s="358" t="s">
        <v>13</v>
      </c>
    </row>
    <row r="4" spans="1:6" x14ac:dyDescent="0.2">
      <c r="A4" s="228" t="s">
        <v>531</v>
      </c>
      <c r="B4" s="359">
        <v>411074.2679862901</v>
      </c>
      <c r="C4" s="359">
        <v>69215.120319380658</v>
      </c>
      <c r="D4" s="359">
        <v>116101.15838797414</v>
      </c>
      <c r="E4" s="359">
        <v>211271.38331503075</v>
      </c>
      <c r="F4" s="359">
        <v>14486.605966537485</v>
      </c>
    </row>
    <row r="5" spans="1:6" x14ac:dyDescent="0.2">
      <c r="A5" s="232" t="s">
        <v>14</v>
      </c>
      <c r="B5" s="360"/>
      <c r="C5" s="360"/>
      <c r="D5" s="360"/>
      <c r="E5" s="360"/>
      <c r="F5" s="360"/>
    </row>
    <row r="6" spans="1:6" x14ac:dyDescent="0.2">
      <c r="A6" s="370" t="s">
        <v>5</v>
      </c>
      <c r="B6" s="361">
        <v>218934.65480222975</v>
      </c>
      <c r="C6" s="361">
        <v>32976.510584337309</v>
      </c>
      <c r="D6" s="361">
        <v>62878.231302806496</v>
      </c>
      <c r="E6" s="361">
        <v>115582.81101646612</v>
      </c>
      <c r="F6" s="361">
        <v>7497.1018981002753</v>
      </c>
    </row>
    <row r="7" spans="1:6" x14ac:dyDescent="0.2">
      <c r="A7" s="72" t="s">
        <v>6</v>
      </c>
      <c r="B7" s="361">
        <v>192139.61318732699</v>
      </c>
      <c r="C7" s="361">
        <v>36238.609735063364</v>
      </c>
      <c r="D7" s="361">
        <v>53222.927084843126</v>
      </c>
      <c r="E7" s="361">
        <v>95688.572298619634</v>
      </c>
      <c r="F7" s="361">
        <v>6989.5040684383939</v>
      </c>
    </row>
    <row r="8" spans="1:6" x14ac:dyDescent="0.2">
      <c r="A8" s="234" t="s">
        <v>542</v>
      </c>
      <c r="B8" s="362"/>
      <c r="C8" s="362"/>
      <c r="D8" s="362"/>
      <c r="E8" s="362"/>
      <c r="F8" s="362"/>
    </row>
    <row r="9" spans="1:6" s="335" customFormat="1" x14ac:dyDescent="0.2">
      <c r="A9" s="371" t="s">
        <v>458</v>
      </c>
      <c r="B9" s="147">
        <v>156975.07858168939</v>
      </c>
      <c r="C9" s="147">
        <v>24689.530192353377</v>
      </c>
      <c r="D9" s="147">
        <v>45011.625518717447</v>
      </c>
      <c r="E9" s="147">
        <v>80375.31422731161</v>
      </c>
      <c r="F9" s="147">
        <v>6898.6086431268477</v>
      </c>
    </row>
    <row r="10" spans="1:6" x14ac:dyDescent="0.2">
      <c r="A10" s="61" t="s">
        <v>458</v>
      </c>
      <c r="B10" s="148">
        <v>156975.07858168939</v>
      </c>
      <c r="C10" s="148">
        <v>24689.530192353377</v>
      </c>
      <c r="D10" s="148">
        <v>45011.625518717447</v>
      </c>
      <c r="E10" s="148">
        <v>80375.31422731161</v>
      </c>
      <c r="F10" s="148">
        <v>6898.6086431268477</v>
      </c>
    </row>
    <row r="11" spans="1:6" s="335" customFormat="1" x14ac:dyDescent="0.2">
      <c r="A11" s="371" t="s">
        <v>459</v>
      </c>
      <c r="B11" s="147">
        <v>100312.89173035404</v>
      </c>
      <c r="C11" s="147">
        <v>14315.991407495045</v>
      </c>
      <c r="D11" s="147">
        <v>28480.861570073612</v>
      </c>
      <c r="E11" s="147">
        <v>54531.835698396892</v>
      </c>
      <c r="F11" s="147">
        <v>2984.2030543850269</v>
      </c>
    </row>
    <row r="12" spans="1:6" x14ac:dyDescent="0.2">
      <c r="A12" s="61" t="s">
        <v>459</v>
      </c>
      <c r="B12" s="148">
        <v>83409.035278238909</v>
      </c>
      <c r="C12" s="148">
        <v>11901.424342312801</v>
      </c>
      <c r="D12" s="148">
        <v>24214.642152366272</v>
      </c>
      <c r="E12" s="148">
        <v>44711.302612694977</v>
      </c>
      <c r="F12" s="148">
        <v>2581.6661708623101</v>
      </c>
    </row>
    <row r="13" spans="1:6" x14ac:dyDescent="0.2">
      <c r="A13" s="61" t="s">
        <v>473</v>
      </c>
      <c r="B13" s="148">
        <v>16903.856452115586</v>
      </c>
      <c r="C13" s="148">
        <v>2414.5670651811993</v>
      </c>
      <c r="D13" s="148">
        <v>4266.2194177095653</v>
      </c>
      <c r="E13" s="148">
        <v>9820.5330857023127</v>
      </c>
      <c r="F13" s="148">
        <v>402.53688352264078</v>
      </c>
    </row>
    <row r="14" spans="1:6" s="335" customFormat="1" x14ac:dyDescent="0.2">
      <c r="A14" s="371" t="s">
        <v>461</v>
      </c>
      <c r="B14" s="147">
        <v>27801.462012380616</v>
      </c>
      <c r="C14" s="147">
        <v>5766.6040776669233</v>
      </c>
      <c r="D14" s="147">
        <v>7671.6125441311133</v>
      </c>
      <c r="E14" s="147">
        <v>13725.796953334935</v>
      </c>
      <c r="F14" s="147">
        <v>637.44843724992882</v>
      </c>
    </row>
    <row r="15" spans="1:6" x14ac:dyDescent="0.2">
      <c r="A15" s="61" t="s">
        <v>461</v>
      </c>
      <c r="B15" s="148">
        <v>27801.462012380616</v>
      </c>
      <c r="C15" s="148">
        <v>5766.6040776669233</v>
      </c>
      <c r="D15" s="148">
        <v>7671.6125441311133</v>
      </c>
      <c r="E15" s="148">
        <v>13725.796953334935</v>
      </c>
      <c r="F15" s="148">
        <v>637.44843724992882</v>
      </c>
    </row>
    <row r="16" spans="1:6" s="335" customFormat="1" x14ac:dyDescent="0.2">
      <c r="A16" s="371" t="s">
        <v>462</v>
      </c>
      <c r="B16" s="147">
        <v>41266.431889501342</v>
      </c>
      <c r="C16" s="147">
        <v>5910.5046564857239</v>
      </c>
      <c r="D16" s="147">
        <v>10603.105186356472</v>
      </c>
      <c r="E16" s="147">
        <v>22860.544556083987</v>
      </c>
      <c r="F16" s="147">
        <v>1892.2774905771007</v>
      </c>
    </row>
    <row r="17" spans="1:13" x14ac:dyDescent="0.2">
      <c r="A17" s="61" t="s">
        <v>462</v>
      </c>
      <c r="B17" s="148">
        <v>41266.431889501342</v>
      </c>
      <c r="C17" s="148">
        <v>5910.5046564857239</v>
      </c>
      <c r="D17" s="148">
        <v>10603.105186356472</v>
      </c>
      <c r="E17" s="148">
        <v>22860.544556083987</v>
      </c>
      <c r="F17" s="148">
        <v>1892.2774905771007</v>
      </c>
    </row>
    <row r="18" spans="1:13" s="335" customFormat="1" x14ac:dyDescent="0.2">
      <c r="A18" s="371" t="s">
        <v>463</v>
      </c>
      <c r="B18" s="147">
        <v>40882.313347507588</v>
      </c>
      <c r="C18" s="147">
        <v>11647.482144397052</v>
      </c>
      <c r="D18" s="147">
        <v>11291.097183409642</v>
      </c>
      <c r="E18" s="147">
        <v>17201.224636312782</v>
      </c>
      <c r="F18" s="147">
        <v>742.50938338926869</v>
      </c>
    </row>
    <row r="19" spans="1:13" x14ac:dyDescent="0.2">
      <c r="A19" s="61" t="s">
        <v>463</v>
      </c>
      <c r="B19" s="148">
        <v>40882.313347507588</v>
      </c>
      <c r="C19" s="148">
        <v>11647.482144397052</v>
      </c>
      <c r="D19" s="148">
        <v>11291.097183409642</v>
      </c>
      <c r="E19" s="148">
        <v>17201.224636312782</v>
      </c>
      <c r="F19" s="148">
        <v>742.50938338926869</v>
      </c>
    </row>
    <row r="20" spans="1:13" s="335" customFormat="1" x14ac:dyDescent="0.2">
      <c r="A20" s="371" t="s">
        <v>464</v>
      </c>
      <c r="B20" s="147">
        <v>14466.306815180857</v>
      </c>
      <c r="C20" s="147">
        <v>2111.9526126650621</v>
      </c>
      <c r="D20" s="147">
        <v>4125.7218623955132</v>
      </c>
      <c r="E20" s="147">
        <v>7866.2310989430725</v>
      </c>
      <c r="F20" s="147">
        <v>362.40124117727498</v>
      </c>
    </row>
    <row r="21" spans="1:13" x14ac:dyDescent="0.2">
      <c r="A21" s="61" t="s">
        <v>464</v>
      </c>
      <c r="B21" s="148">
        <v>3485.7153016918178</v>
      </c>
      <c r="C21" s="148">
        <v>515.29104327047878</v>
      </c>
      <c r="D21" s="148">
        <v>1014.7045661568343</v>
      </c>
      <c r="E21" s="148">
        <v>1870.7265672979356</v>
      </c>
      <c r="F21" s="148">
        <v>84.993124966657916</v>
      </c>
    </row>
    <row r="22" spans="1:13" x14ac:dyDescent="0.2">
      <c r="A22" s="61" t="s">
        <v>465</v>
      </c>
      <c r="B22" s="148">
        <v>10980.591513489066</v>
      </c>
      <c r="C22" s="148">
        <v>1596.6615693945771</v>
      </c>
      <c r="D22" s="148">
        <v>3111.0172962388719</v>
      </c>
      <c r="E22" s="148">
        <v>5995.5045316450869</v>
      </c>
      <c r="F22" s="148">
        <v>277.408116210618</v>
      </c>
      <c r="M22" s="363"/>
    </row>
    <row r="23" spans="1:13" s="335" customFormat="1" x14ac:dyDescent="0.2">
      <c r="A23" s="371" t="s">
        <v>466</v>
      </c>
      <c r="B23" s="147">
        <v>8577.8196581575576</v>
      </c>
      <c r="C23" s="147">
        <v>1309.9185042481674</v>
      </c>
      <c r="D23" s="147">
        <v>3051.9191182099694</v>
      </c>
      <c r="E23" s="147">
        <v>4012.9429038348039</v>
      </c>
      <c r="F23" s="147">
        <v>203.03913186479312</v>
      </c>
    </row>
    <row r="24" spans="1:13" x14ac:dyDescent="0.2">
      <c r="A24" s="61" t="s">
        <v>466</v>
      </c>
      <c r="B24" s="148">
        <v>8577.8196581575576</v>
      </c>
      <c r="C24" s="148">
        <v>1309.9185042481674</v>
      </c>
      <c r="D24" s="148">
        <v>3051.9191182099694</v>
      </c>
      <c r="E24" s="148">
        <v>4012.9429038348039</v>
      </c>
      <c r="F24" s="148">
        <v>203.03913186479312</v>
      </c>
    </row>
    <row r="25" spans="1:13" s="335" customFormat="1" x14ac:dyDescent="0.2">
      <c r="A25" s="371" t="s">
        <v>467</v>
      </c>
      <c r="B25" s="147">
        <v>13445.093834174171</v>
      </c>
      <c r="C25" s="147">
        <v>2221.9942317618393</v>
      </c>
      <c r="D25" s="147">
        <v>3885.9839703914622</v>
      </c>
      <c r="E25" s="147">
        <v>6856.6683839453735</v>
      </c>
      <c r="F25" s="147">
        <v>480.44724807540968</v>
      </c>
    </row>
    <row r="26" spans="1:13" x14ac:dyDescent="0.2">
      <c r="A26" s="61" t="s">
        <v>467</v>
      </c>
      <c r="B26" s="148">
        <v>13445.093834174171</v>
      </c>
      <c r="C26" s="148">
        <v>2221.9942317618393</v>
      </c>
      <c r="D26" s="148">
        <v>3885.9839703914622</v>
      </c>
      <c r="E26" s="148">
        <v>6856.6683839453735</v>
      </c>
      <c r="F26" s="148">
        <v>480.44724807540968</v>
      </c>
    </row>
    <row r="27" spans="1:13" s="335" customFormat="1" x14ac:dyDescent="0.2">
      <c r="A27" s="371" t="s">
        <v>468</v>
      </c>
      <c r="B27" s="147">
        <v>7346.8701198701556</v>
      </c>
      <c r="C27" s="147">
        <v>1241.1424923126817</v>
      </c>
      <c r="D27" s="147">
        <v>1979.2314339872332</v>
      </c>
      <c r="E27" s="147">
        <v>3840.8248568771037</v>
      </c>
      <c r="F27" s="147">
        <v>285.67133669348743</v>
      </c>
    </row>
    <row r="28" spans="1:13" x14ac:dyDescent="0.2">
      <c r="A28" s="61" t="s">
        <v>468</v>
      </c>
      <c r="B28" s="148">
        <v>7346.8701198701556</v>
      </c>
      <c r="C28" s="148">
        <v>1241.1424923126817</v>
      </c>
      <c r="D28" s="148">
        <v>1979.2314339872332</v>
      </c>
      <c r="E28" s="148">
        <v>3840.8248568771037</v>
      </c>
      <c r="F28" s="148">
        <v>285.67133669348743</v>
      </c>
    </row>
  </sheetData>
  <mergeCells count="4">
    <mergeCell ref="A1:F1"/>
    <mergeCell ref="A2:A3"/>
    <mergeCell ref="B2:B3"/>
    <mergeCell ref="C2:F2"/>
  </mergeCell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="120" zoomScaleNormal="120" workbookViewId="0">
      <selection activeCell="M26" sqref="M26"/>
    </sheetView>
  </sheetViews>
  <sheetFormatPr defaultRowHeight="12" x14ac:dyDescent="0.2"/>
  <cols>
    <col min="1" max="1" width="26.5703125" style="322" customWidth="1"/>
    <col min="2" max="2" width="15.85546875" style="322" customWidth="1"/>
    <col min="3" max="3" width="11.7109375" style="322" customWidth="1"/>
    <col min="4" max="4" width="12.28515625" style="322" customWidth="1"/>
    <col min="5" max="5" width="11.42578125" style="322" customWidth="1"/>
    <col min="6" max="6" width="12.5703125" style="322" customWidth="1"/>
    <col min="7" max="7" width="12.7109375" style="322" customWidth="1"/>
    <col min="8" max="8" width="15.5703125" style="322" customWidth="1"/>
    <col min="9" max="16384" width="9.140625" style="322"/>
  </cols>
  <sheetData>
    <row r="1" spans="1:8" ht="12.75" thickBot="1" x14ac:dyDescent="0.25">
      <c r="A1" s="674" t="s">
        <v>533</v>
      </c>
      <c r="B1" s="674"/>
      <c r="C1" s="674"/>
      <c r="D1" s="674"/>
      <c r="E1" s="674"/>
      <c r="F1" s="674"/>
      <c r="G1" s="674"/>
      <c r="H1" s="674"/>
    </row>
    <row r="2" spans="1:8" ht="15" customHeight="1" x14ac:dyDescent="0.2">
      <c r="A2" s="675" t="s">
        <v>501</v>
      </c>
      <c r="B2" s="680" t="s">
        <v>15</v>
      </c>
      <c r="C2" s="679" t="s">
        <v>16</v>
      </c>
      <c r="D2" s="679"/>
      <c r="E2" s="679"/>
      <c r="F2" s="679"/>
      <c r="G2" s="679"/>
      <c r="H2" s="679"/>
    </row>
    <row r="3" spans="1:8" ht="24.75" customHeight="1" x14ac:dyDescent="0.2">
      <c r="A3" s="676"/>
      <c r="B3" s="681"/>
      <c r="C3" s="3" t="s">
        <v>17</v>
      </c>
      <c r="D3" s="266" t="s">
        <v>18</v>
      </c>
      <c r="E3" s="3" t="s">
        <v>19</v>
      </c>
      <c r="F3" s="3" t="s">
        <v>20</v>
      </c>
      <c r="G3" s="266" t="s">
        <v>21</v>
      </c>
      <c r="H3" s="266" t="s">
        <v>22</v>
      </c>
    </row>
    <row r="4" spans="1:8" x14ac:dyDescent="0.2">
      <c r="A4" s="228" t="s">
        <v>531</v>
      </c>
      <c r="B4" s="214">
        <v>93740.212785030439</v>
      </c>
      <c r="C4" s="210">
        <v>8560.8121730446783</v>
      </c>
      <c r="D4" s="210">
        <v>63180.789998921078</v>
      </c>
      <c r="E4" s="210">
        <v>18.146925645032347</v>
      </c>
      <c r="F4" s="210">
        <v>21625.464454609657</v>
      </c>
      <c r="G4" s="210">
        <v>351.59668437250326</v>
      </c>
      <c r="H4" s="210">
        <v>3.4025485584435646</v>
      </c>
    </row>
    <row r="5" spans="1:8" x14ac:dyDescent="0.2">
      <c r="A5" s="232" t="s">
        <v>14</v>
      </c>
      <c r="B5" s="136"/>
      <c r="C5" s="137"/>
      <c r="D5" s="137"/>
      <c r="E5" s="137"/>
      <c r="F5" s="137"/>
      <c r="G5" s="137"/>
      <c r="H5" s="137"/>
    </row>
    <row r="6" spans="1:8" x14ac:dyDescent="0.2">
      <c r="A6" s="370" t="s">
        <v>5</v>
      </c>
      <c r="B6" s="6">
        <v>49566.059033710691</v>
      </c>
      <c r="C6" s="5">
        <v>4519.7186684656381</v>
      </c>
      <c r="D6" s="5">
        <v>38819.676503273469</v>
      </c>
      <c r="E6" s="5">
        <v>12.476011380959738</v>
      </c>
      <c r="F6" s="5">
        <v>6031.5844112677323</v>
      </c>
      <c r="G6" s="5">
        <v>182.60343930313761</v>
      </c>
      <c r="H6" s="5">
        <v>0</v>
      </c>
    </row>
    <row r="7" spans="1:8" x14ac:dyDescent="0.2">
      <c r="A7" s="72" t="s">
        <v>6</v>
      </c>
      <c r="B7" s="6">
        <v>44174.153751420607</v>
      </c>
      <c r="C7" s="5">
        <v>4041.0935045778251</v>
      </c>
      <c r="D7" s="5">
        <v>24361.113495594505</v>
      </c>
      <c r="E7" s="5">
        <v>5.6709142640726071</v>
      </c>
      <c r="F7" s="5">
        <v>15593.880043349094</v>
      </c>
      <c r="G7" s="5">
        <v>168.99324506936338</v>
      </c>
      <c r="H7" s="5">
        <v>3.4025485584435646</v>
      </c>
    </row>
    <row r="8" spans="1:8" x14ac:dyDescent="0.2">
      <c r="A8" s="234" t="s">
        <v>542</v>
      </c>
      <c r="B8" s="211"/>
      <c r="C8" s="212"/>
      <c r="D8" s="212"/>
      <c r="E8" s="212"/>
      <c r="F8" s="212"/>
      <c r="G8" s="212"/>
      <c r="H8" s="213"/>
    </row>
    <row r="9" spans="1:8" s="335" customFormat="1" x14ac:dyDescent="0.2">
      <c r="A9" s="371" t="s">
        <v>458</v>
      </c>
      <c r="B9" s="4">
        <v>39665.776911474648</v>
      </c>
      <c r="C9" s="4">
        <v>5236.5222314445755</v>
      </c>
      <c r="D9" s="4">
        <v>26426.460470566897</v>
      </c>
      <c r="E9" s="4">
        <v>14.744377086588782</v>
      </c>
      <c r="F9" s="4">
        <v>7831.5325986847793</v>
      </c>
      <c r="G9" s="4">
        <v>153.11468512996012</v>
      </c>
      <c r="H9" s="4">
        <v>3.4025485584435646</v>
      </c>
    </row>
    <row r="10" spans="1:8" x14ac:dyDescent="0.2">
      <c r="A10" s="61" t="s">
        <v>458</v>
      </c>
      <c r="B10" s="6">
        <v>39665.776911474648</v>
      </c>
      <c r="C10" s="6">
        <v>5236.5222314445755</v>
      </c>
      <c r="D10" s="6">
        <v>26426.460470566897</v>
      </c>
      <c r="E10" s="6">
        <v>14.744377086588782</v>
      </c>
      <c r="F10" s="6">
        <v>7831.5325986847793</v>
      </c>
      <c r="G10" s="6">
        <v>153.11468512996012</v>
      </c>
      <c r="H10" s="6">
        <v>3.4025485584435646</v>
      </c>
    </row>
    <row r="11" spans="1:8" s="335" customFormat="1" x14ac:dyDescent="0.2">
      <c r="A11" s="371" t="s">
        <v>459</v>
      </c>
      <c r="B11" s="4">
        <v>22412.587354461848</v>
      </c>
      <c r="C11" s="4">
        <v>1144.3904984898716</v>
      </c>
      <c r="D11" s="4">
        <v>18801.349151105398</v>
      </c>
      <c r="E11" s="4">
        <v>1.1341828528145215</v>
      </c>
      <c r="F11" s="4">
        <v>2395.3941851442473</v>
      </c>
      <c r="G11" s="4">
        <v>70.319336874500252</v>
      </c>
      <c r="H11" s="4">
        <v>0</v>
      </c>
    </row>
    <row r="12" spans="1:8" x14ac:dyDescent="0.2">
      <c r="A12" s="61" t="s">
        <v>459</v>
      </c>
      <c r="B12" s="6">
        <v>18738.969094200686</v>
      </c>
      <c r="C12" s="6">
        <v>987.87326480146407</v>
      </c>
      <c r="D12" s="6">
        <v>16519.373251245732</v>
      </c>
      <c r="E12" s="6">
        <v>1.1341828528145215</v>
      </c>
      <c r="F12" s="6">
        <v>1227.1858467453335</v>
      </c>
      <c r="G12" s="6">
        <v>3.4025485584435646</v>
      </c>
      <c r="H12" s="6">
        <v>0</v>
      </c>
    </row>
    <row r="13" spans="1:8" x14ac:dyDescent="0.2">
      <c r="A13" s="61" t="s">
        <v>473</v>
      </c>
      <c r="B13" s="6">
        <v>3673.6182602659856</v>
      </c>
      <c r="C13" s="6">
        <v>156.51723368840368</v>
      </c>
      <c r="D13" s="6">
        <v>2281.9758998628154</v>
      </c>
      <c r="E13" s="6">
        <v>0</v>
      </c>
      <c r="F13" s="6">
        <v>1168.208338398977</v>
      </c>
      <c r="G13" s="6">
        <v>66.916788316056696</v>
      </c>
      <c r="H13" s="6">
        <v>0</v>
      </c>
    </row>
    <row r="14" spans="1:8" s="335" customFormat="1" x14ac:dyDescent="0.2">
      <c r="A14" s="371" t="s">
        <v>461</v>
      </c>
      <c r="B14" s="4">
        <v>4164.7194355346137</v>
      </c>
      <c r="C14" s="4">
        <v>127.02847951522618</v>
      </c>
      <c r="D14" s="4">
        <v>3192.724730672714</v>
      </c>
      <c r="E14" s="4">
        <v>0</v>
      </c>
      <c r="F14" s="4">
        <v>793.92799697017654</v>
      </c>
      <c r="G14" s="4">
        <v>51.038228376653429</v>
      </c>
      <c r="H14" s="4">
        <v>0</v>
      </c>
    </row>
    <row r="15" spans="1:8" x14ac:dyDescent="0.2">
      <c r="A15" s="61" t="s">
        <v>461</v>
      </c>
      <c r="B15" s="6">
        <v>4164.7194355346137</v>
      </c>
      <c r="C15" s="6">
        <v>127.02847951522618</v>
      </c>
      <c r="D15" s="6">
        <v>3192.724730672714</v>
      </c>
      <c r="E15" s="6">
        <v>0</v>
      </c>
      <c r="F15" s="6">
        <v>793.92799697017654</v>
      </c>
      <c r="G15" s="6">
        <v>51.038228376653429</v>
      </c>
      <c r="H15" s="6">
        <v>0</v>
      </c>
    </row>
    <row r="16" spans="1:8" s="335" customFormat="1" x14ac:dyDescent="0.2">
      <c r="A16" s="371" t="s">
        <v>462</v>
      </c>
      <c r="B16" s="4">
        <v>12689.237757290457</v>
      </c>
      <c r="C16" s="4">
        <v>1522.0733884771157</v>
      </c>
      <c r="D16" s="4">
        <v>8535.8601502827532</v>
      </c>
      <c r="E16" s="4">
        <v>0</v>
      </c>
      <c r="F16" s="4">
        <v>2593.8761843867533</v>
      </c>
      <c r="G16" s="4">
        <v>37.428034142879206</v>
      </c>
      <c r="H16" s="4">
        <v>0</v>
      </c>
    </row>
    <row r="17" spans="1:8" x14ac:dyDescent="0.2">
      <c r="A17" s="61" t="s">
        <v>462</v>
      </c>
      <c r="B17" s="6">
        <v>12689.237757290457</v>
      </c>
      <c r="C17" s="6">
        <v>1522.0733884771157</v>
      </c>
      <c r="D17" s="6">
        <v>8535.8601502827532</v>
      </c>
      <c r="E17" s="6">
        <v>0</v>
      </c>
      <c r="F17" s="6">
        <v>2593.8761843867533</v>
      </c>
      <c r="G17" s="6">
        <v>37.428034142879206</v>
      </c>
      <c r="H17" s="6">
        <v>0</v>
      </c>
    </row>
    <row r="18" spans="1:8" s="335" customFormat="1" x14ac:dyDescent="0.2">
      <c r="A18" s="371" t="s">
        <v>463</v>
      </c>
      <c r="B18" s="4">
        <v>5439.5409620984201</v>
      </c>
      <c r="C18" s="4">
        <v>256.32532473608131</v>
      </c>
      <c r="D18" s="4">
        <v>1912.2322898453199</v>
      </c>
      <c r="E18" s="4">
        <v>1.1341828528145215</v>
      </c>
      <c r="F18" s="4">
        <v>3249.43387331343</v>
      </c>
      <c r="G18" s="4">
        <v>20.415291350661391</v>
      </c>
      <c r="H18" s="4">
        <v>0</v>
      </c>
    </row>
    <row r="19" spans="1:8" x14ac:dyDescent="0.2">
      <c r="A19" s="61" t="s">
        <v>463</v>
      </c>
      <c r="B19" s="6">
        <v>5439.5409620984201</v>
      </c>
      <c r="C19" s="6">
        <v>256.32532473608131</v>
      </c>
      <c r="D19" s="6">
        <v>1912.2322898453199</v>
      </c>
      <c r="E19" s="6">
        <v>1.1341828528145215</v>
      </c>
      <c r="F19" s="6">
        <v>3249.43387331343</v>
      </c>
      <c r="G19" s="6">
        <v>20.415291350661391</v>
      </c>
      <c r="H19" s="6">
        <v>0</v>
      </c>
    </row>
    <row r="20" spans="1:8" s="335" customFormat="1" x14ac:dyDescent="0.2">
      <c r="A20" s="371" t="s">
        <v>464</v>
      </c>
      <c r="B20" s="4">
        <v>2943.2045030535637</v>
      </c>
      <c r="C20" s="4">
        <v>89.600445372347068</v>
      </c>
      <c r="D20" s="4">
        <v>1483.5111714814211</v>
      </c>
      <c r="E20" s="4">
        <v>0</v>
      </c>
      <c r="F20" s="4">
        <v>1370.0928861999664</v>
      </c>
      <c r="G20" s="4">
        <v>0</v>
      </c>
      <c r="H20" s="4">
        <v>0</v>
      </c>
    </row>
    <row r="21" spans="1:8" x14ac:dyDescent="0.2">
      <c r="A21" s="61" t="s">
        <v>464</v>
      </c>
      <c r="B21" s="6">
        <v>640.81331184021269</v>
      </c>
      <c r="C21" s="6">
        <v>12.476011380959738</v>
      </c>
      <c r="D21" s="6">
        <v>502.44300379683801</v>
      </c>
      <c r="E21" s="6">
        <v>0</v>
      </c>
      <c r="F21" s="6">
        <v>125.89429666241166</v>
      </c>
      <c r="G21" s="6">
        <v>0</v>
      </c>
      <c r="H21" s="6">
        <v>0</v>
      </c>
    </row>
    <row r="22" spans="1:8" x14ac:dyDescent="0.2">
      <c r="A22" s="61" t="s">
        <v>465</v>
      </c>
      <c r="B22" s="6">
        <v>2302.3911912134731</v>
      </c>
      <c r="C22" s="6">
        <v>77.124433991387363</v>
      </c>
      <c r="D22" s="6">
        <v>981.06816768457679</v>
      </c>
      <c r="E22" s="6">
        <v>0</v>
      </c>
      <c r="F22" s="6">
        <v>1244.1985895375517</v>
      </c>
      <c r="G22" s="6">
        <v>0</v>
      </c>
      <c r="H22" s="6">
        <v>0</v>
      </c>
    </row>
    <row r="23" spans="1:8" s="335" customFormat="1" x14ac:dyDescent="0.2">
      <c r="A23" s="371" t="s">
        <v>466</v>
      </c>
      <c r="B23" s="4">
        <v>1390.5081775506283</v>
      </c>
      <c r="C23" s="4">
        <v>47.635679818209873</v>
      </c>
      <c r="D23" s="4">
        <v>1253.2720523600681</v>
      </c>
      <c r="E23" s="4">
        <v>0</v>
      </c>
      <c r="F23" s="4">
        <v>89.600445372347068</v>
      </c>
      <c r="G23" s="4">
        <v>0</v>
      </c>
      <c r="H23" s="4">
        <v>0</v>
      </c>
    </row>
    <row r="24" spans="1:8" x14ac:dyDescent="0.2">
      <c r="A24" s="61" t="s">
        <v>466</v>
      </c>
      <c r="B24" s="6">
        <v>1390.5081775506283</v>
      </c>
      <c r="C24" s="6">
        <v>47.635679818209873</v>
      </c>
      <c r="D24" s="6">
        <v>1253.2720523600681</v>
      </c>
      <c r="E24" s="6">
        <v>0</v>
      </c>
      <c r="F24" s="6">
        <v>89.600445372347068</v>
      </c>
      <c r="G24" s="6">
        <v>0</v>
      </c>
      <c r="H24" s="6">
        <v>0</v>
      </c>
    </row>
    <row r="25" spans="1:8" s="335" customFormat="1" x14ac:dyDescent="0.2">
      <c r="A25" s="371" t="s">
        <v>467</v>
      </c>
      <c r="B25" s="4">
        <v>3184.7854507030138</v>
      </c>
      <c r="C25" s="4">
        <v>120.22338239833907</v>
      </c>
      <c r="D25" s="4">
        <v>1321.3230235289409</v>
      </c>
      <c r="E25" s="4">
        <v>1.1341828528145215</v>
      </c>
      <c r="F25" s="4">
        <v>1742.1048619231378</v>
      </c>
      <c r="G25" s="4">
        <v>0</v>
      </c>
      <c r="H25" s="4">
        <v>0</v>
      </c>
    </row>
    <row r="26" spans="1:8" x14ac:dyDescent="0.2">
      <c r="A26" s="61" t="s">
        <v>467</v>
      </c>
      <c r="B26" s="6">
        <v>3184.7854507030138</v>
      </c>
      <c r="C26" s="6">
        <v>120.22338239833907</v>
      </c>
      <c r="D26" s="6">
        <v>1321.3230235289409</v>
      </c>
      <c r="E26" s="6">
        <v>1.1341828528145215</v>
      </c>
      <c r="F26" s="6">
        <v>1742.1048619231378</v>
      </c>
      <c r="G26" s="6">
        <v>0</v>
      </c>
      <c r="H26" s="6">
        <v>0</v>
      </c>
    </row>
    <row r="27" spans="1:8" s="335" customFormat="1" x14ac:dyDescent="0.2">
      <c r="A27" s="371" t="s">
        <v>468</v>
      </c>
      <c r="B27" s="4">
        <v>1849.8522329405198</v>
      </c>
      <c r="C27" s="4">
        <v>17.012742792217825</v>
      </c>
      <c r="D27" s="4">
        <v>254.05695903045228</v>
      </c>
      <c r="E27" s="4">
        <v>0</v>
      </c>
      <c r="F27" s="4">
        <v>1559.5014226199958</v>
      </c>
      <c r="G27" s="4">
        <v>19.281108497846869</v>
      </c>
      <c r="H27" s="4">
        <v>0</v>
      </c>
    </row>
    <row r="28" spans="1:8" x14ac:dyDescent="0.2">
      <c r="A28" s="61" t="s">
        <v>468</v>
      </c>
      <c r="B28" s="6">
        <v>1849.8522329405198</v>
      </c>
      <c r="C28" s="6">
        <v>17.012742792217825</v>
      </c>
      <c r="D28" s="6">
        <v>254.05695903045228</v>
      </c>
      <c r="E28" s="6">
        <v>0</v>
      </c>
      <c r="F28" s="6">
        <v>1559.5014226199958</v>
      </c>
      <c r="G28" s="6">
        <v>19.281108497846869</v>
      </c>
      <c r="H28" s="6">
        <v>0</v>
      </c>
    </row>
  </sheetData>
  <mergeCells count="4">
    <mergeCell ref="A1:H1"/>
    <mergeCell ref="A2:A3"/>
    <mergeCell ref="B2:B3"/>
    <mergeCell ref="C2:H2"/>
  </mergeCell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zoomScale="120" zoomScaleNormal="120" workbookViewId="0">
      <selection activeCell="I16" sqref="I16"/>
    </sheetView>
  </sheetViews>
  <sheetFormatPr defaultRowHeight="12" x14ac:dyDescent="0.2"/>
  <cols>
    <col min="1" max="1" width="23" style="322" customWidth="1"/>
    <col min="2" max="2" width="17.7109375" style="322" customWidth="1"/>
    <col min="3" max="3" width="13.7109375" style="322" customWidth="1"/>
    <col min="4" max="4" width="11.7109375" style="322" customWidth="1"/>
    <col min="5" max="5" width="14.28515625" style="322" customWidth="1"/>
    <col min="6" max="16384" width="9.140625" style="322"/>
  </cols>
  <sheetData>
    <row r="1" spans="1:5" ht="29.25" customHeight="1" thickBot="1" x14ac:dyDescent="0.25">
      <c r="A1" s="682" t="s">
        <v>534</v>
      </c>
      <c r="B1" s="682"/>
      <c r="C1" s="682"/>
      <c r="D1" s="682"/>
      <c r="E1" s="682"/>
    </row>
    <row r="2" spans="1:5" ht="15" customHeight="1" x14ac:dyDescent="0.2">
      <c r="A2" s="675" t="s">
        <v>501</v>
      </c>
      <c r="B2" s="677" t="s">
        <v>23</v>
      </c>
      <c r="C2" s="679" t="s">
        <v>24</v>
      </c>
      <c r="D2" s="679"/>
      <c r="E2" s="679"/>
    </row>
    <row r="3" spans="1:5" ht="48" x14ac:dyDescent="0.2">
      <c r="A3" s="676"/>
      <c r="B3" s="678"/>
      <c r="C3" s="215" t="s">
        <v>25</v>
      </c>
      <c r="D3" s="215" t="s">
        <v>26</v>
      </c>
      <c r="E3" s="215" t="s">
        <v>27</v>
      </c>
    </row>
    <row r="4" spans="1:5" x14ac:dyDescent="0.2">
      <c r="A4" s="228" t="s">
        <v>531</v>
      </c>
      <c r="B4" s="218">
        <v>93740.212785030439</v>
      </c>
      <c r="C4" s="402">
        <v>92609.432480779549</v>
      </c>
      <c r="D4" s="402">
        <v>1113.7675614638788</v>
      </c>
      <c r="E4" s="402">
        <v>17.012742792217825</v>
      </c>
    </row>
    <row r="5" spans="1:5" x14ac:dyDescent="0.2">
      <c r="A5" s="232" t="s">
        <v>14</v>
      </c>
      <c r="B5" s="216"/>
      <c r="C5" s="217"/>
      <c r="D5" s="217"/>
      <c r="E5" s="217"/>
    </row>
    <row r="6" spans="1:5" x14ac:dyDescent="0.2">
      <c r="A6" s="370" t="s">
        <v>5</v>
      </c>
      <c r="B6" s="394">
        <v>49566.059033710691</v>
      </c>
      <c r="C6" s="395">
        <v>48697.274968453181</v>
      </c>
      <c r="D6" s="396">
        <v>859.71060243342026</v>
      </c>
      <c r="E6" s="396">
        <v>9.0734628225161718</v>
      </c>
    </row>
    <row r="7" spans="1:5" x14ac:dyDescent="0.2">
      <c r="A7" s="72" t="s">
        <v>6</v>
      </c>
      <c r="B7" s="394">
        <v>44174.153751420607</v>
      </c>
      <c r="C7" s="395">
        <v>43912.157512419974</v>
      </c>
      <c r="D7" s="395">
        <v>254.05695903045228</v>
      </c>
      <c r="E7" s="395">
        <v>7.9392799697016496</v>
      </c>
    </row>
    <row r="8" spans="1:5" x14ac:dyDescent="0.2">
      <c r="A8" s="234" t="s">
        <v>542</v>
      </c>
      <c r="B8" s="397"/>
      <c r="C8" s="398"/>
      <c r="D8" s="398"/>
      <c r="E8" s="398"/>
    </row>
    <row r="9" spans="1:5" s="335" customFormat="1" x14ac:dyDescent="0.2">
      <c r="A9" s="371" t="s">
        <v>458</v>
      </c>
      <c r="B9" s="399">
        <v>39665.776911474648</v>
      </c>
      <c r="C9" s="400">
        <v>39049.915622395238</v>
      </c>
      <c r="D9" s="400">
        <v>611.32455766703447</v>
      </c>
      <c r="E9" s="400">
        <v>4.5367314112580859</v>
      </c>
    </row>
    <row r="10" spans="1:5" x14ac:dyDescent="0.2">
      <c r="A10" s="61" t="s">
        <v>458</v>
      </c>
      <c r="B10" s="394">
        <v>39665.776911474648</v>
      </c>
      <c r="C10" s="395">
        <v>39049.915622395238</v>
      </c>
      <c r="D10" s="395">
        <v>611.32455766703447</v>
      </c>
      <c r="E10" s="394">
        <v>4.5367314112580859</v>
      </c>
    </row>
    <row r="11" spans="1:5" s="335" customFormat="1" x14ac:dyDescent="0.2">
      <c r="A11" s="371" t="s">
        <v>459</v>
      </c>
      <c r="B11" s="399">
        <v>22412.587354461848</v>
      </c>
      <c r="C11" s="400">
        <v>22222.044635189272</v>
      </c>
      <c r="D11" s="400">
        <v>183.73762215595212</v>
      </c>
      <c r="E11" s="399">
        <v>6.8050971168871284</v>
      </c>
    </row>
    <row r="12" spans="1:5" x14ac:dyDescent="0.2">
      <c r="A12" s="61" t="s">
        <v>459</v>
      </c>
      <c r="B12" s="394">
        <v>18738.969094200686</v>
      </c>
      <c r="C12" s="395">
        <v>18559.768203456239</v>
      </c>
      <c r="D12" s="395">
        <v>172.39579362780694</v>
      </c>
      <c r="E12" s="394">
        <v>6.8050971168871284</v>
      </c>
    </row>
    <row r="13" spans="1:5" x14ac:dyDescent="0.2">
      <c r="A13" s="61" t="s">
        <v>473</v>
      </c>
      <c r="B13" s="394">
        <v>3673.6182602659856</v>
      </c>
      <c r="C13" s="395">
        <v>3662.2764317378424</v>
      </c>
      <c r="D13" s="395">
        <v>11.341828528145216</v>
      </c>
      <c r="E13" s="394">
        <v>0</v>
      </c>
    </row>
    <row r="14" spans="1:5" s="335" customFormat="1" x14ac:dyDescent="0.2">
      <c r="A14" s="371" t="s">
        <v>461</v>
      </c>
      <c r="B14" s="399">
        <v>4164.7194355346137</v>
      </c>
      <c r="C14" s="400">
        <v>4121.6204871276523</v>
      </c>
      <c r="D14" s="400">
        <v>39.696399848508243</v>
      </c>
      <c r="E14" s="399">
        <v>3.4025485584435646</v>
      </c>
    </row>
    <row r="15" spans="1:5" x14ac:dyDescent="0.2">
      <c r="A15" s="61" t="s">
        <v>461</v>
      </c>
      <c r="B15" s="394">
        <v>4164.7194355346137</v>
      </c>
      <c r="C15" s="395">
        <v>4121.6204871276523</v>
      </c>
      <c r="D15" s="395">
        <v>39.696399848508243</v>
      </c>
      <c r="E15" s="394">
        <v>3.4025485584435646</v>
      </c>
    </row>
    <row r="16" spans="1:5" s="335" customFormat="1" x14ac:dyDescent="0.2">
      <c r="A16" s="371" t="s">
        <v>462</v>
      </c>
      <c r="B16" s="399">
        <v>12689.237757290457</v>
      </c>
      <c r="C16" s="400">
        <v>12638.199528913792</v>
      </c>
      <c r="D16" s="400">
        <v>51.038228376653429</v>
      </c>
      <c r="E16" s="399">
        <v>0</v>
      </c>
    </row>
    <row r="17" spans="1:5" x14ac:dyDescent="0.2">
      <c r="A17" s="61" t="s">
        <v>462</v>
      </c>
      <c r="B17" s="394">
        <v>12689.237757290457</v>
      </c>
      <c r="C17" s="395">
        <v>12638.199528913792</v>
      </c>
      <c r="D17" s="395">
        <v>51.038228376653429</v>
      </c>
      <c r="E17" s="394">
        <v>0</v>
      </c>
    </row>
    <row r="18" spans="1:5" s="335" customFormat="1" x14ac:dyDescent="0.2">
      <c r="A18" s="371" t="s">
        <v>463</v>
      </c>
      <c r="B18" s="399">
        <v>5439.5409620984201</v>
      </c>
      <c r="C18" s="400">
        <v>5355.6114309901268</v>
      </c>
      <c r="D18" s="400">
        <v>83.929531108274475</v>
      </c>
      <c r="E18" s="399">
        <v>0</v>
      </c>
    </row>
    <row r="19" spans="1:5" x14ac:dyDescent="0.2">
      <c r="A19" s="61" t="s">
        <v>463</v>
      </c>
      <c r="B19" s="394">
        <v>5439.5409620984201</v>
      </c>
      <c r="C19" s="395">
        <v>5355.6114309901268</v>
      </c>
      <c r="D19" s="395">
        <v>83.929531108274475</v>
      </c>
      <c r="E19" s="394">
        <v>0</v>
      </c>
    </row>
    <row r="20" spans="1:5" s="335" customFormat="1" x14ac:dyDescent="0.2">
      <c r="A20" s="371" t="s">
        <v>464</v>
      </c>
      <c r="B20" s="399">
        <v>2943.2045030535637</v>
      </c>
      <c r="C20" s="400">
        <v>2942.0703202007494</v>
      </c>
      <c r="D20" s="400">
        <v>0</v>
      </c>
      <c r="E20" s="399">
        <v>1.1341828528145215</v>
      </c>
    </row>
    <row r="21" spans="1:5" x14ac:dyDescent="0.2">
      <c r="A21" s="61" t="s">
        <v>464</v>
      </c>
      <c r="B21" s="394">
        <v>640.81331184021269</v>
      </c>
      <c r="C21" s="395">
        <v>640.81331184021269</v>
      </c>
      <c r="D21" s="395">
        <v>0</v>
      </c>
      <c r="E21" s="395">
        <v>0</v>
      </c>
    </row>
    <row r="22" spans="1:5" x14ac:dyDescent="0.2">
      <c r="A22" s="61" t="s">
        <v>465</v>
      </c>
      <c r="B22" s="394">
        <v>2302.3911912134731</v>
      </c>
      <c r="C22" s="395">
        <v>2301.2570083606588</v>
      </c>
      <c r="D22" s="395">
        <v>0</v>
      </c>
      <c r="E22" s="395">
        <v>1.1341828528145215</v>
      </c>
    </row>
    <row r="23" spans="1:5" s="335" customFormat="1" x14ac:dyDescent="0.2">
      <c r="A23" s="371" t="s">
        <v>466</v>
      </c>
      <c r="B23" s="399">
        <v>1390.5081775506283</v>
      </c>
      <c r="C23" s="401">
        <v>1274.8215265635445</v>
      </c>
      <c r="D23" s="400">
        <v>114.55246813426648</v>
      </c>
      <c r="E23" s="400">
        <v>1.1341828528145215</v>
      </c>
    </row>
    <row r="24" spans="1:5" x14ac:dyDescent="0.2">
      <c r="A24" s="61" t="s">
        <v>466</v>
      </c>
      <c r="B24" s="394">
        <v>1390.5081775506283</v>
      </c>
      <c r="C24" s="395">
        <v>1274.8215265635445</v>
      </c>
      <c r="D24" s="395">
        <v>114.55246813426648</v>
      </c>
      <c r="E24" s="395">
        <v>1.1341828528145215</v>
      </c>
    </row>
    <row r="25" spans="1:5" s="335" customFormat="1" x14ac:dyDescent="0.2">
      <c r="A25" s="371" t="s">
        <v>467</v>
      </c>
      <c r="B25" s="399">
        <v>3184.7854507030138</v>
      </c>
      <c r="C25" s="400">
        <v>3165.5043422051704</v>
      </c>
      <c r="D25" s="400">
        <v>19.281108497846869</v>
      </c>
      <c r="E25" s="400">
        <v>0</v>
      </c>
    </row>
    <row r="26" spans="1:5" x14ac:dyDescent="0.2">
      <c r="A26" s="61" t="s">
        <v>467</v>
      </c>
      <c r="B26" s="394">
        <v>3184.7854507030138</v>
      </c>
      <c r="C26" s="394">
        <v>3165.5043422051704</v>
      </c>
      <c r="D26" s="394">
        <v>19.281108497846869</v>
      </c>
      <c r="E26" s="394">
        <v>0</v>
      </c>
    </row>
    <row r="27" spans="1:5" s="335" customFormat="1" x14ac:dyDescent="0.2">
      <c r="A27" s="371" t="s">
        <v>468</v>
      </c>
      <c r="B27" s="399">
        <v>1849.8522329405198</v>
      </c>
      <c r="C27" s="400">
        <v>1839.6445872651889</v>
      </c>
      <c r="D27" s="400">
        <v>10.207645675330694</v>
      </c>
      <c r="E27" s="400">
        <v>0</v>
      </c>
    </row>
    <row r="28" spans="1:5" x14ac:dyDescent="0.2">
      <c r="A28" s="61" t="s">
        <v>468</v>
      </c>
      <c r="B28" s="394">
        <v>1849.8522329405198</v>
      </c>
      <c r="C28" s="395">
        <v>1839.6445872651889</v>
      </c>
      <c r="D28" s="395">
        <v>10.207645675330694</v>
      </c>
      <c r="E28" s="395">
        <v>0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zoomScale="120" zoomScaleNormal="120" workbookViewId="0">
      <selection activeCell="A4" sqref="A4"/>
    </sheetView>
  </sheetViews>
  <sheetFormatPr defaultRowHeight="12" x14ac:dyDescent="0.2"/>
  <cols>
    <col min="1" max="1" width="22.85546875" style="322" customWidth="1"/>
    <col min="2" max="3" width="12.42578125" style="322" customWidth="1"/>
    <col min="4" max="4" width="11.5703125" style="322" customWidth="1"/>
    <col min="5" max="5" width="12.42578125" style="322" customWidth="1"/>
    <col min="6" max="6" width="12.28515625" style="322" customWidth="1"/>
    <col min="7" max="7" width="11.28515625" style="322" customWidth="1"/>
    <col min="8" max="8" width="11.7109375" style="322" customWidth="1"/>
    <col min="9" max="9" width="11.42578125" style="322" customWidth="1"/>
    <col min="10" max="10" width="13.85546875" style="322" customWidth="1"/>
    <col min="11" max="16384" width="9.140625" style="322"/>
  </cols>
  <sheetData>
    <row r="1" spans="1:10" ht="27" customHeight="1" thickBot="1" x14ac:dyDescent="0.25">
      <c r="A1" s="682" t="s">
        <v>535</v>
      </c>
      <c r="B1" s="682"/>
      <c r="C1" s="682"/>
      <c r="D1" s="682"/>
      <c r="E1" s="682"/>
      <c r="F1" s="682"/>
      <c r="G1" s="682"/>
      <c r="H1" s="682"/>
      <c r="I1" s="682"/>
      <c r="J1" s="682"/>
    </row>
    <row r="2" spans="1:10" ht="12" customHeight="1" x14ac:dyDescent="0.2">
      <c r="A2" s="675" t="s">
        <v>501</v>
      </c>
      <c r="B2" s="683" t="s">
        <v>23</v>
      </c>
      <c r="C2" s="685" t="s">
        <v>28</v>
      </c>
      <c r="D2" s="685"/>
      <c r="E2" s="685"/>
      <c r="F2" s="685"/>
      <c r="G2" s="685"/>
      <c r="H2" s="685"/>
      <c r="I2" s="685"/>
      <c r="J2" s="685"/>
    </row>
    <row r="3" spans="1:10" x14ac:dyDescent="0.2">
      <c r="A3" s="676"/>
      <c r="B3" s="684"/>
      <c r="C3" s="364" t="s">
        <v>29</v>
      </c>
      <c r="D3" s="364" t="s">
        <v>30</v>
      </c>
      <c r="E3" s="364" t="s">
        <v>31</v>
      </c>
      <c r="F3" s="364" t="s">
        <v>32</v>
      </c>
      <c r="G3" s="364" t="s">
        <v>33</v>
      </c>
      <c r="H3" s="364" t="s">
        <v>34</v>
      </c>
      <c r="I3" s="364" t="s">
        <v>35</v>
      </c>
      <c r="J3" s="364" t="s">
        <v>22</v>
      </c>
    </row>
    <row r="4" spans="1:10" x14ac:dyDescent="0.2">
      <c r="A4" s="228" t="s">
        <v>531</v>
      </c>
      <c r="B4" s="221">
        <v>93740.212785030439</v>
      </c>
      <c r="C4" s="214">
        <v>437.79458118640883</v>
      </c>
      <c r="D4" s="214">
        <v>19002.099516053291</v>
      </c>
      <c r="E4" s="214">
        <v>494.50372382713618</v>
      </c>
      <c r="F4" s="214">
        <v>64155.053069490532</v>
      </c>
      <c r="G4" s="214">
        <v>97.539725342048698</v>
      </c>
      <c r="H4" s="214">
        <v>841.56367678838751</v>
      </c>
      <c r="I4" s="214">
        <v>4796.459284552443</v>
      </c>
      <c r="J4" s="214">
        <v>3915.1992079154356</v>
      </c>
    </row>
    <row r="5" spans="1:10" x14ac:dyDescent="0.2">
      <c r="A5" s="232" t="s">
        <v>14</v>
      </c>
      <c r="B5" s="365"/>
      <c r="C5" s="366"/>
      <c r="D5" s="366"/>
      <c r="E5" s="366"/>
      <c r="F5" s="366"/>
      <c r="G5" s="366"/>
      <c r="H5" s="366"/>
      <c r="I5" s="366"/>
      <c r="J5" s="366"/>
    </row>
    <row r="6" spans="1:10" x14ac:dyDescent="0.2">
      <c r="A6" s="370" t="s">
        <v>5</v>
      </c>
      <c r="B6" s="112">
        <v>49566.059033710691</v>
      </c>
      <c r="C6" s="112">
        <v>237.0442162382345</v>
      </c>
      <c r="D6" s="112">
        <v>10568.315822526829</v>
      </c>
      <c r="E6" s="112">
        <v>432.1236669223361</v>
      </c>
      <c r="F6" s="112">
        <v>34709.397844666135</v>
      </c>
      <c r="G6" s="112">
        <v>43.098948406951799</v>
      </c>
      <c r="H6" s="112">
        <v>382.21962139849603</v>
      </c>
      <c r="I6" s="112">
        <v>964.05542489235859</v>
      </c>
      <c r="J6" s="112">
        <v>2229.8034886333567</v>
      </c>
    </row>
    <row r="7" spans="1:10" x14ac:dyDescent="0.2">
      <c r="A7" s="72" t="s">
        <v>6</v>
      </c>
      <c r="B7" s="112">
        <v>44174.153751420607</v>
      </c>
      <c r="C7" s="112">
        <v>200.7503649481699</v>
      </c>
      <c r="D7" s="112">
        <v>8433.7836935294235</v>
      </c>
      <c r="E7" s="112">
        <v>62.380056904798614</v>
      </c>
      <c r="F7" s="112">
        <v>29445.655224754984</v>
      </c>
      <c r="G7" s="112">
        <v>54.440776935096984</v>
      </c>
      <c r="H7" s="112">
        <v>459.34405538988523</v>
      </c>
      <c r="I7" s="112">
        <v>3832.4038596599903</v>
      </c>
      <c r="J7" s="112">
        <v>1685.3957192824105</v>
      </c>
    </row>
    <row r="8" spans="1:10" x14ac:dyDescent="0.2">
      <c r="A8" s="234" t="s">
        <v>542</v>
      </c>
      <c r="B8" s="367"/>
      <c r="C8" s="367"/>
      <c r="D8" s="367"/>
      <c r="E8" s="367"/>
      <c r="F8" s="367"/>
      <c r="G8" s="367"/>
      <c r="H8" s="367"/>
      <c r="I8" s="367"/>
      <c r="J8" s="367"/>
    </row>
    <row r="9" spans="1:10" s="335" customFormat="1" x14ac:dyDescent="0.2">
      <c r="A9" s="371" t="s">
        <v>458</v>
      </c>
      <c r="B9" s="109">
        <v>39665.776911474648</v>
      </c>
      <c r="C9" s="109">
        <v>204.15291350661346</v>
      </c>
      <c r="D9" s="109">
        <v>11538.042161683461</v>
      </c>
      <c r="E9" s="109">
        <v>306.22937025992138</v>
      </c>
      <c r="F9" s="109">
        <v>24938.4125676763</v>
      </c>
      <c r="G9" s="109">
        <v>32.891302731621131</v>
      </c>
      <c r="H9" s="109">
        <v>416.24510698293244</v>
      </c>
      <c r="I9" s="109">
        <v>970.86052200924587</v>
      </c>
      <c r="J9" s="109">
        <v>1258.9429666241408</v>
      </c>
    </row>
    <row r="10" spans="1:10" x14ac:dyDescent="0.2">
      <c r="A10" s="61" t="s">
        <v>458</v>
      </c>
      <c r="B10" s="112">
        <v>39665.776911474648</v>
      </c>
      <c r="C10" s="112">
        <v>204.15291350661346</v>
      </c>
      <c r="D10" s="112">
        <v>11538.042161683461</v>
      </c>
      <c r="E10" s="112">
        <v>306.22937025992138</v>
      </c>
      <c r="F10" s="112">
        <v>24938.4125676763</v>
      </c>
      <c r="G10" s="112">
        <v>32.891302731621131</v>
      </c>
      <c r="H10" s="112">
        <v>416.24510698293244</v>
      </c>
      <c r="I10" s="112">
        <v>970.86052200924587</v>
      </c>
      <c r="J10" s="112">
        <v>1258.9429666241408</v>
      </c>
    </row>
    <row r="11" spans="1:10" s="335" customFormat="1" x14ac:dyDescent="0.2">
      <c r="A11" s="371" t="s">
        <v>459</v>
      </c>
      <c r="B11" s="109">
        <v>22412.587354461848</v>
      </c>
      <c r="C11" s="109">
        <v>62.380056904798614</v>
      </c>
      <c r="D11" s="109">
        <v>2808.2367435686597</v>
      </c>
      <c r="E11" s="109">
        <v>121.35756525115359</v>
      </c>
      <c r="F11" s="109">
        <v>17308.764516803549</v>
      </c>
      <c r="G11" s="109">
        <v>47.635679818209873</v>
      </c>
      <c r="H11" s="109">
        <v>100.94227390049225</v>
      </c>
      <c r="I11" s="109">
        <v>717.93774583160189</v>
      </c>
      <c r="J11" s="109">
        <v>1245.3327723903662</v>
      </c>
    </row>
    <row r="12" spans="1:10" x14ac:dyDescent="0.2">
      <c r="A12" s="61" t="s">
        <v>459</v>
      </c>
      <c r="B12" s="112">
        <v>18738.969094200686</v>
      </c>
      <c r="C12" s="112">
        <v>40.830582701322761</v>
      </c>
      <c r="D12" s="112">
        <v>2469.1160705771781</v>
      </c>
      <c r="E12" s="112">
        <v>113.41828528145196</v>
      </c>
      <c r="F12" s="112">
        <v>14899.760137426452</v>
      </c>
      <c r="G12" s="112">
        <v>41.96476555413728</v>
      </c>
      <c r="H12" s="112">
        <v>30.622937025992091</v>
      </c>
      <c r="I12" s="112">
        <v>229.10493626853287</v>
      </c>
      <c r="J12" s="112">
        <v>914.15137936851852</v>
      </c>
    </row>
    <row r="13" spans="1:10" x14ac:dyDescent="0.2">
      <c r="A13" s="61" t="s">
        <v>473</v>
      </c>
      <c r="B13" s="112">
        <v>3673.6182602659856</v>
      </c>
      <c r="C13" s="112">
        <v>21.549474203475913</v>
      </c>
      <c r="D13" s="112">
        <v>339.12067299154324</v>
      </c>
      <c r="E13" s="112">
        <v>7.9392799697016496</v>
      </c>
      <c r="F13" s="112">
        <v>2409.0043793780192</v>
      </c>
      <c r="G13" s="112">
        <v>5.6709142640726071</v>
      </c>
      <c r="H13" s="112">
        <v>70.319336874500252</v>
      </c>
      <c r="I13" s="112">
        <v>488.83280956306345</v>
      </c>
      <c r="J13" s="112">
        <v>331.18139302184142</v>
      </c>
    </row>
    <row r="14" spans="1:10" s="335" customFormat="1" x14ac:dyDescent="0.2">
      <c r="A14" s="371" t="s">
        <v>461</v>
      </c>
      <c r="B14" s="109">
        <v>4164.7194355346137</v>
      </c>
      <c r="C14" s="109">
        <v>96.405542489234179</v>
      </c>
      <c r="D14" s="109">
        <v>416.24510698293244</v>
      </c>
      <c r="E14" s="109">
        <v>14.744377086588782</v>
      </c>
      <c r="F14" s="109">
        <v>3196.127279231157</v>
      </c>
      <c r="G14" s="109">
        <v>0</v>
      </c>
      <c r="H14" s="109">
        <v>54.440776935096984</v>
      </c>
      <c r="I14" s="109">
        <v>208.68964491787153</v>
      </c>
      <c r="J14" s="109">
        <v>178.06670789187953</v>
      </c>
    </row>
    <row r="15" spans="1:10" x14ac:dyDescent="0.2">
      <c r="A15" s="61" t="s">
        <v>461</v>
      </c>
      <c r="B15" s="112">
        <v>4164.7194355346137</v>
      </c>
      <c r="C15" s="112">
        <v>96.405542489234179</v>
      </c>
      <c r="D15" s="112">
        <v>416.24510698293244</v>
      </c>
      <c r="E15" s="112">
        <v>14.744377086588782</v>
      </c>
      <c r="F15" s="112">
        <v>3196.127279231157</v>
      </c>
      <c r="G15" s="112">
        <v>0</v>
      </c>
      <c r="H15" s="112">
        <v>54.440776935096984</v>
      </c>
      <c r="I15" s="112">
        <v>208.68964491787153</v>
      </c>
      <c r="J15" s="112">
        <v>178.06670789187953</v>
      </c>
    </row>
    <row r="16" spans="1:10" s="335" customFormat="1" x14ac:dyDescent="0.2">
      <c r="A16" s="371" t="s">
        <v>462</v>
      </c>
      <c r="B16" s="109">
        <v>12689.237757290457</v>
      </c>
      <c r="C16" s="109">
        <v>39.696399848508243</v>
      </c>
      <c r="D16" s="109">
        <v>3179.1145364389422</v>
      </c>
      <c r="E16" s="109">
        <v>36.293851290064687</v>
      </c>
      <c r="F16" s="109">
        <v>8633.3998756248238</v>
      </c>
      <c r="G16" s="109">
        <v>4.5367314112580859</v>
      </c>
      <c r="H16" s="109">
        <v>63.514239757613133</v>
      </c>
      <c r="I16" s="109">
        <v>325.51047875776868</v>
      </c>
      <c r="J16" s="109">
        <v>407.17164416041607</v>
      </c>
    </row>
    <row r="17" spans="1:10" x14ac:dyDescent="0.2">
      <c r="A17" s="61" t="s">
        <v>462</v>
      </c>
      <c r="B17" s="112">
        <v>12689.237757290457</v>
      </c>
      <c r="C17" s="112">
        <v>39.696399848508243</v>
      </c>
      <c r="D17" s="112">
        <v>3179.1145364389422</v>
      </c>
      <c r="E17" s="112">
        <v>36.293851290064687</v>
      </c>
      <c r="F17" s="112">
        <v>8633.3998756248238</v>
      </c>
      <c r="G17" s="112">
        <v>4.5367314112580859</v>
      </c>
      <c r="H17" s="112">
        <v>63.514239757613133</v>
      </c>
      <c r="I17" s="112">
        <v>325.51047875776868</v>
      </c>
      <c r="J17" s="112">
        <v>407.17164416041607</v>
      </c>
    </row>
    <row r="18" spans="1:10" s="335" customFormat="1" x14ac:dyDescent="0.2">
      <c r="A18" s="371" t="s">
        <v>463</v>
      </c>
      <c r="B18" s="109">
        <v>5439.5409620984201</v>
      </c>
      <c r="C18" s="109">
        <v>27.220388467548524</v>
      </c>
      <c r="D18" s="109">
        <v>514.91901517779797</v>
      </c>
      <c r="E18" s="109">
        <v>6.8050971168871284</v>
      </c>
      <c r="F18" s="109">
        <v>2402.1992822611332</v>
      </c>
      <c r="G18" s="109">
        <v>7.9392799697016496</v>
      </c>
      <c r="H18" s="109">
        <v>144.04122230744397</v>
      </c>
      <c r="I18" s="109">
        <v>1895.2195470531017</v>
      </c>
      <c r="J18" s="109">
        <v>441.19712974485248</v>
      </c>
    </row>
    <row r="19" spans="1:10" x14ac:dyDescent="0.2">
      <c r="A19" s="61" t="s">
        <v>463</v>
      </c>
      <c r="B19" s="112">
        <v>5439.5409620984201</v>
      </c>
      <c r="C19" s="112">
        <v>27.220388467548524</v>
      </c>
      <c r="D19" s="112">
        <v>514.91901517779797</v>
      </c>
      <c r="E19" s="112">
        <v>6.8050971168871284</v>
      </c>
      <c r="F19" s="112">
        <v>2402.1992822611332</v>
      </c>
      <c r="G19" s="112">
        <v>7.9392799697016496</v>
      </c>
      <c r="H19" s="112">
        <v>144.04122230744397</v>
      </c>
      <c r="I19" s="112">
        <v>1895.2195470531017</v>
      </c>
      <c r="J19" s="112">
        <v>441.19712974485248</v>
      </c>
    </row>
    <row r="20" spans="1:10" s="335" customFormat="1" x14ac:dyDescent="0.2">
      <c r="A20" s="371" t="s">
        <v>464</v>
      </c>
      <c r="B20" s="109">
        <v>2943.2045030535637</v>
      </c>
      <c r="C20" s="109">
        <v>1.1341828528145215</v>
      </c>
      <c r="D20" s="109">
        <v>192.81108497846827</v>
      </c>
      <c r="E20" s="109">
        <v>2.2683657056290429</v>
      </c>
      <c r="F20" s="109">
        <v>2410.1385622308335</v>
      </c>
      <c r="G20" s="109">
        <v>1.1341828528145215</v>
      </c>
      <c r="H20" s="109">
        <v>30.622937025992091</v>
      </c>
      <c r="I20" s="109">
        <v>148.57795371870205</v>
      </c>
      <c r="J20" s="109">
        <v>156.51723368840368</v>
      </c>
    </row>
    <row r="21" spans="1:10" x14ac:dyDescent="0.2">
      <c r="A21" s="61" t="s">
        <v>464</v>
      </c>
      <c r="B21" s="112">
        <v>640.81331184021269</v>
      </c>
      <c r="C21" s="112">
        <v>1.1341828528145215</v>
      </c>
      <c r="D21" s="112">
        <v>37.428034142879206</v>
      </c>
      <c r="E21" s="112">
        <v>1.1341828528145215</v>
      </c>
      <c r="F21" s="112">
        <v>550.07868361504893</v>
      </c>
      <c r="G21" s="112">
        <v>1.1341828528145215</v>
      </c>
      <c r="H21" s="112">
        <v>1.1341828528145215</v>
      </c>
      <c r="I21" s="112">
        <v>38.562216995693724</v>
      </c>
      <c r="J21" s="112">
        <v>10.207645675330694</v>
      </c>
    </row>
    <row r="22" spans="1:10" x14ac:dyDescent="0.2">
      <c r="A22" s="61" t="s">
        <v>465</v>
      </c>
      <c r="B22" s="112">
        <v>2302.3911912134731</v>
      </c>
      <c r="C22" s="112">
        <v>0</v>
      </c>
      <c r="D22" s="112">
        <v>155.38305083558916</v>
      </c>
      <c r="E22" s="112">
        <v>1.1341828528145215</v>
      </c>
      <c r="F22" s="112">
        <v>1860.0598786158507</v>
      </c>
      <c r="G22" s="112">
        <v>0</v>
      </c>
      <c r="H22" s="112">
        <v>29.488754173177568</v>
      </c>
      <c r="I22" s="112">
        <v>110.0157367230084</v>
      </c>
      <c r="J22" s="112">
        <v>146.30958801307301</v>
      </c>
    </row>
    <row r="23" spans="1:10" s="335" customFormat="1" x14ac:dyDescent="0.2">
      <c r="A23" s="371" t="s">
        <v>466</v>
      </c>
      <c r="B23" s="109">
        <v>1390.5081775506283</v>
      </c>
      <c r="C23" s="109">
        <v>4.5367314112580859</v>
      </c>
      <c r="D23" s="109">
        <v>96.405542489234179</v>
      </c>
      <c r="E23" s="109">
        <v>1.1341828528145215</v>
      </c>
      <c r="F23" s="109">
        <v>1167.0741555461625</v>
      </c>
      <c r="G23" s="109">
        <v>1.1341828528145215</v>
      </c>
      <c r="H23" s="109">
        <v>1.1341828528145215</v>
      </c>
      <c r="I23" s="109">
        <v>29.488754173177568</v>
      </c>
      <c r="J23" s="109">
        <v>89.600445372347068</v>
      </c>
    </row>
    <row r="24" spans="1:10" x14ac:dyDescent="0.2">
      <c r="A24" s="61" t="s">
        <v>466</v>
      </c>
      <c r="B24" s="112">
        <v>1390.5081775506283</v>
      </c>
      <c r="C24" s="112">
        <v>4.5367314112580859</v>
      </c>
      <c r="D24" s="112">
        <v>96.405542489234179</v>
      </c>
      <c r="E24" s="112">
        <v>1.1341828528145215</v>
      </c>
      <c r="F24" s="112">
        <v>1167.0741555461625</v>
      </c>
      <c r="G24" s="112">
        <v>1.1341828528145215</v>
      </c>
      <c r="H24" s="112">
        <v>1.1341828528145215</v>
      </c>
      <c r="I24" s="112">
        <v>29.488754173177568</v>
      </c>
      <c r="J24" s="112">
        <v>89.600445372347068</v>
      </c>
    </row>
    <row r="25" spans="1:10" s="335" customFormat="1" x14ac:dyDescent="0.2">
      <c r="A25" s="371" t="s">
        <v>467</v>
      </c>
      <c r="B25" s="109">
        <v>3184.7854507030138</v>
      </c>
      <c r="C25" s="109">
        <v>0</v>
      </c>
      <c r="D25" s="109">
        <v>220.03147344601672</v>
      </c>
      <c r="E25" s="109">
        <v>5.6709142640726071</v>
      </c>
      <c r="F25" s="109">
        <v>2378.3814423520325</v>
      </c>
      <c r="G25" s="109">
        <v>1.1341828528145215</v>
      </c>
      <c r="H25" s="109">
        <v>17.012742792217825</v>
      </c>
      <c r="I25" s="109">
        <v>442.33131259766702</v>
      </c>
      <c r="J25" s="109">
        <v>120.22338239833907</v>
      </c>
    </row>
    <row r="26" spans="1:10" x14ac:dyDescent="0.2">
      <c r="A26" s="61" t="s">
        <v>467</v>
      </c>
      <c r="B26" s="112">
        <v>3184.7854507030138</v>
      </c>
      <c r="C26" s="112">
        <v>0</v>
      </c>
      <c r="D26" s="112">
        <v>220.03147344601672</v>
      </c>
      <c r="E26" s="112">
        <v>5.6709142640726071</v>
      </c>
      <c r="F26" s="112">
        <v>2378.3814423520325</v>
      </c>
      <c r="G26" s="112">
        <v>1.1341828528145215</v>
      </c>
      <c r="H26" s="112">
        <v>17.012742792217825</v>
      </c>
      <c r="I26" s="112">
        <v>442.33131259766702</v>
      </c>
      <c r="J26" s="112">
        <v>120.22338239833907</v>
      </c>
    </row>
    <row r="27" spans="1:10" s="335" customFormat="1" x14ac:dyDescent="0.2">
      <c r="A27" s="371" t="s">
        <v>468</v>
      </c>
      <c r="B27" s="109">
        <v>1849.8522329405198</v>
      </c>
      <c r="C27" s="109">
        <v>2.2683657056290429</v>
      </c>
      <c r="D27" s="109">
        <v>36.293851290064687</v>
      </c>
      <c r="E27" s="109">
        <v>0</v>
      </c>
      <c r="F27" s="109">
        <v>1720.5553877196614</v>
      </c>
      <c r="G27" s="109">
        <v>1.1341828528145215</v>
      </c>
      <c r="H27" s="109">
        <v>13.61019423377426</v>
      </c>
      <c r="I27" s="109">
        <v>57.84332549354054</v>
      </c>
      <c r="J27" s="109">
        <v>18.146925645032347</v>
      </c>
    </row>
    <row r="28" spans="1:10" x14ac:dyDescent="0.2">
      <c r="A28" s="61" t="s">
        <v>468</v>
      </c>
      <c r="B28" s="112">
        <v>1849.8522329405198</v>
      </c>
      <c r="C28" s="112">
        <v>2.2683657056290429</v>
      </c>
      <c r="D28" s="112">
        <v>36.293851290064687</v>
      </c>
      <c r="E28" s="112">
        <v>0</v>
      </c>
      <c r="F28" s="112">
        <v>1720.5553877196614</v>
      </c>
      <c r="G28" s="112">
        <v>1.1341828528145215</v>
      </c>
      <c r="H28" s="112">
        <v>13.61019423377426</v>
      </c>
      <c r="I28" s="112">
        <v>57.84332549354054</v>
      </c>
      <c r="J28" s="112">
        <v>18.146925645032347</v>
      </c>
    </row>
    <row r="35" spans="1:1" x14ac:dyDescent="0.2">
      <c r="A35" s="335"/>
    </row>
  </sheetData>
  <mergeCells count="4">
    <mergeCell ref="A1:J1"/>
    <mergeCell ref="A2:A3"/>
    <mergeCell ref="B2:B3"/>
    <mergeCell ref="C2:J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="120" zoomScaleNormal="120" workbookViewId="0">
      <selection activeCell="B31" sqref="B31"/>
    </sheetView>
  </sheetViews>
  <sheetFormatPr defaultRowHeight="12" x14ac:dyDescent="0.2"/>
  <cols>
    <col min="1" max="1" width="22.5703125" style="322" customWidth="1"/>
    <col min="2" max="2" width="19.7109375" style="322" customWidth="1"/>
    <col min="3" max="3" width="14.28515625" style="322" customWidth="1"/>
    <col min="4" max="4" width="12.140625" style="322" customWidth="1"/>
    <col min="5" max="6" width="11.7109375" style="322" customWidth="1"/>
    <col min="7" max="7" width="11.140625" style="322" customWidth="1"/>
    <col min="8" max="8" width="12.28515625" style="322" customWidth="1"/>
    <col min="9" max="16384" width="9.140625" style="322"/>
  </cols>
  <sheetData>
    <row r="1" spans="1:8" ht="27" customHeight="1" x14ac:dyDescent="0.2">
      <c r="A1" s="686" t="s">
        <v>536</v>
      </c>
      <c r="B1" s="686"/>
      <c r="C1" s="686"/>
      <c r="D1" s="686"/>
      <c r="E1" s="686"/>
      <c r="F1" s="686"/>
      <c r="G1" s="686"/>
      <c r="H1" s="686"/>
    </row>
    <row r="2" spans="1:8" x14ac:dyDescent="0.2">
      <c r="A2" s="687" t="s">
        <v>341</v>
      </c>
      <c r="B2" s="688" t="s">
        <v>23</v>
      </c>
      <c r="C2" s="689" t="s">
        <v>36</v>
      </c>
      <c r="D2" s="689"/>
      <c r="E2" s="689"/>
      <c r="F2" s="689"/>
      <c r="G2" s="689"/>
      <c r="H2" s="689"/>
    </row>
    <row r="3" spans="1:8" ht="24" x14ac:dyDescent="0.2">
      <c r="A3" s="676"/>
      <c r="B3" s="678"/>
      <c r="C3" s="3" t="s">
        <v>37</v>
      </c>
      <c r="D3" s="3" t="s">
        <v>38</v>
      </c>
      <c r="E3" s="3" t="s">
        <v>39</v>
      </c>
      <c r="F3" s="3" t="s">
        <v>34</v>
      </c>
      <c r="G3" s="3" t="s">
        <v>40</v>
      </c>
      <c r="H3" s="3" t="s">
        <v>22</v>
      </c>
    </row>
    <row r="4" spans="1:8" x14ac:dyDescent="0.2">
      <c r="A4" s="228" t="s">
        <v>531</v>
      </c>
      <c r="B4" s="221">
        <v>93740.212785030439</v>
      </c>
      <c r="C4" s="214">
        <v>1.1341828528145215</v>
      </c>
      <c r="D4" s="214">
        <v>4307.6264749892753</v>
      </c>
      <c r="E4" s="214">
        <v>4357.5305205131253</v>
      </c>
      <c r="F4" s="214">
        <v>61790.281821367935</v>
      </c>
      <c r="G4" s="214">
        <v>11871.491920411005</v>
      </c>
      <c r="H4" s="214">
        <v>11412.147865021021</v>
      </c>
    </row>
    <row r="5" spans="1:8" x14ac:dyDescent="0.2">
      <c r="A5" s="232" t="s">
        <v>14</v>
      </c>
      <c r="B5" s="112"/>
      <c r="C5" s="114"/>
      <c r="D5" s="111"/>
      <c r="E5" s="111"/>
      <c r="F5" s="111"/>
      <c r="G5" s="111"/>
      <c r="H5" s="111"/>
    </row>
    <row r="6" spans="1:8" x14ac:dyDescent="0.2">
      <c r="A6" s="370" t="s">
        <v>5</v>
      </c>
      <c r="B6" s="112">
        <v>49566.059033710691</v>
      </c>
      <c r="C6" s="113">
        <v>1.1341828528145215</v>
      </c>
      <c r="D6" s="113">
        <v>2323.9406654169452</v>
      </c>
      <c r="E6" s="113">
        <v>2320.5381168585022</v>
      </c>
      <c r="F6" s="113">
        <v>39210.969587495194</v>
      </c>
      <c r="G6" s="113">
        <v>1878.2068042608835</v>
      </c>
      <c r="H6" s="113">
        <v>3831.269676807176</v>
      </c>
    </row>
    <row r="7" spans="1:8" x14ac:dyDescent="0.2">
      <c r="A7" s="72" t="s">
        <v>6</v>
      </c>
      <c r="B7" s="112">
        <v>44174.153751420607</v>
      </c>
      <c r="C7" s="113">
        <v>0</v>
      </c>
      <c r="D7" s="113">
        <v>1983.6858095726363</v>
      </c>
      <c r="E7" s="113">
        <v>2036.9924036549201</v>
      </c>
      <c r="F7" s="113">
        <v>22579.312233825352</v>
      </c>
      <c r="G7" s="113">
        <v>9993.2851161497383</v>
      </c>
      <c r="H7" s="112">
        <v>7580.8781882127141</v>
      </c>
    </row>
    <row r="8" spans="1:8" x14ac:dyDescent="0.2">
      <c r="A8" s="234" t="s">
        <v>542</v>
      </c>
      <c r="B8" s="219"/>
      <c r="C8" s="220"/>
      <c r="D8" s="220"/>
      <c r="E8" s="220"/>
      <c r="F8" s="220"/>
      <c r="G8" s="220"/>
      <c r="H8" s="219"/>
    </row>
    <row r="9" spans="1:8" s="335" customFormat="1" x14ac:dyDescent="0.2">
      <c r="A9" s="371" t="s">
        <v>458</v>
      </c>
      <c r="B9" s="109">
        <v>39665.776911474648</v>
      </c>
      <c r="C9" s="110">
        <v>1.1341828528145215</v>
      </c>
      <c r="D9" s="110">
        <v>2667.598069819684</v>
      </c>
      <c r="E9" s="110">
        <v>2635.8409499408831</v>
      </c>
      <c r="F9" s="110">
        <v>28288.78871488577</v>
      </c>
      <c r="G9" s="110">
        <v>2473.6528019884354</v>
      </c>
      <c r="H9" s="109">
        <v>3598.7621919802405</v>
      </c>
    </row>
    <row r="10" spans="1:8" x14ac:dyDescent="0.2">
      <c r="A10" s="61" t="s">
        <v>458</v>
      </c>
      <c r="B10" s="112">
        <v>39665.776911474648</v>
      </c>
      <c r="C10" s="113">
        <v>1.1341828528145215</v>
      </c>
      <c r="D10" s="113">
        <v>2667.598069819684</v>
      </c>
      <c r="E10" s="113">
        <v>2635.8409499408831</v>
      </c>
      <c r="F10" s="113">
        <v>28288.78871488577</v>
      </c>
      <c r="G10" s="113">
        <v>2473.6528019884354</v>
      </c>
      <c r="H10" s="112">
        <v>3598.7621919802405</v>
      </c>
    </row>
    <row r="11" spans="1:8" s="335" customFormat="1" x14ac:dyDescent="0.2">
      <c r="A11" s="371" t="s">
        <v>459</v>
      </c>
      <c r="B11" s="109">
        <v>22412.587354461848</v>
      </c>
      <c r="C11" s="110">
        <v>0</v>
      </c>
      <c r="D11" s="109">
        <v>551.21286646786348</v>
      </c>
      <c r="E11" s="109">
        <v>631.73984901769632</v>
      </c>
      <c r="F11" s="109">
        <v>16986.656586604669</v>
      </c>
      <c r="G11" s="109">
        <v>1636.625856611385</v>
      </c>
      <c r="H11" s="109">
        <v>2606.3521957677108</v>
      </c>
    </row>
    <row r="12" spans="1:8" x14ac:dyDescent="0.2">
      <c r="A12" s="61" t="s">
        <v>459</v>
      </c>
      <c r="B12" s="112">
        <v>18738.969094200686</v>
      </c>
      <c r="C12" s="113">
        <v>0</v>
      </c>
      <c r="D12" s="112">
        <v>467.28333535958706</v>
      </c>
      <c r="E12" s="112">
        <v>561.4205121431944</v>
      </c>
      <c r="F12" s="112">
        <v>15604.087689024427</v>
      </c>
      <c r="G12" s="112">
        <v>800.73309408706382</v>
      </c>
      <c r="H12" s="112">
        <v>1305.4444635895372</v>
      </c>
    </row>
    <row r="13" spans="1:8" x14ac:dyDescent="0.2">
      <c r="A13" s="61" t="s">
        <v>473</v>
      </c>
      <c r="B13" s="112">
        <v>3673.6182602659856</v>
      </c>
      <c r="C13" s="113">
        <v>0</v>
      </c>
      <c r="D13" s="112">
        <v>83.929531108274475</v>
      </c>
      <c r="E13" s="112">
        <v>70.319336874500252</v>
      </c>
      <c r="F13" s="112">
        <v>1382.5688975809264</v>
      </c>
      <c r="G13" s="112">
        <v>835.89276252431478</v>
      </c>
      <c r="H13" s="112">
        <v>1300.907732178279</v>
      </c>
    </row>
    <row r="14" spans="1:8" s="335" customFormat="1" x14ac:dyDescent="0.2">
      <c r="A14" s="371" t="s">
        <v>461</v>
      </c>
      <c r="B14" s="109">
        <v>4164.7194355346137</v>
      </c>
      <c r="C14" s="110">
        <v>0</v>
      </c>
      <c r="D14" s="109">
        <v>86.197896813903512</v>
      </c>
      <c r="E14" s="109">
        <v>70.319336874500252</v>
      </c>
      <c r="F14" s="109">
        <v>3129.2104909151121</v>
      </c>
      <c r="G14" s="109">
        <v>445.73386115611066</v>
      </c>
      <c r="H14" s="109">
        <v>433.25784977515065</v>
      </c>
    </row>
    <row r="15" spans="1:8" x14ac:dyDescent="0.2">
      <c r="A15" s="61" t="s">
        <v>461</v>
      </c>
      <c r="B15" s="112">
        <v>4164.7194355346137</v>
      </c>
      <c r="C15" s="113">
        <v>0</v>
      </c>
      <c r="D15" s="112">
        <v>86.197896813903512</v>
      </c>
      <c r="E15" s="112">
        <v>70.319336874500252</v>
      </c>
      <c r="F15" s="112">
        <v>3129.2104909151121</v>
      </c>
      <c r="G15" s="112">
        <v>445.73386115611066</v>
      </c>
      <c r="H15" s="112">
        <v>433.25784977515065</v>
      </c>
    </row>
    <row r="16" spans="1:8" s="335" customFormat="1" x14ac:dyDescent="0.2">
      <c r="A16" s="371" t="s">
        <v>462</v>
      </c>
      <c r="B16" s="109">
        <v>12689.237757290457</v>
      </c>
      <c r="C16" s="110">
        <v>0</v>
      </c>
      <c r="D16" s="109">
        <v>773.51270561951469</v>
      </c>
      <c r="E16" s="109">
        <v>766.70760850262741</v>
      </c>
      <c r="F16" s="109">
        <v>8119.615043299732</v>
      </c>
      <c r="G16" s="109">
        <v>1177.2818012214934</v>
      </c>
      <c r="H16" s="109">
        <v>1852.1205986461489</v>
      </c>
    </row>
    <row r="17" spans="1:8" x14ac:dyDescent="0.2">
      <c r="A17" s="61" t="s">
        <v>462</v>
      </c>
      <c r="B17" s="112">
        <v>12689.237757290457</v>
      </c>
      <c r="C17" s="113">
        <v>0</v>
      </c>
      <c r="D17" s="112">
        <v>773.51270561951469</v>
      </c>
      <c r="E17" s="112">
        <v>766.70760850262741</v>
      </c>
      <c r="F17" s="112">
        <v>8119.615043299732</v>
      </c>
      <c r="G17" s="112">
        <v>1177.2818012214934</v>
      </c>
      <c r="H17" s="112">
        <v>1852.1205986461489</v>
      </c>
    </row>
    <row r="18" spans="1:8" s="335" customFormat="1" x14ac:dyDescent="0.2">
      <c r="A18" s="371" t="s">
        <v>463</v>
      </c>
      <c r="B18" s="109">
        <v>5439.5409620984201</v>
      </c>
      <c r="C18" s="110">
        <v>0</v>
      </c>
      <c r="D18" s="109">
        <v>108.88155387019388</v>
      </c>
      <c r="E18" s="109">
        <v>120.22338239833907</v>
      </c>
      <c r="F18" s="109">
        <v>1961.0021525163454</v>
      </c>
      <c r="G18" s="109">
        <v>2602.9496472092678</v>
      </c>
      <c r="H18" s="109">
        <v>646.48422610428543</v>
      </c>
    </row>
    <row r="19" spans="1:8" x14ac:dyDescent="0.2">
      <c r="A19" s="61" t="s">
        <v>463</v>
      </c>
      <c r="B19" s="112">
        <v>5439.5409620984201</v>
      </c>
      <c r="C19" s="113">
        <v>0</v>
      </c>
      <c r="D19" s="112">
        <v>108.88155387019388</v>
      </c>
      <c r="E19" s="112">
        <v>120.22338239833907</v>
      </c>
      <c r="F19" s="112">
        <v>1961.0021525163454</v>
      </c>
      <c r="G19" s="112">
        <v>2602.9496472092678</v>
      </c>
      <c r="H19" s="112">
        <v>646.48422610428543</v>
      </c>
    </row>
    <row r="20" spans="1:8" s="335" customFormat="1" x14ac:dyDescent="0.2">
      <c r="A20" s="371" t="s">
        <v>464</v>
      </c>
      <c r="B20" s="109">
        <v>2943.2045030535637</v>
      </c>
      <c r="C20" s="110">
        <v>0</v>
      </c>
      <c r="D20" s="109">
        <v>44.233131259766317</v>
      </c>
      <c r="E20" s="109">
        <v>47.635679818209873</v>
      </c>
      <c r="F20" s="109">
        <v>1570.8432511481412</v>
      </c>
      <c r="G20" s="109">
        <v>780.31780273640197</v>
      </c>
      <c r="H20" s="109">
        <v>500.17463809120892</v>
      </c>
    </row>
    <row r="21" spans="1:8" x14ac:dyDescent="0.2">
      <c r="A21" s="61" t="s">
        <v>464</v>
      </c>
      <c r="B21" s="112">
        <v>640.81331184021269</v>
      </c>
      <c r="C21" s="113">
        <v>0</v>
      </c>
      <c r="D21" s="113">
        <v>6.8050971168871284</v>
      </c>
      <c r="E21" s="112">
        <v>5.6709142640726071</v>
      </c>
      <c r="F21" s="112">
        <v>241.58094764949257</v>
      </c>
      <c r="G21" s="112">
        <v>120.22338239833907</v>
      </c>
      <c r="H21" s="112">
        <v>266.53297041141224</v>
      </c>
    </row>
    <row r="22" spans="1:8" x14ac:dyDescent="0.2">
      <c r="A22" s="61" t="s">
        <v>465</v>
      </c>
      <c r="B22" s="112">
        <v>2302.3911912134731</v>
      </c>
      <c r="C22" s="113">
        <v>0</v>
      </c>
      <c r="D22" s="113">
        <v>37.428034142879206</v>
      </c>
      <c r="E22" s="112">
        <v>41.96476555413728</v>
      </c>
      <c r="F22" s="112">
        <v>1329.2623034986427</v>
      </c>
      <c r="G22" s="112">
        <v>660.09442033805999</v>
      </c>
      <c r="H22" s="112">
        <v>233.64166767979094</v>
      </c>
    </row>
    <row r="23" spans="1:8" s="335" customFormat="1" x14ac:dyDescent="0.2">
      <c r="A23" s="371" t="s">
        <v>466</v>
      </c>
      <c r="B23" s="109">
        <v>1390.5081775506283</v>
      </c>
      <c r="C23" s="110">
        <v>0</v>
      </c>
      <c r="D23" s="110">
        <v>24.95202276191948</v>
      </c>
      <c r="E23" s="109">
        <v>23.817839909104958</v>
      </c>
      <c r="F23" s="109">
        <v>400.36654704352878</v>
      </c>
      <c r="G23" s="109">
        <v>56.709142640726022</v>
      </c>
      <c r="H23" s="109">
        <v>884.6626251953403</v>
      </c>
    </row>
    <row r="24" spans="1:8" x14ac:dyDescent="0.2">
      <c r="A24" s="61" t="s">
        <v>466</v>
      </c>
      <c r="B24" s="112">
        <v>1390.5081775506283</v>
      </c>
      <c r="C24" s="114">
        <v>0</v>
      </c>
      <c r="D24" s="113">
        <v>24.95202276191948</v>
      </c>
      <c r="E24" s="112">
        <v>23.817839909104958</v>
      </c>
      <c r="F24" s="112">
        <v>400.36654704352878</v>
      </c>
      <c r="G24" s="112">
        <v>56.709142640726022</v>
      </c>
      <c r="H24" s="112">
        <v>884.6626251953403</v>
      </c>
    </row>
    <row r="25" spans="1:8" s="335" customFormat="1" x14ac:dyDescent="0.2">
      <c r="A25" s="371" t="s">
        <v>467</v>
      </c>
      <c r="B25" s="109">
        <v>3184.7854507030138</v>
      </c>
      <c r="C25" s="110">
        <v>0</v>
      </c>
      <c r="D25" s="110">
        <v>44.233131259766317</v>
      </c>
      <c r="E25" s="109">
        <v>49.90404552383891</v>
      </c>
      <c r="F25" s="109">
        <v>940.2375849832531</v>
      </c>
      <c r="G25" s="109">
        <v>1388.2398118449992</v>
      </c>
      <c r="H25" s="109">
        <v>762.17087709136922</v>
      </c>
    </row>
    <row r="26" spans="1:8" x14ac:dyDescent="0.2">
      <c r="A26" s="61" t="s">
        <v>467</v>
      </c>
      <c r="B26" s="112">
        <v>3184.7854507030138</v>
      </c>
      <c r="C26" s="113">
        <v>0</v>
      </c>
      <c r="D26" s="113">
        <v>44.233131259766317</v>
      </c>
      <c r="E26" s="112">
        <v>49.90404552383891</v>
      </c>
      <c r="F26" s="112">
        <v>940.2375849832531</v>
      </c>
      <c r="G26" s="112">
        <v>1388.2398118449992</v>
      </c>
      <c r="H26" s="112">
        <v>762.17087709136922</v>
      </c>
    </row>
    <row r="27" spans="1:8" s="335" customFormat="1" x14ac:dyDescent="0.2">
      <c r="A27" s="371" t="s">
        <v>468</v>
      </c>
      <c r="B27" s="109">
        <v>1849.8522329405198</v>
      </c>
      <c r="C27" s="109">
        <v>0</v>
      </c>
      <c r="D27" s="109">
        <v>6.8050971168871284</v>
      </c>
      <c r="E27" s="109">
        <v>11.341828528145216</v>
      </c>
      <c r="F27" s="109">
        <v>393.5614499266415</v>
      </c>
      <c r="G27" s="109">
        <v>1309.9811950007954</v>
      </c>
      <c r="H27" s="109">
        <v>128.16266236804071</v>
      </c>
    </row>
    <row r="28" spans="1:8" x14ac:dyDescent="0.2">
      <c r="A28" s="61" t="s">
        <v>468</v>
      </c>
      <c r="B28" s="112">
        <v>1849.8522329405198</v>
      </c>
      <c r="C28" s="113">
        <v>0</v>
      </c>
      <c r="D28" s="113">
        <v>6.8050971168871284</v>
      </c>
      <c r="E28" s="112">
        <v>11.341828528145216</v>
      </c>
      <c r="F28" s="112">
        <v>393.5614499266415</v>
      </c>
      <c r="G28" s="112">
        <v>1309.9811950007954</v>
      </c>
      <c r="H28" s="112">
        <v>128.16266236804071</v>
      </c>
    </row>
  </sheetData>
  <mergeCells count="4">
    <mergeCell ref="A1:H1"/>
    <mergeCell ref="A2:A3"/>
    <mergeCell ref="B2:B3"/>
    <mergeCell ref="C2:H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zoomScale="120" zoomScaleNormal="120" workbookViewId="0">
      <selection activeCell="B30" sqref="B30"/>
    </sheetView>
  </sheetViews>
  <sheetFormatPr defaultRowHeight="12" x14ac:dyDescent="0.2"/>
  <cols>
    <col min="1" max="1" width="21.42578125" style="322" customWidth="1"/>
    <col min="2" max="2" width="12.42578125" style="322" customWidth="1"/>
    <col min="3" max="3" width="16.28515625" style="322" customWidth="1"/>
    <col min="4" max="4" width="13.85546875" style="322" customWidth="1"/>
    <col min="5" max="5" width="12.85546875" style="322" customWidth="1"/>
    <col min="6" max="6" width="14.140625" style="322" customWidth="1"/>
    <col min="7" max="7" width="12.28515625" style="322" customWidth="1"/>
    <col min="8" max="8" width="13" style="322" customWidth="1"/>
    <col min="9" max="9" width="12.5703125" style="322" customWidth="1"/>
    <col min="10" max="10" width="13.42578125" style="322" customWidth="1"/>
    <col min="11" max="16384" width="9.140625" style="322"/>
  </cols>
  <sheetData>
    <row r="1" spans="1:10" ht="22.5" customHeight="1" thickBot="1" x14ac:dyDescent="0.25">
      <c r="A1" s="682" t="s">
        <v>537</v>
      </c>
      <c r="B1" s="682"/>
      <c r="C1" s="682"/>
      <c r="D1" s="682"/>
      <c r="E1" s="682"/>
      <c r="F1" s="682"/>
      <c r="G1" s="682"/>
      <c r="H1" s="682"/>
      <c r="I1" s="682"/>
      <c r="J1" s="682"/>
    </row>
    <row r="2" spans="1:10" ht="15" customHeight="1" x14ac:dyDescent="0.2">
      <c r="A2" s="675" t="s">
        <v>501</v>
      </c>
      <c r="B2" s="690" t="s">
        <v>23</v>
      </c>
      <c r="C2" s="679" t="s">
        <v>41</v>
      </c>
      <c r="D2" s="679"/>
      <c r="E2" s="679"/>
      <c r="F2" s="679"/>
      <c r="G2" s="679"/>
      <c r="H2" s="679"/>
      <c r="I2" s="679"/>
      <c r="J2" s="679"/>
    </row>
    <row r="3" spans="1:10" ht="24" x14ac:dyDescent="0.2">
      <c r="A3" s="676"/>
      <c r="B3" s="691"/>
      <c r="C3" s="140" t="s">
        <v>42</v>
      </c>
      <c r="D3" s="140" t="s">
        <v>43</v>
      </c>
      <c r="E3" s="140" t="s">
        <v>44</v>
      </c>
      <c r="F3" s="140" t="s">
        <v>284</v>
      </c>
      <c r="G3" s="140" t="s">
        <v>285</v>
      </c>
      <c r="H3" s="140" t="s">
        <v>286</v>
      </c>
      <c r="I3" s="140" t="s">
        <v>32</v>
      </c>
      <c r="J3" s="140" t="s">
        <v>22</v>
      </c>
    </row>
    <row r="4" spans="1:10" x14ac:dyDescent="0.2">
      <c r="A4" s="228" t="s">
        <v>457</v>
      </c>
      <c r="B4" s="221">
        <v>93740.212785030439</v>
      </c>
      <c r="C4" s="214">
        <v>67850.22080395215</v>
      </c>
      <c r="D4" s="214">
        <v>12190.197302051956</v>
      </c>
      <c r="E4" s="214">
        <v>5930.6421373672174</v>
      </c>
      <c r="F4" s="214">
        <v>39.696399848508243</v>
      </c>
      <c r="G4" s="214">
        <v>11.341828528145216</v>
      </c>
      <c r="H4" s="214">
        <v>61.245874051984096</v>
      </c>
      <c r="I4" s="214">
        <v>7348.3707033856854</v>
      </c>
      <c r="J4" s="214">
        <v>308.49773596555048</v>
      </c>
    </row>
    <row r="5" spans="1:10" x14ac:dyDescent="0.2">
      <c r="A5" s="232" t="s">
        <v>14</v>
      </c>
      <c r="B5" s="222"/>
      <c r="C5" s="111"/>
      <c r="D5" s="111"/>
      <c r="E5" s="111"/>
      <c r="F5" s="111"/>
      <c r="G5" s="111"/>
      <c r="H5" s="111"/>
      <c r="I5" s="111"/>
      <c r="J5" s="111"/>
    </row>
    <row r="6" spans="1:10" x14ac:dyDescent="0.2">
      <c r="A6" s="370" t="s">
        <v>5</v>
      </c>
      <c r="B6" s="113">
        <v>49566.059033710691</v>
      </c>
      <c r="C6" s="113">
        <v>34067.450349971943</v>
      </c>
      <c r="D6" s="113">
        <v>8142.2987003560274</v>
      </c>
      <c r="E6" s="113">
        <v>3193.8589135255284</v>
      </c>
      <c r="F6" s="113">
        <v>35.159668437250168</v>
      </c>
      <c r="G6" s="113">
        <v>6.8050971168871284</v>
      </c>
      <c r="H6" s="113">
        <v>10.207645675330694</v>
      </c>
      <c r="I6" s="113">
        <v>3963.9690705864514</v>
      </c>
      <c r="J6" s="113">
        <v>146.30958801307301</v>
      </c>
    </row>
    <row r="7" spans="1:10" x14ac:dyDescent="0.2">
      <c r="A7" s="72" t="s">
        <v>6</v>
      </c>
      <c r="B7" s="113">
        <v>44174.153751420607</v>
      </c>
      <c r="C7" s="113">
        <v>33782.770453914978</v>
      </c>
      <c r="D7" s="114">
        <v>4047.898601694711</v>
      </c>
      <c r="E7" s="114">
        <v>2736.7832238413575</v>
      </c>
      <c r="F7" s="114">
        <v>4.5367314112580859</v>
      </c>
      <c r="G7" s="113">
        <v>4.5367314112580859</v>
      </c>
      <c r="H7" s="113">
        <v>51.038228376653429</v>
      </c>
      <c r="I7" s="113">
        <v>3384.401632798334</v>
      </c>
      <c r="J7" s="113">
        <v>162.18814795247627</v>
      </c>
    </row>
    <row r="8" spans="1:10" x14ac:dyDescent="0.2">
      <c r="A8" s="234" t="s">
        <v>451</v>
      </c>
      <c r="B8" s="220"/>
      <c r="C8" s="220"/>
      <c r="D8" s="220"/>
      <c r="E8" s="220"/>
      <c r="F8" s="220"/>
      <c r="G8" s="220"/>
      <c r="H8" s="220"/>
      <c r="I8" s="220"/>
      <c r="J8" s="219"/>
    </row>
    <row r="9" spans="1:10" s="335" customFormat="1" x14ac:dyDescent="0.2">
      <c r="A9" s="371" t="s">
        <v>458</v>
      </c>
      <c r="B9" s="110">
        <v>39665.776911474648</v>
      </c>
      <c r="C9" s="110">
        <v>25476.015239909641</v>
      </c>
      <c r="D9" s="110">
        <v>7287.1248293336876</v>
      </c>
      <c r="E9" s="110">
        <v>3521.6377579888667</v>
      </c>
      <c r="F9" s="110">
        <v>10.207645675330694</v>
      </c>
      <c r="G9" s="110">
        <v>3.4025485584435646</v>
      </c>
      <c r="H9" s="110">
        <v>19.281108497846869</v>
      </c>
      <c r="I9" s="110">
        <v>3261.9098846943875</v>
      </c>
      <c r="J9" s="109">
        <v>86.197896813903512</v>
      </c>
    </row>
    <row r="10" spans="1:10" x14ac:dyDescent="0.2">
      <c r="A10" s="61" t="s">
        <v>458</v>
      </c>
      <c r="B10" s="113">
        <v>39665.776911474648</v>
      </c>
      <c r="C10" s="113">
        <v>25476.015239909641</v>
      </c>
      <c r="D10" s="113">
        <v>7287.1248293336876</v>
      </c>
      <c r="E10" s="113">
        <v>3521.6377579888667</v>
      </c>
      <c r="F10" s="113">
        <v>10.207645675330694</v>
      </c>
      <c r="G10" s="113">
        <v>3.4025485584435646</v>
      </c>
      <c r="H10" s="113">
        <v>19.281108497846869</v>
      </c>
      <c r="I10" s="113">
        <v>3261.9098846943875</v>
      </c>
      <c r="J10" s="112">
        <v>86.197896813903512</v>
      </c>
    </row>
    <row r="11" spans="1:10" s="335" customFormat="1" x14ac:dyDescent="0.2">
      <c r="A11" s="371" t="s">
        <v>459</v>
      </c>
      <c r="B11" s="110">
        <v>22412.587354461848</v>
      </c>
      <c r="C11" s="110">
        <v>17030.889717864375</v>
      </c>
      <c r="D11" s="110">
        <v>2651.7195098802836</v>
      </c>
      <c r="E11" s="110">
        <v>869.91824810875119</v>
      </c>
      <c r="F11" s="110">
        <v>26.086205614734002</v>
      </c>
      <c r="G11" s="109">
        <v>7.9392799697016496</v>
      </c>
      <c r="H11" s="109">
        <v>36.293851290064687</v>
      </c>
      <c r="I11" s="109">
        <v>1780.6670789188324</v>
      </c>
      <c r="J11" s="109">
        <v>9.0734628225161718</v>
      </c>
    </row>
    <row r="12" spans="1:10" x14ac:dyDescent="0.2">
      <c r="A12" s="61" t="s">
        <v>459</v>
      </c>
      <c r="B12" s="113">
        <v>18738.969094200686</v>
      </c>
      <c r="C12" s="113">
        <v>14172.748928772182</v>
      </c>
      <c r="D12" s="113">
        <v>2496.3364590447218</v>
      </c>
      <c r="E12" s="113">
        <v>762.17087709136922</v>
      </c>
      <c r="F12" s="113">
        <v>26.086205614734002</v>
      </c>
      <c r="G12" s="112">
        <v>6.8050971168871284</v>
      </c>
      <c r="H12" s="112">
        <v>1.1341828528145215</v>
      </c>
      <c r="I12" s="112">
        <v>1266.8822465938426</v>
      </c>
      <c r="J12" s="112">
        <v>6.8050971168871284</v>
      </c>
    </row>
    <row r="13" spans="1:10" x14ac:dyDescent="0.2">
      <c r="A13" s="61" t="s">
        <v>473</v>
      </c>
      <c r="B13" s="113">
        <v>3673.6182602659856</v>
      </c>
      <c r="C13" s="113">
        <v>2858.1407890924897</v>
      </c>
      <c r="D13" s="113">
        <v>155.38305083558916</v>
      </c>
      <c r="E13" s="113">
        <v>107.74737101737936</v>
      </c>
      <c r="F13" s="113">
        <v>0</v>
      </c>
      <c r="G13" s="112">
        <v>1.1341828528145215</v>
      </c>
      <c r="H13" s="112">
        <v>35.159668437250168</v>
      </c>
      <c r="I13" s="112">
        <v>513.78483232498343</v>
      </c>
      <c r="J13" s="112">
        <v>2.2683657056290429</v>
      </c>
    </row>
    <row r="14" spans="1:10" s="335" customFormat="1" x14ac:dyDescent="0.2">
      <c r="A14" s="371" t="s">
        <v>461</v>
      </c>
      <c r="B14" s="110">
        <v>4164.7194355346137</v>
      </c>
      <c r="C14" s="110">
        <v>3471.7337124650367</v>
      </c>
      <c r="D14" s="110">
        <v>272.20388467548497</v>
      </c>
      <c r="E14" s="110">
        <v>144.04122230744397</v>
      </c>
      <c r="F14" s="110">
        <v>0</v>
      </c>
      <c r="G14" s="109">
        <v>0</v>
      </c>
      <c r="H14" s="109">
        <v>0</v>
      </c>
      <c r="I14" s="109">
        <v>193.94526783128279</v>
      </c>
      <c r="J14" s="109">
        <v>82.795348255459956</v>
      </c>
    </row>
    <row r="15" spans="1:10" x14ac:dyDescent="0.2">
      <c r="A15" s="61" t="s">
        <v>461</v>
      </c>
      <c r="B15" s="113">
        <v>4164.7194355346137</v>
      </c>
      <c r="C15" s="113">
        <v>3471.7337124650367</v>
      </c>
      <c r="D15" s="113">
        <v>272.20388467548497</v>
      </c>
      <c r="E15" s="113">
        <v>144.04122230744397</v>
      </c>
      <c r="F15" s="113">
        <v>0</v>
      </c>
      <c r="G15" s="112">
        <v>0</v>
      </c>
      <c r="H15" s="112">
        <v>0</v>
      </c>
      <c r="I15" s="112">
        <v>193.94526783128279</v>
      </c>
      <c r="J15" s="112">
        <v>82.795348255459956</v>
      </c>
    </row>
    <row r="16" spans="1:10" s="335" customFormat="1" x14ac:dyDescent="0.2">
      <c r="A16" s="371" t="s">
        <v>462</v>
      </c>
      <c r="B16" s="110">
        <v>12689.237757290457</v>
      </c>
      <c r="C16" s="110">
        <v>8931.6899659151095</v>
      </c>
      <c r="D16" s="110">
        <v>1336.06740061553</v>
      </c>
      <c r="E16" s="110">
        <v>1058.192601675966</v>
      </c>
      <c r="F16" s="110">
        <v>2.2683657056290429</v>
      </c>
      <c r="G16" s="109">
        <v>0</v>
      </c>
      <c r="H16" s="109">
        <v>2.2683657056290429</v>
      </c>
      <c r="I16" s="109">
        <v>1351.9459605549337</v>
      </c>
      <c r="J16" s="109">
        <v>6.8050971168871284</v>
      </c>
    </row>
    <row r="17" spans="1:10" x14ac:dyDescent="0.2">
      <c r="A17" s="61" t="s">
        <v>462</v>
      </c>
      <c r="B17" s="113">
        <v>12689.237757290457</v>
      </c>
      <c r="C17" s="113">
        <v>8931.6899659151095</v>
      </c>
      <c r="D17" s="113">
        <v>1336.06740061553</v>
      </c>
      <c r="E17" s="113">
        <v>1058.192601675966</v>
      </c>
      <c r="F17" s="113">
        <v>2.2683657056290429</v>
      </c>
      <c r="G17" s="112">
        <v>0</v>
      </c>
      <c r="H17" s="112">
        <v>2.2683657056290429</v>
      </c>
      <c r="I17" s="112">
        <v>1351.9459605549337</v>
      </c>
      <c r="J17" s="112">
        <v>6.8050971168871284</v>
      </c>
    </row>
    <row r="18" spans="1:10" s="335" customFormat="1" x14ac:dyDescent="0.2">
      <c r="A18" s="371" t="s">
        <v>463</v>
      </c>
      <c r="B18" s="110">
        <v>5439.5409620984201</v>
      </c>
      <c r="C18" s="110">
        <v>4819.1429416087385</v>
      </c>
      <c r="D18" s="110">
        <v>347.05995296124507</v>
      </c>
      <c r="E18" s="110">
        <v>141.77285660181494</v>
      </c>
      <c r="F18" s="110">
        <v>0</v>
      </c>
      <c r="G18" s="109">
        <v>0</v>
      </c>
      <c r="H18" s="109">
        <v>1.1341828528145215</v>
      </c>
      <c r="I18" s="109">
        <v>125.89429666241166</v>
      </c>
      <c r="J18" s="109">
        <v>4.5367314112580859</v>
      </c>
    </row>
    <row r="19" spans="1:10" x14ac:dyDescent="0.2">
      <c r="A19" s="61" t="s">
        <v>463</v>
      </c>
      <c r="B19" s="113">
        <v>5439.5409620984201</v>
      </c>
      <c r="C19" s="113">
        <v>4819.1429416087385</v>
      </c>
      <c r="D19" s="113">
        <v>347.05995296124507</v>
      </c>
      <c r="E19" s="113">
        <v>141.77285660181494</v>
      </c>
      <c r="F19" s="113">
        <v>0</v>
      </c>
      <c r="G19" s="112">
        <v>0</v>
      </c>
      <c r="H19" s="112">
        <v>1.1341828528145215</v>
      </c>
      <c r="I19" s="112">
        <v>125.89429666241166</v>
      </c>
      <c r="J19" s="112">
        <v>4.5367314112580859</v>
      </c>
    </row>
    <row r="20" spans="1:10" s="335" customFormat="1" x14ac:dyDescent="0.2">
      <c r="A20" s="371" t="s">
        <v>464</v>
      </c>
      <c r="B20" s="110">
        <v>2943.2045030535637</v>
      </c>
      <c r="C20" s="110">
        <v>2491.7997276334645</v>
      </c>
      <c r="D20" s="110">
        <v>134.96775948492783</v>
      </c>
      <c r="E20" s="110">
        <v>65.782605463242177</v>
      </c>
      <c r="F20" s="110">
        <v>1.1341828528145215</v>
      </c>
      <c r="G20" s="109">
        <v>0</v>
      </c>
      <c r="H20" s="109">
        <v>0</v>
      </c>
      <c r="I20" s="109">
        <v>248.38604476637968</v>
      </c>
      <c r="J20" s="109">
        <v>1.1341828528145215</v>
      </c>
    </row>
    <row r="21" spans="1:10" x14ac:dyDescent="0.2">
      <c r="A21" s="61" t="s">
        <v>464</v>
      </c>
      <c r="B21" s="113">
        <v>640.81331184021269</v>
      </c>
      <c r="C21" s="113">
        <v>588.64090061074353</v>
      </c>
      <c r="D21" s="113">
        <v>30.622937025992091</v>
      </c>
      <c r="E21" s="113">
        <v>9.0734628225161718</v>
      </c>
      <c r="F21" s="113">
        <v>0</v>
      </c>
      <c r="G21" s="112">
        <v>0</v>
      </c>
      <c r="H21" s="112">
        <v>0</v>
      </c>
      <c r="I21" s="112">
        <v>12.476011380959738</v>
      </c>
      <c r="J21" s="112">
        <v>0</v>
      </c>
    </row>
    <row r="22" spans="1:10" x14ac:dyDescent="0.2">
      <c r="A22" s="61" t="s">
        <v>465</v>
      </c>
      <c r="B22" s="113">
        <v>2302.3911912134731</v>
      </c>
      <c r="C22" s="113">
        <v>1903.1588270228035</v>
      </c>
      <c r="D22" s="113">
        <v>104.34482245893581</v>
      </c>
      <c r="E22" s="113">
        <v>56.709142640726022</v>
      </c>
      <c r="F22" s="113">
        <v>1.1341828528145215</v>
      </c>
      <c r="G22" s="113">
        <v>0</v>
      </c>
      <c r="H22" s="112">
        <v>0</v>
      </c>
      <c r="I22" s="112">
        <v>235.91003338541998</v>
      </c>
      <c r="J22" s="112">
        <v>1.1341828528145215</v>
      </c>
    </row>
    <row r="23" spans="1:10" s="335" customFormat="1" x14ac:dyDescent="0.2">
      <c r="A23" s="371" t="s">
        <v>466</v>
      </c>
      <c r="B23" s="110">
        <v>1390.5081775506283</v>
      </c>
      <c r="C23" s="110">
        <v>1144.3904984898716</v>
      </c>
      <c r="D23" s="110">
        <v>28.354571320363046</v>
      </c>
      <c r="E23" s="110">
        <v>32.891302731621131</v>
      </c>
      <c r="F23" s="110">
        <v>0</v>
      </c>
      <c r="G23" s="110">
        <v>0</v>
      </c>
      <c r="H23" s="110">
        <v>1.1341828528145215</v>
      </c>
      <c r="I23" s="110">
        <v>130.43102807366975</v>
      </c>
      <c r="J23" s="110">
        <v>53.306594082282466</v>
      </c>
    </row>
    <row r="24" spans="1:10" x14ac:dyDescent="0.2">
      <c r="A24" s="61" t="s">
        <v>466</v>
      </c>
      <c r="B24" s="113">
        <v>1390.5081775506283</v>
      </c>
      <c r="C24" s="114">
        <v>1144.3904984898716</v>
      </c>
      <c r="D24" s="113">
        <v>28.354571320363046</v>
      </c>
      <c r="E24" s="113">
        <v>32.891302731621131</v>
      </c>
      <c r="F24" s="113">
        <v>0</v>
      </c>
      <c r="G24" s="114">
        <v>0</v>
      </c>
      <c r="H24" s="113">
        <v>1.1341828528145215</v>
      </c>
      <c r="I24" s="113">
        <v>130.43102807366975</v>
      </c>
      <c r="J24" s="113">
        <v>53.306594082282466</v>
      </c>
    </row>
    <row r="25" spans="1:10" s="335" customFormat="1" x14ac:dyDescent="0.2">
      <c r="A25" s="371" t="s">
        <v>467</v>
      </c>
      <c r="B25" s="110">
        <v>3184.7854507030138</v>
      </c>
      <c r="C25" s="110">
        <v>2879.6902632959618</v>
      </c>
      <c r="D25" s="110">
        <v>112.28410242863744</v>
      </c>
      <c r="E25" s="110">
        <v>81.661165402645437</v>
      </c>
      <c r="F25" s="110">
        <v>0</v>
      </c>
      <c r="G25" s="110">
        <v>0</v>
      </c>
      <c r="H25" s="110">
        <v>0</v>
      </c>
      <c r="I25" s="110">
        <v>46.501496965395354</v>
      </c>
      <c r="J25" s="110">
        <v>64.648422610427659</v>
      </c>
    </row>
    <row r="26" spans="1:10" x14ac:dyDescent="0.2">
      <c r="A26" s="61" t="s">
        <v>467</v>
      </c>
      <c r="B26" s="113">
        <v>3184.7854507030138</v>
      </c>
      <c r="C26" s="113">
        <v>2879.6902632959618</v>
      </c>
      <c r="D26" s="113">
        <v>112.28410242863744</v>
      </c>
      <c r="E26" s="113">
        <v>81.661165402645437</v>
      </c>
      <c r="F26" s="113">
        <v>0</v>
      </c>
      <c r="G26" s="113">
        <v>0</v>
      </c>
      <c r="H26" s="113">
        <v>0</v>
      </c>
      <c r="I26" s="113">
        <v>46.501496965395354</v>
      </c>
      <c r="J26" s="113">
        <v>64.648422610427659</v>
      </c>
    </row>
    <row r="27" spans="1:10" s="335" customFormat="1" x14ac:dyDescent="0.2">
      <c r="A27" s="371" t="s">
        <v>468</v>
      </c>
      <c r="B27" s="110">
        <v>1849.8522329405198</v>
      </c>
      <c r="C27" s="110">
        <v>1604.8687367325776</v>
      </c>
      <c r="D27" s="110">
        <v>20.415291350661391</v>
      </c>
      <c r="E27" s="110">
        <v>14.744377086588782</v>
      </c>
      <c r="F27" s="110">
        <v>0</v>
      </c>
      <c r="G27" s="110">
        <v>0</v>
      </c>
      <c r="H27" s="110">
        <v>1.1341828528145215</v>
      </c>
      <c r="I27" s="110">
        <v>208.68964491787153</v>
      </c>
      <c r="J27" s="110">
        <v>0</v>
      </c>
    </row>
    <row r="28" spans="1:10" x14ac:dyDescent="0.2">
      <c r="A28" s="61" t="s">
        <v>468</v>
      </c>
      <c r="B28" s="113">
        <v>1849.8522329405198</v>
      </c>
      <c r="C28" s="113">
        <v>1604.8687367325776</v>
      </c>
      <c r="D28" s="113">
        <v>20.415291350661391</v>
      </c>
      <c r="E28" s="113">
        <v>14.744377086588782</v>
      </c>
      <c r="F28" s="113">
        <v>0</v>
      </c>
      <c r="G28" s="113">
        <v>0</v>
      </c>
      <c r="H28" s="113">
        <v>1.1341828528145215</v>
      </c>
      <c r="I28" s="113">
        <v>208.68964491787153</v>
      </c>
      <c r="J28" s="113">
        <v>0</v>
      </c>
    </row>
  </sheetData>
  <mergeCells count="4">
    <mergeCell ref="A2:A3"/>
    <mergeCell ref="B2:B3"/>
    <mergeCell ref="A1:J1"/>
    <mergeCell ref="C2:J2"/>
  </mergeCell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zoomScale="120" zoomScaleNormal="120" workbookViewId="0">
      <selection activeCell="C10" sqref="C10"/>
    </sheetView>
  </sheetViews>
  <sheetFormatPr defaultRowHeight="12" x14ac:dyDescent="0.2"/>
  <cols>
    <col min="1" max="1" width="18" style="322" customWidth="1"/>
    <col min="2" max="2" width="12.140625" style="322" customWidth="1"/>
    <col min="3" max="3" width="11.140625" style="322" customWidth="1"/>
    <col min="4" max="4" width="11.42578125" style="322" customWidth="1"/>
    <col min="5" max="5" width="12.42578125" style="322" customWidth="1"/>
    <col min="6" max="6" width="11.42578125" style="322" customWidth="1"/>
    <col min="7" max="16384" width="9.140625" style="322"/>
  </cols>
  <sheetData>
    <row r="1" spans="1:6" ht="37.5" customHeight="1" thickBot="1" x14ac:dyDescent="0.25">
      <c r="A1" s="682" t="s">
        <v>538</v>
      </c>
      <c r="B1" s="682"/>
      <c r="C1" s="682"/>
      <c r="D1" s="682"/>
      <c r="E1" s="682"/>
      <c r="F1" s="682"/>
    </row>
    <row r="2" spans="1:6" ht="24.75" customHeight="1" thickBot="1" x14ac:dyDescent="0.25">
      <c r="A2" s="692" t="s">
        <v>341</v>
      </c>
      <c r="B2" s="694" t="s">
        <v>474</v>
      </c>
      <c r="C2" s="696" t="s">
        <v>45</v>
      </c>
      <c r="D2" s="696"/>
      <c r="E2" s="696" t="s">
        <v>46</v>
      </c>
      <c r="F2" s="696"/>
    </row>
    <row r="3" spans="1:6" ht="50.25" customHeight="1" thickBot="1" x14ac:dyDescent="0.25">
      <c r="A3" s="693"/>
      <c r="B3" s="695"/>
      <c r="C3" s="267" t="s">
        <v>47</v>
      </c>
      <c r="D3" s="267" t="s">
        <v>48</v>
      </c>
      <c r="E3" s="267" t="s">
        <v>49</v>
      </c>
      <c r="F3" s="223" t="s">
        <v>50</v>
      </c>
    </row>
    <row r="4" spans="1:6" x14ac:dyDescent="0.2">
      <c r="A4" s="228" t="s">
        <v>457</v>
      </c>
      <c r="B4" s="221">
        <v>93740.212785030439</v>
      </c>
      <c r="C4" s="224">
        <v>2.7862068965545252</v>
      </c>
      <c r="D4" s="224">
        <v>1.5386529442411343</v>
      </c>
      <c r="E4" s="224">
        <v>1.3609437386572527</v>
      </c>
      <c r="F4" s="224">
        <v>3.1500240038418195</v>
      </c>
    </row>
    <row r="5" spans="1:6" x14ac:dyDescent="0.2">
      <c r="A5" s="232" t="s">
        <v>14</v>
      </c>
      <c r="B5" s="110"/>
      <c r="C5" s="225"/>
      <c r="D5" s="225"/>
      <c r="E5" s="225"/>
      <c r="F5" s="225"/>
    </row>
    <row r="6" spans="1:6" x14ac:dyDescent="0.2">
      <c r="A6" s="370" t="s">
        <v>5</v>
      </c>
      <c r="B6" s="113">
        <v>49566.059033710691</v>
      </c>
      <c r="C6" s="102">
        <v>2.9440986682524706</v>
      </c>
      <c r="D6" s="102">
        <v>1.4631867747524925</v>
      </c>
      <c r="E6" s="102">
        <v>1.4116516406568478</v>
      </c>
      <c r="F6" s="102">
        <v>3.0515788108665518</v>
      </c>
    </row>
    <row r="7" spans="1:6" x14ac:dyDescent="0.2">
      <c r="A7" s="72" t="s">
        <v>6</v>
      </c>
      <c r="B7" s="113">
        <v>44174.153751420607</v>
      </c>
      <c r="C7" s="102">
        <v>2.6090428263321921</v>
      </c>
      <c r="D7" s="102">
        <v>1.6342049066592721</v>
      </c>
      <c r="E7" s="102">
        <v>1.3040464208688991</v>
      </c>
      <c r="F7" s="102">
        <v>3.2696003150219837</v>
      </c>
    </row>
    <row r="8" spans="1:6" ht="18" customHeight="1" x14ac:dyDescent="0.2">
      <c r="A8" s="234" t="s">
        <v>451</v>
      </c>
      <c r="B8" s="220"/>
      <c r="C8" s="226"/>
      <c r="D8" s="226"/>
      <c r="E8" s="226"/>
      <c r="F8" s="226"/>
    </row>
    <row r="9" spans="1:6" x14ac:dyDescent="0.2">
      <c r="A9" s="72" t="s">
        <v>458</v>
      </c>
      <c r="B9" s="113">
        <v>39665.776911474648</v>
      </c>
      <c r="C9" s="102">
        <v>2.9503903010896839</v>
      </c>
      <c r="D9" s="102">
        <v>1.3096119553417309</v>
      </c>
      <c r="E9" s="102">
        <v>1.376290281074205</v>
      </c>
      <c r="F9" s="102">
        <v>2.8074501900976605</v>
      </c>
    </row>
    <row r="10" spans="1:6" x14ac:dyDescent="0.2">
      <c r="A10" s="64" t="s">
        <v>459</v>
      </c>
      <c r="B10" s="113">
        <v>22412.587354461848</v>
      </c>
      <c r="C10" s="102">
        <v>2.7121097110473462</v>
      </c>
      <c r="D10" s="102">
        <v>1.6076613053701205</v>
      </c>
      <c r="E10" s="102">
        <v>1.2902181063711575</v>
      </c>
      <c r="F10" s="102">
        <v>3.3793928459372204</v>
      </c>
    </row>
    <row r="11" spans="1:6" x14ac:dyDescent="0.2">
      <c r="A11" s="64" t="s">
        <v>461</v>
      </c>
      <c r="B11" s="113">
        <v>4164.7194355346137</v>
      </c>
      <c r="C11" s="102">
        <v>2.8837145969501363</v>
      </c>
      <c r="D11" s="102">
        <v>2.2686750401359443</v>
      </c>
      <c r="E11" s="102">
        <v>1.7031590413944298</v>
      </c>
      <c r="F11" s="102">
        <v>3.8412216181644112</v>
      </c>
    </row>
    <row r="12" spans="1:6" x14ac:dyDescent="0.2">
      <c r="A12" s="64" t="s">
        <v>462</v>
      </c>
      <c r="B12" s="113">
        <v>12689.237757290457</v>
      </c>
      <c r="C12" s="102">
        <v>2.8760278870213702</v>
      </c>
      <c r="D12" s="102">
        <v>1.0983932622680874</v>
      </c>
      <c r="E12" s="102">
        <v>1.3678047908472757</v>
      </c>
      <c r="F12" s="102">
        <v>2.3095471476178808</v>
      </c>
    </row>
    <row r="13" spans="1:6" x14ac:dyDescent="0.2">
      <c r="A13" s="64" t="s">
        <v>463</v>
      </c>
      <c r="B13" s="113">
        <v>5439.5409620984201</v>
      </c>
      <c r="C13" s="102">
        <v>2.6207256046706418</v>
      </c>
      <c r="D13" s="102">
        <v>2.8535285225554174</v>
      </c>
      <c r="E13" s="102">
        <v>1.5323185988323873</v>
      </c>
      <c r="F13" s="102">
        <v>4.8803918900530068</v>
      </c>
    </row>
    <row r="14" spans="1:6" ht="13.5" customHeight="1" x14ac:dyDescent="0.2">
      <c r="A14" s="64" t="s">
        <v>464</v>
      </c>
      <c r="B14" s="113">
        <v>2943.2045030535637</v>
      </c>
      <c r="C14" s="102">
        <v>2.3063583815029478</v>
      </c>
      <c r="D14" s="102">
        <v>2.0738512949039638</v>
      </c>
      <c r="E14" s="102">
        <v>1.2080924855491375</v>
      </c>
      <c r="F14" s="102">
        <v>3.9591706539076505</v>
      </c>
    </row>
    <row r="15" spans="1:6" x14ac:dyDescent="0.2">
      <c r="A15" s="64" t="s">
        <v>466</v>
      </c>
      <c r="B15" s="113">
        <v>1390.5081775506283</v>
      </c>
      <c r="C15" s="102">
        <v>2.3115823817291528</v>
      </c>
      <c r="D15" s="102">
        <v>2.6245589273112211</v>
      </c>
      <c r="E15" s="102">
        <v>1.3148450244698182</v>
      </c>
      <c r="F15" s="102">
        <v>4.6141439205954464</v>
      </c>
    </row>
    <row r="16" spans="1:6" x14ac:dyDescent="0.2">
      <c r="A16" s="64" t="s">
        <v>467</v>
      </c>
      <c r="B16" s="113">
        <v>3184.7854507030138</v>
      </c>
      <c r="C16" s="102">
        <v>2.0801282051282719</v>
      </c>
      <c r="D16" s="102">
        <v>1.988700564971797</v>
      </c>
      <c r="E16" s="102">
        <v>1.1506410256410389</v>
      </c>
      <c r="F16" s="102">
        <v>3.5951717734449105</v>
      </c>
    </row>
    <row r="17" spans="1:6" x14ac:dyDescent="0.2">
      <c r="A17" s="64" t="s">
        <v>468</v>
      </c>
      <c r="B17" s="113">
        <v>1849.8522329405198</v>
      </c>
      <c r="C17" s="102">
        <v>2.1502145922746134</v>
      </c>
      <c r="D17" s="102">
        <v>1.8052466495580395</v>
      </c>
      <c r="E17" s="102">
        <v>1.2072348252605594</v>
      </c>
      <c r="F17" s="102">
        <v>3.2153377348907783</v>
      </c>
    </row>
    <row r="20" spans="1:6" ht="13.5" customHeight="1" x14ac:dyDescent="0.2"/>
  </sheetData>
  <mergeCells count="5">
    <mergeCell ref="A1:F1"/>
    <mergeCell ref="A2:A3"/>
    <mergeCell ref="B2:B3"/>
    <mergeCell ref="C2:D2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73</vt:i4>
      </vt:variant>
    </vt:vector>
  </HeadingPairs>
  <TitlesOfParts>
    <vt:vector size="73" baseType="lpstr">
      <vt:lpstr>1. População</vt:lpstr>
      <vt:lpstr>Q1.1</vt:lpstr>
      <vt:lpstr>Q1.2</vt:lpstr>
      <vt:lpstr>Q1.3</vt:lpstr>
      <vt:lpstr>Q1.4</vt:lpstr>
      <vt:lpstr>Q1.5</vt:lpstr>
      <vt:lpstr>Q1.6</vt:lpstr>
      <vt:lpstr>Q1.7</vt:lpstr>
      <vt:lpstr>2. Estado Civil</vt:lpstr>
      <vt:lpstr>Q2.1</vt:lpstr>
      <vt:lpstr>3. Registo Civil</vt:lpstr>
      <vt:lpstr>Q3.1</vt:lpstr>
      <vt:lpstr>Q3.2</vt:lpstr>
      <vt:lpstr>Q3.3</vt:lpstr>
      <vt:lpstr>Q3.4</vt:lpstr>
      <vt:lpstr>4. Deficiência e Albinismo</vt:lpstr>
      <vt:lpstr>Q4.1</vt:lpstr>
      <vt:lpstr>Q4.2</vt:lpstr>
      <vt:lpstr>Q4.3</vt:lpstr>
      <vt:lpstr>5. Orfandade</vt:lpstr>
      <vt:lpstr>Q5.1</vt:lpstr>
      <vt:lpstr>Q5.2</vt:lpstr>
      <vt:lpstr>6. Língua Materna</vt:lpstr>
      <vt:lpstr>Q 6.1</vt:lpstr>
      <vt:lpstr>Q 6.2</vt:lpstr>
      <vt:lpstr>7. Religião</vt:lpstr>
      <vt:lpstr>Q 7.1</vt:lpstr>
      <vt:lpstr>8. Educação</vt:lpstr>
      <vt:lpstr>Q8.1</vt:lpstr>
      <vt:lpstr>Q8.2</vt:lpstr>
      <vt:lpstr>Q8.3</vt:lpstr>
      <vt:lpstr>Q8.4</vt:lpstr>
      <vt:lpstr>Q8.5</vt:lpstr>
      <vt:lpstr>Q8.6</vt:lpstr>
      <vt:lpstr>Q8.7</vt:lpstr>
      <vt:lpstr>Q8.8</vt:lpstr>
      <vt:lpstr>Q8.9</vt:lpstr>
      <vt:lpstr>Q8.10</vt:lpstr>
      <vt:lpstr>Q8.11</vt:lpstr>
      <vt:lpstr>Q8.12</vt:lpstr>
      <vt:lpstr>Q8.13</vt:lpstr>
      <vt:lpstr>Q8.14</vt:lpstr>
      <vt:lpstr>Q8.15</vt:lpstr>
      <vt:lpstr>Q 8.16</vt:lpstr>
      <vt:lpstr>9. Agregado Familiar</vt:lpstr>
      <vt:lpstr>Q9.1</vt:lpstr>
      <vt:lpstr>Q9.2</vt:lpstr>
      <vt:lpstr>Q9.3</vt:lpstr>
      <vt:lpstr>Q9.4</vt:lpstr>
      <vt:lpstr>Q 9.5</vt:lpstr>
      <vt:lpstr>Q9.6</vt:lpstr>
      <vt:lpstr>Q9.7</vt:lpstr>
      <vt:lpstr>Q9.8</vt:lpstr>
      <vt:lpstr>Q9.9</vt:lpstr>
      <vt:lpstr>Q9.10</vt:lpstr>
      <vt:lpstr>Q9.11</vt:lpstr>
      <vt:lpstr>Q9.12</vt:lpstr>
      <vt:lpstr>Q9.13</vt:lpstr>
      <vt:lpstr>Q9.14</vt:lpstr>
      <vt:lpstr>Q9.15</vt:lpstr>
      <vt:lpstr>Q9.16</vt:lpstr>
      <vt:lpstr>Q9.17</vt:lpstr>
      <vt:lpstr>Q9.18</vt:lpstr>
      <vt:lpstr>Q9.19</vt:lpstr>
      <vt:lpstr>Q9.20</vt:lpstr>
      <vt:lpstr>10. Habitação</vt:lpstr>
      <vt:lpstr>Q10.1</vt:lpstr>
      <vt:lpstr>Q10.2</vt:lpstr>
      <vt:lpstr>Q10.3</vt:lpstr>
      <vt:lpstr>Q10.4</vt:lpstr>
      <vt:lpstr>Q10.5</vt:lpstr>
      <vt:lpstr>Q10.6</vt:lpstr>
      <vt:lpstr>Q10.7</vt:lpstr>
    </vt:vector>
  </TitlesOfParts>
  <Company>Instituto Nacional de Estat�sticas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Domingos</dc:creator>
  <cp:lastModifiedBy>Aurea Tonga</cp:lastModifiedBy>
  <dcterms:created xsi:type="dcterms:W3CDTF">2025-12-11T08:44:09Z</dcterms:created>
  <dcterms:modified xsi:type="dcterms:W3CDTF">2026-03-30T09:50:13Z</dcterms:modified>
</cp:coreProperties>
</file>