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tabRatio="879" activeTab="14"/>
  </bookViews>
  <sheets>
    <sheet name="Cabinda" sheetId="1" r:id="rId1"/>
    <sheet name="Zaire" sheetId="2" r:id="rId2"/>
    <sheet name="Uíge" sheetId="3" r:id="rId3"/>
    <sheet name="Luanda" sheetId="19" r:id="rId4"/>
    <sheet name="Cuanza Norte" sheetId="5" r:id="rId5"/>
    <sheet name="Cuanza Sul" sheetId="6" r:id="rId6"/>
    <sheet name="Malanje" sheetId="7" r:id="rId7"/>
    <sheet name="Lunda Norte" sheetId="8" r:id="rId8"/>
    <sheet name="Benguela" sheetId="9" r:id="rId9"/>
    <sheet name="Huambo" sheetId="10" r:id="rId10"/>
    <sheet name="Bié" sheetId="11" r:id="rId11"/>
    <sheet name="Moxico" sheetId="12" r:id="rId12"/>
    <sheet name="Cuando Cubango" sheetId="13" r:id="rId13"/>
    <sheet name="Namibe" sheetId="14" r:id="rId14"/>
    <sheet name="Huíla" sheetId="15" r:id="rId15"/>
    <sheet name="Cunene" sheetId="16" r:id="rId16"/>
    <sheet name="Lunda Sul" sheetId="17" r:id="rId17"/>
    <sheet name="Bengo" sheetId="18" r:id="rId18"/>
  </sheets>
  <definedNames>
    <definedName name="Município_PopulaçãoNEw_1" localSheetId="3">Luanda!#REF!</definedName>
    <definedName name="Município_PopulaçãoNEw_2" localSheetId="3">Luanda!$A$3:$A$13</definedName>
    <definedName name="Município_PopulaçãoNEw_3" localSheetId="3">Luanda!#REF!</definedName>
    <definedName name="Município_PopulaçãoNEw_4" localSheetId="3">Luanda!#REF!</definedName>
    <definedName name="Município_PopulaçãoNEw_5" localSheetId="3">Luanda!#REF!</definedName>
    <definedName name="Município_PopulaçãoNEw_5_1" localSheetId="3">Luanda!#REF!</definedName>
    <definedName name="Município_PopulaçãoNEw_6" localSheetId="3">Luanda!#REF!</definedName>
    <definedName name="Município_PopulaçãoNEw_7" localSheetId="3">Luanda!#REF!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3" l="1"/>
  <c r="Z21" i="3"/>
  <c r="AC20" i="3"/>
  <c r="Z20" i="3"/>
  <c r="AC19" i="3"/>
  <c r="Z19" i="3"/>
  <c r="AC18" i="3"/>
  <c r="Z18" i="3"/>
  <c r="AC17" i="3"/>
  <c r="Z17" i="3"/>
  <c r="AC16" i="3"/>
  <c r="Z16" i="3"/>
  <c r="AC15" i="3"/>
  <c r="Z15" i="3"/>
  <c r="AC14" i="3"/>
  <c r="Z14" i="3"/>
  <c r="AC13" i="3"/>
  <c r="Z13" i="3"/>
  <c r="AC12" i="3"/>
  <c r="Z12" i="3"/>
  <c r="AC11" i="3"/>
  <c r="Z11" i="3"/>
  <c r="AC10" i="3"/>
  <c r="Z10" i="3"/>
  <c r="AC9" i="3"/>
  <c r="Z9" i="3"/>
  <c r="AC8" i="3"/>
  <c r="Z8" i="3"/>
  <c r="AC7" i="3"/>
  <c r="Z7" i="3"/>
  <c r="AC6" i="3"/>
  <c r="Z6" i="3"/>
  <c r="AE5" i="3"/>
  <c r="AD5" i="3"/>
  <c r="AB5" i="3"/>
  <c r="AA5" i="3"/>
  <c r="W21" i="3"/>
  <c r="T21" i="3"/>
  <c r="Q21" i="3"/>
  <c r="W20" i="3"/>
  <c r="T20" i="3"/>
  <c r="Q20" i="3"/>
  <c r="W19" i="3"/>
  <c r="T19" i="3"/>
  <c r="Q19" i="3"/>
  <c r="W18" i="3"/>
  <c r="T18" i="3"/>
  <c r="Q18" i="3"/>
  <c r="W17" i="3"/>
  <c r="T17" i="3"/>
  <c r="Q17" i="3"/>
  <c r="W16" i="3"/>
  <c r="T16" i="3"/>
  <c r="Q16" i="3"/>
  <c r="W15" i="3"/>
  <c r="T15" i="3"/>
  <c r="Q15" i="3"/>
  <c r="W14" i="3"/>
  <c r="T14" i="3"/>
  <c r="Q14" i="3"/>
  <c r="W13" i="3"/>
  <c r="T13" i="3"/>
  <c r="Q13" i="3"/>
  <c r="W12" i="3"/>
  <c r="T12" i="3"/>
  <c r="Q12" i="3"/>
  <c r="W11" i="3"/>
  <c r="T11" i="3"/>
  <c r="Q11" i="3"/>
  <c r="W10" i="3"/>
  <c r="T10" i="3"/>
  <c r="Q10" i="3"/>
  <c r="W9" i="3"/>
  <c r="T9" i="3"/>
  <c r="Q9" i="3"/>
  <c r="W8" i="3"/>
  <c r="T8" i="3"/>
  <c r="Q8" i="3"/>
  <c r="W7" i="3"/>
  <c r="T7" i="3"/>
  <c r="Q7" i="3"/>
  <c r="W6" i="3"/>
  <c r="T6" i="3"/>
  <c r="Q6" i="3"/>
  <c r="Y5" i="3"/>
  <c r="X5" i="3"/>
  <c r="V5" i="3"/>
  <c r="U5" i="3"/>
  <c r="S5" i="3"/>
  <c r="R5" i="3"/>
  <c r="N21" i="3"/>
  <c r="K21" i="3"/>
  <c r="H21" i="3"/>
  <c r="N20" i="3"/>
  <c r="K20" i="3"/>
  <c r="H20" i="3"/>
  <c r="N19" i="3"/>
  <c r="K19" i="3"/>
  <c r="H19" i="3"/>
  <c r="N18" i="3"/>
  <c r="K18" i="3"/>
  <c r="H18" i="3"/>
  <c r="N17" i="3"/>
  <c r="K17" i="3"/>
  <c r="H17" i="3"/>
  <c r="N16" i="3"/>
  <c r="K16" i="3"/>
  <c r="H16" i="3"/>
  <c r="N15" i="3"/>
  <c r="K15" i="3"/>
  <c r="H15" i="3"/>
  <c r="N14" i="3"/>
  <c r="K14" i="3"/>
  <c r="H14" i="3"/>
  <c r="N13" i="3"/>
  <c r="K13" i="3"/>
  <c r="H13" i="3"/>
  <c r="N12" i="3"/>
  <c r="K12" i="3"/>
  <c r="H12" i="3"/>
  <c r="N11" i="3"/>
  <c r="K11" i="3"/>
  <c r="H11" i="3"/>
  <c r="N10" i="3"/>
  <c r="K10" i="3"/>
  <c r="H10" i="3"/>
  <c r="N9" i="3"/>
  <c r="K9" i="3"/>
  <c r="H9" i="3"/>
  <c r="N8" i="3"/>
  <c r="K8" i="3"/>
  <c r="H8" i="3"/>
  <c r="N7" i="3"/>
  <c r="K7" i="3"/>
  <c r="H7" i="3"/>
  <c r="N6" i="3"/>
  <c r="K6" i="3"/>
  <c r="H6" i="3"/>
  <c r="P5" i="3"/>
  <c r="O5" i="3"/>
  <c r="M5" i="3"/>
  <c r="L5" i="3"/>
  <c r="J5" i="3"/>
  <c r="I5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G5" i="3"/>
  <c r="F5" i="3"/>
  <c r="D5" i="3"/>
  <c r="C5" i="3"/>
  <c r="AC11" i="2"/>
  <c r="Z11" i="2"/>
  <c r="AC10" i="2"/>
  <c r="Z10" i="2"/>
  <c r="AC9" i="2"/>
  <c r="Z9" i="2"/>
  <c r="AC8" i="2"/>
  <c r="Z8" i="2"/>
  <c r="AC7" i="2"/>
  <c r="Z7" i="2"/>
  <c r="AC6" i="2"/>
  <c r="Z6" i="2"/>
  <c r="AE5" i="2"/>
  <c r="AD5" i="2"/>
  <c r="AB5" i="2"/>
  <c r="AA5" i="2"/>
  <c r="W11" i="2"/>
  <c r="T11" i="2"/>
  <c r="Q11" i="2"/>
  <c r="W10" i="2"/>
  <c r="T10" i="2"/>
  <c r="Q10" i="2"/>
  <c r="W9" i="2"/>
  <c r="T9" i="2"/>
  <c r="Q9" i="2"/>
  <c r="W8" i="2"/>
  <c r="T8" i="2"/>
  <c r="Q8" i="2"/>
  <c r="W7" i="2"/>
  <c r="T7" i="2"/>
  <c r="Q7" i="2"/>
  <c r="W6" i="2"/>
  <c r="T6" i="2"/>
  <c r="Q6" i="2"/>
  <c r="Y5" i="2"/>
  <c r="X5" i="2"/>
  <c r="V5" i="2"/>
  <c r="U5" i="2"/>
  <c r="S5" i="2"/>
  <c r="R5" i="2"/>
  <c r="N11" i="2"/>
  <c r="K11" i="2"/>
  <c r="H11" i="2"/>
  <c r="N10" i="2"/>
  <c r="K10" i="2"/>
  <c r="H10" i="2"/>
  <c r="N9" i="2"/>
  <c r="K9" i="2"/>
  <c r="H9" i="2"/>
  <c r="N8" i="2"/>
  <c r="K8" i="2"/>
  <c r="H8" i="2"/>
  <c r="N7" i="2"/>
  <c r="K7" i="2"/>
  <c r="H7" i="2"/>
  <c r="N6" i="2"/>
  <c r="K6" i="2"/>
  <c r="H6" i="2"/>
  <c r="P5" i="2"/>
  <c r="O5" i="2"/>
  <c r="M5" i="2"/>
  <c r="L5" i="2"/>
  <c r="J5" i="2"/>
  <c r="I5" i="2"/>
  <c r="H5" i="2" s="1"/>
  <c r="E11" i="2"/>
  <c r="B11" i="2"/>
  <c r="E10" i="2"/>
  <c r="B10" i="2"/>
  <c r="E9" i="2"/>
  <c r="B9" i="2"/>
  <c r="E8" i="2"/>
  <c r="B8" i="2"/>
  <c r="E7" i="2"/>
  <c r="B7" i="2"/>
  <c r="E6" i="2"/>
  <c r="B6" i="2"/>
  <c r="G5" i="2"/>
  <c r="F5" i="2"/>
  <c r="D5" i="2"/>
  <c r="C5" i="2"/>
  <c r="B5" i="2" s="1"/>
  <c r="N5" i="2" l="1"/>
  <c r="AC5" i="2"/>
  <c r="K5" i="2"/>
  <c r="AC5" i="3"/>
  <c r="T5" i="2"/>
  <c r="E5" i="2"/>
  <c r="Z5" i="2"/>
  <c r="E5" i="3"/>
  <c r="W5" i="3"/>
  <c r="T5" i="3"/>
  <c r="B5" i="3"/>
  <c r="H5" i="3"/>
  <c r="Q5" i="3"/>
  <c r="Z5" i="3"/>
  <c r="K5" i="3"/>
  <c r="N5" i="3"/>
  <c r="W5" i="2"/>
  <c r="Q5" i="2"/>
</calcChain>
</file>

<file path=xl/connections.xml><?xml version="1.0" encoding="utf-8"?>
<connections xmlns="http://schemas.openxmlformats.org/spreadsheetml/2006/main">
  <connection id="1" name="Município_PopulaçãoNEw1211" type="6" refreshedVersion="4" background="1" saveData="1">
    <textPr sourceFile="C:\Users\andre.luvenga\Desktop\Pedidos\Município_PopulaçãoNEw.csv" decimal="," thousands="." semicolon="1">
      <textFields count="7">
        <textField/>
        <textField/>
        <textField/>
        <textField/>
        <textField/>
        <textField/>
        <textField/>
      </textFields>
    </textPr>
  </connection>
  <connection id="2" name="Município_PopulaçãoNEw12111" type="6" refreshedVersion="4" background="1" saveData="1">
    <textPr sourceFile="C:\Users\andre.luvenga\Desktop\Pedidos\Município_PopulaçãoNEw.csv" decimal="," thousands="." semicolon="1">
      <textFields count="7">
        <textField/>
        <textField/>
        <textField/>
        <textField/>
        <textField/>
        <textField/>
        <textField/>
      </textFields>
    </textPr>
  </connection>
  <connection id="3" name="Município_PopulaçãoNEw121111111" type="6" refreshedVersion="4" background="1" saveData="1">
    <textPr sourceFile="C:\Users\andre.luvenga\Desktop\Pedidos\Município_PopulaçãoNEw.csv" decimal="," thousands=".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<sst xmlns="http://schemas.openxmlformats.org/spreadsheetml/2006/main" count="776" uniqueCount="200">
  <si>
    <t>Total</t>
  </si>
  <si>
    <t>Homens</t>
  </si>
  <si>
    <t>Mulheres</t>
  </si>
  <si>
    <t>Cabinda</t>
  </si>
  <si>
    <t>Cacongo</t>
  </si>
  <si>
    <t>Buco Zau</t>
  </si>
  <si>
    <t>Belize</t>
  </si>
  <si>
    <t>Municípios</t>
  </si>
  <si>
    <t>Zaire</t>
  </si>
  <si>
    <t>Mbanza Congo</t>
  </si>
  <si>
    <t>Soyo</t>
  </si>
  <si>
    <t>Nzetu</t>
  </si>
  <si>
    <t>Tomboco</t>
  </si>
  <si>
    <t>Nóqui</t>
  </si>
  <si>
    <t>Cuimba</t>
  </si>
  <si>
    <t>Uíge</t>
  </si>
  <si>
    <t>Ambuíla</t>
  </si>
  <si>
    <t>Songo</t>
  </si>
  <si>
    <t>Bembe</t>
  </si>
  <si>
    <t>Negage</t>
  </si>
  <si>
    <t>Bungo</t>
  </si>
  <si>
    <t>Maquela do Zombo</t>
  </si>
  <si>
    <t>Damba</t>
  </si>
  <si>
    <t>Cangola</t>
  </si>
  <si>
    <t>Sanza Pombo</t>
  </si>
  <si>
    <t>Quitexe</t>
  </si>
  <si>
    <t>Quimbele</t>
  </si>
  <si>
    <t>Mulinga</t>
  </si>
  <si>
    <t>Puri</t>
  </si>
  <si>
    <t>Mucaba</t>
  </si>
  <si>
    <t xml:space="preserve">Buengas </t>
  </si>
  <si>
    <t>Luanda</t>
  </si>
  <si>
    <t>Cazenga</t>
  </si>
  <si>
    <t>Cacuaco</t>
  </si>
  <si>
    <t>Viana</t>
  </si>
  <si>
    <t>Belas</t>
  </si>
  <si>
    <t>Cuanza Norte</t>
  </si>
  <si>
    <t>Cazengo</t>
  </si>
  <si>
    <t>Lucala</t>
  </si>
  <si>
    <t>Golungo Alto</t>
  </si>
  <si>
    <t>Cambambe</t>
  </si>
  <si>
    <t>Ambaca</t>
  </si>
  <si>
    <t>Quiculungo</t>
  </si>
  <si>
    <t>Bolongongo</t>
  </si>
  <si>
    <t>Banga</t>
  </si>
  <si>
    <t>Samba Cajú</t>
  </si>
  <si>
    <t>Ngonguembo</t>
  </si>
  <si>
    <t>Cuanza Sul</t>
  </si>
  <si>
    <t xml:space="preserve">Sumbe </t>
  </si>
  <si>
    <t>Amboim</t>
  </si>
  <si>
    <t>Quilenda</t>
  </si>
  <si>
    <t>Porto Amboim</t>
  </si>
  <si>
    <t xml:space="preserve">Libolo </t>
  </si>
  <si>
    <t>Quibala</t>
  </si>
  <si>
    <t>Mussende</t>
  </si>
  <si>
    <t>Seles</t>
  </si>
  <si>
    <t>Conda</t>
  </si>
  <si>
    <t>Cassongue</t>
  </si>
  <si>
    <t xml:space="preserve">Cela </t>
  </si>
  <si>
    <t>Ebo</t>
  </si>
  <si>
    <t>Malanje</t>
  </si>
  <si>
    <t>Cacuso</t>
  </si>
  <si>
    <t>Calandula</t>
  </si>
  <si>
    <t>Cambundi-Catembo</t>
  </si>
  <si>
    <t>Quela</t>
  </si>
  <si>
    <t>Cahombo</t>
  </si>
  <si>
    <t>Massango</t>
  </si>
  <si>
    <t>Luquembo</t>
  </si>
  <si>
    <t>Marimba</t>
  </si>
  <si>
    <t>Cunda-Dia-Baze</t>
  </si>
  <si>
    <t>Quirima</t>
  </si>
  <si>
    <t>Mucari</t>
  </si>
  <si>
    <t>Cangandala</t>
  </si>
  <si>
    <t>Quiwaba-N'Zogi</t>
  </si>
  <si>
    <t>Lunda Norte</t>
  </si>
  <si>
    <t>Lucapa</t>
  </si>
  <si>
    <t>Cambulo</t>
  </si>
  <si>
    <t>Chitato</t>
  </si>
  <si>
    <t>Cuilo</t>
  </si>
  <si>
    <t>Caungula</t>
  </si>
  <si>
    <t>Cuango</t>
  </si>
  <si>
    <t>Lubalo</t>
  </si>
  <si>
    <t>Capenda-Camulemba</t>
  </si>
  <si>
    <t>Xá-Muteba</t>
  </si>
  <si>
    <t>Lóvua</t>
  </si>
  <si>
    <t>Benguela</t>
  </si>
  <si>
    <t>Baía Farta</t>
  </si>
  <si>
    <t>Lobito</t>
  </si>
  <si>
    <t>Cubal</t>
  </si>
  <si>
    <t>Ganda</t>
  </si>
  <si>
    <t>Balombo</t>
  </si>
  <si>
    <t>Bocoio</t>
  </si>
  <si>
    <t>Caimbambo</t>
  </si>
  <si>
    <t>Chongoroi</t>
  </si>
  <si>
    <t>Catumbela</t>
  </si>
  <si>
    <t>Huambo</t>
  </si>
  <si>
    <t>Tchikala-Tcholohanga</t>
  </si>
  <si>
    <t>Catchiungo</t>
  </si>
  <si>
    <t>Bailundo</t>
  </si>
  <si>
    <t>Caála</t>
  </si>
  <si>
    <t>Ecunha</t>
  </si>
  <si>
    <t>Ukuma</t>
  </si>
  <si>
    <t>Longonjo</t>
  </si>
  <si>
    <t>Mungo</t>
  </si>
  <si>
    <t>Londuimbale</t>
  </si>
  <si>
    <t>Tchinjenje</t>
  </si>
  <si>
    <t>Bié</t>
  </si>
  <si>
    <t>Cuito</t>
  </si>
  <si>
    <t>Cunhinga</t>
  </si>
  <si>
    <t>Chinguar</t>
  </si>
  <si>
    <t>Andulo</t>
  </si>
  <si>
    <t>N'harea</t>
  </si>
  <si>
    <t>Camacupa</t>
  </si>
  <si>
    <t>Cuemba</t>
  </si>
  <si>
    <t>Chitembo</t>
  </si>
  <si>
    <t>Catabola</t>
  </si>
  <si>
    <t>Moxico</t>
  </si>
  <si>
    <t>Luena</t>
  </si>
  <si>
    <t>Camanongue</t>
  </si>
  <si>
    <t>Léua</t>
  </si>
  <si>
    <t>Luacano</t>
  </si>
  <si>
    <t>Cameias</t>
  </si>
  <si>
    <t>Bundas</t>
  </si>
  <si>
    <t>Luchazes</t>
  </si>
  <si>
    <t>Alto Zambeze</t>
  </si>
  <si>
    <t>Luau</t>
  </si>
  <si>
    <t>Cuando Cubango</t>
  </si>
  <si>
    <t>Menongue</t>
  </si>
  <si>
    <t>Cuito Cuanavale</t>
  </si>
  <si>
    <t>Cuangar</t>
  </si>
  <si>
    <t>Rivungo</t>
  </si>
  <si>
    <t>Mavinga</t>
  </si>
  <si>
    <t>Cuchi</t>
  </si>
  <si>
    <t>Dirico</t>
  </si>
  <si>
    <t>Nancova</t>
  </si>
  <si>
    <t>Calai</t>
  </si>
  <si>
    <t>Namibe</t>
  </si>
  <si>
    <t xml:space="preserve">Tômbwa </t>
  </si>
  <si>
    <t>Virei</t>
  </si>
  <si>
    <t>Bibala</t>
  </si>
  <si>
    <t>Camucuio</t>
  </si>
  <si>
    <t xml:space="preserve"> Huíla</t>
  </si>
  <si>
    <t>Lubango</t>
  </si>
  <si>
    <t>Cacula</t>
  </si>
  <si>
    <t>Chibia</t>
  </si>
  <si>
    <t>Caconda</t>
  </si>
  <si>
    <t>Caluquembe</t>
  </si>
  <si>
    <t>Quilengues</t>
  </si>
  <si>
    <t>Cuvango</t>
  </si>
  <si>
    <t>Quipungo</t>
  </si>
  <si>
    <t>Matala</t>
  </si>
  <si>
    <t>Chicomba</t>
  </si>
  <si>
    <t>Jamba</t>
  </si>
  <si>
    <t>Chipindo</t>
  </si>
  <si>
    <t xml:space="preserve">Gambos </t>
  </si>
  <si>
    <t>Humpata</t>
  </si>
  <si>
    <t>Cunene</t>
  </si>
  <si>
    <t>Cuanhama</t>
  </si>
  <si>
    <t>Ombadja</t>
  </si>
  <si>
    <t>Cuvelai</t>
  </si>
  <si>
    <t xml:space="preserve">Curoca </t>
  </si>
  <si>
    <t>Namacunde</t>
  </si>
  <si>
    <t>Cahama</t>
  </si>
  <si>
    <t>Lunda Sul</t>
  </si>
  <si>
    <t>Saurimo</t>
  </si>
  <si>
    <t>Muconda</t>
  </si>
  <si>
    <t>Dala</t>
  </si>
  <si>
    <t>Cacolo</t>
  </si>
  <si>
    <t>Bengo</t>
  </si>
  <si>
    <t>Dande</t>
  </si>
  <si>
    <t>Ambriz</t>
  </si>
  <si>
    <t>Nambuangongo</t>
  </si>
  <si>
    <t>Bula-Atumba</t>
  </si>
  <si>
    <t>Dembos-Quibaxe</t>
  </si>
  <si>
    <t xml:space="preserve">Homens </t>
  </si>
  <si>
    <t>Icolo e Bengo</t>
  </si>
  <si>
    <t>Quiçama</t>
  </si>
  <si>
    <t>Kilamba Kiaxi</t>
  </si>
  <si>
    <t>Talatona</t>
  </si>
  <si>
    <t>Quadro 1 -  População projectada por municípios, segundo o sexo, Cabinda, 2015-2024</t>
  </si>
  <si>
    <t>Quadro 2 -  População projectada por municípios, segundo o sexo, Zaire 2015-2024</t>
  </si>
  <si>
    <t>Quadro 3 -  População projectada por municípios, segundo o sexo, Uíge 2015-2024</t>
  </si>
  <si>
    <t>Quadro 5 -  População projectada por municípios, segundo o sexo, Cuanza Norte, 2015-2024</t>
  </si>
  <si>
    <t>Quadro 7 -  População projectada por municípios, segundo o sexo, Malanje 2015-2024</t>
  </si>
  <si>
    <t>Quadro 8 -  População projectada por municípios, segundo o sexo, Lunda Norte 2015-2024</t>
  </si>
  <si>
    <t>Quadro 9 -  População projectada por municípios, segundo o sexo, Benguela 2015-2024</t>
  </si>
  <si>
    <t>Quadro 10 -  População projectada por municípios, segundo o sexo, Huambo 2015-2024</t>
  </si>
  <si>
    <t>Quadro 11 -  População projectada por municípios, segundo o sexo, Bié 2015-2024</t>
  </si>
  <si>
    <t>Quadro 12 -  População projectada por municípios, segundo o sexo, Moxico 2015-2024</t>
  </si>
  <si>
    <t>Quadro 13 -  População projectada por municípios, segundo o sexo, Cuando Cubango 2015-2024</t>
  </si>
  <si>
    <t>Quadro 14 -  População projectada por municípios, segundo o sexo, Namibe 2015-2024</t>
  </si>
  <si>
    <t>Quadro 15 -  População projectada por municípios, segundo o sexo, Huíla 2015-2024</t>
  </si>
  <si>
    <t>Quadro 16 -  População projectada por municípios, segundo o sexo, Cunene 2015-2024</t>
  </si>
  <si>
    <t>Quadro 17 -  População projectada por municípios, segundo o sexo, Lunda Sul 2015-2024</t>
  </si>
  <si>
    <t>Quadro 18 -  População projectada por municípios, segundo o sexo, Bengo 2015-2024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</si>
  <si>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</si>
  <si>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r>
      <rPr>
        <b/>
        <sz val="9"/>
        <color rgb="FF000000"/>
        <rFont val="Calibri"/>
        <family val="2"/>
        <scheme val="minor"/>
      </rPr>
      <t xml:space="preserve">Fonte: </t>
    </r>
    <r>
      <rPr>
        <sz val="9"/>
        <color rgb="FF000000"/>
        <rFont val="Calibri"/>
        <family val="2"/>
        <scheme val="minor"/>
      </rPr>
      <t xml:space="preserve">INE -  Departamento de Estatísticas Demográficas e Sociais </t>
    </r>
  </si>
  <si>
    <t>Quadro 4 - População da província de Luanda por Municípios, segundo o sexo,  2015-2024</t>
  </si>
  <si>
    <t>Quadro 6 -  População projectada por municípios, segundo o sexo, Cuanza Sul 2015-2024</t>
  </si>
  <si>
    <t>Pango-Aluquém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</si>
</sst>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\ ###\ \ ###"/>
    <numFmt numFmtId="165" formatCode="#\ ###\ ###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FFC000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6">
    <xf numFmtId="0" fontId="0" fillId="0" borderId="0" xfId="0"/>
    <xf numFmtId="0" fontId="2" fillId="2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wrapText="1"/>
    </xf>
    <xf numFmtId="0" fontId="3" fillId="2" borderId="0" xfId="1" applyFont="1" applyFill="1" applyAlignment="1">
      <alignment vertical="top" wrapText="1"/>
    </xf>
    <xf numFmtId="164" fontId="3" fillId="2" borderId="0" xfId="1" applyNumberFormat="1" applyFont="1" applyFill="1" applyAlignment="1">
      <alignment horizontal="right" vertical="center" wrapText="1"/>
    </xf>
    <xf numFmtId="0" fontId="3" fillId="2" borderId="0" xfId="0" applyFont="1" applyFill="1"/>
    <xf numFmtId="164" fontId="2" fillId="2" borderId="5" xfId="1" applyNumberFormat="1" applyFont="1" applyFill="1" applyBorder="1" applyAlignment="1">
      <alignment horizontal="right" vertical="center" wrapText="1"/>
    </xf>
    <xf numFmtId="164" fontId="2" fillId="2" borderId="6" xfId="1" applyNumberFormat="1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left" vertical="top" wrapText="1" indent="1"/>
    </xf>
    <xf numFmtId="164" fontId="2" fillId="2" borderId="7" xfId="1" applyNumberFormat="1" applyFont="1" applyFill="1" applyBorder="1" applyAlignment="1">
      <alignment horizontal="right" vertical="center" wrapText="1"/>
    </xf>
    <xf numFmtId="164" fontId="2" fillId="2" borderId="1" xfId="1" applyNumberFormat="1" applyFont="1" applyFill="1" applyBorder="1" applyAlignment="1">
      <alignment horizontal="right" vertical="center" wrapText="1"/>
    </xf>
    <xf numFmtId="164" fontId="2" fillId="2" borderId="8" xfId="1" applyNumberFormat="1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 wrapText="1"/>
    </xf>
    <xf numFmtId="0" fontId="3" fillId="2" borderId="0" xfId="1" applyFont="1" applyFill="1" applyAlignment="1">
      <alignment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vertical="top" wrapText="1"/>
    </xf>
    <xf numFmtId="164" fontId="3" fillId="2" borderId="7" xfId="1" applyNumberFormat="1" applyFont="1" applyFill="1" applyBorder="1" applyAlignment="1">
      <alignment horizontal="right" vertical="center" wrapText="1"/>
    </xf>
    <xf numFmtId="164" fontId="3" fillId="2" borderId="1" xfId="1" applyNumberFormat="1" applyFont="1" applyFill="1" applyBorder="1" applyAlignment="1">
      <alignment horizontal="right" vertical="center" wrapText="1"/>
    </xf>
    <xf numFmtId="164" fontId="3" fillId="2" borderId="8" xfId="1" applyNumberFormat="1" applyFont="1" applyFill="1" applyBorder="1" applyAlignment="1">
      <alignment horizontal="right" vertical="center" wrapText="1"/>
    </xf>
    <xf numFmtId="0" fontId="2" fillId="2" borderId="0" xfId="1" applyFont="1" applyFill="1" applyAlignment="1">
      <alignment horizontal="left" vertical="top" wrapText="1" indent="1"/>
    </xf>
    <xf numFmtId="164" fontId="2" fillId="2" borderId="0" xfId="1" applyNumberFormat="1" applyFont="1" applyFill="1" applyAlignment="1">
      <alignment horizontal="right" vertical="center" wrapText="1"/>
    </xf>
    <xf numFmtId="0" fontId="2" fillId="2" borderId="14" xfId="1" applyFont="1" applyFill="1" applyBorder="1" applyAlignment="1">
      <alignment horizontal="left" vertical="top" wrapText="1" indent="1"/>
    </xf>
    <xf numFmtId="164" fontId="2" fillId="2" borderId="14" xfId="1" applyNumberFormat="1" applyFont="1" applyFill="1" applyBorder="1" applyAlignment="1">
      <alignment horizontal="right" vertical="center" wrapText="1"/>
    </xf>
    <xf numFmtId="0" fontId="2" fillId="2" borderId="0" xfId="1" applyFont="1" applyFill="1" applyAlignment="1">
      <alignment horizontal="center" wrapText="1"/>
    </xf>
    <xf numFmtId="0" fontId="2" fillId="2" borderId="6" xfId="1" applyFont="1" applyFill="1" applyBorder="1" applyAlignment="1">
      <alignment horizontal="center" wrapText="1"/>
    </xf>
    <xf numFmtId="164" fontId="3" fillId="2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0" fontId="5" fillId="2" borderId="1" xfId="0" applyFont="1" applyFill="1" applyBorder="1" applyAlignment="1">
      <alignment horizontal="left" vertical="center" indent="2"/>
    </xf>
    <xf numFmtId="165" fontId="5" fillId="2" borderId="1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 indent="2"/>
    </xf>
    <xf numFmtId="165" fontId="5" fillId="2" borderId="14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 indent="2"/>
    </xf>
    <xf numFmtId="165" fontId="5" fillId="2" borderId="0" xfId="0" applyNumberFormat="1" applyFont="1" applyFill="1" applyAlignment="1">
      <alignment vertical="center"/>
    </xf>
    <xf numFmtId="164" fontId="3" fillId="2" borderId="4" xfId="1" applyNumberFormat="1" applyFont="1" applyFill="1" applyBorder="1" applyAlignment="1">
      <alignment horizontal="right" vertical="center" wrapText="1"/>
    </xf>
    <xf numFmtId="0" fontId="3" fillId="2" borderId="14" xfId="1" applyFont="1" applyFill="1" applyBorder="1" applyAlignment="1">
      <alignment vertical="top" wrapText="1"/>
    </xf>
    <xf numFmtId="164" fontId="3" fillId="2" borderId="14" xfId="1" applyNumberFormat="1" applyFont="1" applyFill="1" applyBorder="1" applyAlignment="1">
      <alignment horizontal="right" vertical="center" wrapText="1"/>
    </xf>
    <xf numFmtId="0" fontId="5" fillId="2" borderId="0" xfId="0" applyFont="1" applyFill="1"/>
    <xf numFmtId="0" fontId="3" fillId="2" borderId="1" xfId="1" applyFont="1" applyFill="1" applyBorder="1" applyAlignment="1">
      <alignment vertical="top" wrapText="1"/>
    </xf>
    <xf numFmtId="0" fontId="8" fillId="2" borderId="0" xfId="0" applyFont="1" applyFill="1" applyAlignment="1">
      <alignment vertical="center"/>
    </xf>
    <xf numFmtId="164" fontId="10" fillId="2" borderId="0" xfId="1" applyNumberFormat="1" applyFont="1" applyFill="1" applyAlignment="1">
      <alignment horizontal="right" vertical="center" wrapText="1"/>
    </xf>
    <xf numFmtId="0" fontId="10" fillId="2" borderId="0" xfId="0" applyFont="1" applyFill="1"/>
    <xf numFmtId="164" fontId="11" fillId="2" borderId="0" xfId="1" applyNumberFormat="1" applyFont="1" applyFill="1" applyAlignment="1">
      <alignment horizontal="right" vertical="center" wrapText="1"/>
    </xf>
    <xf numFmtId="164" fontId="10" fillId="2" borderId="0" xfId="0" applyNumberFormat="1" applyFont="1" applyFill="1"/>
    <xf numFmtId="164" fontId="11" fillId="2" borderId="0" xfId="0" applyNumberFormat="1" applyFont="1" applyFill="1"/>
    <xf numFmtId="0" fontId="2" fillId="2" borderId="0" xfId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wrapText="1"/>
    </xf>
    <xf numFmtId="164" fontId="3" fillId="2" borderId="18" xfId="1" applyNumberFormat="1" applyFont="1" applyFill="1" applyBorder="1" applyAlignment="1">
      <alignment horizontal="right" vertical="center" wrapText="1"/>
    </xf>
    <xf numFmtId="164" fontId="3" fillId="2" borderId="19" xfId="1" applyNumberFormat="1" applyFont="1" applyFill="1" applyBorder="1" applyAlignment="1">
      <alignment horizontal="right" vertical="center" wrapText="1"/>
    </xf>
    <xf numFmtId="164" fontId="2" fillId="2" borderId="16" xfId="1" applyNumberFormat="1" applyFont="1" applyFill="1" applyBorder="1" applyAlignment="1">
      <alignment horizontal="right" vertical="center" wrapText="1"/>
    </xf>
    <xf numFmtId="164" fontId="2" fillId="2" borderId="17" xfId="1" applyNumberFormat="1" applyFont="1" applyFill="1" applyBorder="1" applyAlignment="1">
      <alignment horizontal="right" vertical="center" wrapText="1"/>
    </xf>
    <xf numFmtId="164" fontId="2" fillId="2" borderId="20" xfId="1" applyNumberFormat="1" applyFont="1" applyFill="1" applyBorder="1" applyAlignment="1">
      <alignment horizontal="right" vertical="center" wrapText="1"/>
    </xf>
    <xf numFmtId="164" fontId="2" fillId="2" borderId="21" xfId="1" applyNumberFormat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vertical="center" wrapText="1"/>
    </xf>
    <xf numFmtId="0" fontId="2" fillId="2" borderId="1" xfId="0" applyFont="1" applyFill="1" applyBorder="1"/>
    <xf numFmtId="0" fontId="2" fillId="2" borderId="18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164" fontId="3" fillId="2" borderId="20" xfId="1" applyNumberFormat="1" applyFont="1" applyFill="1" applyBorder="1" applyAlignment="1">
      <alignment horizontal="right" vertical="center" wrapText="1"/>
    </xf>
    <xf numFmtId="164" fontId="3" fillId="2" borderId="21" xfId="1" applyNumberFormat="1" applyFont="1" applyFill="1" applyBorder="1" applyAlignment="1">
      <alignment horizontal="right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65" fontId="6" fillId="2" borderId="16" xfId="0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vertical="center"/>
    </xf>
    <xf numFmtId="165" fontId="6" fillId="2" borderId="17" xfId="0" applyNumberFormat="1" applyFont="1" applyFill="1" applyBorder="1" applyAlignment="1">
      <alignment vertical="center"/>
    </xf>
    <xf numFmtId="165" fontId="5" fillId="2" borderId="24" xfId="0" applyNumberFormat="1" applyFont="1" applyFill="1" applyBorder="1" applyAlignment="1">
      <alignment vertical="center"/>
    </xf>
    <xf numFmtId="165" fontId="5" fillId="2" borderId="25" xfId="0" applyNumberFormat="1" applyFont="1" applyFill="1" applyBorder="1" applyAlignment="1">
      <alignment vertical="center"/>
    </xf>
    <xf numFmtId="165" fontId="5" fillId="2" borderId="16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165" fontId="5" fillId="2" borderId="17" xfId="0" applyNumberFormat="1" applyFont="1" applyFill="1" applyBorder="1" applyAlignment="1">
      <alignment vertical="center"/>
    </xf>
    <xf numFmtId="165" fontId="5" fillId="2" borderId="20" xfId="0" applyNumberFormat="1" applyFont="1" applyFill="1" applyBorder="1" applyAlignment="1">
      <alignment vertical="center"/>
    </xf>
    <xf numFmtId="165" fontId="5" fillId="2" borderId="21" xfId="0" applyNumberFormat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right" vertical="center" wrapText="1"/>
    </xf>
    <xf numFmtId="0" fontId="2" fillId="2" borderId="0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right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wrapText="1"/>
    </xf>
    <xf numFmtId="164" fontId="3" fillId="2" borderId="26" xfId="1" applyNumberFormat="1" applyFont="1" applyFill="1" applyBorder="1" applyAlignment="1">
      <alignment horizontal="righ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164" fontId="3" fillId="2" borderId="17" xfId="1" applyNumberFormat="1" applyFont="1" applyFill="1" applyBorder="1" applyAlignment="1">
      <alignment horizontal="right" vertical="center" wrapText="1"/>
    </xf>
    <xf numFmtId="164" fontId="2" fillId="2" borderId="24" xfId="1" applyNumberFormat="1" applyFont="1" applyFill="1" applyBorder="1" applyAlignment="1">
      <alignment horizontal="right" vertical="center" wrapText="1"/>
    </xf>
    <xf numFmtId="164" fontId="2" fillId="2" borderId="25" xfId="1" applyNumberFormat="1" applyFont="1" applyFill="1" applyBorder="1" applyAlignment="1">
      <alignment horizontal="right" vertical="center" wrapText="1"/>
    </xf>
    <xf numFmtId="164" fontId="3" fillId="2" borderId="24" xfId="1" applyNumberFormat="1" applyFont="1" applyFill="1" applyBorder="1" applyAlignment="1">
      <alignment horizontal="right" vertical="center" wrapText="1"/>
    </xf>
    <xf numFmtId="164" fontId="3" fillId="2" borderId="25" xfId="1" applyNumberFormat="1" applyFont="1" applyFill="1" applyBorder="1" applyAlignment="1">
      <alignment horizontal="right" vertical="center" wrapText="1"/>
    </xf>
    <xf numFmtId="0" fontId="2" fillId="2" borderId="0" xfId="1" applyFont="1" applyFill="1" applyBorder="1" applyAlignment="1">
      <alignment horizontal="left" vertical="top" wrapText="1" indent="1"/>
    </xf>
    <xf numFmtId="0" fontId="7" fillId="2" borderId="0" xfId="1" applyFont="1" applyFill="1" applyBorder="1" applyAlignment="1">
      <alignment horizontal="left" vertical="top" wrapText="1" indent="1"/>
    </xf>
    <xf numFmtId="0" fontId="7" fillId="2" borderId="1" xfId="1" applyFont="1" applyFill="1" applyBorder="1" applyAlignment="1">
      <alignment horizontal="left" vertical="top" wrapText="1" indent="1"/>
    </xf>
    <xf numFmtId="0" fontId="12" fillId="2" borderId="0" xfId="0" applyFont="1" applyFill="1" applyAlignment="1">
      <alignment vertical="center"/>
    </xf>
    <xf numFmtId="0" fontId="11" fillId="2" borderId="0" xfId="1" applyFont="1" applyFill="1" applyAlignment="1">
      <alignment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wrapText="1"/>
    </xf>
    <xf numFmtId="0" fontId="10" fillId="2" borderId="6" xfId="1" applyFont="1" applyFill="1" applyBorder="1" applyAlignment="1">
      <alignment horizontal="center" wrapText="1"/>
    </xf>
    <xf numFmtId="0" fontId="11" fillId="2" borderId="3" xfId="1" applyFont="1" applyFill="1" applyBorder="1" applyAlignment="1">
      <alignment vertical="top" wrapText="1"/>
    </xf>
    <xf numFmtId="164" fontId="11" fillId="2" borderId="2" xfId="1" applyNumberFormat="1" applyFont="1" applyFill="1" applyBorder="1" applyAlignment="1">
      <alignment horizontal="right" vertical="center" wrapText="1"/>
    </xf>
    <xf numFmtId="164" fontId="11" fillId="2" borderId="3" xfId="1" applyNumberFormat="1" applyFont="1" applyFill="1" applyBorder="1" applyAlignment="1">
      <alignment horizontal="right" vertical="center" wrapText="1"/>
    </xf>
    <xf numFmtId="164" fontId="11" fillId="2" borderId="4" xfId="1" applyNumberFormat="1" applyFont="1" applyFill="1" applyBorder="1" applyAlignment="1">
      <alignment horizontal="right" vertical="center" wrapText="1"/>
    </xf>
    <xf numFmtId="0" fontId="11" fillId="2" borderId="0" xfId="0" applyFont="1" applyFill="1"/>
    <xf numFmtId="0" fontId="10" fillId="2" borderId="0" xfId="1" applyFont="1" applyFill="1" applyAlignment="1">
      <alignment horizontal="left" vertical="top" wrapText="1" indent="1"/>
    </xf>
    <xf numFmtId="164" fontId="10" fillId="2" borderId="5" xfId="1" applyNumberFormat="1" applyFont="1" applyFill="1" applyBorder="1" applyAlignment="1">
      <alignment horizontal="right" vertical="center" wrapText="1"/>
    </xf>
    <xf numFmtId="164" fontId="10" fillId="2" borderId="6" xfId="1" applyNumberFormat="1" applyFont="1" applyFill="1" applyBorder="1" applyAlignment="1">
      <alignment horizontal="right" vertical="center" wrapText="1"/>
    </xf>
    <xf numFmtId="0" fontId="10" fillId="2" borderId="0" xfId="1" applyFont="1" applyFill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" xfId="1" applyFont="1" applyFill="1" applyBorder="1" applyAlignment="1">
      <alignment horizontal="left" vertical="top" wrapText="1" indent="1"/>
    </xf>
    <xf numFmtId="164" fontId="10" fillId="2" borderId="7" xfId="1" applyNumberFormat="1" applyFont="1" applyFill="1" applyBorder="1" applyAlignment="1">
      <alignment horizontal="right" vertical="center" wrapText="1"/>
    </xf>
    <xf numFmtId="164" fontId="10" fillId="2" borderId="1" xfId="1" applyNumberFormat="1" applyFont="1" applyFill="1" applyBorder="1" applyAlignment="1">
      <alignment horizontal="right" vertical="center" wrapText="1"/>
    </xf>
    <xf numFmtId="164" fontId="10" fillId="2" borderId="8" xfId="1" applyNumberFormat="1" applyFont="1" applyFill="1" applyBorder="1" applyAlignment="1">
      <alignment horizontal="right" vertical="center" wrapText="1"/>
    </xf>
    <xf numFmtId="0" fontId="10" fillId="2" borderId="0" xfId="1" applyFont="1" applyFill="1" applyBorder="1" applyAlignment="1">
      <alignment horizontal="center" vertical="center" wrapText="1"/>
    </xf>
    <xf numFmtId="164" fontId="10" fillId="2" borderId="0" xfId="1" applyNumberFormat="1" applyFont="1" applyFill="1" applyBorder="1" applyAlignment="1">
      <alignment horizontal="right" vertical="center" wrapText="1"/>
    </xf>
    <xf numFmtId="0" fontId="10" fillId="2" borderId="16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wrapText="1"/>
    </xf>
    <xf numFmtId="0" fontId="10" fillId="2" borderId="17" xfId="1" applyFont="1" applyFill="1" applyBorder="1" applyAlignment="1">
      <alignment horizontal="center" wrapText="1"/>
    </xf>
    <xf numFmtId="164" fontId="11" fillId="2" borderId="18" xfId="1" applyNumberFormat="1" applyFont="1" applyFill="1" applyBorder="1" applyAlignment="1">
      <alignment horizontal="right" vertical="center" wrapText="1"/>
    </xf>
    <xf numFmtId="164" fontId="11" fillId="2" borderId="19" xfId="1" applyNumberFormat="1" applyFont="1" applyFill="1" applyBorder="1" applyAlignment="1">
      <alignment horizontal="right" vertical="center" wrapText="1"/>
    </xf>
    <xf numFmtId="164" fontId="10" fillId="2" borderId="16" xfId="1" applyNumberFormat="1" applyFont="1" applyFill="1" applyBorder="1" applyAlignment="1">
      <alignment horizontal="right" vertical="center" wrapText="1"/>
    </xf>
    <xf numFmtId="164" fontId="10" fillId="2" borderId="17" xfId="1" applyNumberFormat="1" applyFont="1" applyFill="1" applyBorder="1" applyAlignment="1">
      <alignment horizontal="right" vertical="center" wrapText="1"/>
    </xf>
    <xf numFmtId="164" fontId="10" fillId="2" borderId="20" xfId="1" applyNumberFormat="1" applyFont="1" applyFill="1" applyBorder="1" applyAlignment="1">
      <alignment horizontal="right" vertical="center" wrapText="1"/>
    </xf>
    <xf numFmtId="164" fontId="10" fillId="2" borderId="21" xfId="1" applyNumberFormat="1" applyFont="1" applyFill="1" applyBorder="1" applyAlignment="1">
      <alignment horizontal="right" vertical="center" wrapText="1"/>
    </xf>
    <xf numFmtId="0" fontId="2" fillId="2" borderId="19" xfId="1" applyFont="1" applyFill="1" applyBorder="1" applyAlignment="1">
      <alignment horizontal="center" wrapText="1"/>
    </xf>
    <xf numFmtId="0" fontId="3" fillId="2" borderId="0" xfId="1" applyFont="1" applyFill="1" applyAlignment="1">
      <alignment horizontal="left" wrapText="1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2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2" borderId="2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1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</cellXfs>
  <cellStyles count="3">
    <cellStyle name="Normal" xfId="0" builtinId="0"/>
    <cellStyle name="Normal 5" xfId="2"/>
    <cellStyle name="Normal_Folha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Município_PopulaçãoNEw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9"/>
  <sheetViews>
    <sheetView zoomScale="120" zoomScaleNormal="120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A2" sqref="A2:A3"/>
    </sheetView>
  </sheetViews>
  <sheetFormatPr defaultColWidth="9.140625" defaultRowHeight="11.25" x14ac:dyDescent="0.2"/>
  <cols>
    <col min="1" max="1" width="9.140625" style="1" customWidth="1"/>
    <col min="2" max="19" width="7.7109375" style="1" customWidth="1"/>
    <col min="20" max="16384" width="9.140625" style="1"/>
  </cols>
  <sheetData>
    <row r="1" spans="1:255" ht="25.5" customHeight="1" thickBot="1" x14ac:dyDescent="0.25">
      <c r="A1" s="125" t="s">
        <v>179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</row>
    <row r="2" spans="1:255" ht="15.75" customHeight="1" x14ac:dyDescent="0.2">
      <c r="A2" s="131" t="s">
        <v>7</v>
      </c>
      <c r="B2" s="128">
        <v>2015</v>
      </c>
      <c r="C2" s="126"/>
      <c r="D2" s="126"/>
      <c r="E2" s="129">
        <v>2016</v>
      </c>
      <c r="F2" s="126"/>
      <c r="G2" s="130"/>
      <c r="H2" s="126">
        <v>2017</v>
      </c>
      <c r="I2" s="126"/>
      <c r="J2" s="126"/>
      <c r="K2" s="129">
        <v>2018</v>
      </c>
      <c r="L2" s="126"/>
      <c r="M2" s="130"/>
      <c r="N2" s="126">
        <v>2019</v>
      </c>
      <c r="O2" s="126"/>
      <c r="P2" s="126"/>
      <c r="Q2" s="129">
        <v>2020</v>
      </c>
      <c r="R2" s="126"/>
      <c r="S2" s="130"/>
      <c r="T2" s="126">
        <v>2021</v>
      </c>
      <c r="U2" s="126"/>
      <c r="V2" s="126"/>
      <c r="W2" s="129">
        <v>2022</v>
      </c>
      <c r="X2" s="126"/>
      <c r="Y2" s="130"/>
      <c r="Z2" s="126">
        <v>2023</v>
      </c>
      <c r="AA2" s="126"/>
      <c r="AB2" s="127"/>
      <c r="AC2" s="128">
        <v>2024</v>
      </c>
      <c r="AD2" s="126"/>
      <c r="AE2" s="127"/>
    </row>
    <row r="3" spans="1:255" ht="12" thickBot="1" x14ac:dyDescent="0.25">
      <c r="A3" s="131"/>
      <c r="B3" s="2" t="s">
        <v>0</v>
      </c>
      <c r="C3" s="15" t="s">
        <v>1</v>
      </c>
      <c r="D3" s="15" t="s">
        <v>2</v>
      </c>
      <c r="E3" s="60" t="s">
        <v>0</v>
      </c>
      <c r="F3" s="15" t="s">
        <v>1</v>
      </c>
      <c r="G3" s="61" t="s">
        <v>2</v>
      </c>
      <c r="H3" s="15" t="s">
        <v>0</v>
      </c>
      <c r="I3" s="15" t="s">
        <v>1</v>
      </c>
      <c r="J3" s="15" t="s">
        <v>2</v>
      </c>
      <c r="K3" s="60" t="s">
        <v>0</v>
      </c>
      <c r="L3" s="15" t="s">
        <v>1</v>
      </c>
      <c r="M3" s="61" t="s">
        <v>2</v>
      </c>
      <c r="N3" s="15" t="s">
        <v>0</v>
      </c>
      <c r="O3" s="15" t="s">
        <v>1</v>
      </c>
      <c r="P3" s="15" t="s">
        <v>2</v>
      </c>
      <c r="Q3" s="60" t="s">
        <v>0</v>
      </c>
      <c r="R3" s="15" t="s">
        <v>1</v>
      </c>
      <c r="S3" s="61" t="s">
        <v>2</v>
      </c>
      <c r="T3" s="15" t="s">
        <v>0</v>
      </c>
      <c r="U3" s="15" t="s">
        <v>1</v>
      </c>
      <c r="V3" s="15" t="s">
        <v>2</v>
      </c>
      <c r="W3" s="60" t="s">
        <v>0</v>
      </c>
      <c r="X3" s="15" t="s">
        <v>1</v>
      </c>
      <c r="Y3" s="61" t="s">
        <v>2</v>
      </c>
      <c r="Z3" s="15" t="s">
        <v>0</v>
      </c>
      <c r="AA3" s="15" t="s">
        <v>1</v>
      </c>
      <c r="AB3" s="16" t="s">
        <v>2</v>
      </c>
      <c r="AC3" s="2" t="s">
        <v>0</v>
      </c>
      <c r="AD3" s="15" t="s">
        <v>1</v>
      </c>
      <c r="AE3" s="16" t="s">
        <v>2</v>
      </c>
    </row>
    <row r="4" spans="1:255" s="6" customFormat="1" ht="12" thickBot="1" x14ac:dyDescent="0.25">
      <c r="A4" s="17" t="s">
        <v>3</v>
      </c>
      <c r="B4" s="18">
        <v>737747</v>
      </c>
      <c r="C4" s="19">
        <v>366564.99999999994</v>
      </c>
      <c r="D4" s="19">
        <v>371181.99999999994</v>
      </c>
      <c r="E4" s="62">
        <v>758170</v>
      </c>
      <c r="F4" s="19">
        <v>376749</v>
      </c>
      <c r="G4" s="63">
        <v>381420.99999999994</v>
      </c>
      <c r="H4" s="19">
        <v>779383</v>
      </c>
      <c r="I4" s="19">
        <v>387321.99999999994</v>
      </c>
      <c r="J4" s="19">
        <v>392061</v>
      </c>
      <c r="K4" s="62">
        <v>801374</v>
      </c>
      <c r="L4" s="19">
        <v>398280</v>
      </c>
      <c r="M4" s="63">
        <v>403094</v>
      </c>
      <c r="N4" s="19">
        <v>824143</v>
      </c>
      <c r="O4" s="19">
        <v>409622</v>
      </c>
      <c r="P4" s="19">
        <v>414521</v>
      </c>
      <c r="Q4" s="62">
        <v>847377</v>
      </c>
      <c r="R4" s="19">
        <v>421190.99999999994</v>
      </c>
      <c r="S4" s="63">
        <v>426186</v>
      </c>
      <c r="T4" s="19">
        <v>870757</v>
      </c>
      <c r="U4" s="19">
        <v>432828</v>
      </c>
      <c r="V4" s="19">
        <v>437928.99999999994</v>
      </c>
      <c r="W4" s="62">
        <v>894276</v>
      </c>
      <c r="X4" s="19">
        <v>444528.99999999994</v>
      </c>
      <c r="Y4" s="63">
        <v>449747</v>
      </c>
      <c r="Z4" s="19">
        <v>917916</v>
      </c>
      <c r="AA4" s="19">
        <v>456285</v>
      </c>
      <c r="AB4" s="20">
        <v>461631</v>
      </c>
      <c r="AC4" s="18">
        <v>941656</v>
      </c>
      <c r="AD4" s="19">
        <v>468084.99999999994</v>
      </c>
      <c r="AE4" s="20">
        <v>473571</v>
      </c>
    </row>
    <row r="5" spans="1:255" x14ac:dyDescent="0.2">
      <c r="A5" s="21" t="s">
        <v>3</v>
      </c>
      <c r="B5" s="7">
        <v>643550.29870866041</v>
      </c>
      <c r="C5" s="22">
        <v>318944.05023476679</v>
      </c>
      <c r="D5" s="22">
        <v>324606.24847389362</v>
      </c>
      <c r="E5" s="54">
        <v>661365.4964927691</v>
      </c>
      <c r="F5" s="22">
        <v>327805.03316437238</v>
      </c>
      <c r="G5" s="55">
        <v>333560.46332839679</v>
      </c>
      <c r="H5" s="22">
        <v>679869.8414653911</v>
      </c>
      <c r="I5" s="22">
        <v>337004.48058333539</v>
      </c>
      <c r="J5" s="22">
        <v>342865.36088205571</v>
      </c>
      <c r="K5" s="54">
        <v>699052.85710830579</v>
      </c>
      <c r="L5" s="22">
        <v>346538.91213700955</v>
      </c>
      <c r="M5" s="55">
        <v>352513.94497129624</v>
      </c>
      <c r="N5" s="22">
        <v>718914.54785329849</v>
      </c>
      <c r="O5" s="22">
        <v>356407.45773673331</v>
      </c>
      <c r="P5" s="22">
        <v>362507.09011656512</v>
      </c>
      <c r="Q5" s="54">
        <v>739181.88459080318</v>
      </c>
      <c r="R5" s="22">
        <v>366473.51346263732</v>
      </c>
      <c r="S5" s="55">
        <v>372708.3711281658</v>
      </c>
      <c r="T5" s="22">
        <v>759576.59995214408</v>
      </c>
      <c r="U5" s="22">
        <v>376598.73521752935</v>
      </c>
      <c r="V5" s="22">
        <v>382977.86473461473</v>
      </c>
      <c r="W5" s="54">
        <v>780092.59002133459</v>
      </c>
      <c r="X5" s="22">
        <v>386779.64264676289</v>
      </c>
      <c r="Y5" s="55">
        <v>393312.94737457164</v>
      </c>
      <c r="Z5" s="22">
        <v>800714.15331639932</v>
      </c>
      <c r="AA5" s="22">
        <v>397008.40495238377</v>
      </c>
      <c r="AB5" s="8">
        <v>403705.74836401548</v>
      </c>
      <c r="AC5" s="7">
        <v>821422.97365759313</v>
      </c>
      <c r="AD5" s="22">
        <v>407275.45115911448</v>
      </c>
      <c r="AE5" s="8">
        <v>414147.52249847859</v>
      </c>
    </row>
    <row r="6" spans="1:255" x14ac:dyDescent="0.2">
      <c r="A6" s="21" t="s">
        <v>4</v>
      </c>
      <c r="B6" s="7">
        <v>40258.885586335935</v>
      </c>
      <c r="C6" s="22">
        <v>20342.296177732242</v>
      </c>
      <c r="D6" s="22">
        <v>19916.58940860369</v>
      </c>
      <c r="E6" s="54">
        <v>41373.436460639066</v>
      </c>
      <c r="F6" s="22">
        <v>20907.450909564319</v>
      </c>
      <c r="G6" s="55">
        <v>20465.985551074747</v>
      </c>
      <c r="H6" s="22">
        <v>42531.091187467071</v>
      </c>
      <c r="I6" s="22">
        <v>21494.192953914335</v>
      </c>
      <c r="J6" s="22">
        <v>21036.898233552733</v>
      </c>
      <c r="K6" s="54">
        <v>43731.198531657319</v>
      </c>
      <c r="L6" s="22">
        <v>22102.300333275674</v>
      </c>
      <c r="M6" s="55">
        <v>21628.898198381645</v>
      </c>
      <c r="N6" s="22">
        <v>44973.756656040168</v>
      </c>
      <c r="O6" s="22">
        <v>22731.71755327169</v>
      </c>
      <c r="P6" s="22">
        <v>22242.039102768478</v>
      </c>
      <c r="Q6" s="54">
        <v>46241.682419189157</v>
      </c>
      <c r="R6" s="22">
        <v>23373.731996767889</v>
      </c>
      <c r="S6" s="55">
        <v>22867.950422421269</v>
      </c>
      <c r="T6" s="22">
        <v>47517.567062096525</v>
      </c>
      <c r="U6" s="22">
        <v>24019.520057876478</v>
      </c>
      <c r="V6" s="22">
        <v>23498.047004220043</v>
      </c>
      <c r="W6" s="54">
        <v>48801.027635634651</v>
      </c>
      <c r="X6" s="22">
        <v>24668.859759090847</v>
      </c>
      <c r="Y6" s="55">
        <v>24132.167876543805</v>
      </c>
      <c r="Z6" s="22">
        <v>50091.081775550672</v>
      </c>
      <c r="AA6" s="22">
        <v>25321.251651021121</v>
      </c>
      <c r="AB6" s="8">
        <v>24769.830124529555</v>
      </c>
      <c r="AC6" s="7">
        <v>51386.582471631409</v>
      </c>
      <c r="AD6" s="22">
        <v>25976.085295524113</v>
      </c>
      <c r="AE6" s="8">
        <v>25410.497176107292</v>
      </c>
    </row>
    <row r="7" spans="1:255" x14ac:dyDescent="0.2">
      <c r="A7" s="21" t="s">
        <v>5</v>
      </c>
      <c r="B7" s="7">
        <v>33784.424073605405</v>
      </c>
      <c r="C7" s="22">
        <v>17018.284901364026</v>
      </c>
      <c r="D7" s="22">
        <v>16766.139172241375</v>
      </c>
      <c r="E7" s="54">
        <v>34719.721740936948</v>
      </c>
      <c r="F7" s="22">
        <v>17491.091125186518</v>
      </c>
      <c r="G7" s="55">
        <v>17228.630615750433</v>
      </c>
      <c r="H7" s="22">
        <v>35691.192274979214</v>
      </c>
      <c r="I7" s="22">
        <v>17981.957209679367</v>
      </c>
      <c r="J7" s="22">
        <v>17709.235065299843</v>
      </c>
      <c r="K7" s="54">
        <v>36698.288613495017</v>
      </c>
      <c r="L7" s="22">
        <v>18490.697449334402</v>
      </c>
      <c r="M7" s="55">
        <v>18207.591164160614</v>
      </c>
      <c r="N7" s="22">
        <v>37741.009499698441</v>
      </c>
      <c r="O7" s="22">
        <v>19017.265417774572</v>
      </c>
      <c r="P7" s="22">
        <v>18723.744081923873</v>
      </c>
      <c r="Q7" s="54">
        <v>38805.019536178297</v>
      </c>
      <c r="R7" s="22">
        <v>19554.372173803873</v>
      </c>
      <c r="S7" s="55">
        <v>19250.647362374424</v>
      </c>
      <c r="T7" s="22">
        <v>39875.709794404778</v>
      </c>
      <c r="U7" s="22">
        <v>20094.635923472208</v>
      </c>
      <c r="V7" s="22">
        <v>19781.073870932571</v>
      </c>
      <c r="W7" s="54">
        <v>40952.759060096345</v>
      </c>
      <c r="X7" s="22">
        <v>20637.870961271397</v>
      </c>
      <c r="Y7" s="55">
        <v>20314.888098824948</v>
      </c>
      <c r="Z7" s="22">
        <v>42035.342969539488</v>
      </c>
      <c r="AA7" s="22">
        <v>21183.659449808041</v>
      </c>
      <c r="AB7" s="8">
        <v>20851.683519731447</v>
      </c>
      <c r="AC7" s="7">
        <v>43122.499136675491</v>
      </c>
      <c r="AD7" s="22">
        <v>21731.490698934653</v>
      </c>
      <c r="AE7" s="8">
        <v>21391.008437740838</v>
      </c>
    </row>
    <row r="8" spans="1:255" ht="12" thickBot="1" x14ac:dyDescent="0.25">
      <c r="A8" s="9" t="s">
        <v>6</v>
      </c>
      <c r="B8" s="10">
        <v>20153.391631398204</v>
      </c>
      <c r="C8" s="11">
        <v>10260.368686136924</v>
      </c>
      <c r="D8" s="11">
        <v>9893.0229452612803</v>
      </c>
      <c r="E8" s="56">
        <v>20711.345305654777</v>
      </c>
      <c r="F8" s="11">
        <v>10545.42480087679</v>
      </c>
      <c r="G8" s="57">
        <v>10165.920504777987</v>
      </c>
      <c r="H8" s="11">
        <v>21290.875072162544</v>
      </c>
      <c r="I8" s="11">
        <v>10841.369253070878</v>
      </c>
      <c r="J8" s="11">
        <v>10449.505819091666</v>
      </c>
      <c r="K8" s="56">
        <v>21891.655746541808</v>
      </c>
      <c r="L8" s="11">
        <v>11148.090080380327</v>
      </c>
      <c r="M8" s="57">
        <v>10743.565666161481</v>
      </c>
      <c r="N8" s="11">
        <v>22513.685990962957</v>
      </c>
      <c r="O8" s="11">
        <v>11465.559292220423</v>
      </c>
      <c r="P8" s="11">
        <v>11048.126698742533</v>
      </c>
      <c r="Q8" s="56">
        <v>23148.413453829373</v>
      </c>
      <c r="R8" s="11">
        <v>11789.382366790876</v>
      </c>
      <c r="S8" s="57">
        <v>11359.031087038498</v>
      </c>
      <c r="T8" s="11">
        <v>23787.123191354593</v>
      </c>
      <c r="U8" s="11">
        <v>12115.108801121965</v>
      </c>
      <c r="V8" s="11">
        <v>11672.014390232629</v>
      </c>
      <c r="W8" s="56">
        <v>24429.623282934437</v>
      </c>
      <c r="X8" s="11">
        <v>12442.626632874828</v>
      </c>
      <c r="Y8" s="57">
        <v>11986.996650059607</v>
      </c>
      <c r="Z8" s="11">
        <v>25075.421938510524</v>
      </c>
      <c r="AA8" s="11">
        <v>12771.683946787029</v>
      </c>
      <c r="AB8" s="12">
        <v>12303.737991723496</v>
      </c>
      <c r="AC8" s="10">
        <v>25723.94473409994</v>
      </c>
      <c r="AD8" s="11">
        <v>13101.972846426697</v>
      </c>
      <c r="AE8" s="12">
        <v>12621.971887673244</v>
      </c>
    </row>
    <row r="9" spans="1:255" s="45" customFormat="1" ht="12" customHeight="1" x14ac:dyDescent="0.2">
      <c r="A9" s="43" t="s">
        <v>195</v>
      </c>
      <c r="B9" s="44"/>
      <c r="C9" s="44"/>
      <c r="D9" s="44"/>
      <c r="E9" s="44"/>
      <c r="F9" s="44"/>
      <c r="G9" s="44"/>
      <c r="AC9" s="44"/>
      <c r="AD9" s="44"/>
      <c r="AE9" s="44"/>
      <c r="AF9" s="44"/>
      <c r="AG9" s="44"/>
      <c r="AH9" s="44"/>
      <c r="AI9" s="44"/>
      <c r="AJ9" s="44"/>
      <c r="AK9" s="44"/>
      <c r="AL9" s="46"/>
      <c r="AM9" s="46"/>
      <c r="AN9" s="46"/>
      <c r="AO9" s="46"/>
      <c r="AP9" s="44"/>
      <c r="AQ9" s="44"/>
      <c r="AR9" s="46"/>
      <c r="AS9" s="44"/>
      <c r="AT9" s="44"/>
      <c r="BD9" s="47"/>
      <c r="CW9" s="48"/>
      <c r="CX9" s="48"/>
      <c r="CY9" s="48"/>
      <c r="CZ9" s="48"/>
      <c r="DA9" s="48"/>
      <c r="DB9" s="48"/>
      <c r="DC9" s="48"/>
      <c r="DD9" s="48"/>
      <c r="DE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GI9" s="47"/>
      <c r="IK9" s="47"/>
      <c r="IL9" s="47"/>
      <c r="IT9" s="47"/>
      <c r="IU9" s="47"/>
    </row>
  </sheetData>
  <mergeCells count="12">
    <mergeCell ref="A1:AE1"/>
    <mergeCell ref="Z2:AB2"/>
    <mergeCell ref="AC2:AE2"/>
    <mergeCell ref="H2:J2"/>
    <mergeCell ref="K2:M2"/>
    <mergeCell ref="A2:A3"/>
    <mergeCell ref="B2:D2"/>
    <mergeCell ref="E2:G2"/>
    <mergeCell ref="N2:P2"/>
    <mergeCell ref="Q2:S2"/>
    <mergeCell ref="T2:V2"/>
    <mergeCell ref="W2:Y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"/>
  <sheetViews>
    <sheetView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048576"/>
    </sheetView>
  </sheetViews>
  <sheetFormatPr defaultColWidth="9.140625" defaultRowHeight="11.25" x14ac:dyDescent="0.2"/>
  <cols>
    <col min="1" max="1" width="11.7109375" style="1" customWidth="1"/>
    <col min="2" max="2" width="8.7109375" style="1" customWidth="1"/>
    <col min="3" max="3" width="7.7109375" style="1" customWidth="1"/>
    <col min="4" max="5" width="8.7109375" style="1" customWidth="1"/>
    <col min="6" max="6" width="7.7109375" style="1" customWidth="1"/>
    <col min="7" max="8" width="8.7109375" style="1" customWidth="1"/>
    <col min="9" max="12" width="7.7109375" style="1" customWidth="1"/>
    <col min="13" max="16384" width="9.140625" style="1"/>
  </cols>
  <sheetData>
    <row r="1" spans="1:255" ht="15" customHeight="1" x14ac:dyDescent="0.2">
      <c r="A1" s="131" t="s">
        <v>180</v>
      </c>
      <c r="B1" s="131"/>
      <c r="C1" s="131"/>
      <c r="D1" s="131"/>
      <c r="E1" s="131"/>
      <c r="F1" s="131"/>
      <c r="G1" s="131"/>
    </row>
    <row r="2" spans="1:255" ht="25.5" customHeight="1" thickBot="1" x14ac:dyDescent="0.25">
      <c r="A2" s="132"/>
      <c r="B2" s="132"/>
      <c r="C2" s="132"/>
      <c r="D2" s="132"/>
      <c r="E2" s="132"/>
      <c r="F2" s="132"/>
      <c r="G2" s="132"/>
      <c r="H2" s="14"/>
      <c r="I2" s="14"/>
      <c r="J2" s="14"/>
      <c r="K2" s="14"/>
    </row>
    <row r="3" spans="1:255" ht="15.75" customHeight="1" x14ac:dyDescent="0.2">
      <c r="A3" s="131" t="s">
        <v>7</v>
      </c>
      <c r="B3" s="129">
        <v>2015</v>
      </c>
      <c r="C3" s="126"/>
      <c r="D3" s="130"/>
      <c r="E3" s="129">
        <v>2016</v>
      </c>
      <c r="F3" s="126"/>
      <c r="G3" s="130"/>
      <c r="H3" s="129">
        <v>2017</v>
      </c>
      <c r="I3" s="126"/>
      <c r="J3" s="130"/>
      <c r="K3" s="129">
        <v>2018</v>
      </c>
      <c r="L3" s="126"/>
      <c r="M3" s="130"/>
      <c r="N3" s="126">
        <v>2019</v>
      </c>
      <c r="O3" s="126"/>
      <c r="P3" s="126"/>
      <c r="Q3" s="129">
        <v>2020</v>
      </c>
      <c r="R3" s="126"/>
      <c r="S3" s="130"/>
      <c r="T3" s="126">
        <v>2021</v>
      </c>
      <c r="U3" s="126"/>
      <c r="V3" s="126"/>
      <c r="W3" s="129">
        <v>2022</v>
      </c>
      <c r="X3" s="126"/>
      <c r="Y3" s="130"/>
      <c r="Z3" s="126">
        <v>2023</v>
      </c>
      <c r="AA3" s="126"/>
      <c r="AB3" s="126"/>
      <c r="AC3" s="129">
        <v>2024</v>
      </c>
      <c r="AD3" s="126"/>
      <c r="AE3" s="130"/>
    </row>
    <row r="4" spans="1:255" x14ac:dyDescent="0.2">
      <c r="A4" s="131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76" t="s">
        <v>0</v>
      </c>
      <c r="O4" s="25" t="s">
        <v>1</v>
      </c>
      <c r="P4" s="78" t="s">
        <v>2</v>
      </c>
      <c r="Q4" s="50" t="s">
        <v>0</v>
      </c>
      <c r="R4" s="78" t="s">
        <v>1</v>
      </c>
      <c r="S4" s="51" t="s">
        <v>2</v>
      </c>
      <c r="T4" s="76" t="s">
        <v>0</v>
      </c>
      <c r="U4" s="25" t="s">
        <v>1</v>
      </c>
      <c r="V4" s="78" t="s">
        <v>2</v>
      </c>
      <c r="W4" s="50" t="s">
        <v>0</v>
      </c>
      <c r="X4" s="78" t="s">
        <v>1</v>
      </c>
      <c r="Y4" s="51" t="s">
        <v>2</v>
      </c>
      <c r="Z4" s="76" t="s">
        <v>0</v>
      </c>
      <c r="AA4" s="25" t="s">
        <v>1</v>
      </c>
      <c r="AB4" s="78" t="s">
        <v>2</v>
      </c>
      <c r="AC4" s="50" t="s">
        <v>0</v>
      </c>
      <c r="AD4" s="78" t="s">
        <v>1</v>
      </c>
      <c r="AE4" s="51" t="s">
        <v>2</v>
      </c>
    </row>
    <row r="5" spans="1:255" s="6" customFormat="1" ht="12" thickBot="1" x14ac:dyDescent="0.25">
      <c r="A5" s="17" t="s">
        <v>8</v>
      </c>
      <c r="B5" s="52">
        <f>C5+D5</f>
        <v>615546</v>
      </c>
      <c r="C5" s="27">
        <f>SUM(C6:C11)</f>
        <v>308346</v>
      </c>
      <c r="D5" s="53">
        <f>SUM(D6:D11)</f>
        <v>307200.00000000006</v>
      </c>
      <c r="E5" s="52">
        <f>F5+G5</f>
        <v>635169.00000000012</v>
      </c>
      <c r="F5" s="27">
        <f>SUM(F6:F11)</f>
        <v>318218</v>
      </c>
      <c r="G5" s="53">
        <f>SUM(G6:G11)</f>
        <v>316951.00000000012</v>
      </c>
      <c r="H5" s="52">
        <f>I5+J5</f>
        <v>655536</v>
      </c>
      <c r="I5" s="27">
        <f>SUM(I6:I11)</f>
        <v>328459</v>
      </c>
      <c r="J5" s="53">
        <f>SUM(J6:J11)</f>
        <v>327077.00000000006</v>
      </c>
      <c r="K5" s="52">
        <f>L5+M5</f>
        <v>676649.00000000023</v>
      </c>
      <c r="L5" s="27">
        <f>SUM(L6:L11)</f>
        <v>339070.00000000006</v>
      </c>
      <c r="M5" s="53">
        <f>SUM(M6:M11)</f>
        <v>337579.00000000012</v>
      </c>
      <c r="N5" s="27">
        <f>O5+P5</f>
        <v>698521</v>
      </c>
      <c r="O5" s="27">
        <f>SUM(O6:O11)</f>
        <v>350057</v>
      </c>
      <c r="P5" s="27">
        <f>SUM(P6:P11)</f>
        <v>348464.00000000006</v>
      </c>
      <c r="Q5" s="52">
        <f>R5+S5</f>
        <v>720902</v>
      </c>
      <c r="R5" s="27">
        <f>SUM(R6:R11)</f>
        <v>361295</v>
      </c>
      <c r="S5" s="53">
        <f>SUM(S6:S11)</f>
        <v>359607.00000000006</v>
      </c>
      <c r="T5" s="27">
        <f>U5+V5</f>
        <v>743539.00000000012</v>
      </c>
      <c r="U5" s="27">
        <f>SUM(U6:U11)</f>
        <v>372657</v>
      </c>
      <c r="V5" s="27">
        <f>SUM(V6:V11)</f>
        <v>370882.00000000012</v>
      </c>
      <c r="W5" s="52">
        <f>X5+Y5</f>
        <v>766430.00000000012</v>
      </c>
      <c r="X5" s="27">
        <f>SUM(X6:X11)</f>
        <v>384142.00000000006</v>
      </c>
      <c r="Y5" s="53">
        <f>SUM(Y6:Y11)</f>
        <v>382288.00000000006</v>
      </c>
      <c r="Z5" s="27">
        <f>AA5+AB5</f>
        <v>789570</v>
      </c>
      <c r="AA5" s="27">
        <f>SUM(AA6:AA11)</f>
        <v>395746.99999999994</v>
      </c>
      <c r="AB5" s="27">
        <f>SUM(AB6:AB11)</f>
        <v>393823.00000000012</v>
      </c>
      <c r="AC5" s="52">
        <f>AD5+AE5</f>
        <v>812963</v>
      </c>
      <c r="AD5" s="27">
        <f>SUM(AD6:AD11)</f>
        <v>407474</v>
      </c>
      <c r="AE5" s="53">
        <f>SUM(AE6:AE11)</f>
        <v>405489.00000000006</v>
      </c>
    </row>
    <row r="6" spans="1:255" ht="11.25" customHeight="1" x14ac:dyDescent="0.2">
      <c r="A6" s="21" t="s">
        <v>9</v>
      </c>
      <c r="B6" s="54">
        <f t="shared" ref="B6:B11" si="0">C6+D6</f>
        <v>186735.43481359156</v>
      </c>
      <c r="C6" s="77">
        <v>93419.523279835674</v>
      </c>
      <c r="D6" s="55">
        <v>93315.911533755891</v>
      </c>
      <c r="E6" s="54">
        <f t="shared" ref="E6:E11" si="1">F6+G6</f>
        <v>192688.34300176933</v>
      </c>
      <c r="F6" s="77">
        <v>96410.44105992213</v>
      </c>
      <c r="G6" s="55">
        <v>96277.901941847216</v>
      </c>
      <c r="H6" s="54">
        <f t="shared" ref="H6:H11" si="2">I6+J6</f>
        <v>198866.95806777224</v>
      </c>
      <c r="I6" s="77">
        <v>99513.154693012228</v>
      </c>
      <c r="J6" s="55">
        <v>99353.803374760013</v>
      </c>
      <c r="K6" s="54">
        <f t="shared" ref="K6:K11" si="3">L6+M6</f>
        <v>205271.88674412441</v>
      </c>
      <c r="L6" s="77">
        <v>102727.96714889728</v>
      </c>
      <c r="M6" s="55">
        <v>102543.91959522714</v>
      </c>
      <c r="N6" s="77">
        <f t="shared" ref="N6:N11" si="4">O6+P6</f>
        <v>211907.07318870397</v>
      </c>
      <c r="O6" s="22">
        <v>106056.69624632536</v>
      </c>
      <c r="P6" s="22">
        <v>105850.37694237861</v>
      </c>
      <c r="Q6" s="54">
        <f t="shared" ref="Q6:Q11" si="5">R6+S6</f>
        <v>218696.67583598648</v>
      </c>
      <c r="R6" s="77">
        <v>109461.4707613792</v>
      </c>
      <c r="S6" s="55">
        <v>109235.20507460728</v>
      </c>
      <c r="T6" s="77">
        <f t="shared" ref="T6:T11" si="6">U6+V6</f>
        <v>225563.94341813202</v>
      </c>
      <c r="U6" s="22">
        <v>112903.81353055892</v>
      </c>
      <c r="V6" s="22">
        <v>112660.12988757309</v>
      </c>
      <c r="W6" s="54">
        <f t="shared" ref="W6:W11" si="7">X6+Y6</f>
        <v>232508.26920261641</v>
      </c>
      <c r="X6" s="77">
        <v>116383.42158407321</v>
      </c>
      <c r="Y6" s="55">
        <v>116124.84761854319</v>
      </c>
      <c r="Z6" s="77">
        <f t="shared" ref="Z6:Z11" si="8">AA6+AB6</f>
        <v>239528.13675459992</v>
      </c>
      <c r="AA6" s="22">
        <v>119899.38601254801</v>
      </c>
      <c r="AB6" s="77">
        <v>119628.75074205191</v>
      </c>
      <c r="AC6" s="54">
        <f t="shared" ref="AC6:AC11" si="9">AD6+AE6</f>
        <v>246624.75953913096</v>
      </c>
      <c r="AD6" s="77">
        <v>123452.31275556603</v>
      </c>
      <c r="AE6" s="55">
        <v>123172.44678356491</v>
      </c>
    </row>
    <row r="7" spans="1:255" x14ac:dyDescent="0.2">
      <c r="A7" s="21" t="s">
        <v>10</v>
      </c>
      <c r="B7" s="54">
        <f t="shared" si="0"/>
        <v>235246.2329704233</v>
      </c>
      <c r="C7" s="77">
        <v>118514.69392307349</v>
      </c>
      <c r="D7" s="55">
        <v>116731.53904734983</v>
      </c>
      <c r="E7" s="54">
        <f t="shared" si="1"/>
        <v>242745.83568577736</v>
      </c>
      <c r="F7" s="77">
        <v>122309.05823591872</v>
      </c>
      <c r="G7" s="55">
        <v>120436.77744985865</v>
      </c>
      <c r="H7" s="54">
        <f t="shared" si="2"/>
        <v>250529.76038993569</v>
      </c>
      <c r="I7" s="77">
        <v>126245.24998306706</v>
      </c>
      <c r="J7" s="55">
        <v>124284.51040686862</v>
      </c>
      <c r="K7" s="54">
        <f t="shared" si="3"/>
        <v>258598.77142456739</v>
      </c>
      <c r="L7" s="77">
        <v>130323.65352070896</v>
      </c>
      <c r="M7" s="55">
        <v>128275.11790385842</v>
      </c>
      <c r="N7" s="77">
        <f t="shared" si="4"/>
        <v>266957.83482516638</v>
      </c>
      <c r="O7" s="22">
        <v>134546.57498598759</v>
      </c>
      <c r="P7" s="22">
        <v>132411.25983917876</v>
      </c>
      <c r="Q7" s="54">
        <f t="shared" si="5"/>
        <v>275511.40788308345</v>
      </c>
      <c r="R7" s="77">
        <v>138865.96985508758</v>
      </c>
      <c r="S7" s="55">
        <v>136645.43802799587</v>
      </c>
      <c r="T7" s="77">
        <f t="shared" si="6"/>
        <v>284162.79919180984</v>
      </c>
      <c r="U7" s="22">
        <v>143233.02489181241</v>
      </c>
      <c r="V7" s="22">
        <v>140929.7742999974</v>
      </c>
      <c r="W7" s="54">
        <f t="shared" si="7"/>
        <v>292911.24440967629</v>
      </c>
      <c r="X7" s="77">
        <v>147647.35573997162</v>
      </c>
      <c r="Y7" s="55">
        <v>145263.88866970467</v>
      </c>
      <c r="Z7" s="77">
        <f t="shared" si="8"/>
        <v>301754.83049715392</v>
      </c>
      <c r="AA7" s="22">
        <v>152107.80933099362</v>
      </c>
      <c r="AB7" s="77">
        <v>149647.02116616032</v>
      </c>
      <c r="AC7" s="54">
        <f t="shared" si="9"/>
        <v>310695.08613758115</v>
      </c>
      <c r="AD7" s="77">
        <v>156615.15437725946</v>
      </c>
      <c r="AE7" s="55">
        <v>154079.93176032172</v>
      </c>
    </row>
    <row r="8" spans="1:255" x14ac:dyDescent="0.2">
      <c r="A8" s="21" t="s">
        <v>11</v>
      </c>
      <c r="B8" s="54">
        <f t="shared" si="0"/>
        <v>49523.156595486987</v>
      </c>
      <c r="C8" s="77">
        <v>24709.107920532977</v>
      </c>
      <c r="D8" s="55">
        <v>24814.04867495401</v>
      </c>
      <c r="E8" s="54">
        <f t="shared" si="1"/>
        <v>51101.878981741887</v>
      </c>
      <c r="F8" s="77">
        <v>25500.194276092967</v>
      </c>
      <c r="G8" s="55">
        <v>25601.68470564892</v>
      </c>
      <c r="H8" s="54">
        <f t="shared" si="2"/>
        <v>52740.461531865352</v>
      </c>
      <c r="I8" s="77">
        <v>26320.850208760097</v>
      </c>
      <c r="J8" s="55">
        <v>26419.611323105251</v>
      </c>
      <c r="K8" s="54">
        <f t="shared" si="3"/>
        <v>54439.065155110693</v>
      </c>
      <c r="L8" s="77">
        <v>27171.155852889664</v>
      </c>
      <c r="M8" s="55">
        <v>27267.909302221029</v>
      </c>
      <c r="N8" s="77">
        <f t="shared" si="4"/>
        <v>56198.736081895957</v>
      </c>
      <c r="O8" s="22">
        <v>28051.592014613492</v>
      </c>
      <c r="P8" s="22">
        <v>28147.144067282468</v>
      </c>
      <c r="Q8" s="54">
        <f t="shared" si="5"/>
        <v>57999.360655554359</v>
      </c>
      <c r="R8" s="77">
        <v>28952.141899518596</v>
      </c>
      <c r="S8" s="55">
        <v>29047.218756035763</v>
      </c>
      <c r="T8" s="77">
        <f t="shared" si="6"/>
        <v>59820.584175810465</v>
      </c>
      <c r="U8" s="22">
        <v>29862.628444481383</v>
      </c>
      <c r="V8" s="22">
        <v>29957.955731329079</v>
      </c>
      <c r="W8" s="54">
        <f t="shared" si="7"/>
        <v>61662.245733410935</v>
      </c>
      <c r="X8" s="77">
        <v>30782.97151514655</v>
      </c>
      <c r="Y8" s="55">
        <v>30879.274218264385</v>
      </c>
      <c r="Z8" s="77">
        <f t="shared" si="8"/>
        <v>63523.9433754938</v>
      </c>
      <c r="AA8" s="22">
        <v>31712.930708448184</v>
      </c>
      <c r="AB8" s="77">
        <v>31811.012667045616</v>
      </c>
      <c r="AC8" s="54">
        <f t="shared" si="9"/>
        <v>65405.998920565726</v>
      </c>
      <c r="AD8" s="77">
        <v>32652.666293096889</v>
      </c>
      <c r="AE8" s="55">
        <v>32753.332627468837</v>
      </c>
    </row>
    <row r="9" spans="1:255" x14ac:dyDescent="0.2">
      <c r="A9" s="21" t="s">
        <v>12</v>
      </c>
      <c r="B9" s="54">
        <f t="shared" si="0"/>
        <v>47659.655146395744</v>
      </c>
      <c r="C9" s="77">
        <v>23216.259148278623</v>
      </c>
      <c r="D9" s="55">
        <v>24443.395998117125</v>
      </c>
      <c r="E9" s="54">
        <f t="shared" si="1"/>
        <v>49178.817427705348</v>
      </c>
      <c r="F9" s="77">
        <v>23959.550484348514</v>
      </c>
      <c r="G9" s="55">
        <v>25219.266943356837</v>
      </c>
      <c r="H9" s="54">
        <f t="shared" si="2"/>
        <v>50755.600912539092</v>
      </c>
      <c r="I9" s="77">
        <v>24730.624894062024</v>
      </c>
      <c r="J9" s="55">
        <v>26024.976018477068</v>
      </c>
      <c r="K9" s="54">
        <f t="shared" si="3"/>
        <v>52390.160462125808</v>
      </c>
      <c r="L9" s="77">
        <v>25529.557670301652</v>
      </c>
      <c r="M9" s="55">
        <v>26860.602791824156</v>
      </c>
      <c r="N9" s="77">
        <f t="shared" si="4"/>
        <v>54083.504812184961</v>
      </c>
      <c r="O9" s="22">
        <v>26356.800570362419</v>
      </c>
      <c r="P9" s="22">
        <v>27726.704241822543</v>
      </c>
      <c r="Q9" s="54">
        <f t="shared" si="5"/>
        <v>55816.276309110173</v>
      </c>
      <c r="R9" s="77">
        <v>27202.941983931447</v>
      </c>
      <c r="S9" s="55">
        <v>28613.334325178726</v>
      </c>
      <c r="T9" s="77">
        <f t="shared" si="6"/>
        <v>57568.887145183697</v>
      </c>
      <c r="U9" s="22">
        <v>28058.419714930849</v>
      </c>
      <c r="V9" s="22">
        <v>29510.467430252847</v>
      </c>
      <c r="W9" s="54">
        <f t="shared" si="7"/>
        <v>59341.182459176693</v>
      </c>
      <c r="X9" s="77">
        <v>28923.158470478123</v>
      </c>
      <c r="Y9" s="55">
        <v>30418.023988698566</v>
      </c>
      <c r="Z9" s="77">
        <f t="shared" si="8"/>
        <v>61132.777235748945</v>
      </c>
      <c r="AA9" s="22">
        <v>29796.932371925763</v>
      </c>
      <c r="AB9" s="77">
        <v>31335.844863823178</v>
      </c>
      <c r="AC9" s="54">
        <f t="shared" si="9"/>
        <v>62943.981197358153</v>
      </c>
      <c r="AD9" s="77">
        <v>30679.892005038768</v>
      </c>
      <c r="AE9" s="55">
        <v>32264.089192319385</v>
      </c>
    </row>
    <row r="10" spans="1:255" x14ac:dyDescent="0.2">
      <c r="A10" s="21" t="s">
        <v>13</v>
      </c>
      <c r="B10" s="54">
        <f t="shared" si="0"/>
        <v>24728.827146896874</v>
      </c>
      <c r="C10" s="77">
        <v>12542.117011139004</v>
      </c>
      <c r="D10" s="55">
        <v>12186.71013575787</v>
      </c>
      <c r="E10" s="54">
        <f t="shared" si="1"/>
        <v>25517.200244027423</v>
      </c>
      <c r="F10" s="77">
        <v>12943.665204188253</v>
      </c>
      <c r="G10" s="55">
        <v>12573.535039839169</v>
      </c>
      <c r="H10" s="54">
        <f t="shared" si="2"/>
        <v>26335.458942985199</v>
      </c>
      <c r="I10" s="77">
        <v>13360.22264391854</v>
      </c>
      <c r="J10" s="55">
        <v>12975.236299066657</v>
      </c>
      <c r="K10" s="54">
        <f t="shared" si="3"/>
        <v>27183.683589515844</v>
      </c>
      <c r="L10" s="77">
        <v>13791.830005795118</v>
      </c>
      <c r="M10" s="55">
        <v>13391.853583720724</v>
      </c>
      <c r="N10" s="77">
        <f t="shared" si="4"/>
        <v>28062.395928373651</v>
      </c>
      <c r="O10" s="22">
        <v>14238.731342609555</v>
      </c>
      <c r="P10" s="22">
        <v>13823.664585764096</v>
      </c>
      <c r="Q10" s="54">
        <f t="shared" si="5"/>
        <v>28961.552741352367</v>
      </c>
      <c r="R10" s="77">
        <v>14695.842221204317</v>
      </c>
      <c r="S10" s="55">
        <v>14265.710520148048</v>
      </c>
      <c r="T10" s="77">
        <f t="shared" si="6"/>
        <v>29870.989789034807</v>
      </c>
      <c r="U10" s="22">
        <v>15157.996857491349</v>
      </c>
      <c r="V10" s="22">
        <v>14712.992931543458</v>
      </c>
      <c r="W10" s="54">
        <f t="shared" si="7"/>
        <v>30790.626725675327</v>
      </c>
      <c r="X10" s="77">
        <v>15625.154576005392</v>
      </c>
      <c r="Y10" s="55">
        <v>15165.472149669937</v>
      </c>
      <c r="Z10" s="77">
        <f t="shared" si="8"/>
        <v>31720.262184317373</v>
      </c>
      <c r="AA10" s="22">
        <v>16097.193350350668</v>
      </c>
      <c r="AB10" s="77">
        <v>15623.068833966705</v>
      </c>
      <c r="AC10" s="54">
        <f t="shared" si="9"/>
        <v>32660.056856452236</v>
      </c>
      <c r="AD10" s="77">
        <v>16574.194531457695</v>
      </c>
      <c r="AE10" s="55">
        <v>16085.862324994541</v>
      </c>
    </row>
    <row r="11" spans="1:255" ht="12" thickBot="1" x14ac:dyDescent="0.25">
      <c r="A11" s="9" t="s">
        <v>14</v>
      </c>
      <c r="B11" s="56">
        <f t="shared" si="0"/>
        <v>71652.693327205576</v>
      </c>
      <c r="C11" s="11">
        <v>35944.298717140249</v>
      </c>
      <c r="D11" s="57">
        <v>35708.394610065327</v>
      </c>
      <c r="E11" s="56">
        <f t="shared" si="1"/>
        <v>73936.924658978678</v>
      </c>
      <c r="F11" s="11">
        <v>37095.090739529413</v>
      </c>
      <c r="G11" s="57">
        <v>36841.833919449273</v>
      </c>
      <c r="H11" s="56">
        <f t="shared" si="2"/>
        <v>76307.760154902528</v>
      </c>
      <c r="I11" s="11">
        <v>38288.897577180083</v>
      </c>
      <c r="J11" s="57">
        <v>38018.862577722452</v>
      </c>
      <c r="K11" s="56">
        <f t="shared" si="3"/>
        <v>78765.43262455592</v>
      </c>
      <c r="L11" s="11">
        <v>39525.835801407331</v>
      </c>
      <c r="M11" s="57">
        <v>39239.596823148582</v>
      </c>
      <c r="N11" s="11">
        <f t="shared" si="4"/>
        <v>81311.455163675171</v>
      </c>
      <c r="O11" s="11">
        <v>40806.604840101587</v>
      </c>
      <c r="P11" s="11">
        <v>40504.850323573584</v>
      </c>
      <c r="Q11" s="56">
        <f t="shared" si="5"/>
        <v>83916.726574913264</v>
      </c>
      <c r="R11" s="11">
        <v>42116.633278878879</v>
      </c>
      <c r="S11" s="57">
        <v>41800.093296034385</v>
      </c>
      <c r="T11" s="11">
        <f t="shared" si="6"/>
        <v>86551.796280029273</v>
      </c>
      <c r="U11" s="11">
        <v>43441.116560725073</v>
      </c>
      <c r="V11" s="11">
        <v>43110.6797193042</v>
      </c>
      <c r="W11" s="56">
        <f t="shared" si="7"/>
        <v>89216.431469444418</v>
      </c>
      <c r="X11" s="11">
        <v>44779.938114325108</v>
      </c>
      <c r="Y11" s="57">
        <v>44436.493355119317</v>
      </c>
      <c r="Z11" s="11">
        <f t="shared" si="8"/>
        <v>91910.049952686095</v>
      </c>
      <c r="AA11" s="11">
        <v>46132.748225733762</v>
      </c>
      <c r="AB11" s="11">
        <v>45777.301726952341</v>
      </c>
      <c r="AC11" s="56">
        <f t="shared" si="9"/>
        <v>94633.117348911852</v>
      </c>
      <c r="AD11" s="11">
        <v>47499.780037581178</v>
      </c>
      <c r="AE11" s="57">
        <v>47133.337311330666</v>
      </c>
    </row>
    <row r="12" spans="1:255" s="45" customFormat="1" ht="12" customHeight="1" x14ac:dyDescent="0.2">
      <c r="A12" s="43" t="s">
        <v>195</v>
      </c>
      <c r="B12" s="44"/>
      <c r="C12" s="44"/>
      <c r="D12" s="44"/>
      <c r="E12" s="44"/>
      <c r="F12" s="44"/>
      <c r="G12" s="44"/>
      <c r="AC12" s="44"/>
      <c r="AD12" s="44"/>
      <c r="AE12" s="44"/>
      <c r="AF12" s="44"/>
      <c r="AG12" s="44"/>
      <c r="AH12" s="44"/>
      <c r="AI12" s="44"/>
      <c r="AJ12" s="44"/>
      <c r="AK12" s="44"/>
      <c r="AL12" s="46"/>
      <c r="AM12" s="46"/>
      <c r="AN12" s="46"/>
      <c r="AO12" s="46"/>
      <c r="AP12" s="44"/>
      <c r="AQ12" s="44"/>
      <c r="AR12" s="46"/>
      <c r="AS12" s="44"/>
      <c r="AT12" s="44"/>
      <c r="BD12" s="47"/>
      <c r="CW12" s="48"/>
      <c r="CX12" s="48"/>
      <c r="CY12" s="48"/>
      <c r="CZ12" s="48"/>
      <c r="DA12" s="48"/>
      <c r="DB12" s="48"/>
      <c r="DC12" s="48"/>
      <c r="DD12" s="48"/>
      <c r="DE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GI12" s="47"/>
      <c r="IK12" s="47"/>
      <c r="IL12" s="47"/>
      <c r="IT12" s="47"/>
      <c r="IU12" s="47"/>
    </row>
  </sheetData>
  <mergeCells count="12">
    <mergeCell ref="A1:G2"/>
    <mergeCell ref="Z3:AB3"/>
    <mergeCell ref="AC3:AE3"/>
    <mergeCell ref="H3:J3"/>
    <mergeCell ref="K3:M3"/>
    <mergeCell ref="A3:A4"/>
    <mergeCell ref="B3:D3"/>
    <mergeCell ref="E3:G3"/>
    <mergeCell ref="N3:P3"/>
    <mergeCell ref="Q3:S3"/>
    <mergeCell ref="T3:V3"/>
    <mergeCell ref="W3:Y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22"/>
  <sheetViews>
    <sheetView topLeftCell="A2" workbookViewId="0">
      <pane xSplit="4" ySplit="3" topLeftCell="K5" activePane="bottomRight" state="frozen"/>
      <selection activeCell="A2" sqref="A2"/>
      <selection pane="topRight" activeCell="E2" sqref="E2"/>
      <selection pane="bottomLeft" activeCell="A5" sqref="A5"/>
      <selection pane="bottomRight" activeCell="Y35" sqref="Y35"/>
    </sheetView>
  </sheetViews>
  <sheetFormatPr defaultColWidth="9.140625" defaultRowHeight="11.25" x14ac:dyDescent="0.2"/>
  <cols>
    <col min="1" max="1" width="11.7109375" style="1" customWidth="1"/>
    <col min="2" max="10" width="8.42578125" style="1" customWidth="1"/>
    <col min="11" max="11" width="9.140625" style="1" customWidth="1"/>
    <col min="12" max="12" width="7.7109375" style="1" customWidth="1"/>
    <col min="13" max="16384" width="9.140625" style="1"/>
  </cols>
  <sheetData>
    <row r="1" spans="1:253" ht="12.95" customHeight="1" x14ac:dyDescent="0.2"/>
    <row r="2" spans="1:253" ht="23.25" customHeight="1" thickBot="1" x14ac:dyDescent="0.25">
      <c r="A2" s="133" t="s">
        <v>181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</row>
    <row r="3" spans="1:253" ht="12.95" customHeight="1" x14ac:dyDescent="0.2">
      <c r="A3" s="131" t="s">
        <v>7</v>
      </c>
      <c r="B3" s="129">
        <v>2015</v>
      </c>
      <c r="C3" s="126"/>
      <c r="D3" s="130"/>
      <c r="E3" s="129">
        <v>2016</v>
      </c>
      <c r="F3" s="126"/>
      <c r="G3" s="130"/>
      <c r="H3" s="129">
        <v>2017</v>
      </c>
      <c r="I3" s="126"/>
      <c r="J3" s="130"/>
      <c r="K3" s="129">
        <v>2018</v>
      </c>
      <c r="L3" s="126"/>
      <c r="M3" s="130"/>
      <c r="N3" s="126">
        <v>2019</v>
      </c>
      <c r="O3" s="126"/>
      <c r="P3" s="126"/>
      <c r="Q3" s="129">
        <v>2020</v>
      </c>
      <c r="R3" s="126"/>
      <c r="S3" s="130"/>
      <c r="T3" s="126">
        <v>2021</v>
      </c>
      <c r="U3" s="126"/>
      <c r="V3" s="126"/>
      <c r="W3" s="129">
        <v>2022</v>
      </c>
      <c r="X3" s="126"/>
      <c r="Y3" s="130"/>
      <c r="Z3" s="126">
        <v>2023</v>
      </c>
      <c r="AA3" s="126"/>
      <c r="AB3" s="126"/>
      <c r="AC3" s="129">
        <v>2024</v>
      </c>
      <c r="AD3" s="126"/>
      <c r="AE3" s="130"/>
    </row>
    <row r="4" spans="1:253" ht="12.95" customHeight="1" thickBot="1" x14ac:dyDescent="0.25">
      <c r="A4" s="132"/>
      <c r="B4" s="81" t="s">
        <v>0</v>
      </c>
      <c r="C4" s="13" t="s">
        <v>1</v>
      </c>
      <c r="D4" s="82" t="s">
        <v>2</v>
      </c>
      <c r="E4" s="81" t="s">
        <v>0</v>
      </c>
      <c r="F4" s="13" t="s">
        <v>1</v>
      </c>
      <c r="G4" s="82" t="s">
        <v>2</v>
      </c>
      <c r="H4" s="81" t="s">
        <v>0</v>
      </c>
      <c r="I4" s="13" t="s">
        <v>1</v>
      </c>
      <c r="J4" s="82" t="s">
        <v>2</v>
      </c>
      <c r="K4" s="81" t="s">
        <v>0</v>
      </c>
      <c r="L4" s="13" t="s">
        <v>1</v>
      </c>
      <c r="M4" s="82" t="s">
        <v>2</v>
      </c>
      <c r="N4" s="79" t="s">
        <v>0</v>
      </c>
      <c r="O4" s="13" t="s">
        <v>1</v>
      </c>
      <c r="P4" s="13" t="s">
        <v>2</v>
      </c>
      <c r="Q4" s="81" t="s">
        <v>0</v>
      </c>
      <c r="R4" s="13" t="s">
        <v>1</v>
      </c>
      <c r="S4" s="82" t="s">
        <v>2</v>
      </c>
      <c r="T4" s="79" t="s">
        <v>0</v>
      </c>
      <c r="U4" s="13" t="s">
        <v>1</v>
      </c>
      <c r="V4" s="13" t="s">
        <v>2</v>
      </c>
      <c r="W4" s="81" t="s">
        <v>0</v>
      </c>
      <c r="X4" s="13" t="s">
        <v>1</v>
      </c>
      <c r="Y4" s="82" t="s">
        <v>2</v>
      </c>
      <c r="Z4" s="79" t="s">
        <v>0</v>
      </c>
      <c r="AA4" s="13" t="s">
        <v>1</v>
      </c>
      <c r="AB4" s="13" t="s">
        <v>2</v>
      </c>
      <c r="AC4" s="81" t="s">
        <v>0</v>
      </c>
      <c r="AD4" s="13" t="s">
        <v>1</v>
      </c>
      <c r="AE4" s="82" t="s">
        <v>2</v>
      </c>
    </row>
    <row r="5" spans="1:253" ht="12.95" customHeight="1" x14ac:dyDescent="0.2">
      <c r="A5" s="4" t="s">
        <v>15</v>
      </c>
      <c r="B5" s="83">
        <f t="shared" ref="B5:G5" si="0">SUM(B6:B21)</f>
        <v>1527839.9999999998</v>
      </c>
      <c r="C5" s="84">
        <f t="shared" si="0"/>
        <v>750919</v>
      </c>
      <c r="D5" s="85">
        <f t="shared" si="0"/>
        <v>776921.00000000012</v>
      </c>
      <c r="E5" s="83">
        <f t="shared" si="0"/>
        <v>1570641</v>
      </c>
      <c r="F5" s="84">
        <f t="shared" si="0"/>
        <v>772291.00000000012</v>
      </c>
      <c r="G5" s="85">
        <f t="shared" si="0"/>
        <v>798350</v>
      </c>
      <c r="H5" s="83">
        <f t="shared" ref="H5:P5" si="1">SUM(H6:H21)</f>
        <v>1615360.0000000002</v>
      </c>
      <c r="I5" s="84">
        <f t="shared" si="1"/>
        <v>794636.00000000012</v>
      </c>
      <c r="J5" s="85">
        <f t="shared" si="1"/>
        <v>820724.00000000012</v>
      </c>
      <c r="K5" s="83">
        <f t="shared" si="1"/>
        <v>1662047</v>
      </c>
      <c r="L5" s="84">
        <f t="shared" si="1"/>
        <v>817977</v>
      </c>
      <c r="M5" s="85">
        <f t="shared" si="1"/>
        <v>844070</v>
      </c>
      <c r="N5" s="80">
        <f t="shared" si="1"/>
        <v>1710810</v>
      </c>
      <c r="O5" s="5">
        <f t="shared" si="1"/>
        <v>842365.00000000012</v>
      </c>
      <c r="P5" s="5">
        <f t="shared" si="1"/>
        <v>868445</v>
      </c>
      <c r="Q5" s="83">
        <f t="shared" ref="Q5:Y5" si="2">SUM(Q6:Q21)</f>
        <v>1761367</v>
      </c>
      <c r="R5" s="84">
        <f t="shared" si="2"/>
        <v>867656.99999999988</v>
      </c>
      <c r="S5" s="85">
        <f t="shared" si="2"/>
        <v>893710</v>
      </c>
      <c r="T5" s="80">
        <f t="shared" si="2"/>
        <v>1813436.0000000002</v>
      </c>
      <c r="U5" s="5">
        <f t="shared" si="2"/>
        <v>893710.00000000023</v>
      </c>
      <c r="V5" s="5">
        <f t="shared" si="2"/>
        <v>919725.99999999988</v>
      </c>
      <c r="W5" s="83">
        <f t="shared" si="2"/>
        <v>1867157.0000000002</v>
      </c>
      <c r="X5" s="84">
        <f t="shared" si="2"/>
        <v>920595</v>
      </c>
      <c r="Y5" s="85">
        <f t="shared" si="2"/>
        <v>946562.00000000012</v>
      </c>
      <c r="Z5" s="80">
        <f t="shared" ref="Z5:AE5" si="3">SUM(Z6:Z21)</f>
        <v>1922672.9999999998</v>
      </c>
      <c r="AA5" s="5">
        <f t="shared" si="3"/>
        <v>948383.00000000023</v>
      </c>
      <c r="AB5" s="5">
        <f t="shared" si="3"/>
        <v>974290.00000000012</v>
      </c>
      <c r="AC5" s="83">
        <f t="shared" si="3"/>
        <v>1980140</v>
      </c>
      <c r="AD5" s="84">
        <f t="shared" si="3"/>
        <v>977151.00000000012</v>
      </c>
      <c r="AE5" s="85">
        <f t="shared" si="3"/>
        <v>1002989.0000000001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</row>
    <row r="6" spans="1:253" ht="12.95" customHeight="1" x14ac:dyDescent="0.2">
      <c r="A6" s="23" t="s">
        <v>15</v>
      </c>
      <c r="B6" s="86">
        <f>+C6+D6</f>
        <v>534852.15191692743</v>
      </c>
      <c r="C6" s="24">
        <v>263233.53731460439</v>
      </c>
      <c r="D6" s="87">
        <v>271618.6146023231</v>
      </c>
      <c r="E6" s="86">
        <f>+F6+G6</f>
        <v>549835.84707748855</v>
      </c>
      <c r="F6" s="24">
        <v>270725.46009121242</v>
      </c>
      <c r="G6" s="87">
        <v>279110.38698627613</v>
      </c>
      <c r="H6" s="86">
        <f>+I6+J6</f>
        <v>565491.00649375189</v>
      </c>
      <c r="I6" s="24">
        <v>278558.46656900138</v>
      </c>
      <c r="J6" s="87">
        <v>286932.53992475045</v>
      </c>
      <c r="K6" s="86">
        <f>+L6+M6</f>
        <v>581835.13222588471</v>
      </c>
      <c r="L6" s="24">
        <v>286740.61936372385</v>
      </c>
      <c r="M6" s="87">
        <v>295094.51286216086</v>
      </c>
      <c r="N6" s="24">
        <f>+O6+P6</f>
        <v>598906.02996393386</v>
      </c>
      <c r="O6" s="24">
        <v>295289.79644943954</v>
      </c>
      <c r="P6" s="24">
        <v>303616.23351449438</v>
      </c>
      <c r="Q6" s="86">
        <f>+R6+S6</f>
        <v>616604.97561254585</v>
      </c>
      <c r="R6" s="24">
        <v>304155.86938907881</v>
      </c>
      <c r="S6" s="87">
        <v>312449.10622346698</v>
      </c>
      <c r="T6" s="24">
        <f>+U6+V6</f>
        <v>634833.24507636635</v>
      </c>
      <c r="U6" s="24">
        <v>313288.70974557183</v>
      </c>
      <c r="V6" s="24">
        <v>321544.53533079452</v>
      </c>
      <c r="W6" s="86">
        <f>+X6+Y6</f>
        <v>653639.85032429104</v>
      </c>
      <c r="X6" s="24">
        <v>322713.20646319806</v>
      </c>
      <c r="Y6" s="87">
        <v>330926.64386109292</v>
      </c>
      <c r="Z6" s="24">
        <f>+AA6+AB6</f>
        <v>673074.85215237201</v>
      </c>
      <c r="AA6" s="24">
        <v>332454.24848623679</v>
      </c>
      <c r="AB6" s="24">
        <v>340620.60366613517</v>
      </c>
      <c r="AC6" s="86">
        <f>+AD6+AE6</f>
        <v>693192.8619110944</v>
      </c>
      <c r="AD6" s="24">
        <v>342538.82805003331</v>
      </c>
      <c r="AE6" s="87">
        <v>350654.03386106109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</row>
    <row r="7" spans="1:253" ht="12.95" customHeight="1" x14ac:dyDescent="0.2">
      <c r="A7" s="21" t="s">
        <v>16</v>
      </c>
      <c r="B7" s="54">
        <f t="shared" ref="B7:B21" si="4">+C7+D7</f>
        <v>18664.263619974226</v>
      </c>
      <c r="C7" s="77">
        <v>9398.865883633538</v>
      </c>
      <c r="D7" s="55">
        <v>9265.3977363406884</v>
      </c>
      <c r="E7" s="54">
        <f t="shared" ref="E7:E21" si="5">+F7+G7</f>
        <v>19187.323705404655</v>
      </c>
      <c r="F7" s="77">
        <v>9666.3681863652801</v>
      </c>
      <c r="G7" s="55">
        <v>9520.955519039373</v>
      </c>
      <c r="H7" s="54">
        <f t="shared" ref="H7:H21" si="6">+I7+J7</f>
        <v>19733.832202890924</v>
      </c>
      <c r="I7" s="77">
        <v>9946.0490283333093</v>
      </c>
      <c r="J7" s="55">
        <v>9787.7831745576132</v>
      </c>
      <c r="K7" s="54">
        <f t="shared" ref="K7:K21" si="7">+L7+M7</f>
        <v>20304.398987938504</v>
      </c>
      <c r="L7" s="77">
        <v>10238.196288676823</v>
      </c>
      <c r="M7" s="55">
        <v>10066.202699261681</v>
      </c>
      <c r="N7" s="77">
        <f t="shared" ref="N7:N21" si="8">+O7+P7</f>
        <v>20900.342171353921</v>
      </c>
      <c r="O7" s="22">
        <v>10543.448308095769</v>
      </c>
      <c r="P7" s="22">
        <v>10356.893863258154</v>
      </c>
      <c r="Q7" s="54">
        <f t="shared" ref="Q7:Q21" si="9">+R7+S7</f>
        <v>21518.214210883722</v>
      </c>
      <c r="R7" s="77">
        <v>10860.015229333425</v>
      </c>
      <c r="S7" s="55">
        <v>10658.198981550295</v>
      </c>
      <c r="T7" s="77">
        <f t="shared" ref="T7:T21" si="10">+U7+V7</f>
        <v>22154.567564274432</v>
      </c>
      <c r="U7" s="22">
        <v>11186.10719513307</v>
      </c>
      <c r="V7" s="22">
        <v>10968.460369141361</v>
      </c>
      <c r="W7" s="54">
        <f t="shared" ref="W7:W21" si="11">+X7+Y7</f>
        <v>22811.113781514963</v>
      </c>
      <c r="X7" s="77">
        <v>11522.612875880912</v>
      </c>
      <c r="Y7" s="55">
        <v>11288.500905634053</v>
      </c>
      <c r="Z7" s="77">
        <f t="shared" ref="Z7:Z21" si="12">+AA7+AB7</f>
        <v>23489.600189968245</v>
      </c>
      <c r="AA7" s="22">
        <v>11870.42094196315</v>
      </c>
      <c r="AB7" s="22">
        <v>11619.179248005097</v>
      </c>
      <c r="AC7" s="54">
        <f t="shared" ref="AC7:AC21" si="13">+AD7+AE7</f>
        <v>24191.932696442498</v>
      </c>
      <c r="AD7" s="77">
        <v>12230.495162671868</v>
      </c>
      <c r="AE7" s="55">
        <v>11961.437533770628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</row>
    <row r="8" spans="1:253" ht="12.95" customHeight="1" x14ac:dyDescent="0.2">
      <c r="A8" s="21" t="s">
        <v>17</v>
      </c>
      <c r="B8" s="54">
        <f t="shared" si="4"/>
        <v>63542.318481459326</v>
      </c>
      <c r="C8" s="77">
        <v>31757.21929861547</v>
      </c>
      <c r="D8" s="55">
        <v>31785.099182843853</v>
      </c>
      <c r="E8" s="54">
        <f t="shared" si="5"/>
        <v>65322.859862559832</v>
      </c>
      <c r="F8" s="77">
        <v>32661.065506861643</v>
      </c>
      <c r="G8" s="55">
        <v>32661.794355698188</v>
      </c>
      <c r="H8" s="54">
        <f t="shared" si="6"/>
        <v>67183.212005142137</v>
      </c>
      <c r="I8" s="77">
        <v>33606.060992696417</v>
      </c>
      <c r="J8" s="55">
        <v>33577.15101244572</v>
      </c>
      <c r="K8" s="54">
        <f t="shared" si="7"/>
        <v>69125.452219213184</v>
      </c>
      <c r="L8" s="77">
        <v>34593.178452301225</v>
      </c>
      <c r="M8" s="55">
        <v>34532.273766911967</v>
      </c>
      <c r="N8" s="77">
        <f t="shared" si="8"/>
        <v>71154.069315348024</v>
      </c>
      <c r="O8" s="22">
        <v>35624.574733730558</v>
      </c>
      <c r="P8" s="22">
        <v>35529.494581617473</v>
      </c>
      <c r="Q8" s="54">
        <f t="shared" si="9"/>
        <v>73257.328945146161</v>
      </c>
      <c r="R8" s="77">
        <v>36694.202204204186</v>
      </c>
      <c r="S8" s="55">
        <v>36563.126740941974</v>
      </c>
      <c r="T8" s="77">
        <f t="shared" si="10"/>
        <v>75423.496760207054</v>
      </c>
      <c r="U8" s="22">
        <v>37796.013230941862</v>
      </c>
      <c r="V8" s="22">
        <v>37627.483529265199</v>
      </c>
      <c r="W8" s="54">
        <f t="shared" si="11"/>
        <v>77658.398333350226</v>
      </c>
      <c r="X8" s="77">
        <v>38933.010484764542</v>
      </c>
      <c r="Y8" s="55">
        <v>38725.387848585691</v>
      </c>
      <c r="Z8" s="77">
        <f t="shared" si="12"/>
        <v>79967.981972264708</v>
      </c>
      <c r="AA8" s="22">
        <v>40108.196636493194</v>
      </c>
      <c r="AB8" s="22">
        <v>39859.785335771514</v>
      </c>
      <c r="AC8" s="54">
        <f t="shared" si="13"/>
        <v>82358.736112831597</v>
      </c>
      <c r="AD8" s="77">
        <v>41324.828103778709</v>
      </c>
      <c r="AE8" s="55">
        <v>41033.908009052881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</row>
    <row r="9" spans="1:253" ht="12.95" customHeight="1" x14ac:dyDescent="0.2">
      <c r="A9" s="21" t="s">
        <v>18</v>
      </c>
      <c r="B9" s="54">
        <f t="shared" si="4"/>
        <v>33948.506419576923</v>
      </c>
      <c r="C9" s="77">
        <v>16994.568542865876</v>
      </c>
      <c r="D9" s="55">
        <v>16953.93787671105</v>
      </c>
      <c r="E9" s="54">
        <f t="shared" si="5"/>
        <v>34899.813720238817</v>
      </c>
      <c r="F9" s="77">
        <v>17478.253093260962</v>
      </c>
      <c r="G9" s="55">
        <v>17421.560626977858</v>
      </c>
      <c r="H9" s="54">
        <f t="shared" si="6"/>
        <v>35893.763409387437</v>
      </c>
      <c r="I9" s="77">
        <v>17983.958281291016</v>
      </c>
      <c r="J9" s="55">
        <v>17909.805128096421</v>
      </c>
      <c r="K9" s="54">
        <f t="shared" si="7"/>
        <v>36931.465208851412</v>
      </c>
      <c r="L9" s="77">
        <v>18512.204635903207</v>
      </c>
      <c r="M9" s="55">
        <v>18419.260572948209</v>
      </c>
      <c r="N9" s="77">
        <f t="shared" si="8"/>
        <v>38015.317186630578</v>
      </c>
      <c r="O9" s="22">
        <v>19064.146373458672</v>
      </c>
      <c r="P9" s="22">
        <v>18951.170813171902</v>
      </c>
      <c r="Q9" s="54">
        <f t="shared" si="9"/>
        <v>39139.049758333378</v>
      </c>
      <c r="R9" s="77">
        <v>19636.547161807568</v>
      </c>
      <c r="S9" s="55">
        <v>19502.502596525814</v>
      </c>
      <c r="T9" s="77">
        <f t="shared" si="10"/>
        <v>40296.393339568305</v>
      </c>
      <c r="U9" s="22">
        <v>20226.170668800045</v>
      </c>
      <c r="V9" s="22">
        <v>20070.22267076826</v>
      </c>
      <c r="W9" s="54">
        <f t="shared" si="11"/>
        <v>41490.460495705142</v>
      </c>
      <c r="X9" s="77">
        <v>20834.62374466435</v>
      </c>
      <c r="Y9" s="55">
        <v>20655.836751040792</v>
      </c>
      <c r="Z9" s="77">
        <f t="shared" si="12"/>
        <v>42724.429257989425</v>
      </c>
      <c r="AA9" s="22">
        <v>21463.51323962873</v>
      </c>
      <c r="AB9" s="22">
        <v>21260.916018360695</v>
      </c>
      <c r="AC9" s="54">
        <f t="shared" si="13"/>
        <v>44001.766201536811</v>
      </c>
      <c r="AD9" s="77">
        <v>22114.581794081561</v>
      </c>
      <c r="AE9" s="55">
        <v>21887.184407455246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</row>
    <row r="10" spans="1:253" ht="12.95" customHeight="1" x14ac:dyDescent="0.2">
      <c r="A10" s="21" t="s">
        <v>19</v>
      </c>
      <c r="B10" s="54">
        <f t="shared" si="4"/>
        <v>141705.39612996555</v>
      </c>
      <c r="C10" s="77">
        <v>67655.075935077388</v>
      </c>
      <c r="D10" s="55">
        <v>74050.320194888147</v>
      </c>
      <c r="E10" s="54">
        <f t="shared" si="5"/>
        <v>145673.38833951473</v>
      </c>
      <c r="F10" s="77">
        <v>69580.615551047245</v>
      </c>
      <c r="G10" s="55">
        <v>76092.772788467482</v>
      </c>
      <c r="H10" s="54">
        <f t="shared" si="6"/>
        <v>149819.11467487653</v>
      </c>
      <c r="I10" s="77">
        <v>71593.818934860014</v>
      </c>
      <c r="J10" s="55">
        <v>78225.295740016518</v>
      </c>
      <c r="K10" s="54">
        <f t="shared" si="7"/>
        <v>154147.22079135611</v>
      </c>
      <c r="L10" s="77">
        <v>73696.75830302175</v>
      </c>
      <c r="M10" s="55">
        <v>80450.462488334379</v>
      </c>
      <c r="N10" s="77">
        <f t="shared" si="8"/>
        <v>158667.73441905738</v>
      </c>
      <c r="O10" s="22">
        <v>75894.028570393682</v>
      </c>
      <c r="P10" s="22">
        <v>82773.705848663682</v>
      </c>
      <c r="Q10" s="54">
        <f t="shared" si="9"/>
        <v>163354.52333290665</v>
      </c>
      <c r="R10" s="77">
        <v>78172.745956090381</v>
      </c>
      <c r="S10" s="55">
        <v>85181.777376816273</v>
      </c>
      <c r="T10" s="77">
        <f t="shared" si="10"/>
        <v>168181.45530783047</v>
      </c>
      <c r="U10" s="22">
        <v>80520.026679226401</v>
      </c>
      <c r="V10" s="22">
        <v>87661.428628604059</v>
      </c>
      <c r="W10" s="54">
        <f t="shared" si="11"/>
        <v>173161.50375190654</v>
      </c>
      <c r="X10" s="77">
        <v>82942.267582059532</v>
      </c>
      <c r="Y10" s="55">
        <v>90219.236169847005</v>
      </c>
      <c r="Z10" s="77">
        <f t="shared" si="12"/>
        <v>178307.92801085708</v>
      </c>
      <c r="AA10" s="22">
        <v>85445.865506847593</v>
      </c>
      <c r="AB10" s="22">
        <v>92862.062504009504</v>
      </c>
      <c r="AC10" s="54">
        <f t="shared" si="13"/>
        <v>183635.19519646006</v>
      </c>
      <c r="AD10" s="77">
        <v>88037.757874067378</v>
      </c>
      <c r="AE10" s="55">
        <v>95597.437322392696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</row>
    <row r="11" spans="1:253" ht="12.95" customHeight="1" x14ac:dyDescent="0.2">
      <c r="A11" s="21" t="s">
        <v>20</v>
      </c>
      <c r="B11" s="54">
        <f t="shared" si="4"/>
        <v>38273.555752649772</v>
      </c>
      <c r="C11" s="77">
        <v>18799.90818637138</v>
      </c>
      <c r="D11" s="55">
        <v>19473.647566278389</v>
      </c>
      <c r="E11" s="54">
        <f t="shared" si="5"/>
        <v>39345.743570791936</v>
      </c>
      <c r="F11" s="77">
        <v>19334.974735172422</v>
      </c>
      <c r="G11" s="55">
        <v>20010.768835619518</v>
      </c>
      <c r="H11" s="54">
        <f t="shared" si="6"/>
        <v>40465.977861738655</v>
      </c>
      <c r="I11" s="77">
        <v>19894.401182531547</v>
      </c>
      <c r="J11" s="55">
        <v>20571.576679207108</v>
      </c>
      <c r="K11" s="54">
        <f t="shared" si="7"/>
        <v>41635.511209694319</v>
      </c>
      <c r="L11" s="77">
        <v>20478.763353388982</v>
      </c>
      <c r="M11" s="55">
        <v>21156.747856305337</v>
      </c>
      <c r="N11" s="77">
        <f t="shared" si="8"/>
        <v>42857.049157876383</v>
      </c>
      <c r="O11" s="22">
        <v>21089.338076960001</v>
      </c>
      <c r="P11" s="22">
        <v>21767.711080916382</v>
      </c>
      <c r="Q11" s="54">
        <f t="shared" si="9"/>
        <v>44123.527520356016</v>
      </c>
      <c r="R11" s="77">
        <v>21722.545224268437</v>
      </c>
      <c r="S11" s="55">
        <v>22400.982296087579</v>
      </c>
      <c r="T11" s="77">
        <f t="shared" si="10"/>
        <v>45427.88211120441</v>
      </c>
      <c r="U11" s="22">
        <v>22374.804666338132</v>
      </c>
      <c r="V11" s="22">
        <v>23053.077444866281</v>
      </c>
      <c r="W11" s="54">
        <f t="shared" si="11"/>
        <v>46773.619972873537</v>
      </c>
      <c r="X11" s="77">
        <v>23047.893949723686</v>
      </c>
      <c r="Y11" s="55">
        <v>23725.726023149851</v>
      </c>
      <c r="Z11" s="77">
        <f t="shared" si="12"/>
        <v>48164.323343289128</v>
      </c>
      <c r="AA11" s="22">
        <v>23743.590620979689</v>
      </c>
      <c r="AB11" s="22">
        <v>24420.73272230944</v>
      </c>
      <c r="AC11" s="54">
        <f t="shared" si="13"/>
        <v>49603.900131684277</v>
      </c>
      <c r="AD11" s="77">
        <v>24463.822441862543</v>
      </c>
      <c r="AE11" s="55">
        <v>25140.077689821737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</row>
    <row r="12" spans="1:253" ht="12.95" customHeight="1" x14ac:dyDescent="0.2">
      <c r="A12" s="21" t="s">
        <v>21</v>
      </c>
      <c r="B12" s="54">
        <f t="shared" si="4"/>
        <v>131192.41526410604</v>
      </c>
      <c r="C12" s="77">
        <v>65661.476039436384</v>
      </c>
      <c r="D12" s="55">
        <v>65530.939224669659</v>
      </c>
      <c r="E12" s="54">
        <f t="shared" si="5"/>
        <v>134868.68619467696</v>
      </c>
      <c r="F12" s="77">
        <v>67530.275558312365</v>
      </c>
      <c r="G12" s="55">
        <v>67338.410636364599</v>
      </c>
      <c r="H12" s="54">
        <f t="shared" si="6"/>
        <v>138709.74558986971</v>
      </c>
      <c r="I12" s="77">
        <v>69484.155646712316</v>
      </c>
      <c r="J12" s="55">
        <v>69225.589943157393</v>
      </c>
      <c r="K12" s="54">
        <f t="shared" si="7"/>
        <v>142719.88197237981</v>
      </c>
      <c r="L12" s="77">
        <v>71525.127458900432</v>
      </c>
      <c r="M12" s="55">
        <v>71194.754513479391</v>
      </c>
      <c r="N12" s="77">
        <f t="shared" si="8"/>
        <v>146908.36263598397</v>
      </c>
      <c r="O12" s="22">
        <v>73657.650510853811</v>
      </c>
      <c r="P12" s="22">
        <v>73250.712125130143</v>
      </c>
      <c r="Q12" s="54">
        <f t="shared" si="9"/>
        <v>151250.95921757567</v>
      </c>
      <c r="R12" s="77">
        <v>75869.220669538598</v>
      </c>
      <c r="S12" s="55">
        <v>75381.738548037087</v>
      </c>
      <c r="T12" s="77">
        <f t="shared" si="10"/>
        <v>155723.44335404856</v>
      </c>
      <c r="U12" s="22">
        <v>78147.333801920962</v>
      </c>
      <c r="V12" s="22">
        <v>77576.1095521276</v>
      </c>
      <c r="W12" s="54">
        <f t="shared" si="11"/>
        <v>160337.8433327215</v>
      </c>
      <c r="X12" s="77">
        <v>80498.198253772964</v>
      </c>
      <c r="Y12" s="55">
        <v>79839.645078948524</v>
      </c>
      <c r="Z12" s="77">
        <f t="shared" si="12"/>
        <v>165106.44048185012</v>
      </c>
      <c r="AA12" s="22">
        <v>82928.022370866631</v>
      </c>
      <c r="AB12" s="22">
        <v>82178.41811098349</v>
      </c>
      <c r="AC12" s="54">
        <f t="shared" si="13"/>
        <v>170042.63120748123</v>
      </c>
      <c r="AD12" s="77">
        <v>85443.539147912496</v>
      </c>
      <c r="AE12" s="55">
        <v>84599.092059568735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</row>
    <row r="13" spans="1:253" ht="12.95" customHeight="1" x14ac:dyDescent="0.2">
      <c r="A13" s="21" t="s">
        <v>22</v>
      </c>
      <c r="B13" s="54">
        <f t="shared" si="4"/>
        <v>68476.536430311302</v>
      </c>
      <c r="C13" s="77">
        <v>33826.993862779738</v>
      </c>
      <c r="D13" s="55">
        <v>34649.542567531571</v>
      </c>
      <c r="E13" s="54">
        <f t="shared" si="5"/>
        <v>70394.992873629904</v>
      </c>
      <c r="F13" s="77">
        <v>34789.748184930766</v>
      </c>
      <c r="G13" s="55">
        <v>35605.244688699146</v>
      </c>
      <c r="H13" s="54">
        <f t="shared" si="6"/>
        <v>72399.426116479692</v>
      </c>
      <c r="I13" s="77">
        <v>35796.333685981896</v>
      </c>
      <c r="J13" s="55">
        <v>36603.092430497796</v>
      </c>
      <c r="K13" s="54">
        <f t="shared" si="7"/>
        <v>74492.076411037677</v>
      </c>
      <c r="L13" s="77">
        <v>36847.786457520699</v>
      </c>
      <c r="M13" s="55">
        <v>37644.289953516985</v>
      </c>
      <c r="N13" s="77">
        <f t="shared" si="8"/>
        <v>76677.783294580615</v>
      </c>
      <c r="O13" s="22">
        <v>37946.403920023935</v>
      </c>
      <c r="P13" s="22">
        <v>38731.379374556687</v>
      </c>
      <c r="Q13" s="54">
        <f t="shared" si="9"/>
        <v>78943.90578317277</v>
      </c>
      <c r="R13" s="77">
        <v>39085.74428666458</v>
      </c>
      <c r="S13" s="55">
        <v>39858.16149650819</v>
      </c>
      <c r="T13" s="77">
        <f t="shared" si="10"/>
        <v>81277.80289287839</v>
      </c>
      <c r="U13" s="22">
        <v>40259.365770615579</v>
      </c>
      <c r="V13" s="22">
        <v>41018.437122262803</v>
      </c>
      <c r="W13" s="54">
        <f t="shared" si="11"/>
        <v>83685.750292665005</v>
      </c>
      <c r="X13" s="77">
        <v>41470.466741560296</v>
      </c>
      <c r="Y13" s="55">
        <v>42215.283551104701</v>
      </c>
      <c r="Z13" s="77">
        <f t="shared" si="12"/>
        <v>86174.157447121193</v>
      </c>
      <c r="AA13" s="22">
        <v>42722.24556918208</v>
      </c>
      <c r="AB13" s="22">
        <v>43451.911877939114</v>
      </c>
      <c r="AC13" s="54">
        <f t="shared" si="13"/>
        <v>88750.016295379974</v>
      </c>
      <c r="AD13" s="77">
        <v>44018.170907926265</v>
      </c>
      <c r="AE13" s="55">
        <v>44731.845387453708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</row>
    <row r="14" spans="1:253" ht="12.95" customHeight="1" x14ac:dyDescent="0.2">
      <c r="A14" s="21" t="s">
        <v>23</v>
      </c>
      <c r="B14" s="54">
        <f t="shared" si="4"/>
        <v>55339.232328105296</v>
      </c>
      <c r="C14" s="77">
        <v>26589.312145509728</v>
      </c>
      <c r="D14" s="55">
        <v>28749.920182595564</v>
      </c>
      <c r="E14" s="54">
        <f t="shared" si="5"/>
        <v>56888.973084090889</v>
      </c>
      <c r="F14" s="77">
        <v>27346.07389900622</v>
      </c>
      <c r="G14" s="55">
        <v>29542.899185084669</v>
      </c>
      <c r="H14" s="54">
        <f t="shared" si="6"/>
        <v>58508.136499259126</v>
      </c>
      <c r="I14" s="77">
        <v>28137.288637069068</v>
      </c>
      <c r="J14" s="55">
        <v>30370.847862190058</v>
      </c>
      <c r="K14" s="54">
        <f t="shared" si="7"/>
        <v>60198.536114822069</v>
      </c>
      <c r="L14" s="77">
        <v>28963.770767349888</v>
      </c>
      <c r="M14" s="55">
        <v>31234.765347472185</v>
      </c>
      <c r="N14" s="77">
        <f t="shared" si="8"/>
        <v>61964.087073185612</v>
      </c>
      <c r="O14" s="22">
        <v>29827.326150293575</v>
      </c>
      <c r="P14" s="22">
        <v>32136.760922892037</v>
      </c>
      <c r="Q14" s="54">
        <f t="shared" si="9"/>
        <v>63794.582195709307</v>
      </c>
      <c r="R14" s="77">
        <v>30722.891294848756</v>
      </c>
      <c r="S14" s="55">
        <v>33071.690900860551</v>
      </c>
      <c r="T14" s="77">
        <f t="shared" si="10"/>
        <v>65679.814303752719</v>
      </c>
      <c r="U14" s="22">
        <v>31645.402709964055</v>
      </c>
      <c r="V14" s="22">
        <v>34034.411593788667</v>
      </c>
      <c r="W14" s="54">
        <f t="shared" si="11"/>
        <v>67624.850779648579</v>
      </c>
      <c r="X14" s="77">
        <v>32597.374436650993</v>
      </c>
      <c r="Y14" s="55">
        <v>35027.476342997579</v>
      </c>
      <c r="Z14" s="77">
        <f t="shared" si="12"/>
        <v>69634.870020569608</v>
      </c>
      <c r="AA14" s="22">
        <v>33581.320515921092</v>
      </c>
      <c r="AB14" s="22">
        <v>36053.549504648516</v>
      </c>
      <c r="AC14" s="54">
        <f t="shared" si="13"/>
        <v>71715.52191248539</v>
      </c>
      <c r="AD14" s="77">
        <v>34599.967442955865</v>
      </c>
      <c r="AE14" s="55">
        <v>37115.554469529518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</row>
    <row r="15" spans="1:253" ht="12.95" customHeight="1" x14ac:dyDescent="0.2">
      <c r="A15" s="21" t="s">
        <v>24</v>
      </c>
      <c r="B15" s="54">
        <f t="shared" si="4"/>
        <v>70452.57788431074</v>
      </c>
      <c r="C15" s="77">
        <v>33941.255865532614</v>
      </c>
      <c r="D15" s="55">
        <v>36511.322018778119</v>
      </c>
      <c r="E15" s="54">
        <f t="shared" si="5"/>
        <v>72425.63786974398</v>
      </c>
      <c r="F15" s="77">
        <v>34907.262212899193</v>
      </c>
      <c r="G15" s="55">
        <v>37518.375656844793</v>
      </c>
      <c r="H15" s="54">
        <f t="shared" si="6"/>
        <v>74487.087265801325</v>
      </c>
      <c r="I15" s="77">
        <v>35917.247793654671</v>
      </c>
      <c r="J15" s="55">
        <v>38569.839472146654</v>
      </c>
      <c r="K15" s="54">
        <f t="shared" si="7"/>
        <v>76639.234526023458</v>
      </c>
      <c r="L15" s="77">
        <v>36972.252199133021</v>
      </c>
      <c r="M15" s="55">
        <v>39666.982326890437</v>
      </c>
      <c r="N15" s="77">
        <f t="shared" si="8"/>
        <v>78887.063540297444</v>
      </c>
      <c r="O15" s="22">
        <v>38074.580610118239</v>
      </c>
      <c r="P15" s="22">
        <v>40812.482930179212</v>
      </c>
      <c r="Q15" s="54">
        <f t="shared" si="9"/>
        <v>81217.57847188368</v>
      </c>
      <c r="R15" s="77">
        <v>39217.769480490482</v>
      </c>
      <c r="S15" s="55">
        <v>41999.808991393198</v>
      </c>
      <c r="T15" s="77">
        <f t="shared" si="10"/>
        <v>83617.783484042506</v>
      </c>
      <c r="U15" s="22">
        <v>40395.355264129888</v>
      </c>
      <c r="V15" s="22">
        <v>43222.42821991261</v>
      </c>
      <c r="W15" s="54">
        <f t="shared" si="11"/>
        <v>86094.130397883855</v>
      </c>
      <c r="X15" s="77">
        <v>41610.547134284781</v>
      </c>
      <c r="Y15" s="55">
        <v>44483.583263599074</v>
      </c>
      <c r="Z15" s="77">
        <f t="shared" si="12"/>
        <v>88653.21201920732</v>
      </c>
      <c r="AA15" s="22">
        <v>42866.554264203485</v>
      </c>
      <c r="AB15" s="22">
        <v>45786.657755003835</v>
      </c>
      <c r="AC15" s="54">
        <f t="shared" si="13"/>
        <v>91302.22131582757</v>
      </c>
      <c r="AD15" s="77">
        <v>44166.8570248736</v>
      </c>
      <c r="AE15" s="55">
        <v>47135.36429095397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</row>
    <row r="16" spans="1:253" ht="12.95" customHeight="1" x14ac:dyDescent="0.2">
      <c r="A16" s="21" t="s">
        <v>25</v>
      </c>
      <c r="B16" s="54">
        <f t="shared" si="4"/>
        <v>35330.988677409507</v>
      </c>
      <c r="C16" s="77">
        <v>17424.411315129764</v>
      </c>
      <c r="D16" s="55">
        <v>17906.577362279746</v>
      </c>
      <c r="E16" s="54">
        <f t="shared" si="5"/>
        <v>36320.805446563623</v>
      </c>
      <c r="F16" s="77">
        <v>17920.329674669145</v>
      </c>
      <c r="G16" s="55">
        <v>18400.475771894482</v>
      </c>
      <c r="H16" s="54">
        <f t="shared" si="6"/>
        <v>37354.980304493496</v>
      </c>
      <c r="I16" s="77">
        <v>18438.825638729948</v>
      </c>
      <c r="J16" s="55">
        <v>18916.154665763548</v>
      </c>
      <c r="K16" s="54">
        <f t="shared" si="7"/>
        <v>38434.669245409037</v>
      </c>
      <c r="L16" s="77">
        <v>18980.432901971981</v>
      </c>
      <c r="M16" s="55">
        <v>19454.23634343706</v>
      </c>
      <c r="N16" s="77">
        <f t="shared" si="8"/>
        <v>39562.369422702803</v>
      </c>
      <c r="O16" s="22">
        <v>19546.334874293076</v>
      </c>
      <c r="P16" s="22">
        <v>20016.034548409727</v>
      </c>
      <c r="Q16" s="54">
        <f t="shared" si="9"/>
        <v>40731.558957561152</v>
      </c>
      <c r="R16" s="77">
        <v>20133.213367156171</v>
      </c>
      <c r="S16" s="55">
        <v>20598.345590404984</v>
      </c>
      <c r="T16" s="77">
        <f t="shared" si="10"/>
        <v>41935.715971170473</v>
      </c>
      <c r="U16" s="22">
        <v>20737.750192024199</v>
      </c>
      <c r="V16" s="22">
        <v>21197.965779146271</v>
      </c>
      <c r="W16" s="54">
        <f t="shared" si="11"/>
        <v>43178.078276814005</v>
      </c>
      <c r="X16" s="77">
        <v>21361.592841107875</v>
      </c>
      <c r="Y16" s="55">
        <v>21816.485435706127</v>
      </c>
      <c r="Z16" s="77">
        <f t="shared" si="12"/>
        <v>44461.952832169452</v>
      </c>
      <c r="AA16" s="22">
        <v>22006.388806617906</v>
      </c>
      <c r="AB16" s="22">
        <v>22455.564025551546</v>
      </c>
      <c r="AC16" s="54">
        <f t="shared" si="13"/>
        <v>45790.947156528789</v>
      </c>
      <c r="AD16" s="77">
        <v>22673.924805458861</v>
      </c>
      <c r="AE16" s="55">
        <v>23117.022351069929</v>
      </c>
    </row>
    <row r="17" spans="1:255" ht="12.95" customHeight="1" x14ac:dyDescent="0.2">
      <c r="A17" s="21" t="s">
        <v>26</v>
      </c>
      <c r="B17" s="54">
        <f t="shared" si="4"/>
        <v>140612.62283235113</v>
      </c>
      <c r="C17" s="77">
        <v>69524.619941963669</v>
      </c>
      <c r="D17" s="55">
        <v>71088.002890387463</v>
      </c>
      <c r="E17" s="54">
        <f t="shared" si="5"/>
        <v>144552.11786640115</v>
      </c>
      <c r="F17" s="77">
        <v>71503.368884791911</v>
      </c>
      <c r="G17" s="55">
        <v>73048.748981609242</v>
      </c>
      <c r="H17" s="54">
        <f t="shared" si="6"/>
        <v>148668.1662950188</v>
      </c>
      <c r="I17" s="77">
        <v>73572.204048908388</v>
      </c>
      <c r="J17" s="55">
        <v>75095.96224611043</v>
      </c>
      <c r="K17" s="54">
        <f t="shared" si="7"/>
        <v>152965.36808789251</v>
      </c>
      <c r="L17" s="77">
        <v>75733.25491333635</v>
      </c>
      <c r="M17" s="55">
        <v>77232.113174556158</v>
      </c>
      <c r="N17" s="77">
        <f t="shared" si="8"/>
        <v>157453.66061358422</v>
      </c>
      <c r="O17" s="22">
        <v>77991.24336634473</v>
      </c>
      <c r="P17" s="22">
        <v>79462.417247239471</v>
      </c>
      <c r="Q17" s="54">
        <f t="shared" si="9"/>
        <v>162107.08561578928</v>
      </c>
      <c r="R17" s="77">
        <v>80332.929603571582</v>
      </c>
      <c r="S17" s="55">
        <v>81774.156012217689</v>
      </c>
      <c r="T17" s="77">
        <f t="shared" si="10"/>
        <v>166899.68483820301</v>
      </c>
      <c r="U17" s="22">
        <v>82745.073820654885</v>
      </c>
      <c r="V17" s="22">
        <v>84154.611017548115</v>
      </c>
      <c r="W17" s="54">
        <f t="shared" si="11"/>
        <v>171844.34536612837</v>
      </c>
      <c r="X17" s="77">
        <v>85234.249626753401</v>
      </c>
      <c r="Y17" s="55">
        <v>86610.09573937497</v>
      </c>
      <c r="Z17" s="77">
        <f t="shared" si="12"/>
        <v>176954.22878383112</v>
      </c>
      <c r="AA17" s="22">
        <v>87807.030631025889</v>
      </c>
      <c r="AB17" s="22">
        <v>89147.198152805242</v>
      </c>
      <c r="AC17" s="54">
        <f t="shared" si="13"/>
        <v>182243.6926894238</v>
      </c>
      <c r="AD17" s="77">
        <v>90470.545958898016</v>
      </c>
      <c r="AE17" s="55">
        <v>91773.146730525797</v>
      </c>
    </row>
    <row r="18" spans="1:255" ht="12.95" customHeight="1" x14ac:dyDescent="0.2">
      <c r="A18" s="21" t="s">
        <v>27</v>
      </c>
      <c r="B18" s="54">
        <f t="shared" si="4"/>
        <v>52121.594286217922</v>
      </c>
      <c r="C18" s="77">
        <v>25309.577714672669</v>
      </c>
      <c r="D18" s="55">
        <v>26812.016571545253</v>
      </c>
      <c r="E18" s="54">
        <f t="shared" si="5"/>
        <v>53581.461189745954</v>
      </c>
      <c r="F18" s="77">
        <v>26029.916785754882</v>
      </c>
      <c r="G18" s="55">
        <v>27551.544403991076</v>
      </c>
      <c r="H18" s="54">
        <f t="shared" si="6"/>
        <v>55106.735392726092</v>
      </c>
      <c r="I18" s="77">
        <v>26783.05063112883</v>
      </c>
      <c r="J18" s="55">
        <v>28323.684761597262</v>
      </c>
      <c r="K18" s="54">
        <f t="shared" si="7"/>
        <v>56699.123892083466</v>
      </c>
      <c r="L18" s="77">
        <v>27569.754461286509</v>
      </c>
      <c r="M18" s="55">
        <v>29129.369430796956</v>
      </c>
      <c r="N18" s="77">
        <f t="shared" si="8"/>
        <v>58362.312737514279</v>
      </c>
      <c r="O18" s="22">
        <v>28391.747221231904</v>
      </c>
      <c r="P18" s="22">
        <v>29970.565516282371</v>
      </c>
      <c r="Q18" s="54">
        <f t="shared" si="9"/>
        <v>60086.68516744626</v>
      </c>
      <c r="R18" s="77">
        <v>29244.209123993056</v>
      </c>
      <c r="S18" s="55">
        <v>30842.476043453204</v>
      </c>
      <c r="T18" s="77">
        <f t="shared" si="10"/>
        <v>61862.624420307155</v>
      </c>
      <c r="U18" s="22">
        <v>30122.320382598002</v>
      </c>
      <c r="V18" s="22">
        <v>31740.304037709149</v>
      </c>
      <c r="W18" s="54">
        <f t="shared" si="11"/>
        <v>63694.904769176763</v>
      </c>
      <c r="X18" s="77">
        <v>31028.474038130724</v>
      </c>
      <c r="Y18" s="55">
        <v>32666.430731046035</v>
      </c>
      <c r="Z18" s="77">
        <f t="shared" si="12"/>
        <v>65588.404018960806</v>
      </c>
      <c r="AA18" s="22">
        <v>31965.063131675197</v>
      </c>
      <c r="AB18" s="22">
        <v>33623.340887285609</v>
      </c>
      <c r="AC18" s="54">
        <f t="shared" si="13"/>
        <v>67548.443777649474</v>
      </c>
      <c r="AD18" s="77">
        <v>32934.682933139411</v>
      </c>
      <c r="AE18" s="55">
        <v>34613.760844510063</v>
      </c>
    </row>
    <row r="19" spans="1:255" ht="12.95" customHeight="1" x14ac:dyDescent="0.2">
      <c r="A19" s="21" t="s">
        <v>28</v>
      </c>
      <c r="B19" s="54">
        <f t="shared" si="4"/>
        <v>39053.498226289856</v>
      </c>
      <c r="C19" s="77">
        <v>19122.018213180807</v>
      </c>
      <c r="D19" s="55">
        <v>19931.480013109049</v>
      </c>
      <c r="E19" s="54">
        <f t="shared" si="5"/>
        <v>40147.481572283374</v>
      </c>
      <c r="F19" s="77">
        <v>19666.252375922861</v>
      </c>
      <c r="G19" s="55">
        <v>20481.229196360517</v>
      </c>
      <c r="H19" s="54">
        <f t="shared" si="6"/>
        <v>41290.485643601445</v>
      </c>
      <c r="I19" s="77">
        <v>20235.263809877153</v>
      </c>
      <c r="J19" s="55">
        <v>21055.221833724292</v>
      </c>
      <c r="K19" s="54">
        <f t="shared" si="7"/>
        <v>42483.788801253526</v>
      </c>
      <c r="L19" s="77">
        <v>20829.638205935655</v>
      </c>
      <c r="M19" s="55">
        <v>21654.150595317871</v>
      </c>
      <c r="N19" s="77">
        <f t="shared" si="8"/>
        <v>43730.152054711871</v>
      </c>
      <c r="O19" s="22">
        <v>21450.674269989238</v>
      </c>
      <c r="P19" s="22">
        <v>22279.477784722629</v>
      </c>
      <c r="Q19" s="54">
        <f t="shared" si="9"/>
        <v>45022.367966135076</v>
      </c>
      <c r="R19" s="77">
        <v>22094.730532579171</v>
      </c>
      <c r="S19" s="55">
        <v>22927.637433555905</v>
      </c>
      <c r="T19" s="77">
        <f t="shared" si="10"/>
        <v>46353.22909768176</v>
      </c>
      <c r="U19" s="22">
        <v>22758.165524246713</v>
      </c>
      <c r="V19" s="22">
        <v>23595.063573435051</v>
      </c>
      <c r="W19" s="54">
        <f t="shared" si="11"/>
        <v>47726.313608637531</v>
      </c>
      <c r="X19" s="77">
        <v>23442.787247310542</v>
      </c>
      <c r="Y19" s="55">
        <v>24283.526361326993</v>
      </c>
      <c r="Z19" s="77">
        <f t="shared" si="12"/>
        <v>49145.276621634373</v>
      </c>
      <c r="AA19" s="22">
        <v>24150.403704089327</v>
      </c>
      <c r="AB19" s="22">
        <v>24994.872917545046</v>
      </c>
      <c r="AC19" s="54">
        <f t="shared" si="13"/>
        <v>50614.105629374186</v>
      </c>
      <c r="AD19" s="77">
        <v>24882.975685830079</v>
      </c>
      <c r="AE19" s="55">
        <v>25731.129943544107</v>
      </c>
    </row>
    <row r="20" spans="1:255" ht="12.95" customHeight="1" x14ac:dyDescent="0.2">
      <c r="A20" s="21" t="s">
        <v>29</v>
      </c>
      <c r="B20" s="54">
        <f t="shared" si="4"/>
        <v>45300.163996893236</v>
      </c>
      <c r="C20" s="77">
        <v>22605.376982838265</v>
      </c>
      <c r="D20" s="55">
        <v>22694.787014054971</v>
      </c>
      <c r="E20" s="54">
        <f t="shared" si="5"/>
        <v>46569.50506359437</v>
      </c>
      <c r="F20" s="77">
        <v>23248.751457152033</v>
      </c>
      <c r="G20" s="55">
        <v>23320.753606442337</v>
      </c>
      <c r="H20" s="54">
        <f t="shared" si="6"/>
        <v>47895.741522984972</v>
      </c>
      <c r="I20" s="77">
        <v>23921.416749522476</v>
      </c>
      <c r="J20" s="55">
        <v>23974.324773462493</v>
      </c>
      <c r="K20" s="54">
        <f t="shared" si="7"/>
        <v>49280.354460358038</v>
      </c>
      <c r="L20" s="77">
        <v>24624.065243110239</v>
      </c>
      <c r="M20" s="55">
        <v>24656.289217247802</v>
      </c>
      <c r="N20" s="77">
        <f t="shared" si="8"/>
        <v>50726.544197948257</v>
      </c>
      <c r="O20" s="22">
        <v>25358.232222314997</v>
      </c>
      <c r="P20" s="22">
        <v>25368.311975633264</v>
      </c>
      <c r="Q20" s="54">
        <f t="shared" si="9"/>
        <v>52225.945563291207</v>
      </c>
      <c r="R20" s="77">
        <v>26119.612870094512</v>
      </c>
      <c r="S20" s="55">
        <v>26106.332693196695</v>
      </c>
      <c r="T20" s="77">
        <f t="shared" si="10"/>
        <v>53770.193383922451</v>
      </c>
      <c r="U20" s="22">
        <v>26903.902369406536</v>
      </c>
      <c r="V20" s="22">
        <v>26866.291014515919</v>
      </c>
      <c r="W20" s="54">
        <f t="shared" si="11"/>
        <v>55363.440588671336</v>
      </c>
      <c r="X20" s="77">
        <v>27713.23807696435</v>
      </c>
      <c r="Y20" s="55">
        <v>27650.202511706982</v>
      </c>
      <c r="Z20" s="77">
        <f t="shared" si="12"/>
        <v>57009.927739937433</v>
      </c>
      <c r="AA20" s="22">
        <v>28549.757349481239</v>
      </c>
      <c r="AB20" s="22">
        <v>28460.170390456195</v>
      </c>
      <c r="AC20" s="54">
        <f t="shared" si="13"/>
        <v>58714.28050014504</v>
      </c>
      <c r="AD20" s="77">
        <v>29415.778165364565</v>
      </c>
      <c r="AE20" s="55">
        <v>29298.502334780474</v>
      </c>
    </row>
    <row r="21" spans="1:255" ht="12.95" customHeight="1" thickBot="1" x14ac:dyDescent="0.25">
      <c r="A21" s="9" t="s">
        <v>30</v>
      </c>
      <c r="B21" s="56">
        <f t="shared" si="4"/>
        <v>58974.177753451804</v>
      </c>
      <c r="C21" s="11">
        <v>29074.78275778842</v>
      </c>
      <c r="D21" s="57">
        <v>29899.394995663384</v>
      </c>
      <c r="E21" s="56">
        <f t="shared" si="5"/>
        <v>60626.362563271308</v>
      </c>
      <c r="F21" s="11">
        <v>29902.283802640733</v>
      </c>
      <c r="G21" s="57">
        <v>30724.078760630571</v>
      </c>
      <c r="H21" s="56">
        <f t="shared" si="6"/>
        <v>62352.588721977882</v>
      </c>
      <c r="I21" s="11">
        <v>30767.458369701606</v>
      </c>
      <c r="J21" s="57">
        <v>31585.130352276276</v>
      </c>
      <c r="K21" s="56">
        <f t="shared" si="7"/>
        <v>64154.785845802224</v>
      </c>
      <c r="L21" s="11">
        <v>31671.196994439477</v>
      </c>
      <c r="M21" s="57">
        <v>32483.588851362743</v>
      </c>
      <c r="N21" s="11">
        <f t="shared" si="8"/>
        <v>66037.122215290787</v>
      </c>
      <c r="O21" s="11">
        <v>32615.474342458299</v>
      </c>
      <c r="P21" s="11">
        <v>33421.647872832487</v>
      </c>
      <c r="Q21" s="56">
        <f t="shared" si="9"/>
        <v>67988.711681263929</v>
      </c>
      <c r="R21" s="11">
        <v>33594.753606280341</v>
      </c>
      <c r="S21" s="57">
        <v>34393.958074983588</v>
      </c>
      <c r="T21" s="11">
        <f t="shared" si="10"/>
        <v>69998.668094542008</v>
      </c>
      <c r="U21" s="11">
        <v>34603.497978427884</v>
      </c>
      <c r="V21" s="11">
        <v>35395.170116114125</v>
      </c>
      <c r="W21" s="56">
        <f t="shared" si="11"/>
        <v>72072.395928011814</v>
      </c>
      <c r="X21" s="11">
        <v>35644.456503173089</v>
      </c>
      <c r="Y21" s="57">
        <v>36427.939424838725</v>
      </c>
      <c r="Z21" s="11">
        <f t="shared" si="12"/>
        <v>74215.41510797813</v>
      </c>
      <c r="AA21" s="11">
        <v>36720.378224788103</v>
      </c>
      <c r="AB21" s="11">
        <v>37495.036883190027</v>
      </c>
      <c r="AC21" s="56">
        <f t="shared" si="13"/>
        <v>76433.747265654965</v>
      </c>
      <c r="AD21" s="11">
        <v>37834.244501145549</v>
      </c>
      <c r="AE21" s="57">
        <v>38599.502764509423</v>
      </c>
    </row>
    <row r="22" spans="1:255" s="45" customFormat="1" ht="12" customHeight="1" x14ac:dyDescent="0.2">
      <c r="A22" s="43" t="s">
        <v>195</v>
      </c>
      <c r="B22" s="44"/>
      <c r="C22" s="44"/>
      <c r="D22" s="44"/>
      <c r="E22" s="44"/>
      <c r="F22" s="44"/>
      <c r="G22" s="44"/>
      <c r="AC22" s="44"/>
      <c r="AD22" s="44"/>
      <c r="AE22" s="44"/>
      <c r="AF22" s="44"/>
      <c r="AG22" s="44"/>
      <c r="AH22" s="44"/>
      <c r="AI22" s="44"/>
      <c r="AJ22" s="44"/>
      <c r="AK22" s="44"/>
      <c r="AL22" s="46"/>
      <c r="AM22" s="46"/>
      <c r="AN22" s="46"/>
      <c r="AO22" s="46"/>
      <c r="AP22" s="44"/>
      <c r="AQ22" s="44"/>
      <c r="AR22" s="46"/>
      <c r="AS22" s="44"/>
      <c r="AT22" s="44"/>
      <c r="BD22" s="47"/>
      <c r="CW22" s="48"/>
      <c r="CX22" s="48"/>
      <c r="CY22" s="48"/>
      <c r="CZ22" s="48"/>
      <c r="DA22" s="48"/>
      <c r="DB22" s="48"/>
      <c r="DC22" s="48"/>
      <c r="DD22" s="48"/>
      <c r="DE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GI22" s="47"/>
      <c r="IK22" s="47"/>
      <c r="IL22" s="47"/>
      <c r="IT22" s="47"/>
      <c r="IU22" s="47"/>
    </row>
  </sheetData>
  <mergeCells count="12">
    <mergeCell ref="N3:P3"/>
    <mergeCell ref="A2:AE2"/>
    <mergeCell ref="A3:A4"/>
    <mergeCell ref="B3:D3"/>
    <mergeCell ref="E3:G3"/>
    <mergeCell ref="H3:J3"/>
    <mergeCell ref="K3:M3"/>
    <mergeCell ref="Z3:AB3"/>
    <mergeCell ref="AC3:AE3"/>
    <mergeCell ref="W3:Y3"/>
    <mergeCell ref="Q3:S3"/>
    <mergeCell ref="T3:V3"/>
  </mergeCells>
  <pageMargins left="0.7" right="0.7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"/>
  <sheetViews>
    <sheetView zoomScale="120" zoomScaleNormal="120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A2" sqref="A2:A3"/>
    </sheetView>
  </sheetViews>
  <sheetFormatPr defaultColWidth="9.140625" defaultRowHeight="11.25" x14ac:dyDescent="0.25"/>
  <cols>
    <col min="1" max="1" width="13.42578125" style="28" customWidth="1"/>
    <col min="2" max="10" width="11.7109375" style="28" customWidth="1"/>
    <col min="11" max="16384" width="9.140625" style="28"/>
  </cols>
  <sheetData>
    <row r="1" spans="1:255" ht="15" customHeight="1" thickBot="1" x14ac:dyDescent="0.3">
      <c r="A1" s="134" t="s">
        <v>197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255" ht="15" customHeight="1" x14ac:dyDescent="0.25">
      <c r="A2" s="139" t="s">
        <v>7</v>
      </c>
      <c r="B2" s="136">
        <v>2015</v>
      </c>
      <c r="C2" s="137"/>
      <c r="D2" s="138"/>
      <c r="E2" s="136">
        <v>2016</v>
      </c>
      <c r="F2" s="137"/>
      <c r="G2" s="138"/>
      <c r="H2" s="136">
        <v>2017</v>
      </c>
      <c r="I2" s="137"/>
      <c r="J2" s="138"/>
      <c r="K2" s="136">
        <v>2018</v>
      </c>
      <c r="L2" s="137"/>
      <c r="M2" s="138"/>
      <c r="N2" s="137">
        <v>2019</v>
      </c>
      <c r="O2" s="137"/>
      <c r="P2" s="137"/>
      <c r="Q2" s="136">
        <v>2020</v>
      </c>
      <c r="R2" s="137"/>
      <c r="S2" s="138"/>
      <c r="T2" s="137">
        <v>2021</v>
      </c>
      <c r="U2" s="137"/>
      <c r="V2" s="137"/>
      <c r="W2" s="136">
        <v>2022</v>
      </c>
      <c r="X2" s="137"/>
      <c r="Y2" s="138"/>
      <c r="Z2" s="137">
        <v>2023</v>
      </c>
      <c r="AA2" s="137"/>
      <c r="AB2" s="137"/>
      <c r="AC2" s="136">
        <v>2024</v>
      </c>
      <c r="AD2" s="137"/>
      <c r="AE2" s="138"/>
    </row>
    <row r="3" spans="1:255" ht="15.75" customHeight="1" thickBot="1" x14ac:dyDescent="0.3">
      <c r="A3" s="140"/>
      <c r="B3" s="64" t="s">
        <v>0</v>
      </c>
      <c r="C3" s="29" t="s">
        <v>174</v>
      </c>
      <c r="D3" s="65" t="s">
        <v>2</v>
      </c>
      <c r="E3" s="64" t="s">
        <v>0</v>
      </c>
      <c r="F3" s="29" t="s">
        <v>174</v>
      </c>
      <c r="G3" s="65" t="s">
        <v>2</v>
      </c>
      <c r="H3" s="64" t="s">
        <v>0</v>
      </c>
      <c r="I3" s="29" t="s">
        <v>174</v>
      </c>
      <c r="J3" s="65" t="s">
        <v>2</v>
      </c>
      <c r="K3" s="64" t="s">
        <v>0</v>
      </c>
      <c r="L3" s="29" t="s">
        <v>174</v>
      </c>
      <c r="M3" s="65" t="s">
        <v>2</v>
      </c>
      <c r="N3" s="29" t="s">
        <v>0</v>
      </c>
      <c r="O3" s="29" t="s">
        <v>174</v>
      </c>
      <c r="P3" s="29" t="s">
        <v>2</v>
      </c>
      <c r="Q3" s="64" t="s">
        <v>0</v>
      </c>
      <c r="R3" s="29" t="s">
        <v>174</v>
      </c>
      <c r="S3" s="65" t="s">
        <v>2</v>
      </c>
      <c r="T3" s="29" t="s">
        <v>0</v>
      </c>
      <c r="U3" s="29" t="s">
        <v>174</v>
      </c>
      <c r="V3" s="29" t="s">
        <v>2</v>
      </c>
      <c r="W3" s="64" t="s">
        <v>0</v>
      </c>
      <c r="X3" s="29" t="s">
        <v>174</v>
      </c>
      <c r="Y3" s="65" t="s">
        <v>2</v>
      </c>
      <c r="Z3" s="29" t="s">
        <v>0</v>
      </c>
      <c r="AA3" s="29" t="s">
        <v>174</v>
      </c>
      <c r="AB3" s="29" t="s">
        <v>2</v>
      </c>
      <c r="AC3" s="64" t="s">
        <v>0</v>
      </c>
      <c r="AD3" s="29" t="s">
        <v>174</v>
      </c>
      <c r="AE3" s="65" t="s">
        <v>2</v>
      </c>
    </row>
    <row r="4" spans="1:255" s="30" customFormat="1" x14ac:dyDescent="0.25">
      <c r="A4" s="30" t="s">
        <v>31</v>
      </c>
      <c r="B4" s="66">
        <v>7215624</v>
      </c>
      <c r="C4" s="67">
        <v>3537255.0000000005</v>
      </c>
      <c r="D4" s="68">
        <v>3678369</v>
      </c>
      <c r="E4" s="66">
        <v>7460870.9999999991</v>
      </c>
      <c r="F4" s="67">
        <v>3660338</v>
      </c>
      <c r="G4" s="68">
        <v>3800533</v>
      </c>
      <c r="H4" s="66">
        <v>7714644</v>
      </c>
      <c r="I4" s="67">
        <v>3787625.9999999995</v>
      </c>
      <c r="J4" s="68">
        <v>3927018</v>
      </c>
      <c r="K4" s="66">
        <v>7976907</v>
      </c>
      <c r="L4" s="67">
        <v>3919101</v>
      </c>
      <c r="M4" s="68">
        <v>4057806.0000000009</v>
      </c>
      <c r="N4" s="31">
        <v>8247688</v>
      </c>
      <c r="O4" s="31">
        <v>4054778.0000000005</v>
      </c>
      <c r="P4" s="31">
        <v>4192910.0000000005</v>
      </c>
      <c r="Q4" s="66">
        <v>8523574</v>
      </c>
      <c r="R4" s="67">
        <v>4192946.0000000005</v>
      </c>
      <c r="S4" s="68">
        <v>4330628</v>
      </c>
      <c r="T4" s="31">
        <v>8801035</v>
      </c>
      <c r="U4" s="31">
        <v>4331833</v>
      </c>
      <c r="V4" s="31">
        <v>4469202</v>
      </c>
      <c r="W4" s="66">
        <v>9079811</v>
      </c>
      <c r="X4" s="67">
        <v>4471310</v>
      </c>
      <c r="Y4" s="68">
        <v>4608501</v>
      </c>
      <c r="Z4" s="31">
        <v>9359552</v>
      </c>
      <c r="AA4" s="31">
        <v>4611201</v>
      </c>
      <c r="AB4" s="31">
        <v>4748351</v>
      </c>
      <c r="AC4" s="66">
        <v>9639900.9999999981</v>
      </c>
      <c r="AD4" s="67">
        <v>4751328</v>
      </c>
      <c r="AE4" s="68">
        <v>4888573.0000000009</v>
      </c>
    </row>
    <row r="5" spans="1:255" x14ac:dyDescent="0.25">
      <c r="A5" s="34" t="s">
        <v>31</v>
      </c>
      <c r="B5" s="69">
        <v>1428353.7752074441</v>
      </c>
      <c r="C5" s="35">
        <v>699166.76794664981</v>
      </c>
      <c r="D5" s="70">
        <v>729187.00726079417</v>
      </c>
      <c r="E5" s="69">
        <v>1476899.4796390925</v>
      </c>
      <c r="F5" s="35">
        <v>723495.10822722816</v>
      </c>
      <c r="G5" s="70">
        <v>753404.3714118643</v>
      </c>
      <c r="H5" s="69">
        <v>1527132.9159129267</v>
      </c>
      <c r="I5" s="35">
        <v>748654.60042057955</v>
      </c>
      <c r="J5" s="70">
        <v>778478.31549234712</v>
      </c>
      <c r="K5" s="69">
        <v>1579046.9579277954</v>
      </c>
      <c r="L5" s="35">
        <v>774641.68668260647</v>
      </c>
      <c r="M5" s="70">
        <v>804405.27124518889</v>
      </c>
      <c r="N5" s="35">
        <v>1632647.1476283185</v>
      </c>
      <c r="O5" s="35">
        <v>801459.33188338997</v>
      </c>
      <c r="P5" s="35">
        <v>831187.81574492843</v>
      </c>
      <c r="Q5" s="69">
        <v>1687257.8936391436</v>
      </c>
      <c r="R5" s="35">
        <v>828769.34317566396</v>
      </c>
      <c r="S5" s="70">
        <v>858488.55046347948</v>
      </c>
      <c r="T5" s="35">
        <v>1742180.4462024206</v>
      </c>
      <c r="U5" s="35">
        <v>856221.47057383182</v>
      </c>
      <c r="V5" s="35">
        <v>885958.9756285887</v>
      </c>
      <c r="W5" s="69">
        <v>1797363.3384535592</v>
      </c>
      <c r="X5" s="35">
        <v>883790.21619519498</v>
      </c>
      <c r="Y5" s="70">
        <v>913573.12225836434</v>
      </c>
      <c r="Z5" s="35">
        <v>1852737.289432087</v>
      </c>
      <c r="AA5" s="35">
        <v>911440.79223080026</v>
      </c>
      <c r="AB5" s="35">
        <v>941296.49720128661</v>
      </c>
      <c r="AC5" s="69">
        <v>1908231.6316790041</v>
      </c>
      <c r="AD5" s="35">
        <v>939138.01555568352</v>
      </c>
      <c r="AE5" s="70">
        <v>969093.61612332053</v>
      </c>
    </row>
    <row r="6" spans="1:255" x14ac:dyDescent="0.25">
      <c r="A6" s="36" t="s">
        <v>175</v>
      </c>
      <c r="B6" s="71">
        <v>96160.714035160956</v>
      </c>
      <c r="C6" s="72">
        <v>49275.553033652242</v>
      </c>
      <c r="D6" s="73">
        <v>46885.161001508714</v>
      </c>
      <c r="E6" s="71">
        <v>99432.440168479574</v>
      </c>
      <c r="F6" s="72">
        <v>50990.154580343398</v>
      </c>
      <c r="G6" s="73">
        <v>48442.285588136183</v>
      </c>
      <c r="H6" s="71">
        <v>102817.8200957333</v>
      </c>
      <c r="I6" s="72">
        <v>52763.333668237123</v>
      </c>
      <c r="J6" s="73">
        <v>50054.486427496187</v>
      </c>
      <c r="K6" s="71">
        <v>106316.37363754935</v>
      </c>
      <c r="L6" s="72">
        <v>54594.839549237913</v>
      </c>
      <c r="M6" s="73">
        <v>51721.53408831144</v>
      </c>
      <c r="N6" s="37">
        <v>109928.47545104087</v>
      </c>
      <c r="O6" s="37">
        <v>56484.881180092016</v>
      </c>
      <c r="P6" s="37">
        <v>53443.594270948859</v>
      </c>
      <c r="Q6" s="71">
        <v>113608.59653479778</v>
      </c>
      <c r="R6" s="72">
        <v>58409.623561275635</v>
      </c>
      <c r="S6" s="73">
        <v>55198.972973522141</v>
      </c>
      <c r="T6" s="37">
        <v>117309.6443437791</v>
      </c>
      <c r="U6" s="37">
        <v>60344.381935830155</v>
      </c>
      <c r="V6" s="37">
        <v>56965.26240794894</v>
      </c>
      <c r="W6" s="71">
        <v>121028.15210011555</v>
      </c>
      <c r="X6" s="72">
        <v>62287.359275737719</v>
      </c>
      <c r="Y6" s="73">
        <v>58740.792824377837</v>
      </c>
      <c r="Z6" s="37">
        <v>124759.45020897049</v>
      </c>
      <c r="AA6" s="37">
        <v>64236.103821842153</v>
      </c>
      <c r="AB6" s="37">
        <v>60523.346387128338</v>
      </c>
      <c r="AC6" s="71">
        <v>128498.77748369737</v>
      </c>
      <c r="AD6" s="72">
        <v>66188.135954087804</v>
      </c>
      <c r="AE6" s="73">
        <v>62310.641529609573</v>
      </c>
    </row>
    <row r="7" spans="1:255" x14ac:dyDescent="0.25">
      <c r="A7" s="36" t="s">
        <v>176</v>
      </c>
      <c r="B7" s="71">
        <v>27573.582654604841</v>
      </c>
      <c r="C7" s="72">
        <v>14739.723572092893</v>
      </c>
      <c r="D7" s="73">
        <v>12833.85908251195</v>
      </c>
      <c r="E7" s="71">
        <v>28512.700069262137</v>
      </c>
      <c r="F7" s="72">
        <v>15252.609806312339</v>
      </c>
      <c r="G7" s="73">
        <v>13260.0902629498</v>
      </c>
      <c r="H7" s="71">
        <v>29484.415701326187</v>
      </c>
      <c r="I7" s="72">
        <v>15783.018254118495</v>
      </c>
      <c r="J7" s="73">
        <v>13701.397447207693</v>
      </c>
      <c r="K7" s="71">
        <v>30488.5917427436</v>
      </c>
      <c r="L7" s="72">
        <v>16330.873909603019</v>
      </c>
      <c r="M7" s="73">
        <v>14157.717833140581</v>
      </c>
      <c r="N7" s="37">
        <v>31525.33605554275</v>
      </c>
      <c r="O7" s="37">
        <v>16896.239277689529</v>
      </c>
      <c r="P7" s="37">
        <v>14629.096777853223</v>
      </c>
      <c r="Q7" s="71">
        <v>32581.580619721357</v>
      </c>
      <c r="R7" s="72">
        <v>17471.984630091018</v>
      </c>
      <c r="S7" s="73">
        <v>15109.595989630339</v>
      </c>
      <c r="T7" s="37">
        <v>33643.807844136507</v>
      </c>
      <c r="U7" s="37">
        <v>18050.726051831116</v>
      </c>
      <c r="V7" s="37">
        <v>15593.081792305387</v>
      </c>
      <c r="W7" s="71">
        <v>34711.023126389453</v>
      </c>
      <c r="X7" s="72">
        <v>18631.926000566731</v>
      </c>
      <c r="Y7" s="73">
        <v>16079.097125822724</v>
      </c>
      <c r="Z7" s="37">
        <v>35781.885987974318</v>
      </c>
      <c r="AA7" s="37">
        <v>19214.851085194117</v>
      </c>
      <c r="AB7" s="37">
        <v>16567.0349027802</v>
      </c>
      <c r="AC7" s="71">
        <v>36855.030171355087</v>
      </c>
      <c r="AD7" s="72">
        <v>19798.759580619713</v>
      </c>
      <c r="AE7" s="73">
        <v>17056.270590735374</v>
      </c>
    </row>
    <row r="8" spans="1:255" x14ac:dyDescent="0.25">
      <c r="A8" s="36" t="s">
        <v>33</v>
      </c>
      <c r="B8" s="71">
        <v>917119.47975331673</v>
      </c>
      <c r="C8" s="72">
        <v>447483.07660821429</v>
      </c>
      <c r="D8" s="73">
        <v>469636.40314510243</v>
      </c>
      <c r="E8" s="71">
        <v>948287.49627175694</v>
      </c>
      <c r="F8" s="72">
        <v>463053.78313578124</v>
      </c>
      <c r="G8" s="73">
        <v>485233.71313597565</v>
      </c>
      <c r="H8" s="71">
        <v>980539.15387311159</v>
      </c>
      <c r="I8" s="72">
        <v>479156.44631819427</v>
      </c>
      <c r="J8" s="73">
        <v>501382.70755491738</v>
      </c>
      <c r="K8" s="71">
        <v>1013869.8773008463</v>
      </c>
      <c r="L8" s="72">
        <v>495788.78905205568</v>
      </c>
      <c r="M8" s="73">
        <v>518081.08824879059</v>
      </c>
      <c r="N8" s="37">
        <v>1048283.223918391</v>
      </c>
      <c r="O8" s="37">
        <v>512952.70892353018</v>
      </c>
      <c r="P8" s="37">
        <v>535330.51499486086</v>
      </c>
      <c r="Q8" s="71">
        <v>1083345.4392505963</v>
      </c>
      <c r="R8" s="72">
        <v>530431.75460409431</v>
      </c>
      <c r="S8" s="73">
        <v>552913.6846465019</v>
      </c>
      <c r="T8" s="37">
        <v>1118607.9021621486</v>
      </c>
      <c r="U8" s="37">
        <v>548001.75791482115</v>
      </c>
      <c r="V8" s="37">
        <v>570606.14424732758</v>
      </c>
      <c r="W8" s="71">
        <v>1154037.5679642011</v>
      </c>
      <c r="X8" s="72">
        <v>565646.39961469406</v>
      </c>
      <c r="Y8" s="73">
        <v>588391.16834950703</v>
      </c>
      <c r="Z8" s="37">
        <v>1189589.9561654287</v>
      </c>
      <c r="AA8" s="37">
        <v>583343.41469271353</v>
      </c>
      <c r="AB8" s="37">
        <v>606246.54147271533</v>
      </c>
      <c r="AC8" s="71">
        <v>1225219.6948871475</v>
      </c>
      <c r="AD8" s="72">
        <v>601070.28512639133</v>
      </c>
      <c r="AE8" s="73">
        <v>624149.40976075619</v>
      </c>
    </row>
    <row r="9" spans="1:255" x14ac:dyDescent="0.25">
      <c r="A9" s="36" t="s">
        <v>32</v>
      </c>
      <c r="B9" s="71">
        <v>1171660.579183273</v>
      </c>
      <c r="C9" s="72">
        <v>574886.65088954289</v>
      </c>
      <c r="D9" s="73">
        <v>596773.92829373025</v>
      </c>
      <c r="E9" s="71">
        <v>1211484.1774463423</v>
      </c>
      <c r="F9" s="72">
        <v>594890.51650042972</v>
      </c>
      <c r="G9" s="73">
        <v>616593.66094591259</v>
      </c>
      <c r="H9" s="71">
        <v>1252692.2201049232</v>
      </c>
      <c r="I9" s="72">
        <v>615577.79293891892</v>
      </c>
      <c r="J9" s="73">
        <v>637114.42716600432</v>
      </c>
      <c r="K9" s="71">
        <v>1295278.8614409079</v>
      </c>
      <c r="L9" s="72">
        <v>636945.55478410749</v>
      </c>
      <c r="M9" s="73">
        <v>658333.30665680044</v>
      </c>
      <c r="N9" s="37">
        <v>1339248.6484085862</v>
      </c>
      <c r="O9" s="37">
        <v>658996.23988674802</v>
      </c>
      <c r="P9" s="37">
        <v>680252.40852183802</v>
      </c>
      <c r="Q9" s="71">
        <v>1384047.3731741984</v>
      </c>
      <c r="R9" s="72">
        <v>681451.77073767805</v>
      </c>
      <c r="S9" s="73">
        <v>702595.60243652028</v>
      </c>
      <c r="T9" s="37">
        <v>1429101.8286085108</v>
      </c>
      <c r="U9" s="37">
        <v>704024.15590134193</v>
      </c>
      <c r="V9" s="37">
        <v>725077.67270716885</v>
      </c>
      <c r="W9" s="71">
        <v>1474369.7959209499</v>
      </c>
      <c r="X9" s="72">
        <v>726692.42986126861</v>
      </c>
      <c r="Y9" s="73">
        <v>747677.3660596814</v>
      </c>
      <c r="Z9" s="37">
        <v>1519794.4414563735</v>
      </c>
      <c r="AA9" s="37">
        <v>749427.98850196297</v>
      </c>
      <c r="AB9" s="37">
        <v>770366.45295441058</v>
      </c>
      <c r="AC9" s="71">
        <v>1565317.7953192035</v>
      </c>
      <c r="AD9" s="72">
        <v>772201.90266116243</v>
      </c>
      <c r="AE9" s="73">
        <v>793115.89265804109</v>
      </c>
    </row>
    <row r="10" spans="1:255" x14ac:dyDescent="0.25">
      <c r="A10" s="36" t="s">
        <v>34</v>
      </c>
      <c r="B10" s="71">
        <v>1652612.8442055695</v>
      </c>
      <c r="C10" s="72">
        <v>809210.40820147831</v>
      </c>
      <c r="D10" s="73">
        <v>843402.43600409105</v>
      </c>
      <c r="E10" s="71">
        <v>1708780.9091339996</v>
      </c>
      <c r="F10" s="72">
        <v>837367.84798816673</v>
      </c>
      <c r="G10" s="73">
        <v>871413.06114583288</v>
      </c>
      <c r="H10" s="71">
        <v>1766901.6925064931</v>
      </c>
      <c r="I10" s="72">
        <v>866487.25680634636</v>
      </c>
      <c r="J10" s="73">
        <v>900414.43570014683</v>
      </c>
      <c r="K10" s="71">
        <v>1826966.9493336091</v>
      </c>
      <c r="L10" s="72">
        <v>896564.51683376578</v>
      </c>
      <c r="M10" s="73">
        <v>930402.43249984342</v>
      </c>
      <c r="N10" s="37">
        <v>1888983.0918657496</v>
      </c>
      <c r="O10" s="37">
        <v>927603.05958896771</v>
      </c>
      <c r="P10" s="37">
        <v>961380.03227678174</v>
      </c>
      <c r="Q10" s="71">
        <v>1952168.4516346508</v>
      </c>
      <c r="R10" s="72">
        <v>959211.46319017315</v>
      </c>
      <c r="S10" s="73">
        <v>992956.98844447767</v>
      </c>
      <c r="T10" s="37">
        <v>2015714.5652542748</v>
      </c>
      <c r="U10" s="37">
        <v>990984.35091352882</v>
      </c>
      <c r="V10" s="37">
        <v>1024730.2143407461</v>
      </c>
      <c r="W10" s="71">
        <v>2079561.8850594964</v>
      </c>
      <c r="X10" s="72">
        <v>1022892.211699567</v>
      </c>
      <c r="Y10" s="73">
        <v>1056669.6733599294</v>
      </c>
      <c r="Z10" s="37">
        <v>2143630.2519499138</v>
      </c>
      <c r="AA10" s="37">
        <v>1054894.7823973859</v>
      </c>
      <c r="AB10" s="37">
        <v>1088735.4695525276</v>
      </c>
      <c r="AC10" s="71">
        <v>2207837.902853989</v>
      </c>
      <c r="AD10" s="72">
        <v>1086951.3423202776</v>
      </c>
      <c r="AE10" s="73">
        <v>1120886.5605337115</v>
      </c>
    </row>
    <row r="11" spans="1:255" x14ac:dyDescent="0.25">
      <c r="A11" s="36" t="s">
        <v>35</v>
      </c>
      <c r="B11" s="71">
        <v>300217.96306551964</v>
      </c>
      <c r="C11" s="72">
        <v>147985.74330711717</v>
      </c>
      <c r="D11" s="73">
        <v>152232.21975840247</v>
      </c>
      <c r="E11" s="71">
        <v>310423.15730405424</v>
      </c>
      <c r="F11" s="72">
        <v>153135.08347158646</v>
      </c>
      <c r="G11" s="73">
        <v>157288.07383246778</v>
      </c>
      <c r="H11" s="71">
        <v>320983.10129511467</v>
      </c>
      <c r="I11" s="72">
        <v>158460.34537497663</v>
      </c>
      <c r="J11" s="73">
        <v>162522.75592013804</v>
      </c>
      <c r="K11" s="71">
        <v>331896.29704060126</v>
      </c>
      <c r="L11" s="72">
        <v>163960.7759634706</v>
      </c>
      <c r="M11" s="73">
        <v>167935.52107713069</v>
      </c>
      <c r="N11" s="37">
        <v>343163.91010067682</v>
      </c>
      <c r="O11" s="37">
        <v>169637.00278191589</v>
      </c>
      <c r="P11" s="37">
        <v>173526.90731876093</v>
      </c>
      <c r="Q11" s="71">
        <v>354643.91990590683</v>
      </c>
      <c r="R11" s="72">
        <v>175417.44388137231</v>
      </c>
      <c r="S11" s="73">
        <v>179226.47602453452</v>
      </c>
      <c r="T11" s="37">
        <v>366189.43626670906</v>
      </c>
      <c r="U11" s="37">
        <v>181227.96529718646</v>
      </c>
      <c r="V11" s="37">
        <v>184961.4709695226</v>
      </c>
      <c r="W11" s="71">
        <v>377789.64075844956</v>
      </c>
      <c r="X11" s="72">
        <v>187063.17014366959</v>
      </c>
      <c r="Y11" s="73">
        <v>190726.47061477997</v>
      </c>
      <c r="Z11" s="37">
        <v>389429.9690601863</v>
      </c>
      <c r="AA11" s="37">
        <v>192915.69522794426</v>
      </c>
      <c r="AB11" s="37">
        <v>196514.273832242</v>
      </c>
      <c r="AC11" s="71">
        <v>401095.56624936324</v>
      </c>
      <c r="AD11" s="72">
        <v>198778.09368448652</v>
      </c>
      <c r="AE11" s="73">
        <v>202317.47256487669</v>
      </c>
    </row>
    <row r="12" spans="1:255" x14ac:dyDescent="0.25">
      <c r="A12" s="36" t="s">
        <v>177</v>
      </c>
      <c r="B12" s="71">
        <v>897014.53497992281</v>
      </c>
      <c r="C12" s="72">
        <v>440210.95283118152</v>
      </c>
      <c r="D12" s="73">
        <v>456803.58214874129</v>
      </c>
      <c r="E12" s="71">
        <v>927503.31258758379</v>
      </c>
      <c r="F12" s="72">
        <v>455528.61715205188</v>
      </c>
      <c r="G12" s="73">
        <v>471974.6954355319</v>
      </c>
      <c r="H12" s="71">
        <v>959052.01157548442</v>
      </c>
      <c r="I12" s="72">
        <v>471369.593209468</v>
      </c>
      <c r="J12" s="73">
        <v>487682.41836601647</v>
      </c>
      <c r="K12" s="71">
        <v>991656.15648975084</v>
      </c>
      <c r="L12" s="72">
        <v>487731.64090562775</v>
      </c>
      <c r="M12" s="73">
        <v>503924.51558412309</v>
      </c>
      <c r="N12" s="37">
        <v>1025319.2285023809</v>
      </c>
      <c r="O12" s="37">
        <v>504616.62698869954</v>
      </c>
      <c r="P12" s="37">
        <v>520702.60151368141</v>
      </c>
      <c r="Q12" s="71">
        <v>1059616.9285370589</v>
      </c>
      <c r="R12" s="72">
        <v>521811.61771760619</v>
      </c>
      <c r="S12" s="73">
        <v>537805.31081945263</v>
      </c>
      <c r="T12" s="37">
        <v>1094110.4116338044</v>
      </c>
      <c r="U12" s="37">
        <v>539096.08790871885</v>
      </c>
      <c r="V12" s="37">
        <v>555014.32372508547</v>
      </c>
      <c r="W12" s="71">
        <v>1128767.3553336239</v>
      </c>
      <c r="X12" s="72">
        <v>556453.98352778924</v>
      </c>
      <c r="Y12" s="73">
        <v>572313.3718058347</v>
      </c>
      <c r="Z12" s="37">
        <v>1163544.2480159802</v>
      </c>
      <c r="AA12" s="37">
        <v>573863.40139630786</v>
      </c>
      <c r="AB12" s="37">
        <v>589680.84661967237</v>
      </c>
      <c r="AC12" s="71">
        <v>1198396.708228338</v>
      </c>
      <c r="AD12" s="72">
        <v>591302.1894360095</v>
      </c>
      <c r="AE12" s="73">
        <v>607094.51879232854</v>
      </c>
    </row>
    <row r="13" spans="1:255" ht="12" thickBot="1" x14ac:dyDescent="0.3">
      <c r="A13" s="32" t="s">
        <v>178</v>
      </c>
      <c r="B13" s="74">
        <v>724910.52691518841</v>
      </c>
      <c r="C13" s="33">
        <v>354296.12361007085</v>
      </c>
      <c r="D13" s="75">
        <v>370614.40330511762</v>
      </c>
      <c r="E13" s="74">
        <v>749547.32737942878</v>
      </c>
      <c r="F13" s="33">
        <v>366624.27913809993</v>
      </c>
      <c r="G13" s="75">
        <v>382923.04824132886</v>
      </c>
      <c r="H13" s="74">
        <v>775040.66893488646</v>
      </c>
      <c r="I13" s="33">
        <v>379373.61300916056</v>
      </c>
      <c r="J13" s="75">
        <v>395667.0559257259</v>
      </c>
      <c r="K13" s="74">
        <v>801386.93508619606</v>
      </c>
      <c r="L13" s="33">
        <v>392542.32231952529</v>
      </c>
      <c r="M13" s="75">
        <v>408844.61276667082</v>
      </c>
      <c r="N13" s="33">
        <v>828588.93806931353</v>
      </c>
      <c r="O13" s="33">
        <v>406131.90948896698</v>
      </c>
      <c r="P13" s="33">
        <v>422457.02858034655</v>
      </c>
      <c r="Q13" s="74">
        <v>856303.81670392631</v>
      </c>
      <c r="R13" s="33">
        <v>419970.99850204529</v>
      </c>
      <c r="S13" s="75">
        <v>436332.81820188102</v>
      </c>
      <c r="T13" s="33">
        <v>884176.95768421609</v>
      </c>
      <c r="U13" s="33">
        <v>433882.10350290948</v>
      </c>
      <c r="V13" s="33">
        <v>450294.85418130655</v>
      </c>
      <c r="W13" s="74">
        <v>912182.24128321465</v>
      </c>
      <c r="X13" s="33">
        <v>447852.30368151178</v>
      </c>
      <c r="Y13" s="75">
        <v>464329.93760170281</v>
      </c>
      <c r="Z13" s="33">
        <v>940284.50772308582</v>
      </c>
      <c r="AA13" s="33">
        <v>461863.97064584895</v>
      </c>
      <c r="AB13" s="33">
        <v>478420.53707723686</v>
      </c>
      <c r="AC13" s="74">
        <v>968447.89312790206</v>
      </c>
      <c r="AD13" s="33">
        <v>475899.27568128135</v>
      </c>
      <c r="AE13" s="75">
        <v>492548.61744662072</v>
      </c>
    </row>
    <row r="14" spans="1:255" s="45" customFormat="1" ht="12" customHeight="1" x14ac:dyDescent="0.2">
      <c r="A14" s="43" t="s">
        <v>195</v>
      </c>
      <c r="B14" s="44"/>
      <c r="C14" s="44"/>
      <c r="D14" s="44"/>
      <c r="E14" s="44"/>
      <c r="F14" s="44"/>
      <c r="G14" s="44"/>
      <c r="AC14" s="44"/>
      <c r="AD14" s="44"/>
      <c r="AE14" s="44"/>
      <c r="AF14" s="44"/>
      <c r="AG14" s="44"/>
      <c r="AH14" s="44"/>
      <c r="AI14" s="44"/>
      <c r="AJ14" s="44"/>
      <c r="AK14" s="44"/>
      <c r="AL14" s="46"/>
      <c r="AM14" s="46"/>
      <c r="AN14" s="46"/>
      <c r="AO14" s="46"/>
      <c r="AP14" s="44"/>
      <c r="AQ14" s="44"/>
      <c r="AR14" s="46"/>
      <c r="AS14" s="44"/>
      <c r="AT14" s="44"/>
      <c r="BD14" s="47"/>
      <c r="CW14" s="48"/>
      <c r="CX14" s="48"/>
      <c r="CY14" s="48"/>
      <c r="CZ14" s="48"/>
      <c r="DA14" s="48"/>
      <c r="DB14" s="48"/>
      <c r="DC14" s="48"/>
      <c r="DD14" s="48"/>
      <c r="DE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GI14" s="47"/>
      <c r="IK14" s="47"/>
      <c r="IL14" s="47"/>
      <c r="IT14" s="47"/>
      <c r="IU14" s="47"/>
    </row>
  </sheetData>
  <mergeCells count="12">
    <mergeCell ref="W2:Y2"/>
    <mergeCell ref="Z2:AB2"/>
    <mergeCell ref="AC2:AE2"/>
    <mergeCell ref="K2:M2"/>
    <mergeCell ref="N2:P2"/>
    <mergeCell ref="Q2:S2"/>
    <mergeCell ref="T2:V2"/>
    <mergeCell ref="A1:J1"/>
    <mergeCell ref="E2:G2"/>
    <mergeCell ref="H2:J2"/>
    <mergeCell ref="A2:A3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6"/>
  <sheetViews>
    <sheetView zoomScale="120" zoomScaleNormal="12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2" sqref="A2:N2"/>
    </sheetView>
  </sheetViews>
  <sheetFormatPr defaultColWidth="9.140625" defaultRowHeight="11.25" x14ac:dyDescent="0.2"/>
  <cols>
    <col min="1" max="1" width="11.7109375" style="1" customWidth="1"/>
    <col min="2" max="3" width="9.5703125" style="1" customWidth="1"/>
    <col min="4" max="4" width="10.5703125" style="1" customWidth="1"/>
    <col min="5" max="5" width="8.7109375" style="1" customWidth="1"/>
    <col min="6" max="6" width="7.7109375" style="1" customWidth="1"/>
    <col min="7" max="8" width="8.7109375" style="1" customWidth="1"/>
    <col min="9" max="12" width="7.7109375" style="1" customWidth="1"/>
    <col min="13" max="16384" width="9.140625" style="1"/>
  </cols>
  <sheetData>
    <row r="2" spans="1:255" ht="21.75" customHeight="1" thickBot="1" x14ac:dyDescent="0.25">
      <c r="A2" s="141" t="s">
        <v>182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3" spans="1:255" ht="15.75" customHeight="1" x14ac:dyDescent="0.2">
      <c r="A3" s="142" t="s">
        <v>7</v>
      </c>
      <c r="B3" s="129">
        <v>2015</v>
      </c>
      <c r="C3" s="126"/>
      <c r="D3" s="130"/>
      <c r="E3" s="126">
        <v>2016</v>
      </c>
      <c r="F3" s="126"/>
      <c r="G3" s="126"/>
      <c r="H3" s="129">
        <v>2017</v>
      </c>
      <c r="I3" s="126"/>
      <c r="J3" s="130"/>
      <c r="K3" s="126">
        <v>2018</v>
      </c>
      <c r="L3" s="126"/>
      <c r="M3" s="126"/>
      <c r="N3" s="129">
        <v>2019</v>
      </c>
      <c r="O3" s="126"/>
      <c r="P3" s="130"/>
      <c r="Q3" s="126">
        <v>2020</v>
      </c>
      <c r="R3" s="126"/>
      <c r="S3" s="126"/>
      <c r="T3" s="129">
        <v>2021</v>
      </c>
      <c r="U3" s="126"/>
      <c r="V3" s="130"/>
      <c r="W3" s="126">
        <v>2022</v>
      </c>
      <c r="X3" s="126"/>
      <c r="Y3" s="126"/>
      <c r="Z3" s="129">
        <v>2023</v>
      </c>
      <c r="AA3" s="126"/>
      <c r="AB3" s="130"/>
      <c r="AC3" s="129">
        <v>2024</v>
      </c>
      <c r="AD3" s="126"/>
      <c r="AE3" s="130"/>
    </row>
    <row r="4" spans="1:255" x14ac:dyDescent="0.2">
      <c r="A4" s="143"/>
      <c r="B4" s="50" t="s">
        <v>0</v>
      </c>
      <c r="C4" s="78" t="s">
        <v>1</v>
      </c>
      <c r="D4" s="51" t="s">
        <v>2</v>
      </c>
      <c r="E4" s="76" t="s">
        <v>0</v>
      </c>
      <c r="F4" s="25" t="s">
        <v>1</v>
      </c>
      <c r="G4" s="78" t="s">
        <v>2</v>
      </c>
      <c r="H4" s="50" t="s">
        <v>0</v>
      </c>
      <c r="I4" s="78" t="s">
        <v>1</v>
      </c>
      <c r="J4" s="51" t="s">
        <v>2</v>
      </c>
      <c r="K4" s="76" t="s">
        <v>0</v>
      </c>
      <c r="L4" s="25" t="s">
        <v>1</v>
      </c>
      <c r="M4" s="78" t="s">
        <v>2</v>
      </c>
      <c r="N4" s="50" t="s">
        <v>0</v>
      </c>
      <c r="O4" s="78" t="s">
        <v>1</v>
      </c>
      <c r="P4" s="51" t="s">
        <v>2</v>
      </c>
      <c r="Q4" s="76" t="s">
        <v>0</v>
      </c>
      <c r="R4" s="25" t="s">
        <v>1</v>
      </c>
      <c r="S4" s="78" t="s">
        <v>2</v>
      </c>
      <c r="T4" s="50" t="s">
        <v>0</v>
      </c>
      <c r="U4" s="78" t="s">
        <v>1</v>
      </c>
      <c r="V4" s="51" t="s">
        <v>2</v>
      </c>
      <c r="W4" s="76" t="s">
        <v>0</v>
      </c>
      <c r="X4" s="25" t="s">
        <v>1</v>
      </c>
      <c r="Y4" s="78" t="s">
        <v>2</v>
      </c>
      <c r="Z4" s="50" t="s">
        <v>0</v>
      </c>
      <c r="AA4" s="78" t="s">
        <v>1</v>
      </c>
      <c r="AB4" s="51" t="s">
        <v>2</v>
      </c>
      <c r="AC4" s="50" t="s">
        <v>0</v>
      </c>
      <c r="AD4" s="78" t="s">
        <v>1</v>
      </c>
      <c r="AE4" s="51" t="s">
        <v>2</v>
      </c>
    </row>
    <row r="5" spans="1:255" s="6" customFormat="1" x14ac:dyDescent="0.2">
      <c r="A5" s="39" t="s">
        <v>36</v>
      </c>
      <c r="B5" s="88">
        <v>456682</v>
      </c>
      <c r="C5" s="40">
        <v>223909.00000000003</v>
      </c>
      <c r="D5" s="89">
        <v>232773</v>
      </c>
      <c r="E5" s="40">
        <v>469181.00000000012</v>
      </c>
      <c r="F5" s="40">
        <v>230384.00000000003</v>
      </c>
      <c r="G5" s="40">
        <v>238796.99999999994</v>
      </c>
      <c r="H5" s="88">
        <v>482222.00000000012</v>
      </c>
      <c r="I5" s="40">
        <v>237130.00000000006</v>
      </c>
      <c r="J5" s="89">
        <v>245091.99999999997</v>
      </c>
      <c r="K5" s="40">
        <v>495810.00000000006</v>
      </c>
      <c r="L5" s="40">
        <v>244148.00000000003</v>
      </c>
      <c r="M5" s="40">
        <v>251662</v>
      </c>
      <c r="N5" s="88">
        <v>509968.99999999988</v>
      </c>
      <c r="O5" s="40">
        <v>251449.00000000006</v>
      </c>
      <c r="P5" s="89">
        <v>258519.99999999997</v>
      </c>
      <c r="Q5" s="40">
        <v>524569</v>
      </c>
      <c r="R5" s="40">
        <v>258967.00000000003</v>
      </c>
      <c r="S5" s="40">
        <v>265601.99999999994</v>
      </c>
      <c r="T5" s="88">
        <v>539486.00000000012</v>
      </c>
      <c r="U5" s="40">
        <v>266639</v>
      </c>
      <c r="V5" s="89">
        <v>272847</v>
      </c>
      <c r="W5" s="40">
        <v>554749</v>
      </c>
      <c r="X5" s="40">
        <v>274480</v>
      </c>
      <c r="Y5" s="40">
        <v>280269</v>
      </c>
      <c r="Z5" s="88">
        <v>570385</v>
      </c>
      <c r="AA5" s="40">
        <v>282504</v>
      </c>
      <c r="AB5" s="89">
        <v>287880.99999999994</v>
      </c>
      <c r="AC5" s="88">
        <v>586426.00000000012</v>
      </c>
      <c r="AD5" s="40">
        <v>290726</v>
      </c>
      <c r="AE5" s="89">
        <v>295699.99999999994</v>
      </c>
    </row>
    <row r="6" spans="1:255" s="6" customFormat="1" x14ac:dyDescent="0.2">
      <c r="A6" s="23" t="s">
        <v>37</v>
      </c>
      <c r="B6" s="86">
        <v>176889.5722056519</v>
      </c>
      <c r="C6" s="24">
        <v>85671.889053135252</v>
      </c>
      <c r="D6" s="87">
        <v>91217.683152516649</v>
      </c>
      <c r="E6" s="24">
        <v>181727.68060325022</v>
      </c>
      <c r="F6" s="24">
        <v>88149.34856400374</v>
      </c>
      <c r="G6" s="24">
        <v>93578.332039246467</v>
      </c>
      <c r="H6" s="86">
        <v>186775.67666202103</v>
      </c>
      <c r="I6" s="24">
        <v>90730.497886060693</v>
      </c>
      <c r="J6" s="87">
        <v>96045.178775960318</v>
      </c>
      <c r="K6" s="24">
        <v>192035.5104971345</v>
      </c>
      <c r="L6" s="24">
        <v>93415.719638535593</v>
      </c>
      <c r="M6" s="24">
        <v>98619.790858598906</v>
      </c>
      <c r="N6" s="86">
        <v>197516.48528192233</v>
      </c>
      <c r="O6" s="24">
        <v>96209.222632952704</v>
      </c>
      <c r="P6" s="87">
        <v>101307.26264896961</v>
      </c>
      <c r="Q6" s="24">
        <v>203168.26821218734</v>
      </c>
      <c r="R6" s="24">
        <v>99085.754000166489</v>
      </c>
      <c r="S6" s="24">
        <v>104082.51421202083</v>
      </c>
      <c r="T6" s="86">
        <v>208942.84996337639</v>
      </c>
      <c r="U6" s="24">
        <v>102021.20872871984</v>
      </c>
      <c r="V6" s="87">
        <v>106921.64123465655</v>
      </c>
      <c r="W6" s="24">
        <v>214851.45605972421</v>
      </c>
      <c r="X6" s="24">
        <v>105021.32610705493</v>
      </c>
      <c r="Y6" s="24">
        <v>109830.12995266929</v>
      </c>
      <c r="Z6" s="86">
        <v>220904.53753225086</v>
      </c>
      <c r="AA6" s="24">
        <v>108091.46280438447</v>
      </c>
      <c r="AB6" s="87">
        <v>112813.07472786639</v>
      </c>
      <c r="AC6" s="86">
        <v>227114.49552714656</v>
      </c>
      <c r="AD6" s="24">
        <v>111237.35810915059</v>
      </c>
      <c r="AE6" s="87">
        <v>115877.13741799595</v>
      </c>
    </row>
    <row r="7" spans="1:255" s="6" customFormat="1" x14ac:dyDescent="0.2">
      <c r="A7" s="21" t="s">
        <v>38</v>
      </c>
      <c r="B7" s="54">
        <v>23354.428856888044</v>
      </c>
      <c r="C7" s="77">
        <v>11465.111603564459</v>
      </c>
      <c r="D7" s="55">
        <v>11889.317253323587</v>
      </c>
      <c r="E7" s="77">
        <v>23993.66402115683</v>
      </c>
      <c r="F7" s="22">
        <v>11796.659677259933</v>
      </c>
      <c r="G7" s="77">
        <v>12197.004343896897</v>
      </c>
      <c r="H7" s="54">
        <v>24660.617393327761</v>
      </c>
      <c r="I7" s="77">
        <v>12142.084125931697</v>
      </c>
      <c r="J7" s="55">
        <v>12518.533267396066</v>
      </c>
      <c r="K7" s="77">
        <v>25355.544485233608</v>
      </c>
      <c r="L7" s="22">
        <v>12501.436153915456</v>
      </c>
      <c r="M7" s="77">
        <v>12854.108331318153</v>
      </c>
      <c r="N7" s="54">
        <v>26079.672543932578</v>
      </c>
      <c r="O7" s="77">
        <v>12875.279008903974</v>
      </c>
      <c r="P7" s="55">
        <v>13204.393535028605</v>
      </c>
      <c r="Q7" s="77">
        <v>26826.353163315118</v>
      </c>
      <c r="R7" s="22">
        <v>13260.233204740665</v>
      </c>
      <c r="S7" s="77">
        <v>13566.119958574453</v>
      </c>
      <c r="T7" s="54">
        <v>27589.244780901579</v>
      </c>
      <c r="U7" s="77">
        <v>13653.072868276058</v>
      </c>
      <c r="V7" s="55">
        <v>13936.171912625521</v>
      </c>
      <c r="W7" s="77">
        <v>28369.830537967267</v>
      </c>
      <c r="X7" s="22">
        <v>14054.566064545745</v>
      </c>
      <c r="Y7" s="77">
        <v>14315.264473421523</v>
      </c>
      <c r="Z7" s="54">
        <v>29169.491294577507</v>
      </c>
      <c r="AA7" s="77">
        <v>14465.429654249603</v>
      </c>
      <c r="AB7" s="55">
        <v>14704.061640327904</v>
      </c>
      <c r="AC7" s="54">
        <v>29989.863422630398</v>
      </c>
      <c r="AD7" s="77">
        <v>14886.431702423222</v>
      </c>
      <c r="AE7" s="55">
        <v>15103.431720207174</v>
      </c>
    </row>
    <row r="8" spans="1:255" s="6" customFormat="1" x14ac:dyDescent="0.2">
      <c r="A8" s="21" t="s">
        <v>39</v>
      </c>
      <c r="B8" s="54">
        <v>34849.115395922978</v>
      </c>
      <c r="C8" s="77">
        <v>17175.336309111124</v>
      </c>
      <c r="D8" s="55">
        <v>17673.779086811854</v>
      </c>
      <c r="E8" s="77">
        <v>35803.176592443837</v>
      </c>
      <c r="F8" s="22">
        <v>17672.01264905947</v>
      </c>
      <c r="G8" s="77">
        <v>18131.16394338437</v>
      </c>
      <c r="H8" s="54">
        <v>36798.601568188104</v>
      </c>
      <c r="I8" s="77">
        <v>18189.476523853533</v>
      </c>
      <c r="J8" s="55">
        <v>18609.125044334571</v>
      </c>
      <c r="K8" s="77">
        <v>37835.77073833051</v>
      </c>
      <c r="L8" s="22">
        <v>18727.804640263959</v>
      </c>
      <c r="M8" s="77">
        <v>19107.966098066547</v>
      </c>
      <c r="N8" s="54">
        <v>38916.514929661505</v>
      </c>
      <c r="O8" s="77">
        <v>19287.840772767879</v>
      </c>
      <c r="P8" s="55">
        <v>19628.674156893627</v>
      </c>
      <c r="Q8" s="77">
        <v>40030.912160852735</v>
      </c>
      <c r="R8" s="22">
        <v>19864.522274502502</v>
      </c>
      <c r="S8" s="77">
        <v>20166.389886350229</v>
      </c>
      <c r="T8" s="54">
        <v>41169.498352190829</v>
      </c>
      <c r="U8" s="77">
        <v>20453.016618916976</v>
      </c>
      <c r="V8" s="55">
        <v>20716.481733273849</v>
      </c>
      <c r="W8" s="77">
        <v>42334.487084649867</v>
      </c>
      <c r="X8" s="22">
        <v>21054.47440757103</v>
      </c>
      <c r="Y8" s="77">
        <v>21280.012677078834</v>
      </c>
      <c r="Z8" s="54">
        <v>43527.939305332242</v>
      </c>
      <c r="AA8" s="77">
        <v>21669.969535253738</v>
      </c>
      <c r="AB8" s="55">
        <v>21857.9697700785</v>
      </c>
      <c r="AC8" s="54">
        <v>44752.2963765151</v>
      </c>
      <c r="AD8" s="77">
        <v>22300.652603524828</v>
      </c>
      <c r="AE8" s="55">
        <v>22451.643772990272</v>
      </c>
    </row>
    <row r="9" spans="1:255" s="6" customFormat="1" x14ac:dyDescent="0.2">
      <c r="A9" s="21" t="s">
        <v>40</v>
      </c>
      <c r="B9" s="54">
        <v>93492.012775981522</v>
      </c>
      <c r="C9" s="77">
        <v>47104.451872825412</v>
      </c>
      <c r="D9" s="55">
        <v>46387.560903156111</v>
      </c>
      <c r="E9" s="77">
        <v>96054.656364798226</v>
      </c>
      <c r="F9" s="22">
        <v>48466.618314891362</v>
      </c>
      <c r="G9" s="77">
        <v>47588.038049906856</v>
      </c>
      <c r="H9" s="54">
        <v>98728.316618657991</v>
      </c>
      <c r="I9" s="77">
        <v>49885.795892988179</v>
      </c>
      <c r="J9" s="55">
        <v>48842.520725669805</v>
      </c>
      <c r="K9" s="77">
        <v>101514.00104033601</v>
      </c>
      <c r="L9" s="22">
        <v>51362.194980311549</v>
      </c>
      <c r="M9" s="77">
        <v>50151.806060024457</v>
      </c>
      <c r="N9" s="54">
        <v>104416.61440611826</v>
      </c>
      <c r="O9" s="77">
        <v>52898.12968201402</v>
      </c>
      <c r="P9" s="55">
        <v>51518.484724104244</v>
      </c>
      <c r="Q9" s="77">
        <v>107409.51801181724</v>
      </c>
      <c r="R9" s="22">
        <v>54479.715367180317</v>
      </c>
      <c r="S9" s="77">
        <v>52929.802644636919</v>
      </c>
      <c r="T9" s="54">
        <v>110467.30212001709</v>
      </c>
      <c r="U9" s="77">
        <v>56093.698524482243</v>
      </c>
      <c r="V9" s="55">
        <v>54373.603595534856</v>
      </c>
      <c r="W9" s="77">
        <v>113595.91228218145</v>
      </c>
      <c r="X9" s="22">
        <v>57743.234751855081</v>
      </c>
      <c r="Y9" s="77">
        <v>55852.677530326371</v>
      </c>
      <c r="Z9" s="54">
        <v>116800.88439418332</v>
      </c>
      <c r="AA9" s="77">
        <v>59431.26927403843</v>
      </c>
      <c r="AB9" s="55">
        <v>57369.615120144881</v>
      </c>
      <c r="AC9" s="54">
        <v>120088.76185467091</v>
      </c>
      <c r="AD9" s="77">
        <v>61160.957688967574</v>
      </c>
      <c r="AE9" s="55">
        <v>58927.804165703332</v>
      </c>
    </row>
    <row r="10" spans="1:255" ht="11.25" customHeight="1" x14ac:dyDescent="0.2">
      <c r="A10" s="21" t="s">
        <v>41</v>
      </c>
      <c r="B10" s="54">
        <v>63618.161497605557</v>
      </c>
      <c r="C10" s="77">
        <v>30271.162598718289</v>
      </c>
      <c r="D10" s="55">
        <v>33346.998898887265</v>
      </c>
      <c r="E10" s="77">
        <v>65356.539574439805</v>
      </c>
      <c r="F10" s="22">
        <v>31146.544016288375</v>
      </c>
      <c r="G10" s="77">
        <v>34209.99555815143</v>
      </c>
      <c r="H10" s="54">
        <v>67170.378625360623</v>
      </c>
      <c r="I10" s="77">
        <v>32058.56301905715</v>
      </c>
      <c r="J10" s="55">
        <v>35111.815606303469</v>
      </c>
      <c r="K10" s="77">
        <v>69060.386883359693</v>
      </c>
      <c r="L10" s="22">
        <v>33007.354801065936</v>
      </c>
      <c r="M10" s="77">
        <v>36053.032082293765</v>
      </c>
      <c r="N10" s="54">
        <v>71029.913859480323</v>
      </c>
      <c r="O10" s="77">
        <v>33994.40649676929</v>
      </c>
      <c r="P10" s="55">
        <v>37035.507362711032</v>
      </c>
      <c r="Q10" s="77">
        <v>73060.868123789143</v>
      </c>
      <c r="R10" s="22">
        <v>35010.795299439858</v>
      </c>
      <c r="S10" s="77">
        <v>38050.072824349278</v>
      </c>
      <c r="T10" s="54">
        <v>75135.993607689539</v>
      </c>
      <c r="U10" s="77">
        <v>36048.003984474257</v>
      </c>
      <c r="V10" s="55">
        <v>39087.98962321529</v>
      </c>
      <c r="W10" s="77">
        <v>77259.323858127726</v>
      </c>
      <c r="X10" s="22">
        <v>37108.060462492336</v>
      </c>
      <c r="Y10" s="77">
        <v>40151.263395635382</v>
      </c>
      <c r="Z10" s="54">
        <v>79434.613968270889</v>
      </c>
      <c r="AA10" s="77">
        <v>38192.857450072624</v>
      </c>
      <c r="AB10" s="55">
        <v>41241.756518198265</v>
      </c>
      <c r="AC10" s="54">
        <v>81666.327264278021</v>
      </c>
      <c r="AD10" s="77">
        <v>39304.422857834979</v>
      </c>
      <c r="AE10" s="55">
        <v>42361.904406443035</v>
      </c>
    </row>
    <row r="11" spans="1:255" x14ac:dyDescent="0.2">
      <c r="A11" s="21" t="s">
        <v>42</v>
      </c>
      <c r="B11" s="54">
        <v>10024.13118452422</v>
      </c>
      <c r="C11" s="77">
        <v>4979.2897995152953</v>
      </c>
      <c r="D11" s="55">
        <v>5044.8413850089237</v>
      </c>
      <c r="E11" s="77">
        <v>10298.679190504117</v>
      </c>
      <c r="F11" s="22">
        <v>5123.2808916637196</v>
      </c>
      <c r="G11" s="77">
        <v>5175.3982988403977</v>
      </c>
      <c r="H11" s="54">
        <v>10585.127023546926</v>
      </c>
      <c r="I11" s="77">
        <v>5273.2984835761936</v>
      </c>
      <c r="J11" s="55">
        <v>5311.828539970732</v>
      </c>
      <c r="K11" s="77">
        <v>10883.583612836996</v>
      </c>
      <c r="L11" s="22">
        <v>5429.364813259227</v>
      </c>
      <c r="M11" s="77">
        <v>5454.2187995777676</v>
      </c>
      <c r="N11" s="54">
        <v>11194.575322773919</v>
      </c>
      <c r="O11" s="77">
        <v>5591.7244987844233</v>
      </c>
      <c r="P11" s="55">
        <v>5602.8508239894954</v>
      </c>
      <c r="Q11" s="77">
        <v>11515.24738608259</v>
      </c>
      <c r="R11" s="22">
        <v>5758.9098317221615</v>
      </c>
      <c r="S11" s="77">
        <v>5756.3375543604288</v>
      </c>
      <c r="T11" s="54">
        <v>11842.876767890812</v>
      </c>
      <c r="U11" s="77">
        <v>5929.5198176623489</v>
      </c>
      <c r="V11" s="55">
        <v>5913.3569502284618</v>
      </c>
      <c r="W11" s="77">
        <v>12178.100457418672</v>
      </c>
      <c r="X11" s="22">
        <v>6103.8880267026261</v>
      </c>
      <c r="Y11" s="77">
        <v>6074.2124307160457</v>
      </c>
      <c r="Z11" s="54">
        <v>12521.511533085293</v>
      </c>
      <c r="AA11" s="77">
        <v>6282.3257909341246</v>
      </c>
      <c r="AB11" s="55">
        <v>6239.1857421511686</v>
      </c>
      <c r="AC11" s="54">
        <v>12873.812002494151</v>
      </c>
      <c r="AD11" s="77">
        <v>6465.1666804544866</v>
      </c>
      <c r="AE11" s="55">
        <v>6408.6453220396643</v>
      </c>
    </row>
    <row r="12" spans="1:255" x14ac:dyDescent="0.2">
      <c r="A12" s="21" t="s">
        <v>43</v>
      </c>
      <c r="B12" s="54">
        <v>13409.818161397459</v>
      </c>
      <c r="C12" s="77">
        <v>6565.3422930820434</v>
      </c>
      <c r="D12" s="55">
        <v>6844.4758683154159</v>
      </c>
      <c r="E12" s="77">
        <v>13776.80489302414</v>
      </c>
      <c r="F12" s="22">
        <v>6755.198847966868</v>
      </c>
      <c r="G12" s="77">
        <v>7021.6060450572722</v>
      </c>
      <c r="H12" s="54">
        <v>14159.706250181109</v>
      </c>
      <c r="I12" s="77">
        <v>6953.0015227549811</v>
      </c>
      <c r="J12" s="55">
        <v>7206.7047274261276</v>
      </c>
      <c r="K12" s="77">
        <v>14558.669170663237</v>
      </c>
      <c r="L12" s="22">
        <v>7158.7796389220384</v>
      </c>
      <c r="M12" s="77">
        <v>7399.8895317411998</v>
      </c>
      <c r="N12" s="54">
        <v>14974.398443740225</v>
      </c>
      <c r="O12" s="77">
        <v>7372.8557327002791</v>
      </c>
      <c r="P12" s="55">
        <v>7601.542711039946</v>
      </c>
      <c r="Q12" s="77">
        <v>15403.076990911166</v>
      </c>
      <c r="R12" s="22">
        <v>7593.2945866962809</v>
      </c>
      <c r="S12" s="77">
        <v>7809.7824042148841</v>
      </c>
      <c r="T12" s="54">
        <v>15841.063910341541</v>
      </c>
      <c r="U12" s="77">
        <v>7818.2489479435981</v>
      </c>
      <c r="V12" s="55">
        <v>8022.8149623979425</v>
      </c>
      <c r="W12" s="77">
        <v>16289.210681283483</v>
      </c>
      <c r="X12" s="22">
        <v>8048.1586385770979</v>
      </c>
      <c r="Y12" s="77">
        <v>8241.0520427063857</v>
      </c>
      <c r="Z12" s="54">
        <v>16748.310057433657</v>
      </c>
      <c r="AA12" s="77">
        <v>8283.4341592559904</v>
      </c>
      <c r="AB12" s="55">
        <v>8464.8758981776682</v>
      </c>
      <c r="AC12" s="54">
        <v>17219.301730283616</v>
      </c>
      <c r="AD12" s="77">
        <v>8524.5153321151465</v>
      </c>
      <c r="AE12" s="55">
        <v>8694.7863981684677</v>
      </c>
    </row>
    <row r="13" spans="1:255" x14ac:dyDescent="0.2">
      <c r="A13" s="21" t="s">
        <v>44</v>
      </c>
      <c r="B13" s="54">
        <v>10665.23922447013</v>
      </c>
      <c r="C13" s="77">
        <v>5452.0554466356944</v>
      </c>
      <c r="D13" s="55">
        <v>5213.1837778344343</v>
      </c>
      <c r="E13" s="77">
        <v>10957.815248082055</v>
      </c>
      <c r="F13" s="22">
        <v>5609.7179747920709</v>
      </c>
      <c r="G13" s="77">
        <v>5348.0972732899845</v>
      </c>
      <c r="H13" s="54">
        <v>11263.059281538224</v>
      </c>
      <c r="I13" s="77">
        <v>5773.9791971770774</v>
      </c>
      <c r="J13" s="55">
        <v>5489.0800843611469</v>
      </c>
      <c r="K13" s="77">
        <v>11581.085258258161</v>
      </c>
      <c r="L13" s="22">
        <v>5944.8634632159119</v>
      </c>
      <c r="M13" s="77">
        <v>5636.2217950422491</v>
      </c>
      <c r="N13" s="54">
        <v>11912.452169900602</v>
      </c>
      <c r="O13" s="77">
        <v>6122.6386165857502</v>
      </c>
      <c r="P13" s="55">
        <v>5789.8135533148516</v>
      </c>
      <c r="Q13" s="77">
        <v>12254.119610493264</v>
      </c>
      <c r="R13" s="22">
        <v>6305.6975952235325</v>
      </c>
      <c r="S13" s="77">
        <v>5948.4220152697326</v>
      </c>
      <c r="T13" s="54">
        <v>12603.187410335206</v>
      </c>
      <c r="U13" s="77">
        <v>6492.5063853417905</v>
      </c>
      <c r="V13" s="55">
        <v>6110.6810249934142</v>
      </c>
      <c r="W13" s="77">
        <v>12960.334354784531</v>
      </c>
      <c r="X13" s="22">
        <v>6683.4302283184925</v>
      </c>
      <c r="Y13" s="77">
        <v>6276.9041264660382</v>
      </c>
      <c r="Z13" s="54">
        <v>13326.192483775576</v>
      </c>
      <c r="AA13" s="77">
        <v>6878.8100161064103</v>
      </c>
      <c r="AB13" s="55">
        <v>6447.3824676691665</v>
      </c>
      <c r="AC13" s="54">
        <v>13701.507770662196</v>
      </c>
      <c r="AD13" s="77">
        <v>7079.0109900835114</v>
      </c>
      <c r="AE13" s="55">
        <v>6622.4967805786855</v>
      </c>
    </row>
    <row r="14" spans="1:255" x14ac:dyDescent="0.2">
      <c r="A14" s="21" t="s">
        <v>45</v>
      </c>
      <c r="B14" s="54">
        <v>22576.273677997684</v>
      </c>
      <c r="C14" s="77">
        <v>11289.73079898688</v>
      </c>
      <c r="D14" s="55">
        <v>11286.542879010805</v>
      </c>
      <c r="E14" s="77">
        <v>23194.837807609503</v>
      </c>
      <c r="F14" s="22">
        <v>11616.207210937449</v>
      </c>
      <c r="G14" s="77">
        <v>11578.630596672052</v>
      </c>
      <c r="H14" s="54">
        <v>23840.206114816934</v>
      </c>
      <c r="I14" s="77">
        <v>11956.347732175835</v>
      </c>
      <c r="J14" s="55">
        <v>11883.8583826411</v>
      </c>
      <c r="K14" s="77">
        <v>24512.622970035183</v>
      </c>
      <c r="L14" s="22">
        <v>12310.202783769517</v>
      </c>
      <c r="M14" s="77">
        <v>12202.420186265665</v>
      </c>
      <c r="N14" s="54">
        <v>25213.273340386637</v>
      </c>
      <c r="O14" s="77">
        <v>12678.326997460808</v>
      </c>
      <c r="P14" s="55">
        <v>12534.946342925827</v>
      </c>
      <c r="Q14" s="77">
        <v>25935.72624585397</v>
      </c>
      <c r="R14" s="22">
        <v>13057.392582795848</v>
      </c>
      <c r="S14" s="77">
        <v>12878.333663058122</v>
      </c>
      <c r="T14" s="54">
        <v>26673.847431633094</v>
      </c>
      <c r="U14" s="77">
        <v>13444.223012523225</v>
      </c>
      <c r="V14" s="55">
        <v>13229.624419109869</v>
      </c>
      <c r="W14" s="77">
        <v>27429.072036453257</v>
      </c>
      <c r="X14" s="22">
        <v>13839.574602655181</v>
      </c>
      <c r="Y14" s="77">
        <v>13589.497433798077</v>
      </c>
      <c r="Z14" s="54">
        <v>28202.736290639295</v>
      </c>
      <c r="AA14" s="77">
        <v>14244.153248136474</v>
      </c>
      <c r="AB14" s="55">
        <v>13958.583042502823</v>
      </c>
      <c r="AC14" s="54">
        <v>28996.420794931248</v>
      </c>
      <c r="AD14" s="77">
        <v>14658.715264979342</v>
      </c>
      <c r="AE14" s="55">
        <v>14337.705529951907</v>
      </c>
    </row>
    <row r="15" spans="1:255" ht="12" thickBot="1" x14ac:dyDescent="0.25">
      <c r="A15" s="9" t="s">
        <v>46</v>
      </c>
      <c r="B15" s="56">
        <v>7803.2470195605256</v>
      </c>
      <c r="C15" s="11">
        <v>3934.6302244255758</v>
      </c>
      <c r="D15" s="57">
        <v>3868.6167951349503</v>
      </c>
      <c r="E15" s="11">
        <v>8017.1457046913056</v>
      </c>
      <c r="F15" s="11">
        <v>4048.4118531370418</v>
      </c>
      <c r="G15" s="11">
        <v>3968.7338515542642</v>
      </c>
      <c r="H15" s="56">
        <v>8240.3104623613581</v>
      </c>
      <c r="I15" s="11">
        <v>4166.9556164246942</v>
      </c>
      <c r="J15" s="57">
        <v>4073.3548459366648</v>
      </c>
      <c r="K15" s="11">
        <v>8472.8253438121174</v>
      </c>
      <c r="L15" s="11">
        <v>4290.279086740843</v>
      </c>
      <c r="M15" s="11">
        <v>4182.5462570712752</v>
      </c>
      <c r="N15" s="56">
        <v>8715.0997020836512</v>
      </c>
      <c r="O15" s="11">
        <v>4418.5755610609067</v>
      </c>
      <c r="P15" s="57">
        <v>4296.5241410227445</v>
      </c>
      <c r="Q15" s="11">
        <v>8964.9100946974868</v>
      </c>
      <c r="R15" s="11">
        <v>4550.6852575323819</v>
      </c>
      <c r="S15" s="11">
        <v>4414.2248371651049</v>
      </c>
      <c r="T15" s="56">
        <v>9220.1356556239261</v>
      </c>
      <c r="U15" s="11">
        <v>4685.501111659697</v>
      </c>
      <c r="V15" s="57">
        <v>4534.63454396423</v>
      </c>
      <c r="W15" s="11">
        <v>9481.2726474095616</v>
      </c>
      <c r="X15" s="11">
        <v>4823.2867102275122</v>
      </c>
      <c r="Y15" s="11">
        <v>4657.9859371820503</v>
      </c>
      <c r="Z15" s="56">
        <v>9748.7831404513927</v>
      </c>
      <c r="AA15" s="11">
        <v>4964.2880675681763</v>
      </c>
      <c r="AB15" s="57">
        <v>4784.4950728832155</v>
      </c>
      <c r="AC15" s="56">
        <v>10023.213256387848</v>
      </c>
      <c r="AD15" s="11">
        <v>5108.7687704663504</v>
      </c>
      <c r="AE15" s="57">
        <v>4914.4444859214973</v>
      </c>
    </row>
    <row r="16" spans="1:255" s="45" customFormat="1" ht="12" customHeight="1" x14ac:dyDescent="0.2">
      <c r="A16" s="43" t="s">
        <v>195</v>
      </c>
      <c r="B16" s="44"/>
      <c r="C16" s="44"/>
      <c r="D16" s="44"/>
      <c r="E16" s="44"/>
      <c r="F16" s="44"/>
      <c r="G16" s="44"/>
      <c r="AC16" s="44"/>
      <c r="AD16" s="44"/>
      <c r="AE16" s="44"/>
      <c r="AF16" s="44"/>
      <c r="AG16" s="44"/>
      <c r="AH16" s="44"/>
      <c r="AI16" s="44"/>
      <c r="AJ16" s="44"/>
      <c r="AK16" s="44"/>
      <c r="AL16" s="46"/>
      <c r="AM16" s="46"/>
      <c r="AN16" s="46"/>
      <c r="AO16" s="46"/>
      <c r="AP16" s="44"/>
      <c r="AQ16" s="44"/>
      <c r="AR16" s="46"/>
      <c r="AS16" s="44"/>
      <c r="AT16" s="44"/>
      <c r="BD16" s="47"/>
      <c r="CW16" s="48"/>
      <c r="CX16" s="48"/>
      <c r="CY16" s="48"/>
      <c r="CZ16" s="48"/>
      <c r="DA16" s="48"/>
      <c r="DB16" s="48"/>
      <c r="DC16" s="48"/>
      <c r="DD16" s="48"/>
      <c r="DE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GI16" s="47"/>
      <c r="IK16" s="47"/>
      <c r="IL16" s="47"/>
      <c r="IT16" s="47"/>
      <c r="IU16" s="47"/>
    </row>
  </sheetData>
  <mergeCells count="12">
    <mergeCell ref="N3:P3"/>
    <mergeCell ref="A2:N2"/>
    <mergeCell ref="A3:A4"/>
    <mergeCell ref="B3:D3"/>
    <mergeCell ref="E3:G3"/>
    <mergeCell ref="H3:J3"/>
    <mergeCell ref="K3:M3"/>
    <mergeCell ref="Z3:AB3"/>
    <mergeCell ref="AC3:AE3"/>
    <mergeCell ref="W3:Y3"/>
    <mergeCell ref="Q3:S3"/>
    <mergeCell ref="T3:V3"/>
  </mergeCells>
  <pageMargins left="0.7" right="0.7" top="0.75" bottom="0.75" header="0.3" footer="0.3"/>
  <pageSetup paperSize="9" scale="9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17"/>
  <sheetViews>
    <sheetView zoomScale="120" zoomScaleNormal="120" workbookViewId="0">
      <pane xSplit="4" ySplit="4" topLeftCell="U5" activePane="bottomRight" state="frozen"/>
      <selection pane="topRight" activeCell="E1" sqref="E1"/>
      <selection pane="bottomLeft" activeCell="A5" sqref="A5"/>
      <selection pane="bottomRight" activeCell="A2" sqref="A2:A3"/>
    </sheetView>
  </sheetViews>
  <sheetFormatPr defaultColWidth="9.140625" defaultRowHeight="11.25" x14ac:dyDescent="0.2"/>
  <cols>
    <col min="1" max="1" width="14.28515625" style="1" customWidth="1"/>
    <col min="2" max="2" width="9.42578125" style="1" customWidth="1"/>
    <col min="3" max="3" width="8.85546875" style="1" customWidth="1"/>
    <col min="4" max="4" width="8.140625" style="1" customWidth="1"/>
    <col min="5" max="5" width="9.140625" style="1" customWidth="1"/>
    <col min="6" max="6" width="8.5703125" style="1" customWidth="1"/>
    <col min="7" max="7" width="8.140625" style="1" customWidth="1"/>
    <col min="8" max="8" width="8.85546875" style="1" customWidth="1"/>
    <col min="9" max="10" width="8.5703125" style="1" customWidth="1"/>
    <col min="11" max="11" width="9" style="1" customWidth="1"/>
    <col min="12" max="12" width="9.140625" style="1" customWidth="1"/>
    <col min="13" max="13" width="9.42578125" style="1" customWidth="1"/>
    <col min="14" max="14" width="9.140625" style="1" customWidth="1"/>
    <col min="15" max="15" width="8.85546875" style="1" customWidth="1"/>
    <col min="16" max="16" width="8.5703125" style="1" customWidth="1"/>
    <col min="17" max="18" width="9.42578125" style="1" customWidth="1"/>
    <col min="19" max="19" width="9.140625" style="1" customWidth="1"/>
    <col min="20" max="16384" width="9.140625" style="1"/>
  </cols>
  <sheetData>
    <row r="1" spans="1:31" ht="24" customHeight="1" thickBot="1" x14ac:dyDescent="0.25">
      <c r="A1" s="132" t="s">
        <v>198</v>
      </c>
      <c r="B1" s="132"/>
      <c r="C1" s="132"/>
      <c r="D1" s="132"/>
      <c r="E1" s="132"/>
      <c r="F1" s="132"/>
      <c r="G1" s="132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31" ht="11.1" customHeight="1" x14ac:dyDescent="0.2">
      <c r="A2" s="139" t="s">
        <v>7</v>
      </c>
      <c r="B2" s="129">
        <v>2015</v>
      </c>
      <c r="C2" s="126"/>
      <c r="D2" s="130"/>
      <c r="E2" s="126">
        <v>2016</v>
      </c>
      <c r="F2" s="126"/>
      <c r="G2" s="126"/>
      <c r="H2" s="129">
        <v>2017</v>
      </c>
      <c r="I2" s="126"/>
      <c r="J2" s="130"/>
      <c r="K2" s="126">
        <v>2018</v>
      </c>
      <c r="L2" s="126"/>
      <c r="M2" s="126"/>
      <c r="N2" s="129">
        <v>2019</v>
      </c>
      <c r="O2" s="126"/>
      <c r="P2" s="130"/>
      <c r="Q2" s="126">
        <v>2020</v>
      </c>
      <c r="R2" s="126"/>
      <c r="S2" s="126"/>
      <c r="T2" s="129">
        <v>2021</v>
      </c>
      <c r="U2" s="126"/>
      <c r="V2" s="130"/>
      <c r="W2" s="126">
        <v>2022</v>
      </c>
      <c r="X2" s="126"/>
      <c r="Y2" s="126"/>
      <c r="Z2" s="129">
        <v>2023</v>
      </c>
      <c r="AA2" s="126"/>
      <c r="AB2" s="130"/>
      <c r="AC2" s="129">
        <v>2024</v>
      </c>
      <c r="AD2" s="126"/>
      <c r="AE2" s="130"/>
    </row>
    <row r="3" spans="1:31" ht="11.1" customHeight="1" thickBot="1" x14ac:dyDescent="0.25">
      <c r="A3" s="140"/>
      <c r="B3" s="50" t="s">
        <v>0</v>
      </c>
      <c r="C3" s="78" t="s">
        <v>1</v>
      </c>
      <c r="D3" s="51" t="s">
        <v>2</v>
      </c>
      <c r="E3" s="76" t="s">
        <v>0</v>
      </c>
      <c r="F3" s="25" t="s">
        <v>1</v>
      </c>
      <c r="G3" s="78" t="s">
        <v>2</v>
      </c>
      <c r="H3" s="50" t="s">
        <v>0</v>
      </c>
      <c r="I3" s="78" t="s">
        <v>1</v>
      </c>
      <c r="J3" s="51" t="s">
        <v>2</v>
      </c>
      <c r="K3" s="76" t="s">
        <v>0</v>
      </c>
      <c r="L3" s="25" t="s">
        <v>1</v>
      </c>
      <c r="M3" s="78" t="s">
        <v>2</v>
      </c>
      <c r="N3" s="50" t="s">
        <v>0</v>
      </c>
      <c r="O3" s="78" t="s">
        <v>1</v>
      </c>
      <c r="P3" s="51" t="s">
        <v>2</v>
      </c>
      <c r="Q3" s="76" t="s">
        <v>0</v>
      </c>
      <c r="R3" s="25" t="s">
        <v>1</v>
      </c>
      <c r="S3" s="78" t="s">
        <v>2</v>
      </c>
      <c r="T3" s="50" t="s">
        <v>0</v>
      </c>
      <c r="U3" s="78" t="s">
        <v>1</v>
      </c>
      <c r="V3" s="51" t="s">
        <v>2</v>
      </c>
      <c r="W3" s="76" t="s">
        <v>0</v>
      </c>
      <c r="X3" s="25" t="s">
        <v>1</v>
      </c>
      <c r="Y3" s="78" t="s">
        <v>2</v>
      </c>
      <c r="Z3" s="50" t="s">
        <v>0</v>
      </c>
      <c r="AA3" s="78" t="s">
        <v>1</v>
      </c>
      <c r="AB3" s="51" t="s">
        <v>2</v>
      </c>
      <c r="AC3" s="50" t="s">
        <v>0</v>
      </c>
      <c r="AD3" s="78" t="s">
        <v>1</v>
      </c>
      <c r="AE3" s="51" t="s">
        <v>2</v>
      </c>
    </row>
    <row r="4" spans="1:31" s="6" customFormat="1" ht="11.1" customHeight="1" thickBot="1" x14ac:dyDescent="0.25">
      <c r="A4" s="17" t="s">
        <v>47</v>
      </c>
      <c r="B4" s="52">
        <v>1938904</v>
      </c>
      <c r="C4" s="27">
        <v>934236</v>
      </c>
      <c r="D4" s="53">
        <v>1004668</v>
      </c>
      <c r="E4" s="27">
        <v>1993413</v>
      </c>
      <c r="F4" s="27">
        <v>961562</v>
      </c>
      <c r="G4" s="27">
        <v>1031851.0000000001</v>
      </c>
      <c r="H4" s="52">
        <v>2050441</v>
      </c>
      <c r="I4" s="27">
        <v>990147.00000000012</v>
      </c>
      <c r="J4" s="53">
        <v>1060294</v>
      </c>
      <c r="K4" s="27">
        <v>2109999</v>
      </c>
      <c r="L4" s="27">
        <v>1019994.0000000001</v>
      </c>
      <c r="M4" s="27">
        <v>1090005</v>
      </c>
      <c r="N4" s="52">
        <v>2172184</v>
      </c>
      <c r="O4" s="27">
        <v>1051151</v>
      </c>
      <c r="P4" s="53">
        <v>1121033.0000000002</v>
      </c>
      <c r="Q4" s="27">
        <v>2236581</v>
      </c>
      <c r="R4" s="27">
        <v>1083408</v>
      </c>
      <c r="S4" s="27">
        <v>1153173.0000000002</v>
      </c>
      <c r="T4" s="52">
        <v>2302788</v>
      </c>
      <c r="U4" s="27">
        <v>1116565.0000000002</v>
      </c>
      <c r="V4" s="53">
        <v>1186223</v>
      </c>
      <c r="W4" s="27">
        <v>2370936</v>
      </c>
      <c r="X4" s="27">
        <v>1150690</v>
      </c>
      <c r="Y4" s="27">
        <v>1220246</v>
      </c>
      <c r="Z4" s="52">
        <v>2441152</v>
      </c>
      <c r="AA4" s="27">
        <v>1185846</v>
      </c>
      <c r="AB4" s="53">
        <v>1255306</v>
      </c>
      <c r="AC4" s="52">
        <v>2513576.0000000005</v>
      </c>
      <c r="AD4" s="27">
        <v>1222103</v>
      </c>
      <c r="AE4" s="53">
        <v>1291473.0000000005</v>
      </c>
    </row>
    <row r="5" spans="1:31" ht="11.1" customHeight="1" x14ac:dyDescent="0.2">
      <c r="A5" s="90" t="s">
        <v>48</v>
      </c>
      <c r="B5" s="54">
        <v>288449.59446571383</v>
      </c>
      <c r="C5" s="77">
        <v>137655.31923786592</v>
      </c>
      <c r="D5" s="55">
        <v>150794.27522784789</v>
      </c>
      <c r="E5" s="77">
        <v>296555.94853840419</v>
      </c>
      <c r="F5" s="22">
        <v>141681.67794540228</v>
      </c>
      <c r="G5" s="77">
        <v>154874.27059300191</v>
      </c>
      <c r="H5" s="54">
        <v>305036.92837573634</v>
      </c>
      <c r="I5" s="77">
        <v>145893.54443354273</v>
      </c>
      <c r="J5" s="55">
        <v>159143.38394219358</v>
      </c>
      <c r="K5" s="77">
        <v>313894.1767628293</v>
      </c>
      <c r="L5" s="22">
        <v>150291.36073830148</v>
      </c>
      <c r="M5" s="77">
        <v>163602.81602452783</v>
      </c>
      <c r="N5" s="54">
        <v>323142.1208641777</v>
      </c>
      <c r="O5" s="77">
        <v>154882.19943590485</v>
      </c>
      <c r="P5" s="55">
        <v>168259.92142827282</v>
      </c>
      <c r="Q5" s="77">
        <v>332719.04896297539</v>
      </c>
      <c r="R5" s="22">
        <v>159635.11800536251</v>
      </c>
      <c r="S5" s="77">
        <v>173083.93095761287</v>
      </c>
      <c r="T5" s="54">
        <v>342565.17307671136</v>
      </c>
      <c r="U5" s="77">
        <v>164520.64737906455</v>
      </c>
      <c r="V5" s="55">
        <v>178044.52569764678</v>
      </c>
      <c r="W5" s="77">
        <v>352699.96858757478</v>
      </c>
      <c r="X5" s="22">
        <v>169548.80703999838</v>
      </c>
      <c r="Y5" s="77">
        <v>183151.16154757637</v>
      </c>
      <c r="Z5" s="54">
        <v>363142.32424470282</v>
      </c>
      <c r="AA5" s="77">
        <v>174728.8797444611</v>
      </c>
      <c r="AB5" s="55">
        <v>188413.44450024169</v>
      </c>
      <c r="AC5" s="54">
        <v>373913.06077642756</v>
      </c>
      <c r="AD5" s="77">
        <v>180071.17966611611</v>
      </c>
      <c r="AE5" s="55">
        <v>193841.88111031146</v>
      </c>
    </row>
    <row r="6" spans="1:31" ht="11.1" customHeight="1" x14ac:dyDescent="0.2">
      <c r="A6" s="90" t="s">
        <v>49</v>
      </c>
      <c r="B6" s="54">
        <v>249793.3146595232</v>
      </c>
      <c r="C6" s="77">
        <v>121408.61741201133</v>
      </c>
      <c r="D6" s="55">
        <v>128384.69724751185</v>
      </c>
      <c r="E6" s="77">
        <v>256818.13049865206</v>
      </c>
      <c r="F6" s="22">
        <v>124959.76709945714</v>
      </c>
      <c r="G6" s="77">
        <v>131858.3633991949</v>
      </c>
      <c r="H6" s="54">
        <v>264167.57276251377</v>
      </c>
      <c r="I6" s="77">
        <v>128674.53010229832</v>
      </c>
      <c r="J6" s="55">
        <v>135493.04266021543</v>
      </c>
      <c r="K6" s="77">
        <v>271843.05362149398</v>
      </c>
      <c r="L6" s="22">
        <v>132553.29628546437</v>
      </c>
      <c r="M6" s="77">
        <v>139289.75733602958</v>
      </c>
      <c r="N6" s="54">
        <v>279857.07253538247</v>
      </c>
      <c r="O6" s="77">
        <v>136602.30348782655</v>
      </c>
      <c r="P6" s="55">
        <v>143254.76904755595</v>
      </c>
      <c r="Q6" s="77">
        <v>288156.14238180465</v>
      </c>
      <c r="R6" s="22">
        <v>140794.2611643229</v>
      </c>
      <c r="S6" s="77">
        <v>147361.88121748177</v>
      </c>
      <c r="T6" s="54">
        <v>296688.45895269653</v>
      </c>
      <c r="U6" s="77">
        <v>145103.17831965629</v>
      </c>
      <c r="V6" s="55">
        <v>151585.28063304021</v>
      </c>
      <c r="W6" s="77">
        <v>305470.90984192595</v>
      </c>
      <c r="X6" s="22">
        <v>149537.89189222778</v>
      </c>
      <c r="Y6" s="77">
        <v>155933.01794969814</v>
      </c>
      <c r="Z6" s="54">
        <v>314519.8606566604</v>
      </c>
      <c r="AA6" s="77">
        <v>154106.58904555591</v>
      </c>
      <c r="AB6" s="55">
        <v>160413.27161110449</v>
      </c>
      <c r="AC6" s="54">
        <v>323853.35341799486</v>
      </c>
      <c r="AD6" s="77">
        <v>158818.36662799472</v>
      </c>
      <c r="AE6" s="55">
        <v>165034.98679000014</v>
      </c>
    </row>
    <row r="7" spans="1:31" ht="11.1" customHeight="1" x14ac:dyDescent="0.2">
      <c r="A7" s="90" t="s">
        <v>50</v>
      </c>
      <c r="B7" s="54">
        <v>100608.5290626676</v>
      </c>
      <c r="C7" s="77">
        <v>48948.131223403063</v>
      </c>
      <c r="D7" s="55">
        <v>51660.397839264529</v>
      </c>
      <c r="E7" s="77">
        <v>103438.00063774726</v>
      </c>
      <c r="F7" s="22">
        <v>50379.842947004712</v>
      </c>
      <c r="G7" s="77">
        <v>53058.157690742555</v>
      </c>
      <c r="H7" s="54">
        <v>106398.22561232574</v>
      </c>
      <c r="I7" s="77">
        <v>51877.518406975185</v>
      </c>
      <c r="J7" s="55">
        <v>54520.707205350562</v>
      </c>
      <c r="K7" s="77">
        <v>109489.77253060575</v>
      </c>
      <c r="L7" s="22">
        <v>53441.314784576687</v>
      </c>
      <c r="M7" s="77">
        <v>56048.457746029067</v>
      </c>
      <c r="N7" s="54">
        <v>112717.67589079303</v>
      </c>
      <c r="O7" s="77">
        <v>55073.746980004362</v>
      </c>
      <c r="P7" s="55">
        <v>57643.928910788665</v>
      </c>
      <c r="Q7" s="77">
        <v>116060.39182918327</v>
      </c>
      <c r="R7" s="22">
        <v>56763.812304904401</v>
      </c>
      <c r="S7" s="77">
        <v>59296.579524278859</v>
      </c>
      <c r="T7" s="54">
        <v>119497.05468071546</v>
      </c>
      <c r="U7" s="77">
        <v>58501.032008463641</v>
      </c>
      <c r="V7" s="55">
        <v>60996.022672251813</v>
      </c>
      <c r="W7" s="77">
        <v>123034.4667038226</v>
      </c>
      <c r="X7" s="22">
        <v>60288.968865958566</v>
      </c>
      <c r="Y7" s="77">
        <v>62745.49783786403</v>
      </c>
      <c r="Z7" s="54">
        <v>126679.2196085349</v>
      </c>
      <c r="AA7" s="77">
        <v>62130.923683895322</v>
      </c>
      <c r="AB7" s="55">
        <v>64548.295924639577</v>
      </c>
      <c r="AC7" s="54">
        <v>130438.5803833664</v>
      </c>
      <c r="AD7" s="77">
        <v>64030.564025058498</v>
      </c>
      <c r="AE7" s="55">
        <v>66408.016358307897</v>
      </c>
    </row>
    <row r="8" spans="1:31" ht="11.1" customHeight="1" x14ac:dyDescent="0.2">
      <c r="A8" s="90" t="s">
        <v>51</v>
      </c>
      <c r="B8" s="54">
        <v>129787.42578185245</v>
      </c>
      <c r="C8" s="77">
        <v>62889.123606016794</v>
      </c>
      <c r="D8" s="55">
        <v>66898.302175835648</v>
      </c>
      <c r="E8" s="77">
        <v>133436.95276643473</v>
      </c>
      <c r="F8" s="22">
        <v>64728.603343104653</v>
      </c>
      <c r="G8" s="77">
        <v>68708.349423330073</v>
      </c>
      <c r="H8" s="54">
        <v>137255.13093492671</v>
      </c>
      <c r="I8" s="77">
        <v>66652.834049562109</v>
      </c>
      <c r="J8" s="55">
        <v>70602.296885364602</v>
      </c>
      <c r="K8" s="77">
        <v>141242.69493540196</v>
      </c>
      <c r="L8" s="22">
        <v>68662.017673687908</v>
      </c>
      <c r="M8" s="77">
        <v>72580.677261714052</v>
      </c>
      <c r="N8" s="54">
        <v>145406.13872676127</v>
      </c>
      <c r="O8" s="77">
        <v>70759.385388261813</v>
      </c>
      <c r="P8" s="55">
        <v>74646.753338499446</v>
      </c>
      <c r="Q8" s="77">
        <v>149717.67549636235</v>
      </c>
      <c r="R8" s="22">
        <v>72930.800812372298</v>
      </c>
      <c r="S8" s="77">
        <v>76786.874683990056</v>
      </c>
      <c r="T8" s="54">
        <v>154150.39135497433</v>
      </c>
      <c r="U8" s="77">
        <v>75162.800726103611</v>
      </c>
      <c r="V8" s="55">
        <v>78987.590628870719</v>
      </c>
      <c r="W8" s="77">
        <v>158713.05880809558</v>
      </c>
      <c r="X8" s="22">
        <v>77459.962624227133</v>
      </c>
      <c r="Y8" s="77">
        <v>81253.096183868445</v>
      </c>
      <c r="Z8" s="54">
        <v>163414.1803681984</v>
      </c>
      <c r="AA8" s="77">
        <v>79826.527421016304</v>
      </c>
      <c r="AB8" s="55">
        <v>83587.652947182098</v>
      </c>
      <c r="AC8" s="54">
        <v>168263.1292852833</v>
      </c>
      <c r="AD8" s="77">
        <v>82267.207243441633</v>
      </c>
      <c r="AE8" s="55">
        <v>85995.922041841666</v>
      </c>
    </row>
    <row r="9" spans="1:31" ht="11.1" customHeight="1" x14ac:dyDescent="0.2">
      <c r="A9" s="90" t="s">
        <v>52</v>
      </c>
      <c r="B9" s="54">
        <v>94860.344693381892</v>
      </c>
      <c r="C9" s="77">
        <v>46045.573043765988</v>
      </c>
      <c r="D9" s="55">
        <v>48814.771649615905</v>
      </c>
      <c r="E9" s="77">
        <v>97527.92444156752</v>
      </c>
      <c r="F9" s="22">
        <v>47392.386192685481</v>
      </c>
      <c r="G9" s="77">
        <v>50135.53824888204</v>
      </c>
      <c r="H9" s="54">
        <v>100318.77719892922</v>
      </c>
      <c r="I9" s="77">
        <v>48801.251517352968</v>
      </c>
      <c r="J9" s="55">
        <v>51517.525681576248</v>
      </c>
      <c r="K9" s="77">
        <v>103233.43952979657</v>
      </c>
      <c r="L9" s="22">
        <v>50272.316878393736</v>
      </c>
      <c r="M9" s="77">
        <v>52961.122651402839</v>
      </c>
      <c r="N9" s="54">
        <v>106276.65801436314</v>
      </c>
      <c r="O9" s="77">
        <v>51807.948045812474</v>
      </c>
      <c r="P9" s="55">
        <v>54468.709968550676</v>
      </c>
      <c r="Q9" s="77">
        <v>109428.12187643562</v>
      </c>
      <c r="R9" s="22">
        <v>53397.79477583868</v>
      </c>
      <c r="S9" s="77">
        <v>56030.327100596936</v>
      </c>
      <c r="T9" s="54">
        <v>112668.15897246072</v>
      </c>
      <c r="U9" s="77">
        <v>55031.999693452803</v>
      </c>
      <c r="V9" s="55">
        <v>57636.159279007923</v>
      </c>
      <c r="W9" s="77">
        <v>116003.18185161651</v>
      </c>
      <c r="X9" s="22">
        <v>56713.914306161489</v>
      </c>
      <c r="Y9" s="77">
        <v>59289.267545455026</v>
      </c>
      <c r="Z9" s="54">
        <v>119439.4052166686</v>
      </c>
      <c r="AA9" s="77">
        <v>58446.643687095901</v>
      </c>
      <c r="AB9" s="55">
        <v>60992.761529572701</v>
      </c>
      <c r="AC9" s="54">
        <v>122983.68030628648</v>
      </c>
      <c r="AD9" s="77">
        <v>60233.637917512868</v>
      </c>
      <c r="AE9" s="55">
        <v>62750.042388773611</v>
      </c>
    </row>
    <row r="10" spans="1:31" ht="11.1" customHeight="1" x14ac:dyDescent="0.2">
      <c r="A10" s="90" t="s">
        <v>53</v>
      </c>
      <c r="B10" s="54">
        <v>146365.67723564035</v>
      </c>
      <c r="C10" s="77">
        <v>72134.833319732905</v>
      </c>
      <c r="D10" s="55">
        <v>74230.843915907448</v>
      </c>
      <c r="E10" s="77">
        <v>150484.03161820851</v>
      </c>
      <c r="F10" s="22">
        <v>74244.746077638847</v>
      </c>
      <c r="G10" s="77">
        <v>76239.285540569646</v>
      </c>
      <c r="H10" s="54">
        <v>154792.69301163539</v>
      </c>
      <c r="I10" s="77">
        <v>76451.869556550562</v>
      </c>
      <c r="J10" s="55">
        <v>78340.823455084843</v>
      </c>
      <c r="K10" s="77">
        <v>159292.48414141301</v>
      </c>
      <c r="L10" s="22">
        <v>78756.435394405315</v>
      </c>
      <c r="M10" s="77">
        <v>80536.048747007677</v>
      </c>
      <c r="N10" s="54">
        <v>163990.73162580954</v>
      </c>
      <c r="O10" s="77">
        <v>81162.149798199345</v>
      </c>
      <c r="P10" s="55">
        <v>82828.581827610193</v>
      </c>
      <c r="Q10" s="77">
        <v>168856.0741906293</v>
      </c>
      <c r="R10" s="22">
        <v>83652.798112324061</v>
      </c>
      <c r="S10" s="77">
        <v>85203.276078305222</v>
      </c>
      <c r="T10" s="54">
        <v>173858.14434596698</v>
      </c>
      <c r="U10" s="77">
        <v>86212.937807628448</v>
      </c>
      <c r="V10" s="55">
        <v>87645.20653833852</v>
      </c>
      <c r="W10" s="77">
        <v>179006.8473662266</v>
      </c>
      <c r="X10" s="22">
        <v>88847.819344023839</v>
      </c>
      <c r="Y10" s="77">
        <v>90159.028022202765</v>
      </c>
      <c r="Z10" s="54">
        <v>184311.77634852775</v>
      </c>
      <c r="AA10" s="77">
        <v>91562.307118192824</v>
      </c>
      <c r="AB10" s="55">
        <v>92749.469230334915</v>
      </c>
      <c r="AC10" s="54">
        <v>189783.50819417619</v>
      </c>
      <c r="AD10" s="77">
        <v>94361.806015338254</v>
      </c>
      <c r="AE10" s="55">
        <v>95421.702178837935</v>
      </c>
    </row>
    <row r="11" spans="1:31" ht="11.1" customHeight="1" x14ac:dyDescent="0.2">
      <c r="A11" s="90" t="s">
        <v>54</v>
      </c>
      <c r="B11" s="54">
        <v>85045.829898328753</v>
      </c>
      <c r="C11" s="77">
        <v>40952.754263987365</v>
      </c>
      <c r="D11" s="55">
        <v>44093.075634341381</v>
      </c>
      <c r="E11" s="77">
        <v>87436.693384686223</v>
      </c>
      <c r="F11" s="22">
        <v>42150.604660480029</v>
      </c>
      <c r="G11" s="77">
        <v>45286.088724206194</v>
      </c>
      <c r="H11" s="54">
        <v>89938.044974654884</v>
      </c>
      <c r="I11" s="77">
        <v>43403.644021665081</v>
      </c>
      <c r="J11" s="55">
        <v>46534.400952989803</v>
      </c>
      <c r="K11" s="77">
        <v>92550.367280545906</v>
      </c>
      <c r="L11" s="22">
        <v>44712.003854209775</v>
      </c>
      <c r="M11" s="77">
        <v>47838.363426336138</v>
      </c>
      <c r="N11" s="54">
        <v>95277.914931104518</v>
      </c>
      <c r="O11" s="77">
        <v>46077.788264790244</v>
      </c>
      <c r="P11" s="55">
        <v>49200.126666314267</v>
      </c>
      <c r="Q11" s="77">
        <v>98102.485377496952</v>
      </c>
      <c r="R11" s="22">
        <v>47491.791786698457</v>
      </c>
      <c r="S11" s="77">
        <v>50610.693590798503</v>
      </c>
      <c r="T11" s="54">
        <v>101006.44609106357</v>
      </c>
      <c r="U11" s="77">
        <v>48945.247308783917</v>
      </c>
      <c r="V11" s="55">
        <v>52061.198782279651</v>
      </c>
      <c r="W11" s="77">
        <v>103995.54284654144</v>
      </c>
      <c r="X11" s="22">
        <v>50441.135648837786</v>
      </c>
      <c r="Y11" s="77">
        <v>53554.407197703651</v>
      </c>
      <c r="Z11" s="54">
        <v>107075.34612909441</v>
      </c>
      <c r="AA11" s="77">
        <v>51982.218446872481</v>
      </c>
      <c r="AB11" s="55">
        <v>55093.12768222193</v>
      </c>
      <c r="AC11" s="54">
        <v>110251.99660200953</v>
      </c>
      <c r="AD11" s="77">
        <v>53571.564191790669</v>
      </c>
      <c r="AE11" s="55">
        <v>56680.432410218862</v>
      </c>
    </row>
    <row r="12" spans="1:31" ht="11.1" customHeight="1" x14ac:dyDescent="0.2">
      <c r="A12" s="90" t="s">
        <v>55</v>
      </c>
      <c r="B12" s="54">
        <v>192797.17378074327</v>
      </c>
      <c r="C12" s="77">
        <v>92302.439253218894</v>
      </c>
      <c r="D12" s="55">
        <v>100494.73452752437</v>
      </c>
      <c r="E12" s="77">
        <v>198216.03612864547</v>
      </c>
      <c r="F12" s="22">
        <v>95002.245785009</v>
      </c>
      <c r="G12" s="77">
        <v>103213.79034363646</v>
      </c>
      <c r="H12" s="54">
        <v>203885.32260600978</v>
      </c>
      <c r="I12" s="77">
        <v>97826.441412295113</v>
      </c>
      <c r="J12" s="55">
        <v>106058.88119371467</v>
      </c>
      <c r="K12" s="77">
        <v>209806.12983502509</v>
      </c>
      <c r="L12" s="22">
        <v>100775.3225348282</v>
      </c>
      <c r="M12" s="77">
        <v>109030.80730019689</v>
      </c>
      <c r="N12" s="54">
        <v>215988.10157413915</v>
      </c>
      <c r="O12" s="77">
        <v>103853.63154862401</v>
      </c>
      <c r="P12" s="55">
        <v>112134.47002551513</v>
      </c>
      <c r="Q12" s="77">
        <v>222389.98414081242</v>
      </c>
      <c r="R12" s="22">
        <v>107040.6204711137</v>
      </c>
      <c r="S12" s="77">
        <v>115349.36366969871</v>
      </c>
      <c r="T12" s="54">
        <v>228971.81193508956</v>
      </c>
      <c r="U12" s="77">
        <v>110316.52931889839</v>
      </c>
      <c r="V12" s="55">
        <v>118655.28261619117</v>
      </c>
      <c r="W12" s="77">
        <v>235746.60510302449</v>
      </c>
      <c r="X12" s="22">
        <v>113688.0764863337</v>
      </c>
      <c r="Y12" s="77">
        <v>122058.52861669079</v>
      </c>
      <c r="Z12" s="54">
        <v>242726.98981889093</v>
      </c>
      <c r="AA12" s="77">
        <v>117161.48636819028</v>
      </c>
      <c r="AB12" s="55">
        <v>125565.50345070063</v>
      </c>
      <c r="AC12" s="54">
        <v>249926.88402320989</v>
      </c>
      <c r="AD12" s="77">
        <v>120743.67495865774</v>
      </c>
      <c r="AE12" s="55">
        <v>129183.20906455215</v>
      </c>
    </row>
    <row r="13" spans="1:31" ht="11.1" customHeight="1" x14ac:dyDescent="0.2">
      <c r="A13" s="90" t="s">
        <v>56</v>
      </c>
      <c r="B13" s="54">
        <v>92191.342641295545</v>
      </c>
      <c r="C13" s="77">
        <v>44693.95026666682</v>
      </c>
      <c r="D13" s="55">
        <v>47497.392374628718</v>
      </c>
      <c r="E13" s="77">
        <v>94783.744071354871</v>
      </c>
      <c r="F13" s="22">
        <v>46001.229032403673</v>
      </c>
      <c r="G13" s="77">
        <v>48782.515038951198</v>
      </c>
      <c r="H13" s="54">
        <v>97495.944844156096</v>
      </c>
      <c r="I13" s="77">
        <v>47368.738492938988</v>
      </c>
      <c r="J13" s="55">
        <v>50127.206351217101</v>
      </c>
      <c r="K13" s="77">
        <v>100328.46669365815</v>
      </c>
      <c r="L13" s="22">
        <v>48796.622168593967</v>
      </c>
      <c r="M13" s="77">
        <v>51531.844525064174</v>
      </c>
      <c r="N13" s="54">
        <v>103285.92250353142</v>
      </c>
      <c r="O13" s="77">
        <v>50287.176384507868</v>
      </c>
      <c r="P13" s="55">
        <v>52998.746119023555</v>
      </c>
      <c r="Q13" s="77">
        <v>106348.57412682468</v>
      </c>
      <c r="R13" s="22">
        <v>51830.354718196431</v>
      </c>
      <c r="S13" s="77">
        <v>54518.219408628247</v>
      </c>
      <c r="T13" s="54">
        <v>109497.30364777151</v>
      </c>
      <c r="U13" s="77">
        <v>53416.589148246094</v>
      </c>
      <c r="V13" s="55">
        <v>56080.71449952542</v>
      </c>
      <c r="W13" s="77">
        <v>112738.34262604971</v>
      </c>
      <c r="X13" s="22">
        <v>55049.132801937456</v>
      </c>
      <c r="Y13" s="77">
        <v>57689.209824112244</v>
      </c>
      <c r="Z13" s="54">
        <v>116077.7306975064</v>
      </c>
      <c r="AA13" s="77">
        <v>56730.999606015801</v>
      </c>
      <c r="AB13" s="55">
        <v>59346.731091490605</v>
      </c>
      <c r="AC13" s="54">
        <v>119522.12603896658</v>
      </c>
      <c r="AD13" s="77">
        <v>58465.538367975882</v>
      </c>
      <c r="AE13" s="55">
        <v>61056.587670990695</v>
      </c>
    </row>
    <row r="14" spans="1:31" ht="11.1" customHeight="1" x14ac:dyDescent="0.2">
      <c r="A14" s="90" t="s">
        <v>57</v>
      </c>
      <c r="B14" s="54">
        <v>156518.37121057601</v>
      </c>
      <c r="C14" s="77">
        <v>74058.254612488003</v>
      </c>
      <c r="D14" s="55">
        <v>82460.116598088003</v>
      </c>
      <c r="E14" s="77">
        <v>160915.64179289993</v>
      </c>
      <c r="F14" s="22">
        <v>76224.426613503645</v>
      </c>
      <c r="G14" s="77">
        <v>84691.215179396284</v>
      </c>
      <c r="H14" s="54">
        <v>165516.13214365719</v>
      </c>
      <c r="I14" s="77">
        <v>78490.401386578087</v>
      </c>
      <c r="J14" s="55">
        <v>87025.730757079087</v>
      </c>
      <c r="K14" s="77">
        <v>170320.73669308703</v>
      </c>
      <c r="L14" s="22">
        <v>80856.416746100658</v>
      </c>
      <c r="M14" s="77">
        <v>89464.31994698639</v>
      </c>
      <c r="N14" s="54">
        <v>175337.28224350023</v>
      </c>
      <c r="O14" s="77">
        <v>83326.277722300772</v>
      </c>
      <c r="P14" s="55">
        <v>92011.004521199444</v>
      </c>
      <c r="Q14" s="77">
        <v>180532.29600648681</v>
      </c>
      <c r="R14" s="22">
        <v>85883.337307924769</v>
      </c>
      <c r="S14" s="77">
        <v>94648.958698562055</v>
      </c>
      <c r="T14" s="54">
        <v>185873.34413921199</v>
      </c>
      <c r="U14" s="77">
        <v>88511.741210350141</v>
      </c>
      <c r="V14" s="55">
        <v>97361.60292886183</v>
      </c>
      <c r="W14" s="77">
        <v>191370.98795098602</v>
      </c>
      <c r="X14" s="22">
        <v>91216.879889068528</v>
      </c>
      <c r="Y14" s="77">
        <v>100154.10806191748</v>
      </c>
      <c r="Z14" s="54">
        <v>197035.474470785</v>
      </c>
      <c r="AA14" s="77">
        <v>94003.747446256035</v>
      </c>
      <c r="AB14" s="55">
        <v>103031.72702452897</v>
      </c>
      <c r="AC14" s="54">
        <v>202878.09808971433</v>
      </c>
      <c r="AD14" s="77">
        <v>96877.892884330548</v>
      </c>
      <c r="AE14" s="55">
        <v>106000.20520538378</v>
      </c>
    </row>
    <row r="15" spans="1:31" ht="11.1" customHeight="1" x14ac:dyDescent="0.2">
      <c r="A15" s="90" t="s">
        <v>58</v>
      </c>
      <c r="B15" s="54">
        <v>232353.42183606481</v>
      </c>
      <c r="C15" s="77">
        <v>111236.04953284781</v>
      </c>
      <c r="D15" s="55">
        <v>121117.37230321699</v>
      </c>
      <c r="E15" s="77">
        <v>238884.06462692039</v>
      </c>
      <c r="F15" s="22">
        <v>114489.65599795363</v>
      </c>
      <c r="G15" s="77">
        <v>124394.40862896675</v>
      </c>
      <c r="H15" s="54">
        <v>245716.51074947626</v>
      </c>
      <c r="I15" s="77">
        <v>117893.16696937461</v>
      </c>
      <c r="J15" s="55">
        <v>127823.34378010166</v>
      </c>
      <c r="K15" s="77">
        <v>252852.08183970151</v>
      </c>
      <c r="L15" s="22">
        <v>121446.93964609325</v>
      </c>
      <c r="M15" s="77">
        <v>131405.14219360828</v>
      </c>
      <c r="N15" s="54">
        <v>260302.40025785865</v>
      </c>
      <c r="O15" s="77">
        <v>125156.68921182925</v>
      </c>
      <c r="P15" s="55">
        <v>135145.71104602941</v>
      </c>
      <c r="Q15" s="77">
        <v>268017.74837739288</v>
      </c>
      <c r="R15" s="22">
        <v>128997.41173780884</v>
      </c>
      <c r="S15" s="77">
        <v>139020.33663958407</v>
      </c>
      <c r="T15" s="54">
        <v>275949.96089889458</v>
      </c>
      <c r="U15" s="77">
        <v>132945.29395853318</v>
      </c>
      <c r="V15" s="55">
        <v>143004.66694036138</v>
      </c>
      <c r="W15" s="77">
        <v>284114.72927390243</v>
      </c>
      <c r="X15" s="22">
        <v>137008.4323842719</v>
      </c>
      <c r="Y15" s="77">
        <v>147106.29688963052</v>
      </c>
      <c r="Z15" s="54">
        <v>292527.27017694124</v>
      </c>
      <c r="AA15" s="77">
        <v>141194.3281936571</v>
      </c>
      <c r="AB15" s="55">
        <v>151332.94198328414</v>
      </c>
      <c r="AC15" s="54">
        <v>301204.35707456811</v>
      </c>
      <c r="AD15" s="77">
        <v>145511.3160296134</v>
      </c>
      <c r="AE15" s="55">
        <v>155693.04104495471</v>
      </c>
    </row>
    <row r="16" spans="1:31" ht="11.1" customHeight="1" thickBot="1" x14ac:dyDescent="0.25">
      <c r="A16" s="9" t="s">
        <v>59</v>
      </c>
      <c r="B16" s="56">
        <v>170132.97473421245</v>
      </c>
      <c r="C16" s="11">
        <v>81910.954227995127</v>
      </c>
      <c r="D16" s="57">
        <v>88222.020506217334</v>
      </c>
      <c r="E16" s="11">
        <v>174915.83149447897</v>
      </c>
      <c r="F16" s="11">
        <v>84306.814305356951</v>
      </c>
      <c r="G16" s="11">
        <v>90609.017189122038</v>
      </c>
      <c r="H16" s="56">
        <v>179919.71678597876</v>
      </c>
      <c r="I16" s="11">
        <v>86813.059650866271</v>
      </c>
      <c r="J16" s="57">
        <v>93106.657135112502</v>
      </c>
      <c r="K16" s="11">
        <v>185145.59613644192</v>
      </c>
      <c r="L16" s="11">
        <v>89429.95329534472</v>
      </c>
      <c r="M16" s="11">
        <v>95715.642841097186</v>
      </c>
      <c r="N16" s="56">
        <v>190601.98083257905</v>
      </c>
      <c r="O16" s="11">
        <v>92161.703731938513</v>
      </c>
      <c r="P16" s="57">
        <v>98440.277100640538</v>
      </c>
      <c r="Q16" s="11">
        <v>196252.45723359575</v>
      </c>
      <c r="R16" s="11">
        <v>94989.898803132994</v>
      </c>
      <c r="S16" s="11">
        <v>101262.55843046276</v>
      </c>
      <c r="T16" s="56">
        <v>202061.7519044436</v>
      </c>
      <c r="U16" s="11">
        <v>97897.003120818918</v>
      </c>
      <c r="V16" s="57">
        <v>104164.74878362469</v>
      </c>
      <c r="W16" s="11">
        <v>208041.35904023403</v>
      </c>
      <c r="X16" s="11">
        <v>100888.97871695344</v>
      </c>
      <c r="Y16" s="11">
        <v>107152.38032328059</v>
      </c>
      <c r="Z16" s="56">
        <v>214202.42226348934</v>
      </c>
      <c r="AA16" s="11">
        <v>103971.34923879096</v>
      </c>
      <c r="AB16" s="57">
        <v>110231.07302469836</v>
      </c>
      <c r="AC16" s="56">
        <v>220557.22580799687</v>
      </c>
      <c r="AD16" s="11">
        <v>107150.25207216971</v>
      </c>
      <c r="AE16" s="57">
        <v>113406.97373582718</v>
      </c>
    </row>
    <row r="17" spans="1:255" s="45" customFormat="1" ht="12" customHeight="1" x14ac:dyDescent="0.2">
      <c r="A17" s="43" t="s">
        <v>195</v>
      </c>
      <c r="B17" s="44"/>
      <c r="C17" s="44"/>
      <c r="D17" s="44"/>
      <c r="E17" s="44"/>
      <c r="F17" s="44"/>
      <c r="G17" s="44"/>
      <c r="AC17" s="44"/>
      <c r="AD17" s="44"/>
      <c r="AE17" s="44"/>
      <c r="AF17" s="44"/>
      <c r="AG17" s="44"/>
      <c r="AH17" s="44"/>
      <c r="AI17" s="44"/>
      <c r="AJ17" s="44"/>
      <c r="AK17" s="44"/>
      <c r="AL17" s="46"/>
      <c r="AM17" s="46"/>
      <c r="AN17" s="46"/>
      <c r="AO17" s="46"/>
      <c r="AP17" s="44"/>
      <c r="AQ17" s="44"/>
      <c r="AR17" s="46"/>
      <c r="AS17" s="44"/>
      <c r="AT17" s="44"/>
      <c r="BD17" s="47"/>
      <c r="CW17" s="48"/>
      <c r="CX17" s="48"/>
      <c r="CY17" s="48"/>
      <c r="CZ17" s="48"/>
      <c r="DA17" s="48"/>
      <c r="DB17" s="48"/>
      <c r="DC17" s="48"/>
      <c r="DD17" s="48"/>
      <c r="DE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GI17" s="47"/>
      <c r="IK17" s="47"/>
      <c r="IL17" s="47"/>
      <c r="IT17" s="47"/>
      <c r="IU17" s="47"/>
    </row>
  </sheetData>
  <mergeCells count="12">
    <mergeCell ref="A1:G1"/>
    <mergeCell ref="H2:J2"/>
    <mergeCell ref="Z2:AB2"/>
    <mergeCell ref="AC2:AE2"/>
    <mergeCell ref="W2:Y2"/>
    <mergeCell ref="Q2:S2"/>
    <mergeCell ref="T2:V2"/>
    <mergeCell ref="K2:M2"/>
    <mergeCell ref="N2:P2"/>
    <mergeCell ref="A2:A3"/>
    <mergeCell ref="B2:D2"/>
    <mergeCell ref="E2:G2"/>
  </mergeCells>
  <pageMargins left="0.7" right="0.7" top="0.75" bottom="0.75" header="0.3" footer="0.3"/>
  <pageSetup paperSize="9" scale="9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20"/>
  <sheetViews>
    <sheetView topLeftCell="A2" zoomScale="120" zoomScaleNormal="120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3" sqref="A3:A4"/>
    </sheetView>
  </sheetViews>
  <sheetFormatPr defaultColWidth="9.140625" defaultRowHeight="11.25" x14ac:dyDescent="0.2"/>
  <cols>
    <col min="1" max="1" width="16.28515625" style="1" customWidth="1"/>
    <col min="2" max="2" width="7.85546875" style="1" customWidth="1"/>
    <col min="3" max="4" width="7.7109375" style="1" customWidth="1"/>
    <col min="5" max="5" width="8.5703125" style="1" customWidth="1"/>
    <col min="6" max="7" width="7.7109375" style="1" customWidth="1"/>
    <col min="8" max="8" width="8.85546875" style="1" customWidth="1"/>
    <col min="9" max="10" width="7.7109375" style="1" customWidth="1"/>
    <col min="11" max="11" width="8.85546875" style="1" customWidth="1"/>
    <col min="12" max="16384" width="9.140625" style="1"/>
  </cols>
  <sheetData>
    <row r="2" spans="1:31" ht="25.5" customHeight="1" thickBot="1" x14ac:dyDescent="0.25">
      <c r="A2" s="133" t="s">
        <v>183</v>
      </c>
      <c r="B2" s="133"/>
      <c r="C2" s="133"/>
      <c r="D2" s="133"/>
      <c r="E2" s="133"/>
      <c r="F2" s="133"/>
      <c r="G2" s="133"/>
      <c r="H2" s="14"/>
      <c r="I2" s="14"/>
      <c r="J2" s="14"/>
      <c r="K2" s="14"/>
    </row>
    <row r="3" spans="1:31" ht="15.75" customHeight="1" x14ac:dyDescent="0.2">
      <c r="A3" s="139" t="s">
        <v>7</v>
      </c>
      <c r="B3" s="129">
        <v>2015</v>
      </c>
      <c r="C3" s="126"/>
      <c r="D3" s="130"/>
      <c r="E3" s="129">
        <v>2016</v>
      </c>
      <c r="F3" s="126"/>
      <c r="G3" s="130"/>
      <c r="H3" s="126">
        <v>2017</v>
      </c>
      <c r="I3" s="126"/>
      <c r="J3" s="126"/>
      <c r="K3" s="129">
        <v>2018</v>
      </c>
      <c r="L3" s="126"/>
      <c r="M3" s="130"/>
      <c r="N3" s="126">
        <v>2019</v>
      </c>
      <c r="O3" s="126"/>
      <c r="P3" s="126"/>
      <c r="Q3" s="129">
        <v>2020</v>
      </c>
      <c r="R3" s="126"/>
      <c r="S3" s="130"/>
      <c r="T3" s="126">
        <v>2021</v>
      </c>
      <c r="U3" s="126"/>
      <c r="V3" s="126"/>
      <c r="W3" s="129">
        <v>2022</v>
      </c>
      <c r="X3" s="126"/>
      <c r="Y3" s="130"/>
      <c r="Z3" s="126">
        <v>2023</v>
      </c>
      <c r="AA3" s="126"/>
      <c r="AB3" s="126"/>
      <c r="AC3" s="129">
        <v>2024</v>
      </c>
      <c r="AD3" s="126"/>
      <c r="AE3" s="130"/>
    </row>
    <row r="4" spans="1:31" ht="12" thickBot="1" x14ac:dyDescent="0.25">
      <c r="A4" s="140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76" t="s">
        <v>0</v>
      </c>
      <c r="I4" s="25" t="s">
        <v>1</v>
      </c>
      <c r="J4" s="78" t="s">
        <v>2</v>
      </c>
      <c r="K4" s="50" t="s">
        <v>0</v>
      </c>
      <c r="L4" s="78" t="s">
        <v>1</v>
      </c>
      <c r="M4" s="51" t="s">
        <v>2</v>
      </c>
      <c r="N4" s="76" t="s">
        <v>0</v>
      </c>
      <c r="O4" s="25" t="s">
        <v>1</v>
      </c>
      <c r="P4" s="78" t="s">
        <v>2</v>
      </c>
      <c r="Q4" s="50" t="s">
        <v>0</v>
      </c>
      <c r="R4" s="78" t="s">
        <v>1</v>
      </c>
      <c r="S4" s="51" t="s">
        <v>2</v>
      </c>
      <c r="T4" s="76" t="s">
        <v>0</v>
      </c>
      <c r="U4" s="25" t="s">
        <v>1</v>
      </c>
      <c r="V4" s="78" t="s">
        <v>2</v>
      </c>
      <c r="W4" s="50" t="s">
        <v>0</v>
      </c>
      <c r="X4" s="78" t="s">
        <v>1</v>
      </c>
      <c r="Y4" s="51" t="s">
        <v>2</v>
      </c>
      <c r="Z4" s="76" t="s">
        <v>0</v>
      </c>
      <c r="AA4" s="25" t="s">
        <v>1</v>
      </c>
      <c r="AB4" s="78" t="s">
        <v>2</v>
      </c>
      <c r="AC4" s="50" t="s">
        <v>0</v>
      </c>
      <c r="AD4" s="78" t="s">
        <v>1</v>
      </c>
      <c r="AE4" s="51" t="s">
        <v>2</v>
      </c>
    </row>
    <row r="5" spans="1:31" s="6" customFormat="1" ht="12" thickBot="1" x14ac:dyDescent="0.25">
      <c r="A5" s="17" t="s">
        <v>60</v>
      </c>
      <c r="B5" s="52">
        <v>1017059.9999999998</v>
      </c>
      <c r="C5" s="27">
        <v>495229.99999999988</v>
      </c>
      <c r="D5" s="53">
        <v>521829.99999999988</v>
      </c>
      <c r="E5" s="52">
        <v>1046081.9999999999</v>
      </c>
      <c r="F5" s="27">
        <v>509916</v>
      </c>
      <c r="G5" s="53">
        <v>536165.99999999988</v>
      </c>
      <c r="H5" s="27">
        <v>1076480.9999999995</v>
      </c>
      <c r="I5" s="27">
        <v>525305.99999999977</v>
      </c>
      <c r="J5" s="27">
        <v>551174.99999999988</v>
      </c>
      <c r="K5" s="52">
        <v>1108264</v>
      </c>
      <c r="L5" s="27">
        <v>541405</v>
      </c>
      <c r="M5" s="53">
        <v>566859</v>
      </c>
      <c r="N5" s="27">
        <v>1141484.9999999998</v>
      </c>
      <c r="O5" s="27">
        <v>558240.99999999977</v>
      </c>
      <c r="P5" s="27">
        <v>583244</v>
      </c>
      <c r="Q5" s="52">
        <v>1175886</v>
      </c>
      <c r="R5" s="27">
        <v>575682.00000000012</v>
      </c>
      <c r="S5" s="53">
        <v>600204</v>
      </c>
      <c r="T5" s="27">
        <v>1211206</v>
      </c>
      <c r="U5" s="27">
        <v>593596.99999999988</v>
      </c>
      <c r="V5" s="27">
        <v>617609</v>
      </c>
      <c r="W5" s="52">
        <v>1247508.9999999995</v>
      </c>
      <c r="X5" s="27">
        <v>612015.99999999988</v>
      </c>
      <c r="Y5" s="53">
        <v>635492.99999999977</v>
      </c>
      <c r="Z5" s="27">
        <v>1284855</v>
      </c>
      <c r="AA5" s="27">
        <v>630968.99999999988</v>
      </c>
      <c r="AB5" s="27">
        <v>653886</v>
      </c>
      <c r="AC5" s="52">
        <v>1323314</v>
      </c>
      <c r="AD5" s="27">
        <v>650490</v>
      </c>
      <c r="AE5" s="53">
        <v>672824.00000000012</v>
      </c>
    </row>
    <row r="6" spans="1:31" x14ac:dyDescent="0.2">
      <c r="A6" s="91" t="s">
        <v>60</v>
      </c>
      <c r="B6" s="54">
        <v>522618.31789411651</v>
      </c>
      <c r="C6" s="77">
        <v>253143.95745571089</v>
      </c>
      <c r="D6" s="55">
        <v>269474.36043840559</v>
      </c>
      <c r="E6" s="54">
        <v>537528.42606284923</v>
      </c>
      <c r="F6" s="77">
        <v>260650.91817940408</v>
      </c>
      <c r="G6" s="55">
        <v>276877.50788344513</v>
      </c>
      <c r="H6" s="77">
        <v>553145.93292480439</v>
      </c>
      <c r="I6" s="22">
        <v>268517.73865724949</v>
      </c>
      <c r="J6" s="77">
        <v>284628.19426755491</v>
      </c>
      <c r="K6" s="54">
        <v>569474.4271072679</v>
      </c>
      <c r="L6" s="77">
        <v>276746.97471136472</v>
      </c>
      <c r="M6" s="55">
        <v>292727.45239590318</v>
      </c>
      <c r="N6" s="77">
        <v>586541.6476812833</v>
      </c>
      <c r="O6" s="22">
        <v>285352.9389456081</v>
      </c>
      <c r="P6" s="77">
        <v>301188.70873567526</v>
      </c>
      <c r="Q6" s="54">
        <v>604215.05421735614</v>
      </c>
      <c r="R6" s="77">
        <v>294268.15765607607</v>
      </c>
      <c r="S6" s="55">
        <v>309946.89656128007</v>
      </c>
      <c r="T6" s="77">
        <v>622360.55184007878</v>
      </c>
      <c r="U6" s="22">
        <v>303425.66830328864</v>
      </c>
      <c r="V6" s="77">
        <v>318934.88353679021</v>
      </c>
      <c r="W6" s="54">
        <v>641011.03317001462</v>
      </c>
      <c r="X6" s="77">
        <v>312840.80581995106</v>
      </c>
      <c r="Y6" s="55">
        <v>328170.22735006356</v>
      </c>
      <c r="Z6" s="77">
        <v>660197.32521739067</v>
      </c>
      <c r="AA6" s="22">
        <v>322528.90513876878</v>
      </c>
      <c r="AB6" s="77">
        <v>337668.42007862189</v>
      </c>
      <c r="AC6" s="54">
        <v>679955.39806563244</v>
      </c>
      <c r="AD6" s="77">
        <v>332507.34585014114</v>
      </c>
      <c r="AE6" s="55">
        <v>347448.05221549125</v>
      </c>
    </row>
    <row r="7" spans="1:31" x14ac:dyDescent="0.2">
      <c r="A7" s="91" t="s">
        <v>61</v>
      </c>
      <c r="B7" s="54">
        <v>73710.579899519769</v>
      </c>
      <c r="C7" s="77">
        <v>36397.925343005882</v>
      </c>
      <c r="D7" s="55">
        <v>37312.654556513888</v>
      </c>
      <c r="E7" s="54">
        <v>75815.030733557156</v>
      </c>
      <c r="F7" s="77">
        <v>37477.302463914115</v>
      </c>
      <c r="G7" s="55">
        <v>38337.728269643034</v>
      </c>
      <c r="H7" s="77">
        <v>78019.345297941472</v>
      </c>
      <c r="I7" s="22">
        <v>38608.42148139864</v>
      </c>
      <c r="J7" s="77">
        <v>39410.923816542825</v>
      </c>
      <c r="K7" s="54">
        <v>80324.034084669052</v>
      </c>
      <c r="L7" s="77">
        <v>39791.649880520366</v>
      </c>
      <c r="M7" s="55">
        <v>40532.384204148679</v>
      </c>
      <c r="N7" s="77">
        <v>82733.014100241533</v>
      </c>
      <c r="O7" s="22">
        <v>41029.045577620396</v>
      </c>
      <c r="P7" s="77">
        <v>41703.96852262113</v>
      </c>
      <c r="Q7" s="54">
        <v>85227.574302119057</v>
      </c>
      <c r="R7" s="77">
        <v>42310.906967090676</v>
      </c>
      <c r="S7" s="55">
        <v>42916.667335028382</v>
      </c>
      <c r="T7" s="77">
        <v>87788.791130903119</v>
      </c>
      <c r="U7" s="22">
        <v>43627.605940335328</v>
      </c>
      <c r="V7" s="77">
        <v>44161.185190567783</v>
      </c>
      <c r="W7" s="54">
        <v>90421.300614861393</v>
      </c>
      <c r="X7" s="77">
        <v>44981.347407719826</v>
      </c>
      <c r="Y7" s="55">
        <v>45439.95320714156</v>
      </c>
      <c r="Z7" s="77">
        <v>93129.452768390736</v>
      </c>
      <c r="AA7" s="22">
        <v>46374.336279609633</v>
      </c>
      <c r="AB7" s="77">
        <v>46755.116488781096</v>
      </c>
      <c r="AC7" s="54">
        <v>95918.320614743003</v>
      </c>
      <c r="AD7" s="77">
        <v>47809.071454418954</v>
      </c>
      <c r="AE7" s="55">
        <v>48109.249160324049</v>
      </c>
    </row>
    <row r="8" spans="1:31" ht="14.25" customHeight="1" x14ac:dyDescent="0.2">
      <c r="A8" s="91" t="s">
        <v>62</v>
      </c>
      <c r="B8" s="54">
        <v>82917.833895476739</v>
      </c>
      <c r="C8" s="77">
        <v>40248.848298009856</v>
      </c>
      <c r="D8" s="55">
        <v>42668.98559746689</v>
      </c>
      <c r="E8" s="54">
        <v>85283.635559240414</v>
      </c>
      <c r="F8" s="77">
        <v>41442.424184172996</v>
      </c>
      <c r="G8" s="55">
        <v>43841.211375067418</v>
      </c>
      <c r="H8" s="77">
        <v>87761.683295463648</v>
      </c>
      <c r="I8" s="22">
        <v>42693.216291489538</v>
      </c>
      <c r="J8" s="77">
        <v>45068.46700397411</v>
      </c>
      <c r="K8" s="54">
        <v>90352.547005315777</v>
      </c>
      <c r="L8" s="77">
        <v>44001.630985166536</v>
      </c>
      <c r="M8" s="55">
        <v>46350.916020149249</v>
      </c>
      <c r="N8" s="77">
        <v>93060.628301465913</v>
      </c>
      <c r="O8" s="22">
        <v>45369.943910363501</v>
      </c>
      <c r="P8" s="77">
        <v>47690.684391102419</v>
      </c>
      <c r="Q8" s="54">
        <v>95864.89637682437</v>
      </c>
      <c r="R8" s="77">
        <v>46787.427025614175</v>
      </c>
      <c r="S8" s="55">
        <v>49077.469351210195</v>
      </c>
      <c r="T8" s="77">
        <v>98744.07462541826</v>
      </c>
      <c r="U8" s="22">
        <v>48243.433562493701</v>
      </c>
      <c r="V8" s="77">
        <v>50500.641062924566</v>
      </c>
      <c r="W8" s="54">
        <v>101703.38134984866</v>
      </c>
      <c r="X8" s="77">
        <v>49740.401712244406</v>
      </c>
      <c r="Y8" s="55">
        <v>51962.97963760425</v>
      </c>
      <c r="Z8" s="77">
        <v>104747.70778079203</v>
      </c>
      <c r="AA8" s="22">
        <v>51280.769666108637</v>
      </c>
      <c r="AB8" s="77">
        <v>53466.938114683391</v>
      </c>
      <c r="AC8" s="54">
        <v>107882.76084897733</v>
      </c>
      <c r="AD8" s="77">
        <v>52867.300707494353</v>
      </c>
      <c r="AE8" s="55">
        <v>55015.460141482974</v>
      </c>
    </row>
    <row r="9" spans="1:31" ht="12" customHeight="1" x14ac:dyDescent="0.2">
      <c r="A9" s="91" t="s">
        <v>63</v>
      </c>
      <c r="B9" s="54">
        <v>47753.972666637332</v>
      </c>
      <c r="C9" s="77">
        <v>23626.551365110165</v>
      </c>
      <c r="D9" s="55">
        <v>24127.421301527171</v>
      </c>
      <c r="E9" s="54">
        <v>49117.457622125796</v>
      </c>
      <c r="F9" s="77">
        <v>24327.194567961378</v>
      </c>
      <c r="G9" s="55">
        <v>24790.263054164418</v>
      </c>
      <c r="H9" s="77">
        <v>50545.646121431244</v>
      </c>
      <c r="I9" s="22">
        <v>25061.424371303354</v>
      </c>
      <c r="J9" s="77">
        <v>25484.221750127894</v>
      </c>
      <c r="K9" s="54">
        <v>52038.869178093075</v>
      </c>
      <c r="L9" s="77">
        <v>25829.479316332749</v>
      </c>
      <c r="M9" s="55">
        <v>26209.389861760326</v>
      </c>
      <c r="N9" s="77">
        <v>53599.664763268025</v>
      </c>
      <c r="O9" s="22">
        <v>26632.69523375091</v>
      </c>
      <c r="P9" s="77">
        <v>26966.969529517111</v>
      </c>
      <c r="Q9" s="54">
        <v>55215.90963177252</v>
      </c>
      <c r="R9" s="77">
        <v>27464.774635965812</v>
      </c>
      <c r="S9" s="55">
        <v>27751.134995806708</v>
      </c>
      <c r="T9" s="77">
        <v>56875.343301976915</v>
      </c>
      <c r="U9" s="22">
        <v>28319.467743624777</v>
      </c>
      <c r="V9" s="77">
        <v>28555.875558352138</v>
      </c>
      <c r="W9" s="54">
        <v>58580.969050887485</v>
      </c>
      <c r="X9" s="77">
        <v>29198.205803907804</v>
      </c>
      <c r="Y9" s="55">
        <v>29382.763246979681</v>
      </c>
      <c r="Z9" s="77">
        <v>60335.605210825088</v>
      </c>
      <c r="AA9" s="22">
        <v>30102.420063994901</v>
      </c>
      <c r="AB9" s="77">
        <v>30233.185146830187</v>
      </c>
      <c r="AC9" s="54">
        <v>62142.538364096064</v>
      </c>
      <c r="AD9" s="77">
        <v>31033.732604023404</v>
      </c>
      <c r="AE9" s="55">
        <v>31108.805760072664</v>
      </c>
    </row>
    <row r="10" spans="1:31" x14ac:dyDescent="0.2">
      <c r="A10" s="91" t="s">
        <v>64</v>
      </c>
      <c r="B10" s="54">
        <v>21601.812672293199</v>
      </c>
      <c r="C10" s="77">
        <v>10980.52585588006</v>
      </c>
      <c r="D10" s="55">
        <v>10621.286816413138</v>
      </c>
      <c r="E10" s="54">
        <v>22219.232971898098</v>
      </c>
      <c r="F10" s="77">
        <v>11306.152337957992</v>
      </c>
      <c r="G10" s="55">
        <v>10913.080633940108</v>
      </c>
      <c r="H10" s="77">
        <v>22865.960955608258</v>
      </c>
      <c r="I10" s="22">
        <v>11647.388315023183</v>
      </c>
      <c r="J10" s="77">
        <v>11218.572640585076</v>
      </c>
      <c r="K10" s="54">
        <v>23542.14819415706</v>
      </c>
      <c r="L10" s="77">
        <v>12004.344649966166</v>
      </c>
      <c r="M10" s="55">
        <v>11537.803544190894</v>
      </c>
      <c r="N10" s="77">
        <v>24248.944721688502</v>
      </c>
      <c r="O10" s="22">
        <v>12377.642174973933</v>
      </c>
      <c r="P10" s="77">
        <v>11871.302546714569</v>
      </c>
      <c r="Q10" s="54">
        <v>24980.859163793117</v>
      </c>
      <c r="R10" s="77">
        <v>12764.354109736374</v>
      </c>
      <c r="S10" s="55">
        <v>12216.505054056744</v>
      </c>
      <c r="T10" s="77">
        <v>25732.340902953852</v>
      </c>
      <c r="U10" s="22">
        <v>13161.575846521488</v>
      </c>
      <c r="V10" s="77">
        <v>12570.765056432365</v>
      </c>
      <c r="W10" s="54">
        <v>26504.747149842311</v>
      </c>
      <c r="X10" s="77">
        <v>13569.972562672478</v>
      </c>
      <c r="Y10" s="55">
        <v>12934.774587169833</v>
      </c>
      <c r="Z10" s="77">
        <v>27299.3536994444</v>
      </c>
      <c r="AA10" s="22">
        <v>13990.209435532552</v>
      </c>
      <c r="AB10" s="77">
        <v>13309.14426391185</v>
      </c>
      <c r="AC10" s="54">
        <v>28117.64716058701</v>
      </c>
      <c r="AD10" s="77">
        <v>14423.040332757346</v>
      </c>
      <c r="AE10" s="55">
        <v>13694.606827829663</v>
      </c>
    </row>
    <row r="11" spans="1:31" ht="14.25" customHeight="1" x14ac:dyDescent="0.2">
      <c r="A11" s="91" t="s">
        <v>65</v>
      </c>
      <c r="B11" s="54">
        <v>22180.142339971317</v>
      </c>
      <c r="C11" s="77">
        <v>10790.868172842129</v>
      </c>
      <c r="D11" s="55">
        <v>11389.27416712919</v>
      </c>
      <c r="E11" s="54">
        <v>22813.036928232104</v>
      </c>
      <c r="F11" s="77">
        <v>11110.870373812102</v>
      </c>
      <c r="G11" s="55">
        <v>11702.16655442</v>
      </c>
      <c r="H11" s="77">
        <v>23475.960057677203</v>
      </c>
      <c r="I11" s="22">
        <v>11446.21245967128</v>
      </c>
      <c r="J11" s="77">
        <v>12029.747598005923</v>
      </c>
      <c r="K11" s="54">
        <v>24169.064327634416</v>
      </c>
      <c r="L11" s="77">
        <v>11797.00337846575</v>
      </c>
      <c r="M11" s="55">
        <v>12372.060949168666</v>
      </c>
      <c r="N11" s="77">
        <v>24893.527313824052</v>
      </c>
      <c r="O11" s="22">
        <v>12163.853239253605</v>
      </c>
      <c r="P11" s="77">
        <v>12729.674074570448</v>
      </c>
      <c r="Q11" s="54">
        <v>25643.722757081719</v>
      </c>
      <c r="R11" s="77">
        <v>12543.885813618122</v>
      </c>
      <c r="S11" s="55">
        <v>13099.836943463595</v>
      </c>
      <c r="T11" s="77">
        <v>26413.958885288808</v>
      </c>
      <c r="U11" s="22">
        <v>12934.246662751792</v>
      </c>
      <c r="V11" s="77">
        <v>13479.712222537017</v>
      </c>
      <c r="W11" s="54">
        <v>27205.631458510907</v>
      </c>
      <c r="X11" s="77">
        <v>13335.589474931141</v>
      </c>
      <c r="Y11" s="55">
        <v>13870.041983579767</v>
      </c>
      <c r="Z11" s="77">
        <v>28020.048934250182</v>
      </c>
      <c r="AA11" s="22">
        <v>13748.5679384327</v>
      </c>
      <c r="AB11" s="77">
        <v>14271.480995817483</v>
      </c>
      <c r="AC11" s="54">
        <v>28858.737882290792</v>
      </c>
      <c r="AD11" s="77">
        <v>14173.922899969866</v>
      </c>
      <c r="AE11" s="55">
        <v>14684.814982320928</v>
      </c>
    </row>
    <row r="12" spans="1:31" ht="14.25" customHeight="1" x14ac:dyDescent="0.2">
      <c r="A12" s="91" t="s">
        <v>66</v>
      </c>
      <c r="B12" s="54">
        <v>33941.563649484036</v>
      </c>
      <c r="C12" s="77">
        <v>16274.591180680147</v>
      </c>
      <c r="D12" s="55">
        <v>17666.972468803888</v>
      </c>
      <c r="E12" s="54">
        <v>34909.54190931256</v>
      </c>
      <c r="F12" s="77">
        <v>16757.212681961304</v>
      </c>
      <c r="G12" s="55">
        <v>18152.329227351256</v>
      </c>
      <c r="H12" s="77">
        <v>35923.440458481578</v>
      </c>
      <c r="I12" s="22">
        <v>17262.969518725371</v>
      </c>
      <c r="J12" s="77">
        <v>18660.470939756211</v>
      </c>
      <c r="K12" s="54">
        <v>36983.491322054688</v>
      </c>
      <c r="L12" s="77">
        <v>17792.026004434574</v>
      </c>
      <c r="M12" s="55">
        <v>19191.465317620114</v>
      </c>
      <c r="N12" s="77">
        <v>38091.494906238091</v>
      </c>
      <c r="O12" s="22">
        <v>18345.302294477446</v>
      </c>
      <c r="P12" s="77">
        <v>19746.192611760642</v>
      </c>
      <c r="Q12" s="54">
        <v>39238.847504743062</v>
      </c>
      <c r="R12" s="77">
        <v>18918.460513450937</v>
      </c>
      <c r="S12" s="55">
        <v>20320.386991292125</v>
      </c>
      <c r="T12" s="77">
        <v>40416.842850770627</v>
      </c>
      <c r="U12" s="22">
        <v>19507.195648644454</v>
      </c>
      <c r="V12" s="77">
        <v>20909.647202126172</v>
      </c>
      <c r="W12" s="54">
        <v>41627.617922317317</v>
      </c>
      <c r="X12" s="77">
        <v>20112.493580831411</v>
      </c>
      <c r="Y12" s="55">
        <v>21515.124341485905</v>
      </c>
      <c r="Z12" s="77">
        <v>42873.174274176956</v>
      </c>
      <c r="AA12" s="22">
        <v>20735.340190785235</v>
      </c>
      <c r="AB12" s="77">
        <v>22137.834083391717</v>
      </c>
      <c r="AC12" s="54">
        <v>44155.848046717212</v>
      </c>
      <c r="AD12" s="77">
        <v>21376.852810049124</v>
      </c>
      <c r="AE12" s="55">
        <v>22778.995236668088</v>
      </c>
    </row>
    <row r="13" spans="1:31" ht="12" customHeight="1" x14ac:dyDescent="0.2">
      <c r="A13" s="91" t="s">
        <v>67</v>
      </c>
      <c r="B13" s="54">
        <v>56587.420249380812</v>
      </c>
      <c r="C13" s="77">
        <v>27133.038527943569</v>
      </c>
      <c r="D13" s="55">
        <v>29454.381721437239</v>
      </c>
      <c r="E13" s="54">
        <v>58201.234937116635</v>
      </c>
      <c r="F13" s="77">
        <v>27937.666284382758</v>
      </c>
      <c r="G13" s="55">
        <v>30263.568652733877</v>
      </c>
      <c r="H13" s="77">
        <v>59891.607994995982</v>
      </c>
      <c r="I13" s="22">
        <v>28780.865329160035</v>
      </c>
      <c r="J13" s="77">
        <v>31110.742665835944</v>
      </c>
      <c r="K13" s="54">
        <v>61658.926255629864</v>
      </c>
      <c r="L13" s="77">
        <v>29662.909606084624</v>
      </c>
      <c r="M13" s="55">
        <v>31996.016649545239</v>
      </c>
      <c r="N13" s="77">
        <v>63506.1913587733</v>
      </c>
      <c r="O13" s="22">
        <v>30585.333200488149</v>
      </c>
      <c r="P13" s="77">
        <v>32920.858158285155</v>
      </c>
      <c r="Q13" s="54">
        <v>65419.05919334956</v>
      </c>
      <c r="R13" s="77">
        <v>31540.903995807221</v>
      </c>
      <c r="S13" s="55">
        <v>33878.155197542335</v>
      </c>
      <c r="T13" s="77">
        <v>67383.01465944013</v>
      </c>
      <c r="U13" s="22">
        <v>32522.444664240287</v>
      </c>
      <c r="V13" s="77">
        <v>34860.569995199839</v>
      </c>
      <c r="W13" s="54">
        <v>69401.620529530919</v>
      </c>
      <c r="X13" s="77">
        <v>33531.598868642672</v>
      </c>
      <c r="Y13" s="55">
        <v>35870.021660888247</v>
      </c>
      <c r="Z13" s="77">
        <v>71478.213798504235</v>
      </c>
      <c r="AA13" s="22">
        <v>34570.010271869687</v>
      </c>
      <c r="AB13" s="77">
        <v>36908.203526634556</v>
      </c>
      <c r="AC13" s="54">
        <v>73616.689282695166</v>
      </c>
      <c r="AD13" s="77">
        <v>35639.541691824023</v>
      </c>
      <c r="AE13" s="55">
        <v>37977.147590871144</v>
      </c>
    </row>
    <row r="14" spans="1:31" x14ac:dyDescent="0.2">
      <c r="A14" s="91" t="s">
        <v>68</v>
      </c>
      <c r="B14" s="54">
        <v>26995.149544816086</v>
      </c>
      <c r="C14" s="77">
        <v>13160.499224132102</v>
      </c>
      <c r="D14" s="55">
        <v>13834.650320683984</v>
      </c>
      <c r="E14" s="54">
        <v>27765.49603852713</v>
      </c>
      <c r="F14" s="77">
        <v>13550.77261549693</v>
      </c>
      <c r="G14" s="55">
        <v>14214.7234230302</v>
      </c>
      <c r="H14" s="77">
        <v>28572.393432337842</v>
      </c>
      <c r="I14" s="22">
        <v>13959.754468493302</v>
      </c>
      <c r="J14" s="77">
        <v>14612.638963844538</v>
      </c>
      <c r="K14" s="54">
        <v>29416.027622436319</v>
      </c>
      <c r="L14" s="77">
        <v>14387.577655718031</v>
      </c>
      <c r="M14" s="55">
        <v>15028.449966718286</v>
      </c>
      <c r="N14" s="77">
        <v>30297.832002051458</v>
      </c>
      <c r="O14" s="22">
        <v>14834.986263713281</v>
      </c>
      <c r="P14" s="77">
        <v>15462.845738338176</v>
      </c>
      <c r="Q14" s="54">
        <v>31210.958248376257</v>
      </c>
      <c r="R14" s="77">
        <v>15298.47245592314</v>
      </c>
      <c r="S14" s="55">
        <v>15912.485792453117</v>
      </c>
      <c r="T14" s="77">
        <v>32148.478565940502</v>
      </c>
      <c r="U14" s="22">
        <v>15774.554970311054</v>
      </c>
      <c r="V14" s="77">
        <v>16373.923595629449</v>
      </c>
      <c r="W14" s="54">
        <v>33112.091591376964</v>
      </c>
      <c r="X14" s="77">
        <v>16264.031042457913</v>
      </c>
      <c r="Y14" s="55">
        <v>16848.060548919049</v>
      </c>
      <c r="Z14" s="77">
        <v>34103.389914135834</v>
      </c>
      <c r="AA14" s="22">
        <v>16767.697907944606</v>
      </c>
      <c r="AB14" s="77">
        <v>17335.692006191228</v>
      </c>
      <c r="AC14" s="54">
        <v>35124.231492518629</v>
      </c>
      <c r="AD14" s="77">
        <v>17286.459100429478</v>
      </c>
      <c r="AE14" s="55">
        <v>17837.772392089151</v>
      </c>
    </row>
    <row r="15" spans="1:31" ht="12" customHeight="1" x14ac:dyDescent="0.2">
      <c r="A15" s="91" t="s">
        <v>69</v>
      </c>
      <c r="B15" s="54">
        <v>13013.383200559059</v>
      </c>
      <c r="C15" s="77">
        <v>6520.3003444380438</v>
      </c>
      <c r="D15" s="55">
        <v>6493.0828561210146</v>
      </c>
      <c r="E15" s="54">
        <v>13385.12364011749</v>
      </c>
      <c r="F15" s="77">
        <v>6713.6592501150362</v>
      </c>
      <c r="G15" s="55">
        <v>6671.464390002453</v>
      </c>
      <c r="H15" s="77">
        <v>13774.507166217998</v>
      </c>
      <c r="I15" s="22">
        <v>6916.2871650250809</v>
      </c>
      <c r="J15" s="77">
        <v>6858.2200011929172</v>
      </c>
      <c r="K15" s="54">
        <v>14181.62449570874</v>
      </c>
      <c r="L15" s="77">
        <v>7128.2499201996625</v>
      </c>
      <c r="M15" s="55">
        <v>7053.3745755090777</v>
      </c>
      <c r="N15" s="77">
        <v>14607.167797982724</v>
      </c>
      <c r="O15" s="22">
        <v>7349.9161694150962</v>
      </c>
      <c r="P15" s="77">
        <v>7257.2516285676274</v>
      </c>
      <c r="Q15" s="54">
        <v>15047.831327358619</v>
      </c>
      <c r="R15" s="77">
        <v>7579.5479734401833</v>
      </c>
      <c r="S15" s="55">
        <v>7468.2833539184358</v>
      </c>
      <c r="T15" s="77">
        <v>15500.272732728059</v>
      </c>
      <c r="U15" s="22">
        <v>7815.4205592500239</v>
      </c>
      <c r="V15" s="77">
        <v>7684.8521734780361</v>
      </c>
      <c r="W15" s="54">
        <v>15965.310059163323</v>
      </c>
      <c r="X15" s="77">
        <v>8057.9289130335274</v>
      </c>
      <c r="Y15" s="55">
        <v>7907.3811461297964</v>
      </c>
      <c r="Z15" s="77">
        <v>16443.711580103351</v>
      </c>
      <c r="AA15" s="22">
        <v>8307.4680209796006</v>
      </c>
      <c r="AB15" s="77">
        <v>8136.2435591237481</v>
      </c>
      <c r="AC15" s="54">
        <v>16936.372891262272</v>
      </c>
      <c r="AD15" s="77">
        <v>8564.4855341023431</v>
      </c>
      <c r="AE15" s="55">
        <v>8371.8873571599288</v>
      </c>
    </row>
    <row r="16" spans="1:31" x14ac:dyDescent="0.2">
      <c r="A16" s="91" t="s">
        <v>70</v>
      </c>
      <c r="B16" s="54">
        <v>21791.301261268076</v>
      </c>
      <c r="C16" s="77">
        <v>10543.441195545523</v>
      </c>
      <c r="D16" s="55">
        <v>11247.860065722551</v>
      </c>
      <c r="E16" s="54">
        <v>22412.973419560916</v>
      </c>
      <c r="F16" s="77">
        <v>10856.105972311434</v>
      </c>
      <c r="G16" s="55">
        <v>11556.867447249482</v>
      </c>
      <c r="H16" s="77">
        <v>23064.140005682268</v>
      </c>
      <c r="I16" s="22">
        <v>11183.758901252422</v>
      </c>
      <c r="J16" s="77">
        <v>11880.381104429847</v>
      </c>
      <c r="K16" s="54">
        <v>23744.950578865275</v>
      </c>
      <c r="L16" s="77">
        <v>11526.506432312914</v>
      </c>
      <c r="M16" s="55">
        <v>12218.444146552363</v>
      </c>
      <c r="N16" s="77">
        <v>24456.561679552047</v>
      </c>
      <c r="O16" s="22">
        <v>11884.94468518169</v>
      </c>
      <c r="P16" s="77">
        <v>12571.616994370357</v>
      </c>
      <c r="Q16" s="54">
        <v>25193.447144020553</v>
      </c>
      <c r="R16" s="77">
        <v>12256.263381325925</v>
      </c>
      <c r="S16" s="55">
        <v>12937.183762694629</v>
      </c>
      <c r="T16" s="77">
        <v>25950.015879960214</v>
      </c>
      <c r="U16" s="22">
        <v>12637.673532201676</v>
      </c>
      <c r="V16" s="77">
        <v>13312.34234775854</v>
      </c>
      <c r="W16" s="54">
        <v>26727.639444945784</v>
      </c>
      <c r="X16" s="77">
        <v>13029.813837475494</v>
      </c>
      <c r="Y16" s="55">
        <v>13697.825607470289</v>
      </c>
      <c r="Z16" s="77">
        <v>27527.603177974568</v>
      </c>
      <c r="AA16" s="22">
        <v>13433.322996813931</v>
      </c>
      <c r="AB16" s="77">
        <v>14094.280181160639</v>
      </c>
      <c r="AC16" s="54">
        <v>28351.40690586558</v>
      </c>
      <c r="AD16" s="77">
        <v>13848.92486983908</v>
      </c>
      <c r="AE16" s="55">
        <v>14502.482036026502</v>
      </c>
    </row>
    <row r="17" spans="1:255" x14ac:dyDescent="0.2">
      <c r="A17" s="91" t="s">
        <v>71</v>
      </c>
      <c r="B17" s="54">
        <v>31049.30091960459</v>
      </c>
      <c r="C17" s="77">
        <v>15289.24321823022</v>
      </c>
      <c r="D17" s="55">
        <v>15760.057701374371</v>
      </c>
      <c r="E17" s="54">
        <v>31935.670967942504</v>
      </c>
      <c r="F17" s="77">
        <v>15742.644316513703</v>
      </c>
      <c r="G17" s="55">
        <v>16193.026651428801</v>
      </c>
      <c r="H17" s="77">
        <v>32864.101239891068</v>
      </c>
      <c r="I17" s="22">
        <v>16217.780017356872</v>
      </c>
      <c r="J17" s="77">
        <v>16646.321222534196</v>
      </c>
      <c r="K17" s="54">
        <v>33834.806503559608</v>
      </c>
      <c r="L17" s="77">
        <v>16714.804685834726</v>
      </c>
      <c r="M17" s="55">
        <v>17120.001817724882</v>
      </c>
      <c r="N17" s="77">
        <v>34849.43644281436</v>
      </c>
      <c r="O17" s="22">
        <v>17234.582766367257</v>
      </c>
      <c r="P17" s="77">
        <v>17614.853676447106</v>
      </c>
      <c r="Q17" s="54">
        <v>35900.110428512802</v>
      </c>
      <c r="R17" s="77">
        <v>17773.039020974516</v>
      </c>
      <c r="S17" s="55">
        <v>18127.071407538286</v>
      </c>
      <c r="T17" s="77">
        <v>36978.857898458737</v>
      </c>
      <c r="U17" s="22">
        <v>18326.129084691565</v>
      </c>
      <c r="V17" s="77">
        <v>18652.728813767171</v>
      </c>
      <c r="W17" s="54">
        <v>38087.631894685721</v>
      </c>
      <c r="X17" s="77">
        <v>18894.779147968391</v>
      </c>
      <c r="Y17" s="55">
        <v>19192.852746717326</v>
      </c>
      <c r="Z17" s="77">
        <v>39228.264653158636</v>
      </c>
      <c r="AA17" s="22">
        <v>19479.915401254981</v>
      </c>
      <c r="AB17" s="77">
        <v>19748.349251903652</v>
      </c>
      <c r="AC17" s="54">
        <v>40402.893111005338</v>
      </c>
      <c r="AD17" s="77">
        <v>20082.587527061318</v>
      </c>
      <c r="AE17" s="55">
        <v>20320.305583944024</v>
      </c>
    </row>
    <row r="18" spans="1:255" ht="11.25" customHeight="1" x14ac:dyDescent="0.2">
      <c r="A18" s="91" t="s">
        <v>72</v>
      </c>
      <c r="B18" s="54">
        <v>46524.571203883977</v>
      </c>
      <c r="C18" s="77">
        <v>22991.089128264688</v>
      </c>
      <c r="D18" s="55">
        <v>23533.482075619289</v>
      </c>
      <c r="E18" s="54">
        <v>47852.894561107008</v>
      </c>
      <c r="F18" s="77">
        <v>23672.887757058776</v>
      </c>
      <c r="G18" s="55">
        <v>24180.006804048237</v>
      </c>
      <c r="H18" s="77">
        <v>49244.252114675182</v>
      </c>
      <c r="I18" s="22">
        <v>24387.369637566808</v>
      </c>
      <c r="J18" s="77">
        <v>24856.882477108371</v>
      </c>
      <c r="K18" s="54">
        <v>50698.966185927929</v>
      </c>
      <c r="L18" s="77">
        <v>25134.766895156077</v>
      </c>
      <c r="M18" s="55">
        <v>25564.199290771852</v>
      </c>
      <c r="N18" s="77">
        <v>52219.509224560112</v>
      </c>
      <c r="O18" s="22">
        <v>25916.379431883386</v>
      </c>
      <c r="P18" s="77">
        <v>26303.129792676729</v>
      </c>
      <c r="Q18" s="54">
        <v>53794.070774629414</v>
      </c>
      <c r="R18" s="77">
        <v>26726.079138052366</v>
      </c>
      <c r="S18" s="55">
        <v>27067.991636577048</v>
      </c>
      <c r="T18" s="77">
        <v>55410.706413322645</v>
      </c>
      <c r="U18" s="22">
        <v>27557.784329040114</v>
      </c>
      <c r="V18" s="77">
        <v>27852.922084282531</v>
      </c>
      <c r="W18" s="54">
        <v>57072.342224370223</v>
      </c>
      <c r="X18" s="77">
        <v>28412.887757050346</v>
      </c>
      <c r="Y18" s="55">
        <v>28659.454467319872</v>
      </c>
      <c r="Z18" s="77">
        <v>58781.723899558216</v>
      </c>
      <c r="AA18" s="22">
        <v>29292.782174286782</v>
      </c>
      <c r="AB18" s="77">
        <v>29488.941725271437</v>
      </c>
      <c r="AC18" s="54">
        <v>60542.05341888305</v>
      </c>
      <c r="AD18" s="77">
        <v>30199.04603324697</v>
      </c>
      <c r="AE18" s="55">
        <v>30343.007385636076</v>
      </c>
    </row>
    <row r="19" spans="1:255" ht="15" customHeight="1" thickBot="1" x14ac:dyDescent="0.25">
      <c r="A19" s="92" t="s">
        <v>73</v>
      </c>
      <c r="B19" s="56">
        <v>16374.650602988439</v>
      </c>
      <c r="C19" s="11">
        <v>8129.120690206666</v>
      </c>
      <c r="D19" s="57">
        <v>8245.5299127817725</v>
      </c>
      <c r="E19" s="56">
        <v>16842.244648412907</v>
      </c>
      <c r="F19" s="11">
        <v>8370.1890149373467</v>
      </c>
      <c r="G19" s="57">
        <v>8472.0556334755602</v>
      </c>
      <c r="H19" s="11">
        <v>17332.028934791724</v>
      </c>
      <c r="I19" s="11">
        <v>8622.8133862845607</v>
      </c>
      <c r="J19" s="11">
        <v>8709.2155485071635</v>
      </c>
      <c r="K19" s="56">
        <v>17844.117138680194</v>
      </c>
      <c r="L19" s="11">
        <v>8887.0758784430254</v>
      </c>
      <c r="M19" s="57">
        <v>8957.0412602371707</v>
      </c>
      <c r="N19" s="11">
        <v>18379.379706256397</v>
      </c>
      <c r="O19" s="11">
        <v>9163.4361069031747</v>
      </c>
      <c r="P19" s="11">
        <v>9215.9435993532225</v>
      </c>
      <c r="Q19" s="56">
        <v>18933.658930062691</v>
      </c>
      <c r="R19" s="11">
        <v>9449.7273129244059</v>
      </c>
      <c r="S19" s="57">
        <v>9483.9316171382852</v>
      </c>
      <c r="T19" s="11">
        <v>19502.75031275921</v>
      </c>
      <c r="U19" s="11">
        <v>9743.7991526050646</v>
      </c>
      <c r="V19" s="11">
        <v>9758.9511601541453</v>
      </c>
      <c r="W19" s="56">
        <v>20087.683539644266</v>
      </c>
      <c r="X19" s="11">
        <v>10046.144071113467</v>
      </c>
      <c r="Y19" s="57">
        <v>10041.539468530798</v>
      </c>
      <c r="Z19" s="11">
        <v>20689.425091294997</v>
      </c>
      <c r="AA19" s="11">
        <v>10357.254513617934</v>
      </c>
      <c r="AB19" s="11">
        <v>10332.170577677063</v>
      </c>
      <c r="AC19" s="56">
        <v>21309.101914726078</v>
      </c>
      <c r="AD19" s="11">
        <v>10677.688584642558</v>
      </c>
      <c r="AE19" s="57">
        <v>10631.41333008352</v>
      </c>
    </row>
    <row r="20" spans="1:255" s="45" customFormat="1" ht="12" customHeight="1" x14ac:dyDescent="0.2">
      <c r="A20" s="43" t="s">
        <v>195</v>
      </c>
      <c r="B20" s="44"/>
      <c r="C20" s="44"/>
      <c r="D20" s="44"/>
      <c r="E20" s="44"/>
      <c r="F20" s="44"/>
      <c r="G20" s="44"/>
      <c r="AC20" s="44"/>
      <c r="AD20" s="44"/>
      <c r="AE20" s="44"/>
      <c r="AF20" s="44"/>
      <c r="AG20" s="44"/>
      <c r="AH20" s="44"/>
      <c r="AI20" s="44"/>
      <c r="AJ20" s="44"/>
      <c r="AK20" s="44"/>
      <c r="AL20" s="46"/>
      <c r="AM20" s="46"/>
      <c r="AN20" s="46"/>
      <c r="AO20" s="46"/>
      <c r="AP20" s="44"/>
      <c r="AQ20" s="44"/>
      <c r="AR20" s="46"/>
      <c r="AS20" s="44"/>
      <c r="AT20" s="44"/>
      <c r="BD20" s="47"/>
      <c r="CW20" s="48"/>
      <c r="CX20" s="48"/>
      <c r="CY20" s="48"/>
      <c r="CZ20" s="48"/>
      <c r="DA20" s="48"/>
      <c r="DB20" s="48"/>
      <c r="DC20" s="48"/>
      <c r="DD20" s="48"/>
      <c r="DE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GI20" s="47"/>
      <c r="IK20" s="47"/>
      <c r="IL20" s="47"/>
      <c r="IT20" s="47"/>
      <c r="IU20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33" sqref="M33"/>
    </sheetView>
  </sheetViews>
  <sheetFormatPr defaultColWidth="9.140625" defaultRowHeight="12" x14ac:dyDescent="0.2"/>
  <cols>
    <col min="1" max="1" width="21.5703125" style="45" customWidth="1"/>
    <col min="2" max="2" width="10.28515625" style="45" customWidth="1"/>
    <col min="3" max="3" width="10.7109375" style="45" customWidth="1"/>
    <col min="4" max="4" width="10.140625" style="45" customWidth="1"/>
    <col min="5" max="5" width="10.85546875" style="45" customWidth="1"/>
    <col min="6" max="6" width="10" style="45" customWidth="1"/>
    <col min="7" max="8" width="10.28515625" style="45" customWidth="1"/>
    <col min="9" max="10" width="9.5703125" style="45" customWidth="1"/>
    <col min="11" max="12" width="7.7109375" style="45" customWidth="1"/>
    <col min="13" max="16384" width="9.140625" style="45"/>
  </cols>
  <sheetData>
    <row r="2" spans="1:255" ht="15" customHeight="1" thickBot="1" x14ac:dyDescent="0.25">
      <c r="A2" s="144" t="s">
        <v>184</v>
      </c>
      <c r="B2" s="145"/>
      <c r="C2" s="145"/>
      <c r="D2" s="145"/>
      <c r="E2" s="144"/>
      <c r="F2" s="144"/>
      <c r="G2" s="144"/>
      <c r="H2" s="94"/>
      <c r="I2" s="94"/>
      <c r="J2" s="94"/>
      <c r="K2" s="94"/>
    </row>
    <row r="3" spans="1:255" ht="12.75" thickBot="1" x14ac:dyDescent="0.25">
      <c r="A3" s="145" t="s">
        <v>7</v>
      </c>
      <c r="B3" s="146">
        <v>2015</v>
      </c>
      <c r="C3" s="147"/>
      <c r="D3" s="148"/>
      <c r="E3" s="146">
        <v>2016</v>
      </c>
      <c r="F3" s="147"/>
      <c r="G3" s="148"/>
      <c r="H3" s="146">
        <v>2017</v>
      </c>
      <c r="I3" s="147"/>
      <c r="J3" s="148"/>
      <c r="K3" s="146">
        <v>2018</v>
      </c>
      <c r="L3" s="147"/>
      <c r="M3" s="148"/>
      <c r="N3" s="146">
        <v>2019</v>
      </c>
      <c r="O3" s="147"/>
      <c r="P3" s="148"/>
      <c r="Q3" s="146">
        <v>2020</v>
      </c>
      <c r="R3" s="147"/>
      <c r="S3" s="148"/>
      <c r="T3" s="146">
        <v>2021</v>
      </c>
      <c r="U3" s="147"/>
      <c r="V3" s="148"/>
      <c r="W3" s="146">
        <v>2022</v>
      </c>
      <c r="X3" s="147"/>
      <c r="Y3" s="148"/>
      <c r="Z3" s="146">
        <v>2023</v>
      </c>
      <c r="AA3" s="147"/>
      <c r="AB3" s="148"/>
      <c r="AC3" s="146">
        <v>2024</v>
      </c>
      <c r="AD3" s="147"/>
      <c r="AE3" s="148"/>
    </row>
    <row r="4" spans="1:255" x14ac:dyDescent="0.2">
      <c r="A4" s="145"/>
      <c r="B4" s="95" t="s">
        <v>0</v>
      </c>
      <c r="C4" s="96" t="s">
        <v>1</v>
      </c>
      <c r="D4" s="97" t="s">
        <v>2</v>
      </c>
      <c r="E4" s="95" t="s">
        <v>0</v>
      </c>
      <c r="F4" s="96" t="s">
        <v>1</v>
      </c>
      <c r="G4" s="97" t="s">
        <v>2</v>
      </c>
      <c r="H4" s="95" t="s">
        <v>0</v>
      </c>
      <c r="I4" s="96" t="s">
        <v>1</v>
      </c>
      <c r="J4" s="97" t="s">
        <v>2</v>
      </c>
      <c r="K4" s="95" t="s">
        <v>0</v>
      </c>
      <c r="L4" s="96" t="s">
        <v>1</v>
      </c>
      <c r="M4" s="97" t="s">
        <v>2</v>
      </c>
      <c r="N4" s="95" t="s">
        <v>0</v>
      </c>
      <c r="O4" s="96" t="s">
        <v>1</v>
      </c>
      <c r="P4" s="97" t="s">
        <v>2</v>
      </c>
      <c r="Q4" s="95" t="s">
        <v>0</v>
      </c>
      <c r="R4" s="96" t="s">
        <v>1</v>
      </c>
      <c r="S4" s="97" t="s">
        <v>2</v>
      </c>
      <c r="T4" s="95" t="s">
        <v>0</v>
      </c>
      <c r="U4" s="96" t="s">
        <v>1</v>
      </c>
      <c r="V4" s="97" t="s">
        <v>2</v>
      </c>
      <c r="W4" s="95" t="s">
        <v>0</v>
      </c>
      <c r="X4" s="96" t="s">
        <v>1</v>
      </c>
      <c r="Y4" s="97" t="s">
        <v>2</v>
      </c>
      <c r="Z4" s="95" t="s">
        <v>0</v>
      </c>
      <c r="AA4" s="96" t="s">
        <v>1</v>
      </c>
      <c r="AB4" s="97" t="s">
        <v>2</v>
      </c>
      <c r="AC4" s="95" t="s">
        <v>0</v>
      </c>
      <c r="AD4" s="96" t="s">
        <v>1</v>
      </c>
      <c r="AE4" s="97" t="s">
        <v>2</v>
      </c>
    </row>
    <row r="5" spans="1:255" ht="12.75" thickBot="1" x14ac:dyDescent="0.25">
      <c r="A5" s="98" t="s">
        <v>74</v>
      </c>
      <c r="B5" s="99">
        <v>890672.99999999988</v>
      </c>
      <c r="C5" s="100">
        <v>457759.00000000006</v>
      </c>
      <c r="D5" s="101">
        <v>432913.99999999994</v>
      </c>
      <c r="E5" s="99">
        <v>916998</v>
      </c>
      <c r="F5" s="100">
        <v>470540.00000000006</v>
      </c>
      <c r="G5" s="101">
        <v>446457.99999999994</v>
      </c>
      <c r="H5" s="99">
        <v>944164.99999999988</v>
      </c>
      <c r="I5" s="100">
        <v>483738.99999999988</v>
      </c>
      <c r="J5" s="101">
        <v>460425.99999999988</v>
      </c>
      <c r="K5" s="99">
        <v>972182.99999999988</v>
      </c>
      <c r="L5" s="100">
        <v>497360</v>
      </c>
      <c r="M5" s="101">
        <v>474823</v>
      </c>
      <c r="N5" s="99">
        <v>1001089.9999999999</v>
      </c>
      <c r="O5" s="100">
        <v>511420</v>
      </c>
      <c r="P5" s="101">
        <v>489669.99999999988</v>
      </c>
      <c r="Q5" s="99">
        <v>1030631</v>
      </c>
      <c r="R5" s="100">
        <v>525791</v>
      </c>
      <c r="S5" s="101">
        <v>504839.99999999994</v>
      </c>
      <c r="T5" s="99">
        <v>1060550.9999999998</v>
      </c>
      <c r="U5" s="100">
        <v>540345.00000000012</v>
      </c>
      <c r="V5" s="101">
        <v>520205.99999999994</v>
      </c>
      <c r="W5" s="99">
        <v>1090896.9999999998</v>
      </c>
      <c r="X5" s="100">
        <v>555105</v>
      </c>
      <c r="Y5" s="101">
        <v>535791.99999999988</v>
      </c>
      <c r="Z5" s="99">
        <v>1121714.9999999998</v>
      </c>
      <c r="AA5" s="100">
        <v>570093.00000000012</v>
      </c>
      <c r="AB5" s="101">
        <v>551622</v>
      </c>
      <c r="AC5" s="99">
        <v>1153059.9999999998</v>
      </c>
      <c r="AD5" s="100">
        <v>585336</v>
      </c>
      <c r="AE5" s="101">
        <v>567723.99999999988</v>
      </c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</row>
    <row r="6" spans="1:255" x14ac:dyDescent="0.2">
      <c r="A6" s="103" t="s">
        <v>75</v>
      </c>
      <c r="B6" s="104">
        <v>159320.17831275024</v>
      </c>
      <c r="C6" s="44">
        <v>85581.953372731223</v>
      </c>
      <c r="D6" s="105">
        <v>73738.224940019034</v>
      </c>
      <c r="E6" s="104">
        <v>164016.64438442481</v>
      </c>
      <c r="F6" s="44">
        <v>87971.470446249979</v>
      </c>
      <c r="G6" s="105">
        <v>76045.173938174834</v>
      </c>
      <c r="H6" s="104">
        <v>168863.4790286253</v>
      </c>
      <c r="I6" s="44">
        <v>90439.136188631193</v>
      </c>
      <c r="J6" s="105">
        <v>78424.342839994089</v>
      </c>
      <c r="K6" s="104">
        <v>173862.28172931081</v>
      </c>
      <c r="L6" s="44">
        <v>92985.698434026635</v>
      </c>
      <c r="M6" s="105">
        <v>80876.583295284188</v>
      </c>
      <c r="N6" s="104">
        <v>179019.80771081743</v>
      </c>
      <c r="O6" s="44">
        <v>95614.335477581437</v>
      </c>
      <c r="P6" s="105">
        <v>83405.472233235982</v>
      </c>
      <c r="Q6" s="104">
        <v>184290.49437518092</v>
      </c>
      <c r="R6" s="44">
        <v>98301.11662643819</v>
      </c>
      <c r="S6" s="105">
        <v>85989.377748742729</v>
      </c>
      <c r="T6" s="104">
        <v>189628.77912443719</v>
      </c>
      <c r="U6" s="44">
        <v>101022.11118773952</v>
      </c>
      <c r="V6" s="105">
        <v>88606.66793669769</v>
      </c>
      <c r="W6" s="104">
        <v>195043.04992403433</v>
      </c>
      <c r="X6" s="44">
        <v>103781.6192078582</v>
      </c>
      <c r="Y6" s="105">
        <v>91261.430716176139</v>
      </c>
      <c r="Z6" s="104">
        <v>200541.50778088253</v>
      </c>
      <c r="AA6" s="44">
        <v>106583.75377462913</v>
      </c>
      <c r="AB6" s="105">
        <v>93957.754006253395</v>
      </c>
      <c r="AC6" s="104">
        <v>206133.96981442752</v>
      </c>
      <c r="AD6" s="44">
        <v>109433.56276857691</v>
      </c>
      <c r="AE6" s="105">
        <v>96700.407045850603</v>
      </c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  <c r="IK6" s="102"/>
      <c r="IL6" s="102"/>
      <c r="IM6" s="102"/>
      <c r="IN6" s="102"/>
      <c r="IO6" s="102"/>
      <c r="IP6" s="102"/>
      <c r="IQ6" s="102"/>
      <c r="IR6" s="102"/>
      <c r="IS6" s="102"/>
    </row>
    <row r="7" spans="1:255" x14ac:dyDescent="0.2">
      <c r="A7" s="103" t="s">
        <v>76</v>
      </c>
      <c r="B7" s="104">
        <v>124041.33800248368</v>
      </c>
      <c r="C7" s="44">
        <v>63874.310850081194</v>
      </c>
      <c r="D7" s="105">
        <v>60167.027152402487</v>
      </c>
      <c r="E7" s="104">
        <v>127707.12533655959</v>
      </c>
      <c r="F7" s="44">
        <v>65657.733059092687</v>
      </c>
      <c r="G7" s="105">
        <v>62049.392277466904</v>
      </c>
      <c r="H7" s="104">
        <v>131490.1672767534</v>
      </c>
      <c r="I7" s="44">
        <v>67499.481727956038</v>
      </c>
      <c r="J7" s="105">
        <v>63990.685548797373</v>
      </c>
      <c r="K7" s="104">
        <v>135391.71687839154</v>
      </c>
      <c r="L7" s="44">
        <v>69400.115004612438</v>
      </c>
      <c r="M7" s="105">
        <v>65991.601873779102</v>
      </c>
      <c r="N7" s="104">
        <v>139417.06488124182</v>
      </c>
      <c r="O7" s="44">
        <v>71362.005017811825</v>
      </c>
      <c r="P7" s="105">
        <v>68055.059863429982</v>
      </c>
      <c r="Q7" s="104">
        <v>143530.69990360251</v>
      </c>
      <c r="R7" s="44">
        <v>73367.291033436908</v>
      </c>
      <c r="S7" s="105">
        <v>70163.4088701656</v>
      </c>
      <c r="T7" s="104">
        <v>147697.11056377189</v>
      </c>
      <c r="U7" s="44">
        <v>75398.112317370324</v>
      </c>
      <c r="V7" s="105">
        <v>72298.998246401563</v>
      </c>
      <c r="W7" s="104">
        <v>151922.84176786069</v>
      </c>
      <c r="X7" s="44">
        <v>77457.67822027381</v>
      </c>
      <c r="Y7" s="105">
        <v>74465.163547586897</v>
      </c>
      <c r="Z7" s="104">
        <v>156214.29888499438</v>
      </c>
      <c r="AA7" s="44">
        <v>79549.05855582378</v>
      </c>
      <c r="AB7" s="105">
        <v>76665.2403291706</v>
      </c>
      <c r="AC7" s="104">
        <v>160579.14089513299</v>
      </c>
      <c r="AD7" s="44">
        <v>81676.020822623104</v>
      </c>
      <c r="AE7" s="105">
        <v>78903.12007250989</v>
      </c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  <c r="IK7" s="102"/>
      <c r="IL7" s="102"/>
      <c r="IM7" s="102"/>
      <c r="IN7" s="102"/>
      <c r="IO7" s="102"/>
      <c r="IP7" s="102"/>
      <c r="IQ7" s="102"/>
      <c r="IR7" s="102"/>
      <c r="IS7" s="102"/>
    </row>
    <row r="8" spans="1:255" x14ac:dyDescent="0.2">
      <c r="A8" s="103" t="s">
        <v>77</v>
      </c>
      <c r="B8" s="104">
        <v>201505.15538971312</v>
      </c>
      <c r="C8" s="44">
        <v>100508.74712777448</v>
      </c>
      <c r="D8" s="105">
        <v>100996.40826193865</v>
      </c>
      <c r="E8" s="104">
        <v>207471.17980860264</v>
      </c>
      <c r="F8" s="44">
        <v>103315.03230630748</v>
      </c>
      <c r="G8" s="105">
        <v>104156.14750229516</v>
      </c>
      <c r="H8" s="104">
        <v>213627.90003433902</v>
      </c>
      <c r="I8" s="44">
        <v>106213.09646963248</v>
      </c>
      <c r="J8" s="105">
        <v>107414.80356470654</v>
      </c>
      <c r="K8" s="104">
        <v>219977.36080667755</v>
      </c>
      <c r="L8" s="44">
        <v>109203.81788554658</v>
      </c>
      <c r="M8" s="105">
        <v>110773.54292113098</v>
      </c>
      <c r="N8" s="104">
        <v>226528.19394598011</v>
      </c>
      <c r="O8" s="44">
        <v>112290.92919218721</v>
      </c>
      <c r="P8" s="105">
        <v>114237.2647537929</v>
      </c>
      <c r="Q8" s="104">
        <v>233222.66649500286</v>
      </c>
      <c r="R8" s="44">
        <v>115446.32582004869</v>
      </c>
      <c r="S8" s="105">
        <v>117776.34067495418</v>
      </c>
      <c r="T8" s="104">
        <v>240003.04549650202</v>
      </c>
      <c r="U8" s="44">
        <v>118641.90319962535</v>
      </c>
      <c r="V8" s="105">
        <v>121361.14229687666</v>
      </c>
      <c r="W8" s="104">
        <v>246879.98005570989</v>
      </c>
      <c r="X8" s="44">
        <v>121882.71137075023</v>
      </c>
      <c r="Y8" s="105">
        <v>124997.26868495968</v>
      </c>
      <c r="Z8" s="104">
        <v>253863.8997109097</v>
      </c>
      <c r="AA8" s="44">
        <v>125173.5808063071</v>
      </c>
      <c r="AB8" s="105">
        <v>128690.31890460258</v>
      </c>
      <c r="AC8" s="104">
        <v>260967.26501269737</v>
      </c>
      <c r="AD8" s="44">
        <v>128520.4398139261</v>
      </c>
      <c r="AE8" s="105">
        <v>132446.82519877126</v>
      </c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  <c r="IK8" s="102"/>
      <c r="IL8" s="102"/>
      <c r="IM8" s="102"/>
      <c r="IN8" s="102"/>
      <c r="IO8" s="102"/>
      <c r="IP8" s="102"/>
      <c r="IQ8" s="102"/>
      <c r="IR8" s="102"/>
      <c r="IS8" s="102"/>
    </row>
    <row r="9" spans="1:255" x14ac:dyDescent="0.2">
      <c r="A9" s="103" t="s">
        <v>78</v>
      </c>
      <c r="B9" s="104">
        <v>21689.846345860868</v>
      </c>
      <c r="C9" s="44">
        <v>10683.456382213717</v>
      </c>
      <c r="D9" s="105">
        <v>11006.389963647151</v>
      </c>
      <c r="E9" s="104">
        <v>22332.479222271297</v>
      </c>
      <c r="F9" s="44">
        <v>10981.747089815475</v>
      </c>
      <c r="G9" s="105">
        <v>11350.732132455822</v>
      </c>
      <c r="H9" s="104">
        <v>22995.647396225067</v>
      </c>
      <c r="I9" s="44">
        <v>11289.793334212283</v>
      </c>
      <c r="J9" s="105">
        <v>11705.854062012786</v>
      </c>
      <c r="K9" s="104">
        <v>23679.571341961419</v>
      </c>
      <c r="L9" s="44">
        <v>11607.688469823233</v>
      </c>
      <c r="M9" s="105">
        <v>12071.882872138187</v>
      </c>
      <c r="N9" s="104">
        <v>24385.181719006097</v>
      </c>
      <c r="O9" s="44">
        <v>11935.829252929465</v>
      </c>
      <c r="P9" s="105">
        <v>12449.352466076634</v>
      </c>
      <c r="Q9" s="104">
        <v>25106.262342516497</v>
      </c>
      <c r="R9" s="44">
        <v>12271.22834212005</v>
      </c>
      <c r="S9" s="105">
        <v>12835.034000396447</v>
      </c>
      <c r="T9" s="104">
        <v>25836.597027650008</v>
      </c>
      <c r="U9" s="44">
        <v>12610.898395984066</v>
      </c>
      <c r="V9" s="105">
        <v>13225.698631665942</v>
      </c>
      <c r="W9" s="104">
        <v>26577.332737453107</v>
      </c>
      <c r="X9" s="44">
        <v>12955.376202431291</v>
      </c>
      <c r="Y9" s="105">
        <v>13621.956535021816</v>
      </c>
      <c r="Z9" s="104">
        <v>27329.593096367484</v>
      </c>
      <c r="AA9" s="44">
        <v>13305.175210766722</v>
      </c>
      <c r="AB9" s="105">
        <v>14024.417885600762</v>
      </c>
      <c r="AC9" s="104">
        <v>28094.720117714827</v>
      </c>
      <c r="AD9" s="44">
        <v>13660.925563319232</v>
      </c>
      <c r="AE9" s="105">
        <v>14433.794554395596</v>
      </c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  <c r="IK9" s="102"/>
      <c r="IL9" s="102"/>
      <c r="IM9" s="102"/>
      <c r="IN9" s="102"/>
      <c r="IO9" s="102"/>
      <c r="IP9" s="102"/>
      <c r="IQ9" s="102"/>
      <c r="IR9" s="102"/>
      <c r="IS9" s="102"/>
    </row>
    <row r="10" spans="1:255" x14ac:dyDescent="0.2">
      <c r="A10" s="103" t="s">
        <v>79</v>
      </c>
      <c r="B10" s="104">
        <v>29082.426496126314</v>
      </c>
      <c r="C10" s="44">
        <v>14599.127118594321</v>
      </c>
      <c r="D10" s="105">
        <v>14483.299377531994</v>
      </c>
      <c r="E10" s="104">
        <v>29943.165457588555</v>
      </c>
      <c r="F10" s="44">
        <v>15006.746507186908</v>
      </c>
      <c r="G10" s="105">
        <v>14936.418950401647</v>
      </c>
      <c r="H10" s="104">
        <v>30831.420606256463</v>
      </c>
      <c r="I10" s="44">
        <v>15427.69700480318</v>
      </c>
      <c r="J10" s="105">
        <v>15403.723601453281</v>
      </c>
      <c r="K10" s="104">
        <v>31747.48678941666</v>
      </c>
      <c r="L10" s="44">
        <v>15862.106181864412</v>
      </c>
      <c r="M10" s="105">
        <v>15885.380607552246</v>
      </c>
      <c r="N10" s="104">
        <v>32692.608744194076</v>
      </c>
      <c r="O10" s="44">
        <v>16310.516212661047</v>
      </c>
      <c r="P10" s="105">
        <v>16382.092531533031</v>
      </c>
      <c r="Q10" s="104">
        <v>33658.4553847278</v>
      </c>
      <c r="R10" s="44">
        <v>16768.844843712144</v>
      </c>
      <c r="S10" s="105">
        <v>16889.610541015656</v>
      </c>
      <c r="T10" s="104">
        <v>34636.695625156906</v>
      </c>
      <c r="U10" s="44">
        <v>17233.009821536765</v>
      </c>
      <c r="V10" s="105">
        <v>17403.685803620137</v>
      </c>
      <c r="W10" s="104">
        <v>35628.865924357444</v>
      </c>
      <c r="X10" s="44">
        <v>17703.744676057271</v>
      </c>
      <c r="Y10" s="105">
        <v>17925.121248300173</v>
      </c>
      <c r="Z10" s="104">
        <v>36636.470848600162</v>
      </c>
      <c r="AA10" s="44">
        <v>18181.751044590696</v>
      </c>
      <c r="AB10" s="105">
        <v>18454.719804009463</v>
      </c>
      <c r="AC10" s="104">
        <v>37661.308248674657</v>
      </c>
      <c r="AD10" s="44">
        <v>18667.890027480673</v>
      </c>
      <c r="AE10" s="105">
        <v>18993.418221193984</v>
      </c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2"/>
      <c r="IL10" s="102"/>
      <c r="IM10" s="102"/>
      <c r="IN10" s="102"/>
      <c r="IO10" s="102"/>
      <c r="IP10" s="102"/>
      <c r="IQ10" s="102"/>
      <c r="IR10" s="102"/>
      <c r="IS10" s="102"/>
    </row>
    <row r="11" spans="1:255" x14ac:dyDescent="0.2">
      <c r="A11" s="103" t="s">
        <v>80</v>
      </c>
      <c r="B11" s="104">
        <v>189759.65338547589</v>
      </c>
      <c r="C11" s="44">
        <v>96263.232567941246</v>
      </c>
      <c r="D11" s="105">
        <v>93496.420817534643</v>
      </c>
      <c r="E11" s="104">
        <v>195372.49756464246</v>
      </c>
      <c r="F11" s="44">
        <v>98950.979560246924</v>
      </c>
      <c r="G11" s="105">
        <v>96421.518004395519</v>
      </c>
      <c r="H11" s="104">
        <v>201164.81522594279</v>
      </c>
      <c r="I11" s="44">
        <v>101726.6287701243</v>
      </c>
      <c r="J11" s="105">
        <v>99438.18645581849</v>
      </c>
      <c r="K11" s="104">
        <v>207138.527388741</v>
      </c>
      <c r="L11" s="44">
        <v>104591.02136711949</v>
      </c>
      <c r="M11" s="105">
        <v>102547.50602162151</v>
      </c>
      <c r="N11" s="104">
        <v>213301.74439284357</v>
      </c>
      <c r="O11" s="44">
        <v>107547.73232180363</v>
      </c>
      <c r="P11" s="105">
        <v>105754.01207103995</v>
      </c>
      <c r="Q11" s="104">
        <v>219600.12062739811</v>
      </c>
      <c r="R11" s="44">
        <v>110569.84420870019</v>
      </c>
      <c r="S11" s="105">
        <v>109030.27641869792</v>
      </c>
      <c r="T11" s="104">
        <v>225979.31048155218</v>
      </c>
      <c r="U11" s="44">
        <v>113630.43960233268</v>
      </c>
      <c r="V11" s="105">
        <v>112348.8708792195</v>
      </c>
      <c r="W11" s="104">
        <v>232449.33395932225</v>
      </c>
      <c r="X11" s="44">
        <v>116734.35522759143</v>
      </c>
      <c r="Y11" s="105">
        <v>115714.97873173084</v>
      </c>
      <c r="Z11" s="104">
        <v>239020.00077233827</v>
      </c>
      <c r="AA11" s="44">
        <v>119886.21751698018</v>
      </c>
      <c r="AB11" s="105">
        <v>119133.7832553581</v>
      </c>
      <c r="AC11" s="104">
        <v>245703.03597401717</v>
      </c>
      <c r="AD11" s="44">
        <v>123091.70436493537</v>
      </c>
      <c r="AE11" s="105">
        <v>122611.33160908181</v>
      </c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  <c r="IK11" s="102"/>
      <c r="IL11" s="102"/>
      <c r="IM11" s="102"/>
      <c r="IN11" s="102"/>
      <c r="IO11" s="102"/>
      <c r="IP11" s="102"/>
      <c r="IQ11" s="102"/>
      <c r="IR11" s="102"/>
      <c r="IS11" s="102"/>
    </row>
    <row r="12" spans="1:255" x14ac:dyDescent="0.2">
      <c r="A12" s="103" t="s">
        <v>81</v>
      </c>
      <c r="B12" s="104">
        <v>21304.610703097933</v>
      </c>
      <c r="C12" s="44">
        <v>10578.951408432245</v>
      </c>
      <c r="D12" s="105">
        <v>10725.659294665687</v>
      </c>
      <c r="E12" s="104">
        <v>21935.542872339691</v>
      </c>
      <c r="F12" s="44">
        <v>10874.324252988381</v>
      </c>
      <c r="G12" s="105">
        <v>11061.218619351312</v>
      </c>
      <c r="H12" s="104">
        <v>22586.639960779117</v>
      </c>
      <c r="I12" s="44">
        <v>11179.357206223374</v>
      </c>
      <c r="J12" s="105">
        <v>11407.282754555741</v>
      </c>
      <c r="K12" s="104">
        <v>23258.11828713011</v>
      </c>
      <c r="L12" s="44">
        <v>11494.142709368602</v>
      </c>
      <c r="M12" s="105">
        <v>11763.975577761508</v>
      </c>
      <c r="N12" s="104">
        <v>23950.891012052667</v>
      </c>
      <c r="O12" s="44">
        <v>11819.073637657411</v>
      </c>
      <c r="P12" s="105">
        <v>12131.817374395256</v>
      </c>
      <c r="Q12" s="104">
        <v>24658.853528086391</v>
      </c>
      <c r="R12" s="44">
        <v>12151.191871685753</v>
      </c>
      <c r="S12" s="105">
        <v>12507.661656400638</v>
      </c>
      <c r="T12" s="104">
        <v>25375.90122777089</v>
      </c>
      <c r="U12" s="44">
        <v>12487.539292049574</v>
      </c>
      <c r="V12" s="105">
        <v>12888.361935721317</v>
      </c>
      <c r="W12" s="104">
        <v>26103.160260102748</v>
      </c>
      <c r="X12" s="44">
        <v>12828.647435829293</v>
      </c>
      <c r="Y12" s="105">
        <v>13274.512824273454</v>
      </c>
      <c r="Z12" s="104">
        <v>26841.733663770683</v>
      </c>
      <c r="AA12" s="44">
        <v>13175.024729797478</v>
      </c>
      <c r="AB12" s="105">
        <v>13666.708933973205</v>
      </c>
      <c r="AC12" s="104">
        <v>27592.939130988678</v>
      </c>
      <c r="AD12" s="44">
        <v>13527.295152265922</v>
      </c>
      <c r="AE12" s="105">
        <v>14065.643978722755</v>
      </c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  <c r="IF12" s="102"/>
      <c r="IG12" s="102"/>
      <c r="IH12" s="102"/>
      <c r="II12" s="102"/>
      <c r="IJ12" s="102"/>
      <c r="IK12" s="102"/>
      <c r="IL12" s="102"/>
      <c r="IM12" s="102"/>
      <c r="IN12" s="102"/>
      <c r="IO12" s="102"/>
      <c r="IP12" s="102"/>
      <c r="IQ12" s="102"/>
      <c r="IR12" s="102"/>
      <c r="IS12" s="102"/>
    </row>
    <row r="13" spans="1:255" s="108" customFormat="1" x14ac:dyDescent="0.25">
      <c r="A13" s="106" t="s">
        <v>82</v>
      </c>
      <c r="B13" s="104">
        <v>60183.225098636052</v>
      </c>
      <c r="C13" s="44">
        <v>31181.671552094907</v>
      </c>
      <c r="D13" s="105">
        <v>29001.553546541145</v>
      </c>
      <c r="E13" s="104">
        <v>61961.175214318559</v>
      </c>
      <c r="F13" s="44">
        <v>32052.288938333793</v>
      </c>
      <c r="G13" s="105">
        <v>29908.886275984762</v>
      </c>
      <c r="H13" s="104">
        <v>63796.003085582357</v>
      </c>
      <c r="I13" s="44">
        <v>32951.379688741981</v>
      </c>
      <c r="J13" s="105">
        <v>30844.623396840372</v>
      </c>
      <c r="K13" s="104">
        <v>65688.31614225774</v>
      </c>
      <c r="L13" s="44">
        <v>33879.21627570386</v>
      </c>
      <c r="M13" s="105">
        <v>31809.099866553879</v>
      </c>
      <c r="N13" s="104">
        <v>67640.679213251162</v>
      </c>
      <c r="O13" s="44">
        <v>34836.956706853125</v>
      </c>
      <c r="P13" s="105">
        <v>32803.722506398044</v>
      </c>
      <c r="Q13" s="104">
        <v>69635.86526313622</v>
      </c>
      <c r="R13" s="44">
        <v>35815.88186588911</v>
      </c>
      <c r="S13" s="105">
        <v>33819.983397247102</v>
      </c>
      <c r="T13" s="104">
        <v>71656.647256486467</v>
      </c>
      <c r="U13" s="44">
        <v>36807.272636511181</v>
      </c>
      <c r="V13" s="105">
        <v>34849.374619975293</v>
      </c>
      <c r="W13" s="104">
        <v>73706.199705252526</v>
      </c>
      <c r="X13" s="44">
        <v>37812.695734929614</v>
      </c>
      <c r="Y13" s="105">
        <v>35893.503970322912</v>
      </c>
      <c r="Z13" s="104">
        <v>75787.629003288836</v>
      </c>
      <c r="AA13" s="44">
        <v>38833.649759258566</v>
      </c>
      <c r="AB13" s="105">
        <v>36953.97924403027</v>
      </c>
      <c r="AC13" s="104">
        <v>77904.650100887098</v>
      </c>
      <c r="AD13" s="44">
        <v>39871.973898092721</v>
      </c>
      <c r="AE13" s="105">
        <v>38032.676202794377</v>
      </c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7"/>
      <c r="CN13" s="107"/>
      <c r="CO13" s="107"/>
      <c r="CP13" s="107"/>
      <c r="CQ13" s="107"/>
      <c r="CR13" s="107"/>
      <c r="CS13" s="107"/>
      <c r="CT13" s="107"/>
      <c r="CU13" s="107"/>
      <c r="CV13" s="107"/>
      <c r="CW13" s="107"/>
      <c r="CX13" s="107"/>
      <c r="CY13" s="107"/>
      <c r="CZ13" s="107"/>
      <c r="DA13" s="107"/>
      <c r="DB13" s="107"/>
      <c r="DC13" s="107"/>
      <c r="DD13" s="107"/>
      <c r="DE13" s="107"/>
      <c r="DF13" s="107"/>
      <c r="DG13" s="107"/>
      <c r="DH13" s="107"/>
      <c r="DI13" s="107"/>
      <c r="DJ13" s="107"/>
      <c r="DK13" s="107"/>
      <c r="DL13" s="107"/>
      <c r="DM13" s="107"/>
      <c r="DN13" s="107"/>
      <c r="DO13" s="107"/>
      <c r="DP13" s="107"/>
      <c r="DQ13" s="107"/>
      <c r="DR13" s="107"/>
      <c r="DS13" s="107"/>
      <c r="DT13" s="107"/>
      <c r="DU13" s="107"/>
      <c r="DV13" s="107"/>
      <c r="DW13" s="107"/>
      <c r="DX13" s="107"/>
      <c r="DY13" s="107"/>
      <c r="DZ13" s="107"/>
      <c r="EA13" s="107"/>
      <c r="EB13" s="107"/>
      <c r="EC13" s="107"/>
      <c r="ED13" s="107"/>
      <c r="EE13" s="107"/>
      <c r="EF13" s="107"/>
      <c r="EG13" s="107"/>
      <c r="EH13" s="107"/>
      <c r="EI13" s="107"/>
      <c r="EJ13" s="107"/>
      <c r="EK13" s="107"/>
      <c r="EL13" s="107"/>
      <c r="EM13" s="107"/>
      <c r="EN13" s="107"/>
      <c r="EO13" s="107"/>
      <c r="EP13" s="107"/>
      <c r="EQ13" s="107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/>
      <c r="FB13" s="107"/>
      <c r="FC13" s="107"/>
      <c r="FD13" s="107"/>
      <c r="FE13" s="107"/>
      <c r="FF13" s="107"/>
      <c r="FG13" s="107"/>
      <c r="FH13" s="107"/>
      <c r="FI13" s="107"/>
      <c r="FJ13" s="107"/>
      <c r="FK13" s="107"/>
      <c r="FL13" s="107"/>
      <c r="FM13" s="107"/>
      <c r="FN13" s="107"/>
      <c r="FO13" s="107"/>
      <c r="FP13" s="107"/>
      <c r="FQ13" s="107"/>
      <c r="FR13" s="107"/>
      <c r="FS13" s="107"/>
      <c r="FT13" s="107"/>
      <c r="FU13" s="107"/>
      <c r="FV13" s="107"/>
      <c r="FW13" s="107"/>
      <c r="FX13" s="107"/>
      <c r="FY13" s="107"/>
      <c r="FZ13" s="107"/>
      <c r="GA13" s="107"/>
      <c r="GB13" s="107"/>
      <c r="GC13" s="107"/>
      <c r="GD13" s="107"/>
      <c r="GE13" s="107"/>
      <c r="GF13" s="107"/>
      <c r="GG13" s="107"/>
      <c r="GH13" s="107"/>
      <c r="GI13" s="107"/>
      <c r="GJ13" s="107"/>
      <c r="GK13" s="107"/>
      <c r="GL13" s="107"/>
      <c r="GM13" s="107"/>
      <c r="GN13" s="107"/>
      <c r="GO13" s="107"/>
      <c r="GP13" s="107"/>
      <c r="GQ13" s="107"/>
      <c r="GR13" s="107"/>
      <c r="GS13" s="107"/>
      <c r="GT13" s="107"/>
      <c r="GU13" s="107"/>
      <c r="GV13" s="107"/>
      <c r="GW13" s="107"/>
      <c r="GX13" s="107"/>
      <c r="GY13" s="107"/>
      <c r="GZ13" s="107"/>
      <c r="HA13" s="107"/>
      <c r="HB13" s="107"/>
      <c r="HC13" s="107"/>
      <c r="HD13" s="107"/>
      <c r="HE13" s="107"/>
      <c r="HF13" s="107"/>
      <c r="HG13" s="107"/>
      <c r="HH13" s="107"/>
      <c r="HI13" s="107"/>
      <c r="HJ13" s="107"/>
      <c r="HK13" s="107"/>
      <c r="HL13" s="107"/>
      <c r="HM13" s="107"/>
      <c r="HN13" s="107"/>
      <c r="HO13" s="107"/>
      <c r="HP13" s="107"/>
      <c r="HQ13" s="107"/>
      <c r="HR13" s="107"/>
      <c r="HS13" s="107"/>
      <c r="HT13" s="107"/>
      <c r="HU13" s="107"/>
      <c r="HV13" s="107"/>
      <c r="HW13" s="107"/>
      <c r="HX13" s="107"/>
      <c r="HY13" s="107"/>
      <c r="HZ13" s="107"/>
      <c r="IA13" s="107"/>
      <c r="IB13" s="107"/>
      <c r="IC13" s="107"/>
      <c r="ID13" s="107"/>
      <c r="IE13" s="107"/>
      <c r="IF13" s="107"/>
      <c r="IG13" s="107"/>
      <c r="IH13" s="107"/>
      <c r="II13" s="107"/>
      <c r="IJ13" s="107"/>
      <c r="IK13" s="107"/>
      <c r="IL13" s="107"/>
      <c r="IM13" s="107"/>
      <c r="IN13" s="107"/>
      <c r="IO13" s="107"/>
      <c r="IP13" s="107"/>
      <c r="IQ13" s="107"/>
      <c r="IR13" s="107"/>
      <c r="IS13" s="107"/>
    </row>
    <row r="14" spans="1:255" x14ac:dyDescent="0.2">
      <c r="A14" s="103" t="s">
        <v>83</v>
      </c>
      <c r="B14" s="104">
        <v>70329.210904730338</v>
      </c>
      <c r="C14" s="44">
        <v>37430.1981094488</v>
      </c>
      <c r="D14" s="105">
        <v>32899.012795281546</v>
      </c>
      <c r="E14" s="104">
        <v>72403.559498015937</v>
      </c>
      <c r="F14" s="44">
        <v>38475.279390290605</v>
      </c>
      <c r="G14" s="105">
        <v>33928.280107725339</v>
      </c>
      <c r="H14" s="104">
        <v>74544.308860852223</v>
      </c>
      <c r="I14" s="44">
        <v>39554.539841415797</v>
      </c>
      <c r="J14" s="105">
        <v>34989.769019436426</v>
      </c>
      <c r="K14" s="104">
        <v>76752.166038328476</v>
      </c>
      <c r="L14" s="44">
        <v>40668.306536224205</v>
      </c>
      <c r="M14" s="105">
        <v>36083.859502104271</v>
      </c>
      <c r="N14" s="104">
        <v>79030.116973489814</v>
      </c>
      <c r="O14" s="44">
        <v>41817.969536665158</v>
      </c>
      <c r="P14" s="105">
        <v>37212.147436824664</v>
      </c>
      <c r="Q14" s="104">
        <v>81358.044036628737</v>
      </c>
      <c r="R14" s="44">
        <v>42993.06249394374</v>
      </c>
      <c r="S14" s="105">
        <v>38364.981542684996</v>
      </c>
      <c r="T14" s="104">
        <v>83715.82959803773</v>
      </c>
      <c r="U14" s="44">
        <v>44183.119059265053</v>
      </c>
      <c r="V14" s="105">
        <v>39532.71053877267</v>
      </c>
      <c r="W14" s="104">
        <v>86107.178193875297</v>
      </c>
      <c r="X14" s="44">
        <v>45390.019904678171</v>
      </c>
      <c r="Y14" s="105">
        <v>40717.158289197134</v>
      </c>
      <c r="Z14" s="104">
        <v>88535.712591950098</v>
      </c>
      <c r="AA14" s="44">
        <v>46615.563933882222</v>
      </c>
      <c r="AB14" s="105">
        <v>41920.148658067876</v>
      </c>
      <c r="AC14" s="104">
        <v>91005.768379172077</v>
      </c>
      <c r="AD14" s="44">
        <v>47861.95889232614</v>
      </c>
      <c r="AE14" s="105">
        <v>43143.80948684593</v>
      </c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  <c r="IK14" s="102"/>
      <c r="IL14" s="102"/>
      <c r="IM14" s="102"/>
      <c r="IN14" s="102"/>
      <c r="IO14" s="102"/>
      <c r="IP14" s="102"/>
      <c r="IQ14" s="102"/>
      <c r="IR14" s="102"/>
      <c r="IS14" s="102"/>
    </row>
    <row r="15" spans="1:255" ht="12.75" thickBot="1" x14ac:dyDescent="0.25">
      <c r="A15" s="109" t="s">
        <v>84</v>
      </c>
      <c r="B15" s="110">
        <v>13457.355361125494</v>
      </c>
      <c r="C15" s="111">
        <v>7057.3515106878967</v>
      </c>
      <c r="D15" s="112">
        <v>6400.003850437598</v>
      </c>
      <c r="E15" s="110">
        <v>13854.630641236432</v>
      </c>
      <c r="F15" s="111">
        <v>7254.3984494877941</v>
      </c>
      <c r="G15" s="112">
        <v>6600.232191748637</v>
      </c>
      <c r="H15" s="110">
        <v>14264.618524644226</v>
      </c>
      <c r="I15" s="111">
        <v>7457.8897682593961</v>
      </c>
      <c r="J15" s="112">
        <v>6806.7287563848286</v>
      </c>
      <c r="K15" s="110">
        <v>14687.45459778463</v>
      </c>
      <c r="L15" s="111">
        <v>7667.8871357105654</v>
      </c>
      <c r="M15" s="112">
        <v>7019.5674620740647</v>
      </c>
      <c r="N15" s="110">
        <v>15123.71140712321</v>
      </c>
      <c r="O15" s="111">
        <v>7884.6526438497212</v>
      </c>
      <c r="P15" s="112">
        <v>7239.0587632734878</v>
      </c>
      <c r="Q15" s="110">
        <v>15569.538043719907</v>
      </c>
      <c r="R15" s="111">
        <v>8106.2128940252405</v>
      </c>
      <c r="S15" s="112">
        <v>7463.3251496946668</v>
      </c>
      <c r="T15" s="110">
        <v>16021.083598634676</v>
      </c>
      <c r="U15" s="111">
        <v>8330.5944875855021</v>
      </c>
      <c r="V15" s="112">
        <v>7690.4891110491726</v>
      </c>
      <c r="W15" s="110">
        <v>16479.0574720316</v>
      </c>
      <c r="X15" s="111">
        <v>8558.1520196007186</v>
      </c>
      <c r="Y15" s="112">
        <v>7920.9054524308794</v>
      </c>
      <c r="Z15" s="110">
        <v>16944.153646897801</v>
      </c>
      <c r="AA15" s="111">
        <v>8789.2246679641376</v>
      </c>
      <c r="AB15" s="112">
        <v>8154.9289789336653</v>
      </c>
      <c r="AC15" s="110">
        <v>17417.202326287552</v>
      </c>
      <c r="AD15" s="111">
        <v>9024.2286964538343</v>
      </c>
      <c r="AE15" s="112">
        <v>8392.9736298337193</v>
      </c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K15" s="102"/>
      <c r="IL15" s="102"/>
      <c r="IM15" s="102"/>
      <c r="IN15" s="102"/>
      <c r="IO15" s="102"/>
      <c r="IP15" s="102"/>
      <c r="IQ15" s="102"/>
      <c r="IR15" s="102"/>
      <c r="IS15" s="102"/>
    </row>
    <row r="16" spans="1:255" ht="12" customHeight="1" x14ac:dyDescent="0.2">
      <c r="A16" s="93" t="s">
        <v>196</v>
      </c>
      <c r="B16" s="44"/>
      <c r="C16" s="44"/>
      <c r="D16" s="44"/>
      <c r="E16" s="44"/>
      <c r="F16" s="44"/>
      <c r="G16" s="44"/>
      <c r="AC16" s="44"/>
      <c r="AD16" s="44"/>
      <c r="AE16" s="44"/>
      <c r="AF16" s="44"/>
      <c r="AG16" s="44"/>
      <c r="AH16" s="44"/>
      <c r="AI16" s="44"/>
      <c r="AJ16" s="44"/>
      <c r="AK16" s="44"/>
      <c r="AL16" s="46"/>
      <c r="AM16" s="46"/>
      <c r="AN16" s="46"/>
      <c r="AO16" s="46"/>
      <c r="AP16" s="44"/>
      <c r="AQ16" s="44"/>
      <c r="AR16" s="46"/>
      <c r="AS16" s="44"/>
      <c r="AT16" s="44"/>
      <c r="BD16" s="47"/>
      <c r="CW16" s="48"/>
      <c r="CX16" s="48"/>
      <c r="CY16" s="48"/>
      <c r="CZ16" s="48"/>
      <c r="DA16" s="48"/>
      <c r="DB16" s="48"/>
      <c r="DC16" s="48"/>
      <c r="DD16" s="48"/>
      <c r="DE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GI16" s="47"/>
      <c r="IK16" s="47"/>
      <c r="IL16" s="47"/>
      <c r="IT16" s="47"/>
      <c r="IU16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8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15"/>
  <sheetViews>
    <sheetView zoomScale="120" zoomScaleNormal="12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Y29" sqref="Y29"/>
    </sheetView>
  </sheetViews>
  <sheetFormatPr defaultColWidth="9.140625" defaultRowHeight="11.25" x14ac:dyDescent="0.2"/>
  <cols>
    <col min="1" max="1" width="12" style="1" customWidth="1"/>
    <col min="2" max="10" width="8.7109375" style="1" customWidth="1"/>
    <col min="11" max="11" width="8.140625" style="1" customWidth="1"/>
    <col min="12" max="16384" width="9.140625" style="1"/>
  </cols>
  <sheetData>
    <row r="1" spans="1:255" ht="25.5" customHeight="1" thickBot="1" x14ac:dyDescent="0.25">
      <c r="A1" s="133" t="s">
        <v>185</v>
      </c>
      <c r="B1" s="133"/>
      <c r="C1" s="133"/>
      <c r="D1" s="133"/>
      <c r="E1" s="133"/>
      <c r="F1" s="133"/>
      <c r="G1" s="133"/>
      <c r="H1" s="58"/>
      <c r="I1" s="58"/>
      <c r="J1" s="58"/>
      <c r="K1" s="58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1:255" ht="15.75" customHeight="1" thickBot="1" x14ac:dyDescent="0.25">
      <c r="A2" s="131" t="s">
        <v>7</v>
      </c>
      <c r="B2" s="149">
        <v>2015</v>
      </c>
      <c r="C2" s="150"/>
      <c r="D2" s="151"/>
      <c r="E2" s="149">
        <v>2016</v>
      </c>
      <c r="F2" s="150"/>
      <c r="G2" s="151"/>
      <c r="H2" s="149">
        <v>2017</v>
      </c>
      <c r="I2" s="150"/>
      <c r="J2" s="151"/>
      <c r="K2" s="150">
        <v>2018</v>
      </c>
      <c r="L2" s="150"/>
      <c r="M2" s="150"/>
      <c r="N2" s="149">
        <v>2019</v>
      </c>
      <c r="O2" s="150"/>
      <c r="P2" s="151"/>
      <c r="Q2" s="150">
        <v>2020</v>
      </c>
      <c r="R2" s="150"/>
      <c r="S2" s="150"/>
      <c r="T2" s="149">
        <v>2021</v>
      </c>
      <c r="U2" s="150"/>
      <c r="V2" s="151"/>
      <c r="W2" s="150">
        <v>2022</v>
      </c>
      <c r="X2" s="150"/>
      <c r="Y2" s="150"/>
      <c r="Z2" s="149">
        <v>2023</v>
      </c>
      <c r="AA2" s="150"/>
      <c r="AB2" s="151"/>
      <c r="AC2" s="150">
        <v>2024</v>
      </c>
      <c r="AD2" s="150"/>
      <c r="AE2" s="152"/>
    </row>
    <row r="3" spans="1:255" x14ac:dyDescent="0.2">
      <c r="A3" s="131"/>
      <c r="B3" s="50" t="s">
        <v>0</v>
      </c>
      <c r="C3" s="25" t="s">
        <v>1</v>
      </c>
      <c r="D3" s="51" t="s">
        <v>2</v>
      </c>
      <c r="E3" s="50" t="s">
        <v>0</v>
      </c>
      <c r="F3" s="25" t="s">
        <v>1</v>
      </c>
      <c r="G3" s="51" t="s">
        <v>2</v>
      </c>
      <c r="H3" s="50" t="s">
        <v>0</v>
      </c>
      <c r="I3" s="25" t="s">
        <v>1</v>
      </c>
      <c r="J3" s="51" t="s">
        <v>2</v>
      </c>
      <c r="K3" s="49" t="s">
        <v>0</v>
      </c>
      <c r="L3" s="25" t="s">
        <v>1</v>
      </c>
      <c r="M3" s="25" t="s">
        <v>2</v>
      </c>
      <c r="N3" s="50" t="s">
        <v>0</v>
      </c>
      <c r="O3" s="25" t="s">
        <v>1</v>
      </c>
      <c r="P3" s="51" t="s">
        <v>2</v>
      </c>
      <c r="Q3" s="49" t="s">
        <v>0</v>
      </c>
      <c r="R3" s="25" t="s">
        <v>1</v>
      </c>
      <c r="S3" s="25" t="s">
        <v>2</v>
      </c>
      <c r="T3" s="50" t="s">
        <v>0</v>
      </c>
      <c r="U3" s="25" t="s">
        <v>1</v>
      </c>
      <c r="V3" s="51" t="s">
        <v>2</v>
      </c>
      <c r="W3" s="49" t="s">
        <v>0</v>
      </c>
      <c r="X3" s="25" t="s">
        <v>1</v>
      </c>
      <c r="Y3" s="25" t="s">
        <v>2</v>
      </c>
      <c r="Z3" s="50" t="s">
        <v>0</v>
      </c>
      <c r="AA3" s="25" t="s">
        <v>1</v>
      </c>
      <c r="AB3" s="51" t="s">
        <v>2</v>
      </c>
      <c r="AC3" s="49" t="s">
        <v>0</v>
      </c>
      <c r="AD3" s="25" t="s">
        <v>1</v>
      </c>
      <c r="AE3" s="26" t="s">
        <v>2</v>
      </c>
    </row>
    <row r="4" spans="1:255" s="6" customFormat="1" ht="12" thickBot="1" x14ac:dyDescent="0.25">
      <c r="A4" s="17" t="s">
        <v>85</v>
      </c>
      <c r="B4" s="52">
        <v>2294093</v>
      </c>
      <c r="C4" s="27">
        <v>1086258</v>
      </c>
      <c r="D4" s="53">
        <v>1207835.0000000002</v>
      </c>
      <c r="E4" s="52">
        <v>2352918</v>
      </c>
      <c r="F4" s="27">
        <v>1115070</v>
      </c>
      <c r="G4" s="53">
        <v>1237848.0000000002</v>
      </c>
      <c r="H4" s="52">
        <v>2414094</v>
      </c>
      <c r="I4" s="27">
        <v>1145091</v>
      </c>
      <c r="J4" s="53">
        <v>1269003.0000000002</v>
      </c>
      <c r="K4" s="27">
        <v>2477595</v>
      </c>
      <c r="L4" s="27">
        <v>1176298.9999999998</v>
      </c>
      <c r="M4" s="27">
        <v>1301296</v>
      </c>
      <c r="N4" s="52">
        <v>2543493</v>
      </c>
      <c r="O4" s="27">
        <v>1208724</v>
      </c>
      <c r="P4" s="53">
        <v>1334769.0000000002</v>
      </c>
      <c r="Q4" s="27">
        <v>2611074</v>
      </c>
      <c r="R4" s="27">
        <v>1242005</v>
      </c>
      <c r="S4" s="27">
        <v>1369069.0000000002</v>
      </c>
      <c r="T4" s="52">
        <v>2679641</v>
      </c>
      <c r="U4" s="27">
        <v>1275792</v>
      </c>
      <c r="V4" s="53">
        <v>1403849</v>
      </c>
      <c r="W4" s="27">
        <v>2749300.0000000005</v>
      </c>
      <c r="X4" s="27">
        <v>1310140.0000000002</v>
      </c>
      <c r="Y4" s="27">
        <v>1439160.0000000002</v>
      </c>
      <c r="Z4" s="52">
        <v>2820137</v>
      </c>
      <c r="AA4" s="27">
        <v>1345093</v>
      </c>
      <c r="AB4" s="53">
        <v>1475044</v>
      </c>
      <c r="AC4" s="27">
        <v>2892238</v>
      </c>
      <c r="AD4" s="27">
        <v>1380693</v>
      </c>
      <c r="AE4" s="38">
        <v>1511545</v>
      </c>
    </row>
    <row r="5" spans="1:255" x14ac:dyDescent="0.2">
      <c r="A5" s="21" t="s">
        <v>85</v>
      </c>
      <c r="B5" s="54">
        <v>577565.48243024817</v>
      </c>
      <c r="C5" s="22">
        <v>275694.88764871116</v>
      </c>
      <c r="D5" s="55">
        <v>301870.59478153702</v>
      </c>
      <c r="E5" s="54">
        <v>592379.09665201511</v>
      </c>
      <c r="F5" s="22">
        <v>283007.44240359869</v>
      </c>
      <c r="G5" s="55">
        <v>309371.65424841637</v>
      </c>
      <c r="H5" s="54">
        <v>607784.97462546173</v>
      </c>
      <c r="I5" s="22">
        <v>290626.84426034172</v>
      </c>
      <c r="J5" s="55">
        <v>317158.13036512007</v>
      </c>
      <c r="K5" s="22">
        <v>623776.53298972815</v>
      </c>
      <c r="L5" s="22">
        <v>298547.50956613553</v>
      </c>
      <c r="M5" s="22">
        <v>325229.02342359262</v>
      </c>
      <c r="N5" s="54">
        <v>640371.88275140245</v>
      </c>
      <c r="O5" s="22">
        <v>306777.05239298649</v>
      </c>
      <c r="P5" s="55">
        <v>333594.83035841596</v>
      </c>
      <c r="Q5" s="22">
        <v>657391.17700811708</v>
      </c>
      <c r="R5" s="22">
        <v>315223.8500744183</v>
      </c>
      <c r="S5" s="22">
        <v>342167.32693369879</v>
      </c>
      <c r="T5" s="54">
        <v>674658.86024598987</v>
      </c>
      <c r="U5" s="22">
        <v>323799.07177035703</v>
      </c>
      <c r="V5" s="55">
        <v>350859.78847563278</v>
      </c>
      <c r="W5" s="22">
        <v>692201.63787473901</v>
      </c>
      <c r="X5" s="22">
        <v>332516.67661281425</v>
      </c>
      <c r="Y5" s="22">
        <v>359684.96126192471</v>
      </c>
      <c r="Z5" s="54">
        <v>710041.17413455574</v>
      </c>
      <c r="AA5" s="22">
        <v>341387.83190739935</v>
      </c>
      <c r="AB5" s="55">
        <v>368653.34222715639</v>
      </c>
      <c r="AC5" s="22">
        <v>728199.12551485887</v>
      </c>
      <c r="AD5" s="22">
        <v>350423.19735492114</v>
      </c>
      <c r="AE5" s="8">
        <v>377775.92815993767</v>
      </c>
    </row>
    <row r="6" spans="1:255" x14ac:dyDescent="0.2">
      <c r="A6" s="21" t="s">
        <v>86</v>
      </c>
      <c r="B6" s="54">
        <v>110871.60089798804</v>
      </c>
      <c r="C6" s="22">
        <v>52608.867250270589</v>
      </c>
      <c r="D6" s="55">
        <v>58262.733647717447</v>
      </c>
      <c r="E6" s="54">
        <v>113714.7499274913</v>
      </c>
      <c r="F6" s="22">
        <v>54004.269340027167</v>
      </c>
      <c r="G6" s="55">
        <v>59710.480587464139</v>
      </c>
      <c r="H6" s="54">
        <v>116671.53940575637</v>
      </c>
      <c r="I6" s="22">
        <v>55458.224849418461</v>
      </c>
      <c r="J6" s="55">
        <v>61213.3145563379</v>
      </c>
      <c r="K6" s="22">
        <v>119740.71089527081</v>
      </c>
      <c r="L6" s="22">
        <v>56969.668290246009</v>
      </c>
      <c r="M6" s="22">
        <v>62771.042605024792</v>
      </c>
      <c r="N6" s="54">
        <v>122925.74330228337</v>
      </c>
      <c r="O6" s="22">
        <v>58540.05260096227</v>
      </c>
      <c r="P6" s="55">
        <v>64385.690701321102</v>
      </c>
      <c r="Q6" s="22">
        <v>126192.12515712826</v>
      </c>
      <c r="R6" s="22">
        <v>60151.894088855799</v>
      </c>
      <c r="S6" s="22">
        <v>66040.231068272464</v>
      </c>
      <c r="T6" s="54">
        <v>129506.16715820986</v>
      </c>
      <c r="U6" s="22">
        <v>61788.241805314407</v>
      </c>
      <c r="V6" s="55">
        <v>67717.925352895458</v>
      </c>
      <c r="W6" s="22">
        <v>132872.99312977697</v>
      </c>
      <c r="X6" s="22">
        <v>63451.759470834288</v>
      </c>
      <c r="Y6" s="22">
        <v>69421.233658942685</v>
      </c>
      <c r="Z6" s="54">
        <v>136296.7600160228</v>
      </c>
      <c r="AA6" s="22">
        <v>65144.578061812404</v>
      </c>
      <c r="AB6" s="55">
        <v>71152.181954210406</v>
      </c>
      <c r="AC6" s="22">
        <v>139781.62437323411</v>
      </c>
      <c r="AD6" s="22">
        <v>66868.73169208222</v>
      </c>
      <c r="AE6" s="8">
        <v>72912.892681151876</v>
      </c>
    </row>
    <row r="7" spans="1:255" x14ac:dyDescent="0.2">
      <c r="A7" s="21" t="s">
        <v>87</v>
      </c>
      <c r="B7" s="54">
        <v>404128.69539448776</v>
      </c>
      <c r="C7" s="22">
        <v>193593.41749441819</v>
      </c>
      <c r="D7" s="55">
        <v>210535.27790006957</v>
      </c>
      <c r="E7" s="54">
        <v>414495.0891162249</v>
      </c>
      <c r="F7" s="22">
        <v>198728.30584032604</v>
      </c>
      <c r="G7" s="55">
        <v>215766.7832758989</v>
      </c>
      <c r="H7" s="54">
        <v>425276.01110518305</v>
      </c>
      <c r="I7" s="22">
        <v>204078.66274135685</v>
      </c>
      <c r="J7" s="55">
        <v>221197.34836382617</v>
      </c>
      <c r="K7" s="22">
        <v>436466.84327898035</v>
      </c>
      <c r="L7" s="22">
        <v>209640.56734704517</v>
      </c>
      <c r="M7" s="22">
        <v>226826.2759319352</v>
      </c>
      <c r="N7" s="54">
        <v>448080.25318700896</v>
      </c>
      <c r="O7" s="22">
        <v>215419.36627166209</v>
      </c>
      <c r="P7" s="55">
        <v>232660.88691534687</v>
      </c>
      <c r="Q7" s="22">
        <v>459990.37252092885</v>
      </c>
      <c r="R7" s="22">
        <v>221350.72192347937</v>
      </c>
      <c r="S7" s="22">
        <v>238639.65059744945</v>
      </c>
      <c r="T7" s="54">
        <v>472074.3392455072</v>
      </c>
      <c r="U7" s="22">
        <v>227372.25713600154</v>
      </c>
      <c r="V7" s="55">
        <v>244702.08210950566</v>
      </c>
      <c r="W7" s="22">
        <v>484350.84519384027</v>
      </c>
      <c r="X7" s="22">
        <v>233493.77403539218</v>
      </c>
      <c r="Y7" s="22">
        <v>250857.07115844809</v>
      </c>
      <c r="Z7" s="54">
        <v>496835.05300197977</v>
      </c>
      <c r="AA7" s="22">
        <v>239723.11432258214</v>
      </c>
      <c r="AB7" s="55">
        <v>257111.93867939763</v>
      </c>
      <c r="AC7" s="22">
        <v>509542.11748098431</v>
      </c>
      <c r="AD7" s="22">
        <v>246067.76325755089</v>
      </c>
      <c r="AE7" s="8">
        <v>263474.35422343342</v>
      </c>
    </row>
    <row r="8" spans="1:255" x14ac:dyDescent="0.2">
      <c r="A8" s="21" t="s">
        <v>88</v>
      </c>
      <c r="B8" s="54">
        <v>314218.50238775823</v>
      </c>
      <c r="C8" s="22">
        <v>147051.25232182618</v>
      </c>
      <c r="D8" s="55">
        <v>167167.25006593208</v>
      </c>
      <c r="E8" s="54">
        <v>322272.77328282333</v>
      </c>
      <c r="F8" s="22">
        <v>150951.65230221432</v>
      </c>
      <c r="G8" s="55">
        <v>171321.120980609</v>
      </c>
      <c r="H8" s="54">
        <v>330648.76705276046</v>
      </c>
      <c r="I8" s="22">
        <v>155015.71962871827</v>
      </c>
      <c r="J8" s="55">
        <v>175633.04742404219</v>
      </c>
      <c r="K8" s="22">
        <v>339342.95185673435</v>
      </c>
      <c r="L8" s="22">
        <v>159240.47607006054</v>
      </c>
      <c r="M8" s="22">
        <v>180102.47578667381</v>
      </c>
      <c r="N8" s="54">
        <v>348365.20181957132</v>
      </c>
      <c r="O8" s="22">
        <v>163629.98285071045</v>
      </c>
      <c r="P8" s="55">
        <v>184735.21896886089</v>
      </c>
      <c r="Q8" s="22">
        <v>357617.79083001282</v>
      </c>
      <c r="R8" s="22">
        <v>168135.36990288654</v>
      </c>
      <c r="S8" s="22">
        <v>189482.42092712628</v>
      </c>
      <c r="T8" s="54">
        <v>367005.3123067756</v>
      </c>
      <c r="U8" s="22">
        <v>172709.25627444609</v>
      </c>
      <c r="V8" s="55">
        <v>194296.05603232948</v>
      </c>
      <c r="W8" s="22">
        <v>376542.27034991561</v>
      </c>
      <c r="X8" s="22">
        <v>177359.08754358298</v>
      </c>
      <c r="Y8" s="22">
        <v>199183.18280633265</v>
      </c>
      <c r="Z8" s="54">
        <v>386240.43432234513</v>
      </c>
      <c r="AA8" s="22">
        <v>182090.82017285225</v>
      </c>
      <c r="AB8" s="55">
        <v>204149.61414949287</v>
      </c>
      <c r="AC8" s="22">
        <v>396111.57964345714</v>
      </c>
      <c r="AD8" s="22">
        <v>186910.13987651106</v>
      </c>
      <c r="AE8" s="8">
        <v>209201.43976694607</v>
      </c>
    </row>
    <row r="9" spans="1:255" x14ac:dyDescent="0.2">
      <c r="A9" s="21" t="s">
        <v>89</v>
      </c>
      <c r="B9" s="54">
        <v>242101.9161932721</v>
      </c>
      <c r="C9" s="22">
        <v>113320.43222571412</v>
      </c>
      <c r="D9" s="55">
        <v>128781.48396755799</v>
      </c>
      <c r="E9" s="54">
        <v>248307.67566579883</v>
      </c>
      <c r="F9" s="22">
        <v>116326.15305197019</v>
      </c>
      <c r="G9" s="55">
        <v>131981.52261382865</v>
      </c>
      <c r="H9" s="54">
        <v>254761.322282635</v>
      </c>
      <c r="I9" s="22">
        <v>119457.99898161873</v>
      </c>
      <c r="J9" s="55">
        <v>135303.32330101627</v>
      </c>
      <c r="K9" s="22">
        <v>261460.13447631337</v>
      </c>
      <c r="L9" s="22">
        <v>122713.67493420099</v>
      </c>
      <c r="M9" s="22">
        <v>138746.4595421124</v>
      </c>
      <c r="N9" s="54">
        <v>268411.72001559392</v>
      </c>
      <c r="O9" s="22">
        <v>126096.31056488796</v>
      </c>
      <c r="P9" s="55">
        <v>142315.40945070595</v>
      </c>
      <c r="Q9" s="22">
        <v>275540.78123808804</v>
      </c>
      <c r="R9" s="22">
        <v>129568.24568978829</v>
      </c>
      <c r="S9" s="22">
        <v>145972.53554829975</v>
      </c>
      <c r="T9" s="54">
        <v>282773.80775214947</v>
      </c>
      <c r="U9" s="22">
        <v>133092.96766523999</v>
      </c>
      <c r="V9" s="55">
        <v>149680.84008690948</v>
      </c>
      <c r="W9" s="22">
        <v>290121.97496828297</v>
      </c>
      <c r="X9" s="22">
        <v>136676.21419238992</v>
      </c>
      <c r="Y9" s="22">
        <v>153445.76077589302</v>
      </c>
      <c r="Z9" s="54">
        <v>297594.35116099491</v>
      </c>
      <c r="AA9" s="22">
        <v>140322.5754321556</v>
      </c>
      <c r="AB9" s="55">
        <v>157271.7757288393</v>
      </c>
      <c r="AC9" s="22">
        <v>305200.00920461782</v>
      </c>
      <c r="AD9" s="22">
        <v>144036.43290177645</v>
      </c>
      <c r="AE9" s="8">
        <v>161163.57630284139</v>
      </c>
    </row>
    <row r="10" spans="1:255" x14ac:dyDescent="0.2">
      <c r="A10" s="21" t="s">
        <v>90</v>
      </c>
      <c r="B10" s="54">
        <v>112026.9958672653</v>
      </c>
      <c r="C10" s="22">
        <v>52521.951747720123</v>
      </c>
      <c r="D10" s="55">
        <v>59505.044119545179</v>
      </c>
      <c r="E10" s="54">
        <v>114898.70920951162</v>
      </c>
      <c r="F10" s="22">
        <v>53915.048483261133</v>
      </c>
      <c r="G10" s="55">
        <v>60983.660726250491</v>
      </c>
      <c r="H10" s="54">
        <v>117885.14086030828</v>
      </c>
      <c r="I10" s="22">
        <v>55366.60190189493</v>
      </c>
      <c r="J10" s="55">
        <v>62518.538958413352</v>
      </c>
      <c r="K10" s="22">
        <v>120985.03002827107</v>
      </c>
      <c r="L10" s="22">
        <v>56875.548275724024</v>
      </c>
      <c r="M10" s="22">
        <v>64109.481752547043</v>
      </c>
      <c r="N10" s="54">
        <v>124201.89641805254</v>
      </c>
      <c r="O10" s="22">
        <v>58443.338142790439</v>
      </c>
      <c r="P10" s="55">
        <v>65758.558275262098</v>
      </c>
      <c r="Q10" s="22">
        <v>127500.89436917781</v>
      </c>
      <c r="R10" s="22">
        <v>60052.51669532204</v>
      </c>
      <c r="S10" s="22">
        <v>67448.377673855779</v>
      </c>
      <c r="T10" s="54">
        <v>130848.00568035088</v>
      </c>
      <c r="U10" s="22">
        <v>61686.160989495453</v>
      </c>
      <c r="V10" s="55">
        <v>69161.844690855432</v>
      </c>
      <c r="W10" s="22">
        <v>134248.40223077105</v>
      </c>
      <c r="X10" s="22">
        <v>63346.930345054345</v>
      </c>
      <c r="Y10" s="22">
        <v>70901.471885716703</v>
      </c>
      <c r="Z10" s="54">
        <v>137706.28064284375</v>
      </c>
      <c r="AA10" s="22">
        <v>65036.952217793652</v>
      </c>
      <c r="AB10" s="55">
        <v>72669.328425050102</v>
      </c>
      <c r="AC10" s="22">
        <v>141225.83936818171</v>
      </c>
      <c r="AD10" s="22">
        <v>66758.257360972202</v>
      </c>
      <c r="AE10" s="8">
        <v>74467.582007209523</v>
      </c>
    </row>
    <row r="11" spans="1:255" x14ac:dyDescent="0.2">
      <c r="A11" s="21" t="s">
        <v>91</v>
      </c>
      <c r="B11" s="54">
        <v>169311.7872868689</v>
      </c>
      <c r="C11" s="22">
        <v>78955.128960937349</v>
      </c>
      <c r="D11" s="55">
        <v>90356.658325931567</v>
      </c>
      <c r="E11" s="54">
        <v>173651.23567640001</v>
      </c>
      <c r="F11" s="22">
        <v>81049.34154728656</v>
      </c>
      <c r="G11" s="55">
        <v>92601.89412911344</v>
      </c>
      <c r="H11" s="54">
        <v>178163.99237238194</v>
      </c>
      <c r="I11" s="22">
        <v>83231.430817548593</v>
      </c>
      <c r="J11" s="55">
        <v>94932.561554833344</v>
      </c>
      <c r="K11" s="22">
        <v>182848.15906026692</v>
      </c>
      <c r="L11" s="22">
        <v>85499.797692280874</v>
      </c>
      <c r="M11" s="22">
        <v>97348.361367986057</v>
      </c>
      <c r="N11" s="54">
        <v>187709.05827153596</v>
      </c>
      <c r="O11" s="22">
        <v>87856.62273435964</v>
      </c>
      <c r="P11" s="55">
        <v>99852.435537176309</v>
      </c>
      <c r="Q11" s="22">
        <v>192694.04306820984</v>
      </c>
      <c r="R11" s="22">
        <v>90275.666503840694</v>
      </c>
      <c r="S11" s="22">
        <v>102418.37656436914</v>
      </c>
      <c r="T11" s="54">
        <v>197751.71490468856</v>
      </c>
      <c r="U11" s="22">
        <v>92731.489100501145</v>
      </c>
      <c r="V11" s="55">
        <v>105020.22580418742</v>
      </c>
      <c r="W11" s="22">
        <v>202889.88672717003</v>
      </c>
      <c r="X11" s="22">
        <v>95228.088222947452</v>
      </c>
      <c r="Y11" s="22">
        <v>107661.79850422258</v>
      </c>
      <c r="Z11" s="54">
        <v>208114.89866314412</v>
      </c>
      <c r="AA11" s="22">
        <v>97768.662030064763</v>
      </c>
      <c r="AB11" s="55">
        <v>110346.23663307936</v>
      </c>
      <c r="AC11" s="22">
        <v>213433.09508679493</v>
      </c>
      <c r="AD11" s="22">
        <v>100356.26330987985</v>
      </c>
      <c r="AE11" s="8">
        <v>113076.83177691509</v>
      </c>
    </row>
    <row r="12" spans="1:255" x14ac:dyDescent="0.2">
      <c r="A12" s="21" t="s">
        <v>92</v>
      </c>
      <c r="B12" s="54">
        <v>93390.497064249095</v>
      </c>
      <c r="C12" s="22">
        <v>43864.081249861913</v>
      </c>
      <c r="D12" s="55">
        <v>49526.415814387183</v>
      </c>
      <c r="E12" s="54">
        <v>95784.613438938191</v>
      </c>
      <c r="F12" s="22">
        <v>45027.535888604296</v>
      </c>
      <c r="G12" s="55">
        <v>50757.077550333895</v>
      </c>
      <c r="H12" s="54">
        <v>98274.377226360928</v>
      </c>
      <c r="I12" s="22">
        <v>46239.81104165459</v>
      </c>
      <c r="J12" s="55">
        <v>52034.566184706338</v>
      </c>
      <c r="K12" s="22">
        <v>100858.73602944697</v>
      </c>
      <c r="L12" s="22">
        <v>47500.018329099825</v>
      </c>
      <c r="M12" s="22">
        <v>53358.717700347137</v>
      </c>
      <c r="N12" s="54">
        <v>103540.62345550262</v>
      </c>
      <c r="O12" s="22">
        <v>48809.369178094057</v>
      </c>
      <c r="P12" s="55">
        <v>54731.25427740856</v>
      </c>
      <c r="Q12" s="22">
        <v>106290.98748363738</v>
      </c>
      <c r="R12" s="22">
        <v>50153.286081883627</v>
      </c>
      <c r="S12" s="22">
        <v>56137.701401753751</v>
      </c>
      <c r="T12" s="54">
        <v>109081.4663086533</v>
      </c>
      <c r="U12" s="22">
        <v>51517.635723671381</v>
      </c>
      <c r="V12" s="55">
        <v>57563.830584981915</v>
      </c>
      <c r="W12" s="22">
        <v>111916.37209908909</v>
      </c>
      <c r="X12" s="22">
        <v>52904.639053239734</v>
      </c>
      <c r="Y12" s="22">
        <v>59011.733045849352</v>
      </c>
      <c r="Z12" s="54">
        <v>114799.20379492294</v>
      </c>
      <c r="AA12" s="22">
        <v>54316.072830414611</v>
      </c>
      <c r="AB12" s="55">
        <v>60483.130964508338</v>
      </c>
      <c r="AC12" s="22">
        <v>117733.46158290145</v>
      </c>
      <c r="AD12" s="22">
        <v>55753.633053211663</v>
      </c>
      <c r="AE12" s="8">
        <v>61979.828529689796</v>
      </c>
    </row>
    <row r="13" spans="1:255" x14ac:dyDescent="0.2">
      <c r="A13" s="21" t="s">
        <v>93</v>
      </c>
      <c r="B13" s="54">
        <v>89730.910432503442</v>
      </c>
      <c r="C13" s="22">
        <v>42301.775091512318</v>
      </c>
      <c r="D13" s="55">
        <v>47429.135340991117</v>
      </c>
      <c r="E13" s="54">
        <v>92031.473596843804</v>
      </c>
      <c r="F13" s="22">
        <v>43423.790988229906</v>
      </c>
      <c r="G13" s="55">
        <v>48607.682608613904</v>
      </c>
      <c r="H13" s="54">
        <v>94423.962369766843</v>
      </c>
      <c r="I13" s="22">
        <v>44592.888559913881</v>
      </c>
      <c r="J13" s="55">
        <v>49831.073809852962</v>
      </c>
      <c r="K13" s="22">
        <v>96907.362941198924</v>
      </c>
      <c r="L13" s="22">
        <v>45808.211068061966</v>
      </c>
      <c r="M13" s="22">
        <v>51099.151873136958</v>
      </c>
      <c r="N13" s="54">
        <v>99484.492842414911</v>
      </c>
      <c r="O13" s="22">
        <v>47070.926792449987</v>
      </c>
      <c r="P13" s="55">
        <v>52413.566049964917</v>
      </c>
      <c r="Q13" s="22">
        <v>102127.43220727515</v>
      </c>
      <c r="R13" s="22">
        <v>48366.977433108674</v>
      </c>
      <c r="S13" s="22">
        <v>53760.454774166479</v>
      </c>
      <c r="T13" s="54">
        <v>104808.92514624816</v>
      </c>
      <c r="U13" s="22">
        <v>49682.733059319871</v>
      </c>
      <c r="V13" s="55">
        <v>55126.192086928299</v>
      </c>
      <c r="W13" s="22">
        <v>107533.11616812419</v>
      </c>
      <c r="X13" s="22">
        <v>51020.335517339299</v>
      </c>
      <c r="Y13" s="22">
        <v>56512.780650784902</v>
      </c>
      <c r="Z13" s="54">
        <v>110303.36800140682</v>
      </c>
      <c r="AA13" s="22">
        <v>52381.498284171517</v>
      </c>
      <c r="AB13" s="55">
        <v>57921.869717235306</v>
      </c>
      <c r="AC13" s="22">
        <v>113123.04402506691</v>
      </c>
      <c r="AD13" s="22">
        <v>53767.856951502705</v>
      </c>
      <c r="AE13" s="8">
        <v>59355.187073564201</v>
      </c>
    </row>
    <row r="14" spans="1:255" ht="12" thickBot="1" x14ac:dyDescent="0.25">
      <c r="A14" s="9" t="s">
        <v>94</v>
      </c>
      <c r="B14" s="56">
        <v>180746.6120453591</v>
      </c>
      <c r="C14" s="11">
        <v>86346.206009028072</v>
      </c>
      <c r="D14" s="57">
        <v>94400.406036331013</v>
      </c>
      <c r="E14" s="56">
        <v>185382.583433953</v>
      </c>
      <c r="F14" s="11">
        <v>88636.460154481654</v>
      </c>
      <c r="G14" s="57">
        <v>96746.123279471343</v>
      </c>
      <c r="H14" s="56">
        <v>190203.91269938549</v>
      </c>
      <c r="I14" s="11">
        <v>91022.817217533928</v>
      </c>
      <c r="J14" s="57">
        <v>99181.095481851546</v>
      </c>
      <c r="K14" s="11">
        <v>195208.53844378921</v>
      </c>
      <c r="L14" s="11">
        <v>93503.528427145036</v>
      </c>
      <c r="M14" s="11">
        <v>101705.01001664417</v>
      </c>
      <c r="N14" s="56">
        <v>200402.12793663412</v>
      </c>
      <c r="O14" s="11">
        <v>96080.978471096591</v>
      </c>
      <c r="P14" s="57">
        <v>104321.14946553753</v>
      </c>
      <c r="Q14" s="11">
        <v>205728.39611742488</v>
      </c>
      <c r="R14" s="11">
        <v>98726.471606416628</v>
      </c>
      <c r="S14" s="11">
        <v>107001.92451100827</v>
      </c>
      <c r="T14" s="56">
        <v>211132.40125142728</v>
      </c>
      <c r="U14" s="11">
        <v>101412.18647565306</v>
      </c>
      <c r="V14" s="57">
        <v>109720.21477577422</v>
      </c>
      <c r="W14" s="11">
        <v>216622.50125829104</v>
      </c>
      <c r="X14" s="11">
        <v>104142.49500640552</v>
      </c>
      <c r="Y14" s="11">
        <v>112480.00625188553</v>
      </c>
      <c r="Z14" s="56">
        <v>222205.47626178415</v>
      </c>
      <c r="AA14" s="11">
        <v>106920.89474075366</v>
      </c>
      <c r="AB14" s="57">
        <v>115284.58152103049</v>
      </c>
      <c r="AC14" s="11">
        <v>227888.10371990292</v>
      </c>
      <c r="AD14" s="11">
        <v>109750.72424159177</v>
      </c>
      <c r="AE14" s="12">
        <v>118137.37947831117</v>
      </c>
    </row>
    <row r="15" spans="1:255" s="45" customFormat="1" ht="12" customHeight="1" x14ac:dyDescent="0.2">
      <c r="A15" s="43" t="s">
        <v>195</v>
      </c>
      <c r="B15" s="44"/>
      <c r="C15" s="44"/>
      <c r="D15" s="44"/>
      <c r="E15" s="44"/>
      <c r="F15" s="44"/>
      <c r="G15" s="44"/>
      <c r="AC15" s="44"/>
      <c r="AD15" s="44"/>
      <c r="AE15" s="44"/>
      <c r="AF15" s="44"/>
      <c r="AG15" s="44"/>
      <c r="AH15" s="44"/>
      <c r="AI15" s="44"/>
      <c r="AJ15" s="44"/>
      <c r="AK15" s="44"/>
      <c r="AL15" s="46"/>
      <c r="AM15" s="46"/>
      <c r="AN15" s="46"/>
      <c r="AO15" s="46"/>
      <c r="AP15" s="44"/>
      <c r="AQ15" s="44"/>
      <c r="AR15" s="46"/>
      <c r="AS15" s="44"/>
      <c r="AT15" s="44"/>
      <c r="BD15" s="47"/>
      <c r="CW15" s="48"/>
      <c r="CX15" s="48"/>
      <c r="CY15" s="48"/>
      <c r="CZ15" s="48"/>
      <c r="DA15" s="48"/>
      <c r="DB15" s="48"/>
      <c r="DC15" s="48"/>
      <c r="DD15" s="48"/>
      <c r="DE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GI15" s="47"/>
      <c r="IK15" s="47"/>
      <c r="IL15" s="47"/>
      <c r="IT15" s="47"/>
      <c r="IU15" s="47"/>
    </row>
  </sheetData>
  <mergeCells count="12">
    <mergeCell ref="A1:G1"/>
    <mergeCell ref="H2:J2"/>
    <mergeCell ref="Z2:AB2"/>
    <mergeCell ref="AC2:AE2"/>
    <mergeCell ref="W2:Y2"/>
    <mergeCell ref="Q2:S2"/>
    <mergeCell ref="T2:V2"/>
    <mergeCell ref="K2:M2"/>
    <mergeCell ref="N2:P2"/>
    <mergeCell ref="A2:A3"/>
    <mergeCell ref="B2:D2"/>
    <mergeCell ref="E2:G2"/>
  </mergeCells>
  <pageMargins left="0.7" right="0.7" top="0.75" bottom="0.75" header="0.3" footer="0.3"/>
  <pageSetup paperSize="9" scale="9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7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U26" sqref="U26"/>
    </sheetView>
  </sheetViews>
  <sheetFormatPr defaultColWidth="9.140625" defaultRowHeight="11.25" x14ac:dyDescent="0.2"/>
  <cols>
    <col min="1" max="1" width="16.5703125" style="1" customWidth="1"/>
    <col min="2" max="10" width="8.7109375" style="1" customWidth="1"/>
    <col min="11" max="16384" width="9.140625" style="1"/>
  </cols>
  <sheetData>
    <row r="2" spans="1:31" ht="25.5" customHeight="1" thickBot="1" x14ac:dyDescent="0.25">
      <c r="A2" s="132" t="s">
        <v>186</v>
      </c>
      <c r="B2" s="131"/>
      <c r="C2" s="131"/>
      <c r="D2" s="131"/>
      <c r="E2" s="132"/>
      <c r="F2" s="132"/>
      <c r="G2" s="132"/>
      <c r="H2" s="14"/>
      <c r="I2" s="14"/>
      <c r="J2" s="14"/>
    </row>
    <row r="3" spans="1:31" ht="15.75" customHeight="1" thickBot="1" x14ac:dyDescent="0.25">
      <c r="A3" s="131" t="s">
        <v>7</v>
      </c>
      <c r="B3" s="153">
        <v>2015</v>
      </c>
      <c r="C3" s="154"/>
      <c r="D3" s="155"/>
      <c r="E3" s="156">
        <v>2016</v>
      </c>
      <c r="F3" s="156"/>
      <c r="G3" s="156"/>
      <c r="H3" s="153">
        <v>2017</v>
      </c>
      <c r="I3" s="154"/>
      <c r="J3" s="155"/>
      <c r="K3" s="153">
        <v>2018</v>
      </c>
      <c r="L3" s="154"/>
      <c r="M3" s="155"/>
      <c r="N3" s="153">
        <v>2019</v>
      </c>
      <c r="O3" s="154"/>
      <c r="P3" s="155"/>
      <c r="Q3" s="153">
        <v>2020</v>
      </c>
      <c r="R3" s="154"/>
      <c r="S3" s="155"/>
      <c r="T3" s="153">
        <v>2021</v>
      </c>
      <c r="U3" s="154"/>
      <c r="V3" s="155"/>
      <c r="W3" s="156">
        <v>2022</v>
      </c>
      <c r="X3" s="156"/>
      <c r="Y3" s="156"/>
      <c r="Z3" s="153">
        <v>2023</v>
      </c>
      <c r="AA3" s="154"/>
      <c r="AB3" s="155"/>
      <c r="AC3" s="153">
        <v>2024</v>
      </c>
      <c r="AD3" s="154"/>
      <c r="AE3" s="155"/>
    </row>
    <row r="4" spans="1:31" x14ac:dyDescent="0.2">
      <c r="A4" s="131"/>
      <c r="B4" s="50" t="s">
        <v>0</v>
      </c>
      <c r="C4" s="78" t="s">
        <v>1</v>
      </c>
      <c r="D4" s="51" t="s">
        <v>2</v>
      </c>
      <c r="E4" s="76" t="s">
        <v>0</v>
      </c>
      <c r="F4" s="25" t="s">
        <v>1</v>
      </c>
      <c r="G4" s="78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50" t="s">
        <v>0</v>
      </c>
      <c r="O4" s="78" t="s">
        <v>1</v>
      </c>
      <c r="P4" s="51" t="s">
        <v>2</v>
      </c>
      <c r="Q4" s="50" t="s">
        <v>0</v>
      </c>
      <c r="R4" s="78" t="s">
        <v>1</v>
      </c>
      <c r="S4" s="51" t="s">
        <v>2</v>
      </c>
      <c r="T4" s="50" t="s">
        <v>0</v>
      </c>
      <c r="U4" s="78" t="s">
        <v>1</v>
      </c>
      <c r="V4" s="51" t="s">
        <v>2</v>
      </c>
      <c r="W4" s="76" t="s">
        <v>0</v>
      </c>
      <c r="X4" s="25" t="s">
        <v>1</v>
      </c>
      <c r="Y4" s="78" t="s">
        <v>2</v>
      </c>
      <c r="Z4" s="50" t="s">
        <v>0</v>
      </c>
      <c r="AA4" s="78" t="s">
        <v>1</v>
      </c>
      <c r="AB4" s="51" t="s">
        <v>2</v>
      </c>
      <c r="AC4" s="50" t="s">
        <v>0</v>
      </c>
      <c r="AD4" s="78" t="s">
        <v>1</v>
      </c>
      <c r="AE4" s="51" t="s">
        <v>2</v>
      </c>
    </row>
    <row r="5" spans="1:31" s="6" customFormat="1" ht="12" thickBot="1" x14ac:dyDescent="0.25">
      <c r="A5" s="17" t="s">
        <v>95</v>
      </c>
      <c r="B5" s="52">
        <v>2092709.0000000005</v>
      </c>
      <c r="C5" s="27">
        <v>994528.00000000012</v>
      </c>
      <c r="D5" s="53">
        <v>1098181.0000000002</v>
      </c>
      <c r="E5" s="27">
        <v>2161692</v>
      </c>
      <c r="F5" s="27">
        <v>1029096.9999999999</v>
      </c>
      <c r="G5" s="27">
        <v>1132595</v>
      </c>
      <c r="H5" s="52">
        <v>2234039.0000000005</v>
      </c>
      <c r="I5" s="27">
        <v>1065354.0000000002</v>
      </c>
      <c r="J5" s="53">
        <v>1168685.0000000002</v>
      </c>
      <c r="K5" s="52">
        <v>2309829</v>
      </c>
      <c r="L5" s="27">
        <v>1103336</v>
      </c>
      <c r="M5" s="53">
        <v>1206493.0000000002</v>
      </c>
      <c r="N5" s="52">
        <v>2389231</v>
      </c>
      <c r="O5" s="27">
        <v>1143126</v>
      </c>
      <c r="P5" s="53">
        <v>1246105.0000000002</v>
      </c>
      <c r="Q5" s="52">
        <v>2471780</v>
      </c>
      <c r="R5" s="27">
        <v>1184489</v>
      </c>
      <c r="S5" s="53">
        <v>1287291.0000000002</v>
      </c>
      <c r="T5" s="52">
        <v>2557008.0000000005</v>
      </c>
      <c r="U5" s="27">
        <v>1227190.0000000002</v>
      </c>
      <c r="V5" s="53">
        <v>1329818.0000000002</v>
      </c>
      <c r="W5" s="27">
        <v>2645080</v>
      </c>
      <c r="X5" s="27">
        <v>1271313</v>
      </c>
      <c r="Y5" s="27">
        <v>1373767.0000000002</v>
      </c>
      <c r="Z5" s="52">
        <v>2736159</v>
      </c>
      <c r="AA5" s="27">
        <v>1316940.9999999998</v>
      </c>
      <c r="AB5" s="53">
        <v>1419218</v>
      </c>
      <c r="AC5" s="52">
        <v>2830415.0000000005</v>
      </c>
      <c r="AD5" s="27">
        <v>1364156</v>
      </c>
      <c r="AE5" s="53">
        <v>1466259.0000000005</v>
      </c>
    </row>
    <row r="6" spans="1:31" x14ac:dyDescent="0.2">
      <c r="A6" s="21" t="s">
        <v>95</v>
      </c>
      <c r="B6" s="54">
        <v>738976.99981916638</v>
      </c>
      <c r="C6" s="77">
        <v>354737.60294552747</v>
      </c>
      <c r="D6" s="55">
        <v>384239.39687363891</v>
      </c>
      <c r="E6" s="77">
        <v>763348.41158977151</v>
      </c>
      <c r="F6" s="22">
        <v>367067.99906934093</v>
      </c>
      <c r="G6" s="77">
        <v>396280.41252043063</v>
      </c>
      <c r="H6" s="54">
        <v>788908.32590772584</v>
      </c>
      <c r="I6" s="77">
        <v>380000.48691281641</v>
      </c>
      <c r="J6" s="55">
        <v>408907.83899490943</v>
      </c>
      <c r="K6" s="54">
        <v>815684.6355405075</v>
      </c>
      <c r="L6" s="77">
        <v>393548.26398402709</v>
      </c>
      <c r="M6" s="55">
        <v>422136.37155648042</v>
      </c>
      <c r="N6" s="54">
        <v>843737.0360019966</v>
      </c>
      <c r="O6" s="77">
        <v>407740.93550378573</v>
      </c>
      <c r="P6" s="55">
        <v>435996.10049821093</v>
      </c>
      <c r="Q6" s="54">
        <v>872901.2312418595</v>
      </c>
      <c r="R6" s="77">
        <v>422494.67946135742</v>
      </c>
      <c r="S6" s="55">
        <v>450406.55178050202</v>
      </c>
      <c r="T6" s="54">
        <v>903011.87554837565</v>
      </c>
      <c r="U6" s="77">
        <v>437725.67384600721</v>
      </c>
      <c r="V6" s="55">
        <v>465286.20170236845</v>
      </c>
      <c r="W6" s="77">
        <v>934127.2716891896</v>
      </c>
      <c r="X6" s="22">
        <v>453463.8805679552</v>
      </c>
      <c r="Y6" s="77">
        <v>480663.39112123434</v>
      </c>
      <c r="Z6" s="54">
        <v>966305.0158554092</v>
      </c>
      <c r="AA6" s="77">
        <v>469738.90484801424</v>
      </c>
      <c r="AB6" s="55">
        <v>496566.11100739497</v>
      </c>
      <c r="AC6" s="54">
        <v>999605.14664576482</v>
      </c>
      <c r="AD6" s="77">
        <v>486579.99521758966</v>
      </c>
      <c r="AE6" s="55">
        <v>513025.15142817522</v>
      </c>
    </row>
    <row r="7" spans="1:31" ht="12" customHeight="1" x14ac:dyDescent="0.2">
      <c r="A7" s="21" t="s">
        <v>96</v>
      </c>
      <c r="B7" s="54">
        <v>107400.14113248403</v>
      </c>
      <c r="C7" s="77">
        <v>50839.493564593082</v>
      </c>
      <c r="D7" s="55">
        <v>56560.647567890948</v>
      </c>
      <c r="E7" s="77">
        <v>110939.73794411527</v>
      </c>
      <c r="F7" s="22">
        <v>52606.633809045139</v>
      </c>
      <c r="G7" s="77">
        <v>58333.104135070127</v>
      </c>
      <c r="H7" s="54">
        <v>114651.94459787614</v>
      </c>
      <c r="I7" s="77">
        <v>54460.063293354731</v>
      </c>
      <c r="J7" s="55">
        <v>60191.881304521412</v>
      </c>
      <c r="K7" s="54">
        <v>118540.81567028063</v>
      </c>
      <c r="L7" s="77">
        <v>56401.673428585091</v>
      </c>
      <c r="M7" s="55">
        <v>62139.142241695539</v>
      </c>
      <c r="N7" s="54">
        <v>122615.02339519656</v>
      </c>
      <c r="O7" s="77">
        <v>58435.707109823983</v>
      </c>
      <c r="P7" s="55">
        <v>64179.316285372581</v>
      </c>
      <c r="Q7" s="54">
        <v>126850.70885037184</v>
      </c>
      <c r="R7" s="77">
        <v>60550.151320859033</v>
      </c>
      <c r="S7" s="55">
        <v>66300.557529512807</v>
      </c>
      <c r="T7" s="54">
        <v>131223.85860173643</v>
      </c>
      <c r="U7" s="77">
        <v>62732.993045477837</v>
      </c>
      <c r="V7" s="55">
        <v>68490.865556258577</v>
      </c>
      <c r="W7" s="77">
        <v>135742.93848267954</v>
      </c>
      <c r="X7" s="22">
        <v>64988.5262979861</v>
      </c>
      <c r="Y7" s="77">
        <v>70754.412184693458</v>
      </c>
      <c r="Z7" s="54">
        <v>140416.31170343328</v>
      </c>
      <c r="AA7" s="77">
        <v>67320.993973471617</v>
      </c>
      <c r="AB7" s="55">
        <v>73095.31772996168</v>
      </c>
      <c r="AC7" s="54">
        <v>145252.70238652616</v>
      </c>
      <c r="AD7" s="77">
        <v>69734.587847804214</v>
      </c>
      <c r="AE7" s="55">
        <v>75518.114538721959</v>
      </c>
    </row>
    <row r="8" spans="1:31" x14ac:dyDescent="0.2">
      <c r="A8" s="21" t="s">
        <v>97</v>
      </c>
      <c r="B8" s="54">
        <v>125047.36763785254</v>
      </c>
      <c r="C8" s="77">
        <v>59298.127772657914</v>
      </c>
      <c r="D8" s="55">
        <v>65749.239865194628</v>
      </c>
      <c r="E8" s="77">
        <v>129168.92527128174</v>
      </c>
      <c r="F8" s="22">
        <v>61359.283395197461</v>
      </c>
      <c r="G8" s="77">
        <v>67809.641876084279</v>
      </c>
      <c r="H8" s="54">
        <v>133491.47274416749</v>
      </c>
      <c r="I8" s="77">
        <v>63521.084992189462</v>
      </c>
      <c r="J8" s="55">
        <v>69970.387751978022</v>
      </c>
      <c r="K8" s="54">
        <v>138019.7307427596</v>
      </c>
      <c r="L8" s="77">
        <v>65785.738666154488</v>
      </c>
      <c r="M8" s="55">
        <v>72233.992076605093</v>
      </c>
      <c r="N8" s="54">
        <v>142763.79700117203</v>
      </c>
      <c r="O8" s="77">
        <v>68158.193241665751</v>
      </c>
      <c r="P8" s="55">
        <v>74605.603759506266</v>
      </c>
      <c r="Q8" s="54">
        <v>147695.88944770992</v>
      </c>
      <c r="R8" s="77">
        <v>70624.436986497923</v>
      </c>
      <c r="S8" s="55">
        <v>77071.452461212</v>
      </c>
      <c r="T8" s="54">
        <v>152788.04639755492</v>
      </c>
      <c r="U8" s="77">
        <v>73170.458168425685</v>
      </c>
      <c r="V8" s="55">
        <v>79617.588229129251</v>
      </c>
      <c r="W8" s="77">
        <v>158050.12585400764</v>
      </c>
      <c r="X8" s="22">
        <v>75801.265236414707</v>
      </c>
      <c r="Y8" s="77">
        <v>82248.860617592931</v>
      </c>
      <c r="Z8" s="54">
        <v>163491.86632493499</v>
      </c>
      <c r="AA8" s="77">
        <v>78521.807015038183</v>
      </c>
      <c r="AB8" s="55">
        <v>84970.059309896809</v>
      </c>
      <c r="AC8" s="54">
        <v>169123.42566214083</v>
      </c>
      <c r="AD8" s="77">
        <v>81336.972704476822</v>
      </c>
      <c r="AE8" s="55">
        <v>87786.452957664005</v>
      </c>
    </row>
    <row r="9" spans="1:31" x14ac:dyDescent="0.2">
      <c r="A9" s="21" t="s">
        <v>98</v>
      </c>
      <c r="B9" s="54">
        <v>305157.9571582363</v>
      </c>
      <c r="C9" s="77">
        <v>143895.43089260184</v>
      </c>
      <c r="D9" s="55">
        <v>161262.52626563446</v>
      </c>
      <c r="E9" s="77">
        <v>315213.17569188809</v>
      </c>
      <c r="F9" s="22">
        <v>148897.12129299916</v>
      </c>
      <c r="G9" s="77">
        <v>166316.05439888893</v>
      </c>
      <c r="H9" s="54">
        <v>325758.73857955041</v>
      </c>
      <c r="I9" s="77">
        <v>154143.04361783373</v>
      </c>
      <c r="J9" s="55">
        <v>171615.69496171668</v>
      </c>
      <c r="K9" s="54">
        <v>336806.16674135905</v>
      </c>
      <c r="L9" s="77">
        <v>159638.55129198951</v>
      </c>
      <c r="M9" s="55">
        <v>177167.61544936954</v>
      </c>
      <c r="N9" s="54">
        <v>348380.09789226699</v>
      </c>
      <c r="O9" s="77">
        <v>165395.65334966572</v>
      </c>
      <c r="P9" s="55">
        <v>182984.44454260127</v>
      </c>
      <c r="Q9" s="54">
        <v>360412.75617114292</v>
      </c>
      <c r="R9" s="77">
        <v>171380.34830849111</v>
      </c>
      <c r="S9" s="55">
        <v>189032.4078626518</v>
      </c>
      <c r="T9" s="54">
        <v>372835.92518148036</v>
      </c>
      <c r="U9" s="77">
        <v>177558.63468609436</v>
      </c>
      <c r="V9" s="55">
        <v>195277.29049538597</v>
      </c>
      <c r="W9" s="77">
        <v>385673.653099766</v>
      </c>
      <c r="X9" s="22">
        <v>183942.66620383368</v>
      </c>
      <c r="Y9" s="77">
        <v>201730.98689593232</v>
      </c>
      <c r="Z9" s="54">
        <v>398949.69657020271</v>
      </c>
      <c r="AA9" s="77">
        <v>190544.45189590837</v>
      </c>
      <c r="AB9" s="55">
        <v>208405.24467429431</v>
      </c>
      <c r="AC9" s="54">
        <v>412688.84231083433</v>
      </c>
      <c r="AD9" s="77">
        <v>197375.85610935854</v>
      </c>
      <c r="AE9" s="55">
        <v>215312.98620147581</v>
      </c>
    </row>
    <row r="10" spans="1:31" x14ac:dyDescent="0.2">
      <c r="A10" s="21" t="s">
        <v>99</v>
      </c>
      <c r="B10" s="54">
        <v>289930.07184936764</v>
      </c>
      <c r="C10" s="77">
        <v>138610.01762952819</v>
      </c>
      <c r="D10" s="55">
        <v>151320.05421983945</v>
      </c>
      <c r="E10" s="77">
        <v>299490.00365316885</v>
      </c>
      <c r="F10" s="22">
        <v>143427.991280783</v>
      </c>
      <c r="G10" s="77">
        <v>156062.01237238586</v>
      </c>
      <c r="H10" s="54">
        <v>309516.13514090551</v>
      </c>
      <c r="I10" s="77">
        <v>148481.22599030731</v>
      </c>
      <c r="J10" s="55">
        <v>161034.90915059819</v>
      </c>
      <c r="K10" s="54">
        <v>320019.41034597304</v>
      </c>
      <c r="L10" s="77">
        <v>153774.87854670064</v>
      </c>
      <c r="M10" s="55">
        <v>166244.5317992724</v>
      </c>
      <c r="N10" s="54">
        <v>331023.2472722315</v>
      </c>
      <c r="O10" s="77">
        <v>159320.51688114565</v>
      </c>
      <c r="P10" s="55">
        <v>171702.73039108585</v>
      </c>
      <c r="Q10" s="54">
        <v>342463.20128860592</v>
      </c>
      <c r="R10" s="77">
        <v>165085.38841740222</v>
      </c>
      <c r="S10" s="55">
        <v>177377.81287120373</v>
      </c>
      <c r="T10" s="54">
        <v>354274.41438939306</v>
      </c>
      <c r="U10" s="77">
        <v>171036.74057923022</v>
      </c>
      <c r="V10" s="55">
        <v>183237.67381016287</v>
      </c>
      <c r="W10" s="77">
        <v>366479.75499340415</v>
      </c>
      <c r="X10" s="22">
        <v>177186.28067047719</v>
      </c>
      <c r="Y10" s="77">
        <v>189293.47432292692</v>
      </c>
      <c r="Z10" s="54">
        <v>379101.81435524247</v>
      </c>
      <c r="AA10" s="77">
        <v>183545.57662232584</v>
      </c>
      <c r="AB10" s="55">
        <v>195556.23773291663</v>
      </c>
      <c r="AC10" s="54">
        <v>392164.1466891889</v>
      </c>
      <c r="AD10" s="77">
        <v>190126.05699329393</v>
      </c>
      <c r="AE10" s="55">
        <v>202038.08969589495</v>
      </c>
    </row>
    <row r="11" spans="1:31" x14ac:dyDescent="0.2">
      <c r="A11" s="21" t="s">
        <v>100</v>
      </c>
      <c r="B11" s="54">
        <v>85530.652049938217</v>
      </c>
      <c r="C11" s="77">
        <v>40515.290427959182</v>
      </c>
      <c r="D11" s="55">
        <v>45015.361621979042</v>
      </c>
      <c r="E11" s="77">
        <v>88349.589994911541</v>
      </c>
      <c r="F11" s="22">
        <v>41923.569606427889</v>
      </c>
      <c r="G11" s="77">
        <v>46426.020388483645</v>
      </c>
      <c r="H11" s="54">
        <v>91305.994685996149</v>
      </c>
      <c r="I11" s="77">
        <v>43400.614883229056</v>
      </c>
      <c r="J11" s="55">
        <v>47905.3798027671</v>
      </c>
      <c r="K11" s="54">
        <v>94403.095052237361</v>
      </c>
      <c r="L11" s="77">
        <v>44947.93357212947</v>
      </c>
      <c r="M11" s="55">
        <v>49455.16148010789</v>
      </c>
      <c r="N11" s="54">
        <v>97647.797577294725</v>
      </c>
      <c r="O11" s="77">
        <v>46568.906944551862</v>
      </c>
      <c r="P11" s="55">
        <v>51078.89063274287</v>
      </c>
      <c r="Q11" s="54">
        <v>101021.1008886472</v>
      </c>
      <c r="R11" s="77">
        <v>48253.96152116677</v>
      </c>
      <c r="S11" s="55">
        <v>52767.139367480428</v>
      </c>
      <c r="T11" s="54">
        <v>104503.88064125381</v>
      </c>
      <c r="U11" s="77">
        <v>49993.52382264474</v>
      </c>
      <c r="V11" s="55">
        <v>54510.356818609071</v>
      </c>
      <c r="W11" s="77">
        <v>108102.87910278427</v>
      </c>
      <c r="X11" s="22">
        <v>51791.015858618433</v>
      </c>
      <c r="Y11" s="77">
        <v>56311.863244165841</v>
      </c>
      <c r="Z11" s="54">
        <v>111824.7568118584</v>
      </c>
      <c r="AA11" s="77">
        <v>53649.818900510589</v>
      </c>
      <c r="AB11" s="55">
        <v>58174.937911347813</v>
      </c>
      <c r="AC11" s="54">
        <v>115676.46149560584</v>
      </c>
      <c r="AD11" s="77">
        <v>55573.273481534045</v>
      </c>
      <c r="AE11" s="55">
        <v>60103.188014071791</v>
      </c>
    </row>
    <row r="12" spans="1:31" x14ac:dyDescent="0.2">
      <c r="A12" s="21" t="s">
        <v>101</v>
      </c>
      <c r="B12" s="54">
        <v>57047.607040767776</v>
      </c>
      <c r="C12" s="77">
        <v>27079.248167696354</v>
      </c>
      <c r="D12" s="55">
        <v>29968.358873071422</v>
      </c>
      <c r="E12" s="77">
        <v>58927.986810849936</v>
      </c>
      <c r="F12" s="22">
        <v>28020.501234386378</v>
      </c>
      <c r="G12" s="77">
        <v>30907.485576463561</v>
      </c>
      <c r="H12" s="54">
        <v>60900.064364812373</v>
      </c>
      <c r="I12" s="77">
        <v>29007.715572058285</v>
      </c>
      <c r="J12" s="55">
        <v>31892.348792754088</v>
      </c>
      <c r="K12" s="54">
        <v>62965.99328930724</v>
      </c>
      <c r="L12" s="77">
        <v>30041.89862563289</v>
      </c>
      <c r="M12" s="55">
        <v>32924.094663674347</v>
      </c>
      <c r="N12" s="54">
        <v>65130.380389986451</v>
      </c>
      <c r="O12" s="77">
        <v>31125.310339121737</v>
      </c>
      <c r="P12" s="55">
        <v>34005.070050864713</v>
      </c>
      <c r="Q12" s="54">
        <v>67380.550539757271</v>
      </c>
      <c r="R12" s="77">
        <v>32251.552075865624</v>
      </c>
      <c r="S12" s="55">
        <v>35128.998463891643</v>
      </c>
      <c r="T12" s="54">
        <v>69703.746744260396</v>
      </c>
      <c r="U12" s="77">
        <v>33414.225199205343</v>
      </c>
      <c r="V12" s="55">
        <v>36289.521545055046</v>
      </c>
      <c r="W12" s="77">
        <v>72104.466591944627</v>
      </c>
      <c r="X12" s="22">
        <v>34615.616881393544</v>
      </c>
      <c r="Y12" s="77">
        <v>37488.849710551091</v>
      </c>
      <c r="Z12" s="54">
        <v>74587.153153928884</v>
      </c>
      <c r="AA12" s="77">
        <v>35857.987066441776</v>
      </c>
      <c r="AB12" s="55">
        <v>38729.166087487109</v>
      </c>
      <c r="AC12" s="54">
        <v>77156.44058580164</v>
      </c>
      <c r="AD12" s="77">
        <v>37143.568470120488</v>
      </c>
      <c r="AE12" s="55">
        <v>40012.872115681144</v>
      </c>
    </row>
    <row r="13" spans="1:31" x14ac:dyDescent="0.2">
      <c r="A13" s="21" t="s">
        <v>102</v>
      </c>
      <c r="B13" s="54">
        <v>95438.902361699715</v>
      </c>
      <c r="C13" s="77">
        <v>45162.771190195308</v>
      </c>
      <c r="D13" s="55">
        <v>50276.131171504407</v>
      </c>
      <c r="E13" s="77">
        <v>98584.241213030444</v>
      </c>
      <c r="F13" s="22">
        <v>46732.593092920884</v>
      </c>
      <c r="G13" s="77">
        <v>51851.648120109552</v>
      </c>
      <c r="H13" s="54">
        <v>101882.96369820711</v>
      </c>
      <c r="I13" s="77">
        <v>48379.06920525046</v>
      </c>
      <c r="J13" s="55">
        <v>53503.89449295665</v>
      </c>
      <c r="K13" s="54">
        <v>105338.67284764342</v>
      </c>
      <c r="L13" s="77">
        <v>50103.879743863748</v>
      </c>
      <c r="M13" s="55">
        <v>55234.793103779673</v>
      </c>
      <c r="N13" s="54">
        <v>108959.07498608006</v>
      </c>
      <c r="O13" s="77">
        <v>51910.79384347469</v>
      </c>
      <c r="P13" s="55">
        <v>57048.281142605359</v>
      </c>
      <c r="Q13" s="54">
        <v>112722.96877278022</v>
      </c>
      <c r="R13" s="77">
        <v>53789.139857604059</v>
      </c>
      <c r="S13" s="55">
        <v>58933.828915176164</v>
      </c>
      <c r="T13" s="54">
        <v>116609.01552316902</v>
      </c>
      <c r="U13" s="77">
        <v>55728.246139772615</v>
      </c>
      <c r="V13" s="55">
        <v>60880.7693833964</v>
      </c>
      <c r="W13" s="77">
        <v>120624.73806685182</v>
      </c>
      <c r="X13" s="22">
        <v>57731.927235955918</v>
      </c>
      <c r="Y13" s="77">
        <v>62892.810830895898</v>
      </c>
      <c r="Z13" s="54">
        <v>124777.56804089301</v>
      </c>
      <c r="AA13" s="77">
        <v>59803.952280867903</v>
      </c>
      <c r="AB13" s="55">
        <v>64973.61576002511</v>
      </c>
      <c r="AC13" s="54">
        <v>129075.25792133044</v>
      </c>
      <c r="AD13" s="77">
        <v>61948.044997960911</v>
      </c>
      <c r="AE13" s="55">
        <v>67127.21292336953</v>
      </c>
    </row>
    <row r="14" spans="1:31" x14ac:dyDescent="0.2">
      <c r="A14" s="21" t="s">
        <v>103</v>
      </c>
      <c r="B14" s="54">
        <v>117521.98710818985</v>
      </c>
      <c r="C14" s="77">
        <v>54976.189884573228</v>
      </c>
      <c r="D14" s="55">
        <v>62545.797223616617</v>
      </c>
      <c r="E14" s="77">
        <v>121392.93046498488</v>
      </c>
      <c r="F14" s="22">
        <v>56887.11839349386</v>
      </c>
      <c r="G14" s="77">
        <v>64505.812071491011</v>
      </c>
      <c r="H14" s="54">
        <v>125452.63912356469</v>
      </c>
      <c r="I14" s="77">
        <v>58891.357305465135</v>
      </c>
      <c r="J14" s="55">
        <v>66561.281818099553</v>
      </c>
      <c r="K14" s="54">
        <v>129705.55046276472</v>
      </c>
      <c r="L14" s="77">
        <v>60990.951931454409</v>
      </c>
      <c r="M14" s="55">
        <v>68714.598531310316</v>
      </c>
      <c r="N14" s="54">
        <v>134161.15065632257</v>
      </c>
      <c r="O14" s="77">
        <v>63190.490401469498</v>
      </c>
      <c r="P14" s="55">
        <v>70970.660254853065</v>
      </c>
      <c r="Q14" s="54">
        <v>138793.34979638449</v>
      </c>
      <c r="R14" s="77">
        <v>65476.982226934044</v>
      </c>
      <c r="S14" s="55">
        <v>73316.367569450449</v>
      </c>
      <c r="T14" s="54">
        <v>143575.8871131062</v>
      </c>
      <c r="U14" s="77">
        <v>67837.436919271684</v>
      </c>
      <c r="V14" s="55">
        <v>75738.450193834535</v>
      </c>
      <c r="W14" s="77">
        <v>148518.01928891585</v>
      </c>
      <c r="X14" s="22">
        <v>70276.497887165009</v>
      </c>
      <c r="Y14" s="77">
        <v>78241.521401750841</v>
      </c>
      <c r="Z14" s="54">
        <v>153628.89077356987</v>
      </c>
      <c r="AA14" s="77">
        <v>72798.753260621874</v>
      </c>
      <c r="AB14" s="55">
        <v>80830.137512947986</v>
      </c>
      <c r="AC14" s="54">
        <v>158918.04637012479</v>
      </c>
      <c r="AD14" s="77">
        <v>75408.735890975295</v>
      </c>
      <c r="AE14" s="55">
        <v>83509.310479149499</v>
      </c>
    </row>
    <row r="15" spans="1:31" ht="11.25" customHeight="1" x14ac:dyDescent="0.2">
      <c r="A15" s="21" t="s">
        <v>104</v>
      </c>
      <c r="B15" s="54">
        <v>139111.82512475122</v>
      </c>
      <c r="C15" s="77">
        <v>64636.154025502918</v>
      </c>
      <c r="D15" s="55">
        <v>74475.671099248313</v>
      </c>
      <c r="E15" s="77">
        <v>143692.39086825668</v>
      </c>
      <c r="F15" s="22">
        <v>66882.855182742947</v>
      </c>
      <c r="G15" s="77">
        <v>76809.535685513722</v>
      </c>
      <c r="H15" s="54">
        <v>148496.32454772721</v>
      </c>
      <c r="I15" s="77">
        <v>69239.262479976067</v>
      </c>
      <c r="J15" s="55">
        <v>79257.062067751147</v>
      </c>
      <c r="K15" s="54">
        <v>153528.87918598874</v>
      </c>
      <c r="L15" s="77">
        <v>71707.780613398805</v>
      </c>
      <c r="M15" s="55">
        <v>81821.098572589937</v>
      </c>
      <c r="N15" s="54">
        <v>158801.28138939635</v>
      </c>
      <c r="O15" s="77">
        <v>74293.803901506093</v>
      </c>
      <c r="P15" s="55">
        <v>84507.477487890268</v>
      </c>
      <c r="Q15" s="54">
        <v>164282.66010835176</v>
      </c>
      <c r="R15" s="77">
        <v>76982.05927386049</v>
      </c>
      <c r="S15" s="55">
        <v>87300.60083449127</v>
      </c>
      <c r="T15" s="54">
        <v>169941.9408413546</v>
      </c>
      <c r="U15" s="77">
        <v>79757.273660024584</v>
      </c>
      <c r="V15" s="55">
        <v>90184.667181330035</v>
      </c>
      <c r="W15" s="77">
        <v>175790.07610004555</v>
      </c>
      <c r="X15" s="22">
        <v>82624.906370282377</v>
      </c>
      <c r="Y15" s="77">
        <v>93165.169729763176</v>
      </c>
      <c r="Z15" s="54">
        <v>181837.88558697546</v>
      </c>
      <c r="AA15" s="77">
        <v>85590.351723128799</v>
      </c>
      <c r="AB15" s="55">
        <v>96247.533863846664</v>
      </c>
      <c r="AC15" s="54">
        <v>188096.66655131167</v>
      </c>
      <c r="AD15" s="77">
        <v>88658.939045269668</v>
      </c>
      <c r="AE15" s="55">
        <v>99437.727506042022</v>
      </c>
    </row>
    <row r="16" spans="1:31" ht="12" thickBot="1" x14ac:dyDescent="0.25">
      <c r="A16" s="9" t="s">
        <v>105</v>
      </c>
      <c r="B16" s="56">
        <v>31545.488717546585</v>
      </c>
      <c r="C16" s="11">
        <v>14777.673499164566</v>
      </c>
      <c r="D16" s="57">
        <v>16767.815218382017</v>
      </c>
      <c r="E16" s="11">
        <v>32584.60649774129</v>
      </c>
      <c r="F16" s="11">
        <v>15291.333642662406</v>
      </c>
      <c r="G16" s="11">
        <v>17293.272855078882</v>
      </c>
      <c r="H16" s="56">
        <v>33674.39660946728</v>
      </c>
      <c r="I16" s="11">
        <v>15830.075747519393</v>
      </c>
      <c r="J16" s="57">
        <v>17844.320861947883</v>
      </c>
      <c r="K16" s="56">
        <v>34816.050121178952</v>
      </c>
      <c r="L16" s="11">
        <v>16394.4495960639</v>
      </c>
      <c r="M16" s="57">
        <v>18421.600525115053</v>
      </c>
      <c r="N16" s="56">
        <v>36012.113438056324</v>
      </c>
      <c r="O16" s="11">
        <v>16985.68848378929</v>
      </c>
      <c r="P16" s="57">
        <v>19026.424954267033</v>
      </c>
      <c r="Q16" s="56">
        <v>37255.582894389256</v>
      </c>
      <c r="R16" s="11">
        <v>17600.300549961328</v>
      </c>
      <c r="S16" s="57">
        <v>19655.282344427927</v>
      </c>
      <c r="T16" s="56">
        <v>38539.409018315753</v>
      </c>
      <c r="U16" s="11">
        <v>18234.793933845769</v>
      </c>
      <c r="V16" s="57">
        <v>20304.615084469988</v>
      </c>
      <c r="W16" s="11">
        <v>39866.076730411252</v>
      </c>
      <c r="X16" s="11">
        <v>18890.416789917832</v>
      </c>
      <c r="Y16" s="11">
        <v>20975.659940493424</v>
      </c>
      <c r="Z16" s="56">
        <v>41238.040823552037</v>
      </c>
      <c r="AA16" s="11">
        <v>19568.40241367089</v>
      </c>
      <c r="AB16" s="57">
        <v>21669.638409881147</v>
      </c>
      <c r="AC16" s="56">
        <v>42657.863381370844</v>
      </c>
      <c r="AD16" s="11">
        <v>20269.969241616465</v>
      </c>
      <c r="AE16" s="57">
        <v>22387.894139754375</v>
      </c>
    </row>
    <row r="17" spans="1:255" s="45" customFormat="1" ht="12" customHeight="1" x14ac:dyDescent="0.2">
      <c r="A17" s="43" t="s">
        <v>195</v>
      </c>
      <c r="B17" s="44"/>
      <c r="C17" s="44"/>
      <c r="D17" s="44"/>
      <c r="E17" s="44"/>
      <c r="F17" s="44"/>
      <c r="G17" s="44"/>
      <c r="AC17" s="44"/>
      <c r="AD17" s="44"/>
      <c r="AE17" s="44"/>
      <c r="AF17" s="44"/>
      <c r="AG17" s="44"/>
      <c r="AH17" s="44"/>
      <c r="AI17" s="44"/>
      <c r="AJ17" s="44"/>
      <c r="AK17" s="44"/>
      <c r="AL17" s="46"/>
      <c r="AM17" s="46"/>
      <c r="AN17" s="46"/>
      <c r="AO17" s="46"/>
      <c r="AP17" s="44"/>
      <c r="AQ17" s="44"/>
      <c r="AR17" s="46"/>
      <c r="AS17" s="44"/>
      <c r="AT17" s="44"/>
      <c r="BD17" s="47"/>
      <c r="CW17" s="48"/>
      <c r="CX17" s="48"/>
      <c r="CY17" s="48"/>
      <c r="CZ17" s="48"/>
      <c r="DA17" s="48"/>
      <c r="DB17" s="48"/>
      <c r="DC17" s="48"/>
      <c r="DD17" s="48"/>
      <c r="DE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GI17" s="47"/>
      <c r="IK17" s="47"/>
      <c r="IL17" s="47"/>
      <c r="IT17" s="47"/>
      <c r="IU17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U15"/>
  <sheetViews>
    <sheetView zoomScale="120" zoomScaleNormal="12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AI28" sqref="AI28"/>
    </sheetView>
  </sheetViews>
  <sheetFormatPr defaultColWidth="9.140625" defaultRowHeight="11.25" x14ac:dyDescent="0.2"/>
  <cols>
    <col min="1" max="1" width="10.140625" style="1" customWidth="1"/>
    <col min="2" max="2" width="8.7109375" style="1" customWidth="1"/>
    <col min="3" max="3" width="7.7109375" style="1" customWidth="1"/>
    <col min="4" max="5" width="8.7109375" style="1" customWidth="1"/>
    <col min="6" max="6" width="9.7109375" style="1" customWidth="1"/>
    <col min="7" max="8" width="8.7109375" style="1" customWidth="1"/>
    <col min="9" max="10" width="7.7109375" style="1" customWidth="1"/>
    <col min="11" max="11" width="9.5703125" style="1" customWidth="1"/>
    <col min="12" max="12" width="7.7109375" style="1" customWidth="1"/>
    <col min="13" max="16384" width="9.140625" style="1"/>
  </cols>
  <sheetData>
    <row r="2" spans="1:255" ht="25.5" customHeight="1" thickBot="1" x14ac:dyDescent="0.25">
      <c r="A2" s="157" t="s">
        <v>187</v>
      </c>
      <c r="B2" s="157"/>
      <c r="C2" s="157"/>
      <c r="D2" s="157"/>
      <c r="E2" s="157"/>
      <c r="F2" s="157"/>
      <c r="G2" s="157"/>
      <c r="H2" s="14"/>
      <c r="I2" s="14"/>
      <c r="J2" s="14"/>
      <c r="K2" s="14"/>
    </row>
    <row r="3" spans="1:255" ht="15.75" customHeight="1" thickBot="1" x14ac:dyDescent="0.25">
      <c r="A3" s="131" t="s">
        <v>7</v>
      </c>
      <c r="B3" s="153">
        <v>2015</v>
      </c>
      <c r="C3" s="154"/>
      <c r="D3" s="155"/>
      <c r="E3" s="153">
        <v>2016</v>
      </c>
      <c r="F3" s="154"/>
      <c r="G3" s="155"/>
      <c r="H3" s="153">
        <v>2017</v>
      </c>
      <c r="I3" s="154"/>
      <c r="J3" s="155"/>
      <c r="K3" s="153">
        <v>2018</v>
      </c>
      <c r="L3" s="154"/>
      <c r="M3" s="155"/>
      <c r="N3" s="153">
        <v>2019</v>
      </c>
      <c r="O3" s="154"/>
      <c r="P3" s="155"/>
      <c r="Q3" s="153">
        <v>2020</v>
      </c>
      <c r="R3" s="154"/>
      <c r="S3" s="155"/>
      <c r="T3" s="153">
        <v>2021</v>
      </c>
      <c r="U3" s="154"/>
      <c r="V3" s="155"/>
      <c r="W3" s="153">
        <v>2022</v>
      </c>
      <c r="X3" s="154"/>
      <c r="Y3" s="155"/>
      <c r="Z3" s="153">
        <v>2023</v>
      </c>
      <c r="AA3" s="154"/>
      <c r="AB3" s="155"/>
      <c r="AC3" s="153">
        <v>2024</v>
      </c>
      <c r="AD3" s="154"/>
      <c r="AE3" s="155"/>
    </row>
    <row r="4" spans="1:255" x14ac:dyDescent="0.2">
      <c r="A4" s="131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50" t="s">
        <v>0</v>
      </c>
      <c r="O4" s="78" t="s">
        <v>1</v>
      </c>
      <c r="P4" s="51" t="s">
        <v>2</v>
      </c>
      <c r="Q4" s="50" t="s">
        <v>0</v>
      </c>
      <c r="R4" s="78" t="s">
        <v>1</v>
      </c>
      <c r="S4" s="51" t="s">
        <v>2</v>
      </c>
      <c r="T4" s="50" t="s">
        <v>0</v>
      </c>
      <c r="U4" s="78" t="s">
        <v>1</v>
      </c>
      <c r="V4" s="51" t="s">
        <v>2</v>
      </c>
      <c r="W4" s="50" t="s">
        <v>0</v>
      </c>
      <c r="X4" s="78" t="s">
        <v>1</v>
      </c>
      <c r="Y4" s="51" t="s">
        <v>2</v>
      </c>
      <c r="Z4" s="50" t="s">
        <v>0</v>
      </c>
      <c r="AA4" s="78" t="s">
        <v>1</v>
      </c>
      <c r="AB4" s="51" t="s">
        <v>2</v>
      </c>
      <c r="AC4" s="50" t="s">
        <v>0</v>
      </c>
      <c r="AD4" s="78" t="s">
        <v>1</v>
      </c>
      <c r="AE4" s="51" t="s">
        <v>2</v>
      </c>
    </row>
    <row r="5" spans="1:255" s="6" customFormat="1" ht="12" thickBot="1" x14ac:dyDescent="0.25">
      <c r="A5" s="17" t="s">
        <v>106</v>
      </c>
      <c r="B5" s="52">
        <v>1505150</v>
      </c>
      <c r="C5" s="27">
        <v>716084</v>
      </c>
      <c r="D5" s="53">
        <v>789066.00000000012</v>
      </c>
      <c r="E5" s="52">
        <v>1552808</v>
      </c>
      <c r="F5" s="27">
        <v>739590</v>
      </c>
      <c r="G5" s="53">
        <v>813218</v>
      </c>
      <c r="H5" s="52">
        <v>1602663.0000000002</v>
      </c>
      <c r="I5" s="27">
        <v>764200</v>
      </c>
      <c r="J5" s="53">
        <v>838463.00000000023</v>
      </c>
      <c r="K5" s="52">
        <v>1654744</v>
      </c>
      <c r="L5" s="27">
        <v>789927.99999999988</v>
      </c>
      <c r="M5" s="53">
        <v>864816.00000000023</v>
      </c>
      <c r="N5" s="52">
        <v>1709139</v>
      </c>
      <c r="O5" s="27">
        <v>816816.99999999988</v>
      </c>
      <c r="P5" s="53">
        <v>892322.00000000023</v>
      </c>
      <c r="Q5" s="52">
        <v>1765495.0000000002</v>
      </c>
      <c r="R5" s="27">
        <v>844691</v>
      </c>
      <c r="S5" s="53">
        <v>920804.00000000023</v>
      </c>
      <c r="T5" s="52">
        <v>1823451.0000000002</v>
      </c>
      <c r="U5" s="27">
        <v>873370</v>
      </c>
      <c r="V5" s="53">
        <v>950081.00000000023</v>
      </c>
      <c r="W5" s="52">
        <v>1883101</v>
      </c>
      <c r="X5" s="27">
        <v>902901</v>
      </c>
      <c r="Y5" s="53">
        <v>980200.00000000012</v>
      </c>
      <c r="Z5" s="52">
        <v>1944538</v>
      </c>
      <c r="AA5" s="27">
        <v>933331</v>
      </c>
      <c r="AB5" s="53">
        <v>1011207.0000000001</v>
      </c>
      <c r="AC5" s="52">
        <v>2007862.0000000005</v>
      </c>
      <c r="AD5" s="27">
        <v>964709.00000000023</v>
      </c>
      <c r="AE5" s="53">
        <v>1043153.0000000002</v>
      </c>
    </row>
    <row r="6" spans="1:255" x14ac:dyDescent="0.2">
      <c r="A6" s="21" t="s">
        <v>107</v>
      </c>
      <c r="B6" s="54">
        <v>466344.00317589426</v>
      </c>
      <c r="C6" s="77">
        <v>223642.17818278863</v>
      </c>
      <c r="D6" s="55">
        <v>242701.82499310561</v>
      </c>
      <c r="E6" s="54">
        <v>481113.92701865087</v>
      </c>
      <c r="F6" s="77">
        <v>230983.40217377938</v>
      </c>
      <c r="G6" s="55">
        <v>250130.52484487148</v>
      </c>
      <c r="H6" s="54">
        <v>496564.83035358955</v>
      </c>
      <c r="I6" s="77">
        <v>238669.41946375993</v>
      </c>
      <c r="J6" s="55">
        <v>257895.41088982963</v>
      </c>
      <c r="K6" s="54">
        <v>512705.69927670032</v>
      </c>
      <c r="L6" s="77">
        <v>246704.60243152181</v>
      </c>
      <c r="M6" s="55">
        <v>266001.09684517852</v>
      </c>
      <c r="N6" s="54">
        <v>529563.8043887238</v>
      </c>
      <c r="O6" s="77">
        <v>255102.38052621041</v>
      </c>
      <c r="P6" s="55">
        <v>274461.42386251339</v>
      </c>
      <c r="Q6" s="54">
        <v>547029.73677905358</v>
      </c>
      <c r="R6" s="77">
        <v>263807.78670016077</v>
      </c>
      <c r="S6" s="55">
        <v>283221.95007889281</v>
      </c>
      <c r="T6" s="54">
        <v>564991.60796141345</v>
      </c>
      <c r="U6" s="77">
        <v>272764.60465462448</v>
      </c>
      <c r="V6" s="55">
        <v>292227.00330678903</v>
      </c>
      <c r="W6" s="54">
        <v>583478.55294992076</v>
      </c>
      <c r="X6" s="77">
        <v>281987.51308983029</v>
      </c>
      <c r="Y6" s="55">
        <v>301491.03986009042</v>
      </c>
      <c r="Z6" s="54">
        <v>602519.39917754591</v>
      </c>
      <c r="AA6" s="77">
        <v>291491.19070600695</v>
      </c>
      <c r="AB6" s="55">
        <v>311028.20847153896</v>
      </c>
      <c r="AC6" s="54">
        <v>622145.13660853403</v>
      </c>
      <c r="AD6" s="77">
        <v>301290.94082892488</v>
      </c>
      <c r="AE6" s="55">
        <v>320854.1957796092</v>
      </c>
    </row>
    <row r="7" spans="1:255" x14ac:dyDescent="0.2">
      <c r="A7" s="21" t="s">
        <v>108</v>
      </c>
      <c r="B7" s="54">
        <v>76356.63376198968</v>
      </c>
      <c r="C7" s="77">
        <v>36021.448278194031</v>
      </c>
      <c r="D7" s="55">
        <v>40335.185483795642</v>
      </c>
      <c r="E7" s="54">
        <v>78773.658151638141</v>
      </c>
      <c r="F7" s="77">
        <v>37203.879617572136</v>
      </c>
      <c r="G7" s="55">
        <v>41569.778534066005</v>
      </c>
      <c r="H7" s="54">
        <v>81302.089048867099</v>
      </c>
      <c r="I7" s="77">
        <v>38441.845892654885</v>
      </c>
      <c r="J7" s="55">
        <v>42860.243156212215</v>
      </c>
      <c r="K7" s="54">
        <v>83943.397465530987</v>
      </c>
      <c r="L7" s="77">
        <v>39736.051350815345</v>
      </c>
      <c r="M7" s="55">
        <v>44207.346114715641</v>
      </c>
      <c r="N7" s="54">
        <v>86702.046740576916</v>
      </c>
      <c r="O7" s="77">
        <v>41088.659037556507</v>
      </c>
      <c r="P7" s="55">
        <v>45613.387703020402</v>
      </c>
      <c r="Q7" s="54">
        <v>89560.135657577572</v>
      </c>
      <c r="R7" s="77">
        <v>42490.815557331254</v>
      </c>
      <c r="S7" s="55">
        <v>47069.320100246317</v>
      </c>
      <c r="T7" s="54">
        <v>92499.35731604218</v>
      </c>
      <c r="U7" s="77">
        <v>43933.466301057306</v>
      </c>
      <c r="V7" s="55">
        <v>48565.891014984867</v>
      </c>
      <c r="W7" s="54">
        <v>95524.478503717139</v>
      </c>
      <c r="X7" s="77">
        <v>45418.975527772818</v>
      </c>
      <c r="Y7" s="55">
        <v>50105.502975944328</v>
      </c>
      <c r="Z7" s="54">
        <v>98640.214890716859</v>
      </c>
      <c r="AA7" s="77">
        <v>46949.707496515934</v>
      </c>
      <c r="AB7" s="55">
        <v>51690.507394200918</v>
      </c>
      <c r="AC7" s="54">
        <v>101851.63834208366</v>
      </c>
      <c r="AD7" s="77">
        <v>48528.127073092386</v>
      </c>
      <c r="AE7" s="55">
        <v>53323.511268991286</v>
      </c>
    </row>
    <row r="8" spans="1:255" x14ac:dyDescent="0.2">
      <c r="A8" s="21" t="s">
        <v>109</v>
      </c>
      <c r="B8" s="54">
        <v>133804.35079017252</v>
      </c>
      <c r="C8" s="77">
        <v>63274.244362105499</v>
      </c>
      <c r="D8" s="55">
        <v>70530.106428067025</v>
      </c>
      <c r="E8" s="54">
        <v>138040.18525623516</v>
      </c>
      <c r="F8" s="77">
        <v>65351.269387068569</v>
      </c>
      <c r="G8" s="55">
        <v>72688.915869166594</v>
      </c>
      <c r="H8" s="54">
        <v>142471.26783188467</v>
      </c>
      <c r="I8" s="77">
        <v>67525.845489525003</v>
      </c>
      <c r="J8" s="55">
        <v>74945.422342359656</v>
      </c>
      <c r="K8" s="54">
        <v>147100.17634227918</v>
      </c>
      <c r="L8" s="77">
        <v>69799.209730240138</v>
      </c>
      <c r="M8" s="55">
        <v>77300.966612039061</v>
      </c>
      <c r="N8" s="54">
        <v>151934.73262437654</v>
      </c>
      <c r="O8" s="77">
        <v>72175.16165299312</v>
      </c>
      <c r="P8" s="55">
        <v>79759.570971383408</v>
      </c>
      <c r="Q8" s="54">
        <v>156943.56403729122</v>
      </c>
      <c r="R8" s="77">
        <v>74638.149636734321</v>
      </c>
      <c r="S8" s="55">
        <v>82305.414400556896</v>
      </c>
      <c r="T8" s="54">
        <v>162094.58695703337</v>
      </c>
      <c r="U8" s="77">
        <v>77172.268614481101</v>
      </c>
      <c r="V8" s="55">
        <v>84922.318342552273</v>
      </c>
      <c r="W8" s="54">
        <v>167396.15543507942</v>
      </c>
      <c r="X8" s="77">
        <v>79781.671575945584</v>
      </c>
      <c r="Y8" s="55">
        <v>87614.483859133834</v>
      </c>
      <c r="Z8" s="54">
        <v>172856.53413861297</v>
      </c>
      <c r="AA8" s="77">
        <v>82470.511510839919</v>
      </c>
      <c r="AB8" s="55">
        <v>90386.022627773054</v>
      </c>
      <c r="AC8" s="54">
        <v>178484.61137924835</v>
      </c>
      <c r="AD8" s="77">
        <v>85243.118131842682</v>
      </c>
      <c r="AE8" s="55">
        <v>93241.49324740567</v>
      </c>
    </row>
    <row r="9" spans="1:255" x14ac:dyDescent="0.2">
      <c r="A9" s="21" t="s">
        <v>110</v>
      </c>
      <c r="B9" s="54">
        <v>267011.92822285299</v>
      </c>
      <c r="C9" s="77">
        <v>126597.68939105734</v>
      </c>
      <c r="D9" s="55">
        <v>140414.23883179566</v>
      </c>
      <c r="E9" s="54">
        <v>275465.4400119232</v>
      </c>
      <c r="F9" s="77">
        <v>130753.35449016052</v>
      </c>
      <c r="G9" s="55">
        <v>144712.0855217627</v>
      </c>
      <c r="H9" s="54">
        <v>284308.62908217427</v>
      </c>
      <c r="I9" s="77">
        <v>135104.19759783213</v>
      </c>
      <c r="J9" s="55">
        <v>149204.43148434212</v>
      </c>
      <c r="K9" s="54">
        <v>293546.63976598601</v>
      </c>
      <c r="L9" s="77">
        <v>139652.69379751419</v>
      </c>
      <c r="M9" s="55">
        <v>153893.94596847185</v>
      </c>
      <c r="N9" s="54">
        <v>303195.08185217285</v>
      </c>
      <c r="O9" s="77">
        <v>144406.44513120706</v>
      </c>
      <c r="P9" s="55">
        <v>158788.63672096576</v>
      </c>
      <c r="Q9" s="54">
        <v>313191.34286856744</v>
      </c>
      <c r="R9" s="77">
        <v>149334.33626421148</v>
      </c>
      <c r="S9" s="55">
        <v>163857.00660435599</v>
      </c>
      <c r="T9" s="54">
        <v>323471.39137658826</v>
      </c>
      <c r="U9" s="77">
        <v>154404.5446951304</v>
      </c>
      <c r="V9" s="55">
        <v>169066.84668145789</v>
      </c>
      <c r="W9" s="54">
        <v>334051.90023160563</v>
      </c>
      <c r="X9" s="77">
        <v>159625.3796326619</v>
      </c>
      <c r="Y9" s="55">
        <v>174426.52059894369</v>
      </c>
      <c r="Z9" s="54">
        <v>344949.36433906062</v>
      </c>
      <c r="AA9" s="77">
        <v>165005.15028550415</v>
      </c>
      <c r="AB9" s="55">
        <v>179944.21405355647</v>
      </c>
      <c r="AC9" s="54">
        <v>356181.52193738933</v>
      </c>
      <c r="AD9" s="77">
        <v>170552.51944570406</v>
      </c>
      <c r="AE9" s="55">
        <v>185629.00249168527</v>
      </c>
    </row>
    <row r="10" spans="1:255" x14ac:dyDescent="0.2">
      <c r="A10" s="21" t="s">
        <v>111</v>
      </c>
      <c r="B10" s="54">
        <v>130673.70010945764</v>
      </c>
      <c r="C10" s="77">
        <v>63783.744601818369</v>
      </c>
      <c r="D10" s="55">
        <v>66889.955507639272</v>
      </c>
      <c r="E10" s="54">
        <v>134814.84033189452</v>
      </c>
      <c r="F10" s="77">
        <v>65877.494358285971</v>
      </c>
      <c r="G10" s="55">
        <v>68937.345973608535</v>
      </c>
      <c r="H10" s="54">
        <v>139146.97189845893</v>
      </c>
      <c r="I10" s="77">
        <v>68069.580698227583</v>
      </c>
      <c r="J10" s="55">
        <v>71077.391200231345</v>
      </c>
      <c r="K10" s="54">
        <v>143672.613396834</v>
      </c>
      <c r="L10" s="77">
        <v>70361.250643535081</v>
      </c>
      <c r="M10" s="55">
        <v>73311.362753298919</v>
      </c>
      <c r="N10" s="54">
        <v>148399.40966306132</v>
      </c>
      <c r="O10" s="77">
        <v>72756.334332876417</v>
      </c>
      <c r="P10" s="55">
        <v>75643.075330184918</v>
      </c>
      <c r="Q10" s="54">
        <v>153296.67937416371</v>
      </c>
      <c r="R10" s="77">
        <v>75239.154919610766</v>
      </c>
      <c r="S10" s="55">
        <v>78057.524454552942</v>
      </c>
      <c r="T10" s="54">
        <v>158333.04583098387</v>
      </c>
      <c r="U10" s="77">
        <v>77793.679265128259</v>
      </c>
      <c r="V10" s="55">
        <v>80539.366565855613</v>
      </c>
      <c r="W10" s="54">
        <v>163516.67970363802</v>
      </c>
      <c r="X10" s="77">
        <v>80424.093800065923</v>
      </c>
      <c r="Y10" s="55">
        <v>83092.585903572093</v>
      </c>
      <c r="Z10" s="54">
        <v>168855.66689118952</v>
      </c>
      <c r="AA10" s="77">
        <v>83134.584955060767</v>
      </c>
      <c r="AB10" s="55">
        <v>85721.081936128772</v>
      </c>
      <c r="AC10" s="54">
        <v>174358.69529395021</v>
      </c>
      <c r="AD10" s="77">
        <v>85929.5173067344</v>
      </c>
      <c r="AE10" s="55">
        <v>88429.177987215808</v>
      </c>
    </row>
    <row r="11" spans="1:255" x14ac:dyDescent="0.2">
      <c r="A11" s="21" t="s">
        <v>112</v>
      </c>
      <c r="B11" s="54">
        <v>160237.14121983523</v>
      </c>
      <c r="C11" s="77">
        <v>74905.282023249762</v>
      </c>
      <c r="D11" s="55">
        <v>85331.859196585472</v>
      </c>
      <c r="E11" s="54">
        <v>165307.830385598</v>
      </c>
      <c r="F11" s="77">
        <v>77364.104674277449</v>
      </c>
      <c r="G11" s="55">
        <v>87943.725711320541</v>
      </c>
      <c r="H11" s="54">
        <v>170612.20256881835</v>
      </c>
      <c r="I11" s="77">
        <v>79938.41018954126</v>
      </c>
      <c r="J11" s="55">
        <v>90673.792379277089</v>
      </c>
      <c r="K11" s="54">
        <v>176153.34436910739</v>
      </c>
      <c r="L11" s="77">
        <v>82629.663025652902</v>
      </c>
      <c r="M11" s="55">
        <v>93523.681343454504</v>
      </c>
      <c r="N11" s="54">
        <v>181940.62018934207</v>
      </c>
      <c r="O11" s="77">
        <v>85442.361156491141</v>
      </c>
      <c r="P11" s="55">
        <v>96498.259032850925</v>
      </c>
      <c r="Q11" s="54">
        <v>187936.47843043981</v>
      </c>
      <c r="R11" s="77">
        <v>88358.094270366128</v>
      </c>
      <c r="S11" s="55">
        <v>99578.384160073678</v>
      </c>
      <c r="T11" s="54">
        <v>194102.51650567687</v>
      </c>
      <c r="U11" s="77">
        <v>91358.033639413305</v>
      </c>
      <c r="V11" s="55">
        <v>102744.48286626357</v>
      </c>
      <c r="W11" s="54">
        <v>200448.73351983819</v>
      </c>
      <c r="X11" s="77">
        <v>94447.095653686207</v>
      </c>
      <c r="Y11" s="55">
        <v>106001.63786615198</v>
      </c>
      <c r="Z11" s="54">
        <v>206985.02043484204</v>
      </c>
      <c r="AA11" s="77">
        <v>97630.19670323834</v>
      </c>
      <c r="AB11" s="55">
        <v>109354.82373160371</v>
      </c>
      <c r="AC11" s="54">
        <v>213722.01813502723</v>
      </c>
      <c r="AD11" s="77">
        <v>100912.46238621062</v>
      </c>
      <c r="AE11" s="55">
        <v>112809.55574881661</v>
      </c>
    </row>
    <row r="12" spans="1:255" x14ac:dyDescent="0.2">
      <c r="A12" s="21" t="s">
        <v>113</v>
      </c>
      <c r="B12" s="54">
        <v>58916.46110378734</v>
      </c>
      <c r="C12" s="77">
        <v>28362.544460161844</v>
      </c>
      <c r="D12" s="55">
        <v>30553.916643625496</v>
      </c>
      <c r="E12" s="54">
        <v>60782.687773936763</v>
      </c>
      <c r="F12" s="77">
        <v>29293.566477244425</v>
      </c>
      <c r="G12" s="55">
        <v>31489.121296692341</v>
      </c>
      <c r="H12" s="54">
        <v>62734.964240143221</v>
      </c>
      <c r="I12" s="77">
        <v>30268.315555794685</v>
      </c>
      <c r="J12" s="55">
        <v>32466.64868434854</v>
      </c>
      <c r="K12" s="54">
        <v>64774.425836598079</v>
      </c>
      <c r="L12" s="77">
        <v>31287.346205650068</v>
      </c>
      <c r="M12" s="55">
        <v>33487.079630948014</v>
      </c>
      <c r="N12" s="54">
        <v>66904.518173721022</v>
      </c>
      <c r="O12" s="77">
        <v>32352.36156416847</v>
      </c>
      <c r="P12" s="55">
        <v>34552.156609552549</v>
      </c>
      <c r="Q12" s="54">
        <v>69111.416543322019</v>
      </c>
      <c r="R12" s="77">
        <v>33456.390650536203</v>
      </c>
      <c r="S12" s="55">
        <v>35655.025892785816</v>
      </c>
      <c r="T12" s="54">
        <v>71380.982919334565</v>
      </c>
      <c r="U12" s="77">
        <v>34592.304052557447</v>
      </c>
      <c r="V12" s="55">
        <v>36788.678866777118</v>
      </c>
      <c r="W12" s="54">
        <v>73716.898786807666</v>
      </c>
      <c r="X12" s="77">
        <v>35761.963338972229</v>
      </c>
      <c r="Y12" s="55">
        <v>37954.935447835429</v>
      </c>
      <c r="Z12" s="54">
        <v>76122.806909166669</v>
      </c>
      <c r="AA12" s="77">
        <v>36967.230078520552</v>
      </c>
      <c r="AB12" s="55">
        <v>39155.576830646118</v>
      </c>
      <c r="AC12" s="54">
        <v>78602.622873646033</v>
      </c>
      <c r="AD12" s="77">
        <v>38210.045055633513</v>
      </c>
      <c r="AE12" s="55">
        <v>40392.57781801252</v>
      </c>
    </row>
    <row r="13" spans="1:255" x14ac:dyDescent="0.2">
      <c r="A13" s="21" t="s">
        <v>114</v>
      </c>
      <c r="B13" s="54">
        <v>80835.131407360488</v>
      </c>
      <c r="C13" s="77">
        <v>38378.706897987809</v>
      </c>
      <c r="D13" s="55">
        <v>42456.424509372679</v>
      </c>
      <c r="E13" s="54">
        <v>83394.4622019167</v>
      </c>
      <c r="F13" s="77">
        <v>39638.517038060905</v>
      </c>
      <c r="G13" s="55">
        <v>43755.945163855788</v>
      </c>
      <c r="H13" s="54">
        <v>86071.772035502363</v>
      </c>
      <c r="I13" s="77">
        <v>40957.496343225488</v>
      </c>
      <c r="J13" s="55">
        <v>45114.275692276875</v>
      </c>
      <c r="K13" s="54">
        <v>88868.618330579164</v>
      </c>
      <c r="L13" s="77">
        <v>42336.395147096868</v>
      </c>
      <c r="M13" s="55">
        <v>46532.223183482296</v>
      </c>
      <c r="N13" s="54">
        <v>91789.72694979026</v>
      </c>
      <c r="O13" s="77">
        <v>43777.518045779136</v>
      </c>
      <c r="P13" s="55">
        <v>48012.208904011131</v>
      </c>
      <c r="Q13" s="54">
        <v>94816.141479299273</v>
      </c>
      <c r="R13" s="77">
        <v>45271.432273822931</v>
      </c>
      <c r="S13" s="55">
        <v>49544.709205476342</v>
      </c>
      <c r="T13" s="54">
        <v>97928.475900544494</v>
      </c>
      <c r="U13" s="77">
        <v>46808.490684745942</v>
      </c>
      <c r="V13" s="55">
        <v>51119.985215798552</v>
      </c>
      <c r="W13" s="54">
        <v>101131.77806904822</v>
      </c>
      <c r="X13" s="77">
        <v>48391.212255685212</v>
      </c>
      <c r="Y13" s="55">
        <v>52740.565813363013</v>
      </c>
      <c r="Z13" s="54">
        <v>104431.04203440968</v>
      </c>
      <c r="AA13" s="77">
        <v>50022.115963777796</v>
      </c>
      <c r="AB13" s="55">
        <v>54408.926070631882</v>
      </c>
      <c r="AC13" s="54">
        <v>107831.63806635998</v>
      </c>
      <c r="AD13" s="77">
        <v>51703.827976677203</v>
      </c>
      <c r="AE13" s="55">
        <v>56127.810089682782</v>
      </c>
    </row>
    <row r="14" spans="1:255" ht="12" thickBot="1" x14ac:dyDescent="0.25">
      <c r="A14" s="9" t="s">
        <v>115</v>
      </c>
      <c r="B14" s="56">
        <v>130970.65020865</v>
      </c>
      <c r="C14" s="11">
        <v>61118.161802636751</v>
      </c>
      <c r="D14" s="57">
        <v>69852.488406013246</v>
      </c>
      <c r="E14" s="56">
        <v>135114.96886820684</v>
      </c>
      <c r="F14" s="11">
        <v>63124.411783550691</v>
      </c>
      <c r="G14" s="57">
        <v>71990.557084656146</v>
      </c>
      <c r="H14" s="56">
        <v>139450.27294056176</v>
      </c>
      <c r="I14" s="11">
        <v>65224.888769439065</v>
      </c>
      <c r="J14" s="57">
        <v>74225.384171122685</v>
      </c>
      <c r="K14" s="56">
        <v>143979.08521638502</v>
      </c>
      <c r="L14" s="11">
        <v>67420.787667973651</v>
      </c>
      <c r="M14" s="57">
        <v>76558.297548411356</v>
      </c>
      <c r="N14" s="56">
        <v>148709.05941823544</v>
      </c>
      <c r="O14" s="11">
        <v>69715.778552717762</v>
      </c>
      <c r="P14" s="57">
        <v>78993.280865517663</v>
      </c>
      <c r="Q14" s="56">
        <v>153609.50483028556</v>
      </c>
      <c r="R14" s="11">
        <v>72094.839727226194</v>
      </c>
      <c r="S14" s="57">
        <v>81514.665103059349</v>
      </c>
      <c r="T14" s="56">
        <v>158649.03523238306</v>
      </c>
      <c r="U14" s="11">
        <v>74542.608092861818</v>
      </c>
      <c r="V14" s="57">
        <v>84106.427139521256</v>
      </c>
      <c r="W14" s="56">
        <v>163835.82280034519</v>
      </c>
      <c r="X14" s="11">
        <v>77063.095125379885</v>
      </c>
      <c r="Y14" s="57">
        <v>86772.727674965325</v>
      </c>
      <c r="Z14" s="56">
        <v>169177.95118445592</v>
      </c>
      <c r="AA14" s="11">
        <v>79660.312300535632</v>
      </c>
      <c r="AB14" s="57">
        <v>89517.638883920285</v>
      </c>
      <c r="AC14" s="56">
        <v>174684.1173637613</v>
      </c>
      <c r="AD14" s="11">
        <v>82338.441795180304</v>
      </c>
      <c r="AE14" s="57">
        <v>92345.675568581006</v>
      </c>
    </row>
    <row r="15" spans="1:255" s="45" customFormat="1" ht="12" customHeight="1" x14ac:dyDescent="0.2">
      <c r="A15" s="43" t="s">
        <v>195</v>
      </c>
      <c r="B15" s="44"/>
      <c r="C15" s="44"/>
      <c r="D15" s="44"/>
      <c r="E15" s="44"/>
      <c r="F15" s="44"/>
      <c r="G15" s="44"/>
      <c r="AC15" s="44"/>
      <c r="AD15" s="44"/>
      <c r="AE15" s="44"/>
      <c r="AF15" s="44"/>
      <c r="AG15" s="44"/>
      <c r="AH15" s="44"/>
      <c r="AI15" s="44"/>
      <c r="AJ15" s="44"/>
      <c r="AK15" s="44"/>
      <c r="AL15" s="46"/>
      <c r="AM15" s="46"/>
      <c r="AN15" s="46"/>
      <c r="AO15" s="46"/>
      <c r="AP15" s="44"/>
      <c r="AQ15" s="44"/>
      <c r="AR15" s="46"/>
      <c r="AS15" s="44"/>
      <c r="AT15" s="44"/>
      <c r="BD15" s="47"/>
      <c r="CW15" s="48"/>
      <c r="CX15" s="48"/>
      <c r="CY15" s="48"/>
      <c r="CZ15" s="48"/>
      <c r="DA15" s="48"/>
      <c r="DB15" s="48"/>
      <c r="DC15" s="48"/>
      <c r="DD15" s="48"/>
      <c r="DE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GI15" s="47"/>
      <c r="IK15" s="47"/>
      <c r="IL15" s="47"/>
      <c r="IT15" s="47"/>
      <c r="IU15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5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11" sqref="G11"/>
    </sheetView>
  </sheetViews>
  <sheetFormatPr defaultColWidth="9.140625" defaultRowHeight="11.25" x14ac:dyDescent="0.2"/>
  <cols>
    <col min="1" max="1" width="12" style="41" customWidth="1"/>
    <col min="2" max="4" width="9.28515625" style="41" bestFit="1" customWidth="1"/>
    <col min="5" max="5" width="9.7109375" style="41" bestFit="1" customWidth="1"/>
    <col min="6" max="10" width="9.28515625" style="41" bestFit="1" customWidth="1"/>
    <col min="11" max="16384" width="9.140625" style="41"/>
  </cols>
  <sheetData>
    <row r="2" spans="1:255" ht="15.75" customHeight="1" thickBot="1" x14ac:dyDescent="0.25">
      <c r="A2" s="133" t="s">
        <v>188</v>
      </c>
      <c r="B2" s="141"/>
      <c r="C2" s="141"/>
      <c r="D2" s="141"/>
      <c r="E2" s="133"/>
      <c r="F2" s="133"/>
      <c r="G2" s="133"/>
      <c r="H2" s="14"/>
      <c r="I2" s="14"/>
      <c r="J2" s="14"/>
    </row>
    <row r="3" spans="1:255" ht="15" customHeight="1" thickBot="1" x14ac:dyDescent="0.25">
      <c r="A3" s="131" t="s">
        <v>7</v>
      </c>
      <c r="B3" s="153">
        <v>2015</v>
      </c>
      <c r="C3" s="154"/>
      <c r="D3" s="155"/>
      <c r="E3" s="153">
        <v>2016</v>
      </c>
      <c r="F3" s="154"/>
      <c r="G3" s="155"/>
      <c r="H3" s="153">
        <v>2017</v>
      </c>
      <c r="I3" s="154"/>
      <c r="J3" s="155"/>
      <c r="K3" s="153">
        <v>2018</v>
      </c>
      <c r="L3" s="154"/>
      <c r="M3" s="155"/>
      <c r="N3" s="153">
        <v>2019</v>
      </c>
      <c r="O3" s="154"/>
      <c r="P3" s="155"/>
      <c r="Q3" s="153">
        <v>2020</v>
      </c>
      <c r="R3" s="154"/>
      <c r="S3" s="155"/>
      <c r="T3" s="153">
        <v>2021</v>
      </c>
      <c r="U3" s="154"/>
      <c r="V3" s="155"/>
      <c r="W3" s="153">
        <v>2022</v>
      </c>
      <c r="X3" s="154"/>
      <c r="Y3" s="155"/>
      <c r="Z3" s="153">
        <v>2023</v>
      </c>
      <c r="AA3" s="154"/>
      <c r="AB3" s="155"/>
      <c r="AC3" s="153">
        <v>2024</v>
      </c>
      <c r="AD3" s="154"/>
      <c r="AE3" s="155"/>
    </row>
    <row r="4" spans="1:255" x14ac:dyDescent="0.2">
      <c r="A4" s="131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50" t="s">
        <v>0</v>
      </c>
      <c r="O4" s="78" t="s">
        <v>1</v>
      </c>
      <c r="P4" s="51" t="s">
        <v>2</v>
      </c>
      <c r="Q4" s="50" t="s">
        <v>0</v>
      </c>
      <c r="R4" s="78" t="s">
        <v>1</v>
      </c>
      <c r="S4" s="51" t="s">
        <v>2</v>
      </c>
      <c r="T4" s="50" t="s">
        <v>0</v>
      </c>
      <c r="U4" s="78" t="s">
        <v>1</v>
      </c>
      <c r="V4" s="51" t="s">
        <v>2</v>
      </c>
      <c r="W4" s="50" t="s">
        <v>0</v>
      </c>
      <c r="X4" s="78" t="s">
        <v>1</v>
      </c>
      <c r="Y4" s="51" t="s">
        <v>2</v>
      </c>
      <c r="Z4" s="50" t="s">
        <v>0</v>
      </c>
      <c r="AA4" s="78" t="s">
        <v>1</v>
      </c>
      <c r="AB4" s="51" t="s">
        <v>2</v>
      </c>
      <c r="AC4" s="50" t="s">
        <v>0</v>
      </c>
      <c r="AD4" s="78" t="s">
        <v>1</v>
      </c>
      <c r="AE4" s="51" t="s">
        <v>2</v>
      </c>
    </row>
    <row r="5" spans="1:255" ht="12" thickBot="1" x14ac:dyDescent="0.25">
      <c r="A5" s="17" t="s">
        <v>116</v>
      </c>
      <c r="B5" s="52">
        <v>782639</v>
      </c>
      <c r="C5" s="27">
        <v>381396</v>
      </c>
      <c r="D5" s="53">
        <v>401243</v>
      </c>
      <c r="E5" s="52">
        <v>805357</v>
      </c>
      <c r="F5" s="27">
        <v>392740</v>
      </c>
      <c r="G5" s="53">
        <v>412617</v>
      </c>
      <c r="H5" s="52">
        <v>829231</v>
      </c>
      <c r="I5" s="27">
        <v>404674</v>
      </c>
      <c r="J5" s="53">
        <v>424557</v>
      </c>
      <c r="K5" s="52">
        <v>854258</v>
      </c>
      <c r="L5" s="27">
        <v>417191</v>
      </c>
      <c r="M5" s="53">
        <v>437067</v>
      </c>
      <c r="N5" s="52">
        <v>880479</v>
      </c>
      <c r="O5" s="27">
        <v>430313</v>
      </c>
      <c r="P5" s="53">
        <v>450166</v>
      </c>
      <c r="Q5" s="52">
        <v>907683</v>
      </c>
      <c r="R5" s="27">
        <v>443935</v>
      </c>
      <c r="S5" s="53">
        <v>463748</v>
      </c>
      <c r="T5" s="52">
        <v>935649</v>
      </c>
      <c r="U5" s="27">
        <v>457945</v>
      </c>
      <c r="V5" s="53">
        <v>477704</v>
      </c>
      <c r="W5" s="52">
        <v>964425</v>
      </c>
      <c r="X5" s="27">
        <v>472364</v>
      </c>
      <c r="Y5" s="53">
        <v>492061</v>
      </c>
      <c r="Z5" s="52">
        <v>994049</v>
      </c>
      <c r="AA5" s="27">
        <v>487214</v>
      </c>
      <c r="AB5" s="53">
        <v>506835</v>
      </c>
      <c r="AC5" s="52">
        <v>1024573</v>
      </c>
      <c r="AD5" s="27">
        <v>502519</v>
      </c>
      <c r="AE5" s="53">
        <v>522054</v>
      </c>
    </row>
    <row r="6" spans="1:255" x14ac:dyDescent="0.2">
      <c r="A6" s="21" t="s">
        <v>117</v>
      </c>
      <c r="B6" s="54">
        <v>368754</v>
      </c>
      <c r="C6" s="77">
        <v>179907</v>
      </c>
      <c r="D6" s="55">
        <v>188847</v>
      </c>
      <c r="E6" s="54">
        <v>379459</v>
      </c>
      <c r="F6" s="77">
        <v>185259</v>
      </c>
      <c r="G6" s="55">
        <v>194200</v>
      </c>
      <c r="H6" s="54">
        <v>390707</v>
      </c>
      <c r="I6" s="77">
        <v>190887</v>
      </c>
      <c r="J6" s="55">
        <v>199820</v>
      </c>
      <c r="K6" s="54">
        <v>402500</v>
      </c>
      <c r="L6" s="77">
        <v>196792</v>
      </c>
      <c r="M6" s="55">
        <v>205708</v>
      </c>
      <c r="N6" s="54">
        <v>414855</v>
      </c>
      <c r="O6" s="77">
        <v>202982</v>
      </c>
      <c r="P6" s="55">
        <v>211873</v>
      </c>
      <c r="Q6" s="54">
        <v>427672</v>
      </c>
      <c r="R6" s="77">
        <v>209407</v>
      </c>
      <c r="S6" s="55">
        <v>218265</v>
      </c>
      <c r="T6" s="54">
        <v>440850</v>
      </c>
      <c r="U6" s="77">
        <v>216016</v>
      </c>
      <c r="V6" s="55">
        <v>224834</v>
      </c>
      <c r="W6" s="54">
        <v>454409</v>
      </c>
      <c r="X6" s="77">
        <v>222818</v>
      </c>
      <c r="Y6" s="55">
        <v>231591</v>
      </c>
      <c r="Z6" s="54">
        <v>468368</v>
      </c>
      <c r="AA6" s="77">
        <v>229823</v>
      </c>
      <c r="AB6" s="55">
        <v>238545</v>
      </c>
      <c r="AC6" s="54">
        <v>482749</v>
      </c>
      <c r="AD6" s="77">
        <v>237042</v>
      </c>
      <c r="AE6" s="55">
        <v>245707</v>
      </c>
    </row>
    <row r="7" spans="1:255" x14ac:dyDescent="0.2">
      <c r="A7" s="21" t="s">
        <v>118</v>
      </c>
      <c r="B7" s="54">
        <v>35251</v>
      </c>
      <c r="C7" s="77">
        <v>17358</v>
      </c>
      <c r="D7" s="55">
        <v>17893</v>
      </c>
      <c r="E7" s="54">
        <v>36275</v>
      </c>
      <c r="F7" s="77">
        <v>17874</v>
      </c>
      <c r="G7" s="55">
        <v>18401</v>
      </c>
      <c r="H7" s="54">
        <v>37350</v>
      </c>
      <c r="I7" s="77">
        <v>18417</v>
      </c>
      <c r="J7" s="55">
        <v>18933</v>
      </c>
      <c r="K7" s="54">
        <v>38478</v>
      </c>
      <c r="L7" s="77">
        <v>18987</v>
      </c>
      <c r="M7" s="55">
        <v>19491</v>
      </c>
      <c r="N7" s="54">
        <v>39659</v>
      </c>
      <c r="O7" s="77">
        <v>19584</v>
      </c>
      <c r="P7" s="55">
        <v>20075</v>
      </c>
      <c r="Q7" s="54">
        <v>40885</v>
      </c>
      <c r="R7" s="77">
        <v>20204</v>
      </c>
      <c r="S7" s="55">
        <v>20681</v>
      </c>
      <c r="T7" s="54">
        <v>42145</v>
      </c>
      <c r="U7" s="77">
        <v>20842</v>
      </c>
      <c r="V7" s="55">
        <v>21303</v>
      </c>
      <c r="W7" s="54">
        <v>43441</v>
      </c>
      <c r="X7" s="77">
        <v>21498</v>
      </c>
      <c r="Y7" s="55">
        <v>21943</v>
      </c>
      <c r="Z7" s="54">
        <v>44776</v>
      </c>
      <c r="AA7" s="77">
        <v>22174</v>
      </c>
      <c r="AB7" s="55">
        <v>22602</v>
      </c>
      <c r="AC7" s="54">
        <v>46151</v>
      </c>
      <c r="AD7" s="77">
        <v>22870</v>
      </c>
      <c r="AE7" s="55">
        <v>23281</v>
      </c>
    </row>
    <row r="8" spans="1:255" x14ac:dyDescent="0.2">
      <c r="A8" s="21" t="s">
        <v>119</v>
      </c>
      <c r="B8" s="54">
        <v>33487</v>
      </c>
      <c r="C8" s="77">
        <v>16393</v>
      </c>
      <c r="D8" s="55">
        <v>17094</v>
      </c>
      <c r="E8" s="54">
        <v>34460</v>
      </c>
      <c r="F8" s="77">
        <v>16881</v>
      </c>
      <c r="G8" s="55">
        <v>17579</v>
      </c>
      <c r="H8" s="54">
        <v>35481</v>
      </c>
      <c r="I8" s="77">
        <v>17394</v>
      </c>
      <c r="J8" s="55">
        <v>18087</v>
      </c>
      <c r="K8" s="54">
        <v>36552</v>
      </c>
      <c r="L8" s="77">
        <v>17932</v>
      </c>
      <c r="M8" s="55">
        <v>18620</v>
      </c>
      <c r="N8" s="54">
        <v>37674</v>
      </c>
      <c r="O8" s="77">
        <v>18496</v>
      </c>
      <c r="P8" s="55">
        <v>19178</v>
      </c>
      <c r="Q8" s="54">
        <v>38838</v>
      </c>
      <c r="R8" s="77">
        <v>19081</v>
      </c>
      <c r="S8" s="55">
        <v>19757</v>
      </c>
      <c r="T8" s="54">
        <v>40035</v>
      </c>
      <c r="U8" s="77">
        <v>19683</v>
      </c>
      <c r="V8" s="55">
        <v>20352</v>
      </c>
      <c r="W8" s="54">
        <v>41266</v>
      </c>
      <c r="X8" s="77">
        <v>20303</v>
      </c>
      <c r="Y8" s="55">
        <v>20963</v>
      </c>
      <c r="Z8" s="54">
        <v>42534</v>
      </c>
      <c r="AA8" s="77">
        <v>20941</v>
      </c>
      <c r="AB8" s="55">
        <v>21593</v>
      </c>
      <c r="AC8" s="54">
        <v>43840</v>
      </c>
      <c r="AD8" s="77">
        <v>21599</v>
      </c>
      <c r="AE8" s="55">
        <v>22241</v>
      </c>
    </row>
    <row r="9" spans="1:255" x14ac:dyDescent="0.2">
      <c r="A9" s="21" t="s">
        <v>120</v>
      </c>
      <c r="B9" s="54">
        <v>21413</v>
      </c>
      <c r="C9" s="77">
        <v>10408</v>
      </c>
      <c r="D9" s="55">
        <v>11005</v>
      </c>
      <c r="E9" s="54">
        <v>22035</v>
      </c>
      <c r="F9" s="77">
        <v>10718</v>
      </c>
      <c r="G9" s="55">
        <v>11317</v>
      </c>
      <c r="H9" s="54">
        <v>22688</v>
      </c>
      <c r="I9" s="77">
        <v>11043</v>
      </c>
      <c r="J9" s="55">
        <v>11645</v>
      </c>
      <c r="K9" s="54">
        <v>23373</v>
      </c>
      <c r="L9" s="77">
        <v>11385</v>
      </c>
      <c r="M9" s="55">
        <v>11988</v>
      </c>
      <c r="N9" s="54">
        <v>24090</v>
      </c>
      <c r="O9" s="77">
        <v>11743</v>
      </c>
      <c r="P9" s="55">
        <v>12347</v>
      </c>
      <c r="Q9" s="54">
        <v>24835</v>
      </c>
      <c r="R9" s="77">
        <v>12115</v>
      </c>
      <c r="S9" s="55">
        <v>12720</v>
      </c>
      <c r="T9" s="54">
        <v>25599</v>
      </c>
      <c r="U9" s="77">
        <v>12497</v>
      </c>
      <c r="V9" s="55">
        <v>13102</v>
      </c>
      <c r="W9" s="54">
        <v>26386</v>
      </c>
      <c r="X9" s="77">
        <v>12890</v>
      </c>
      <c r="Y9" s="55">
        <v>13496</v>
      </c>
      <c r="Z9" s="54">
        <v>27197</v>
      </c>
      <c r="AA9" s="77">
        <v>13296</v>
      </c>
      <c r="AB9" s="55">
        <v>13901</v>
      </c>
      <c r="AC9" s="54">
        <v>28032</v>
      </c>
      <c r="AD9" s="77">
        <v>13713</v>
      </c>
      <c r="AE9" s="55">
        <v>14319</v>
      </c>
    </row>
    <row r="10" spans="1:255" x14ac:dyDescent="0.2">
      <c r="A10" s="21" t="s">
        <v>121</v>
      </c>
      <c r="B10" s="54">
        <v>30412</v>
      </c>
      <c r="C10" s="77">
        <v>14771</v>
      </c>
      <c r="D10" s="55">
        <v>15641</v>
      </c>
      <c r="E10" s="54">
        <v>31294</v>
      </c>
      <c r="F10" s="77">
        <v>15210</v>
      </c>
      <c r="G10" s="55">
        <v>16084</v>
      </c>
      <c r="H10" s="54">
        <v>32221</v>
      </c>
      <c r="I10" s="77">
        <v>15672</v>
      </c>
      <c r="J10" s="55">
        <v>16549</v>
      </c>
      <c r="K10" s="54">
        <v>33194</v>
      </c>
      <c r="L10" s="77">
        <v>16157</v>
      </c>
      <c r="M10" s="55">
        <v>17037</v>
      </c>
      <c r="N10" s="54">
        <v>34213</v>
      </c>
      <c r="O10" s="77">
        <v>16665</v>
      </c>
      <c r="P10" s="55">
        <v>17548</v>
      </c>
      <c r="Q10" s="54">
        <v>35270</v>
      </c>
      <c r="R10" s="77">
        <v>17193</v>
      </c>
      <c r="S10" s="55">
        <v>18077</v>
      </c>
      <c r="T10" s="54">
        <v>36356</v>
      </c>
      <c r="U10" s="77">
        <v>17735</v>
      </c>
      <c r="V10" s="55">
        <v>18621</v>
      </c>
      <c r="W10" s="54">
        <v>37475</v>
      </c>
      <c r="X10" s="77">
        <v>18294</v>
      </c>
      <c r="Y10" s="55">
        <v>19181</v>
      </c>
      <c r="Z10" s="54">
        <v>38626</v>
      </c>
      <c r="AA10" s="77">
        <v>18869</v>
      </c>
      <c r="AB10" s="55">
        <v>19757</v>
      </c>
      <c r="AC10" s="54">
        <v>39812</v>
      </c>
      <c r="AD10" s="77">
        <v>19462</v>
      </c>
      <c r="AE10" s="55">
        <v>20350</v>
      </c>
    </row>
    <row r="11" spans="1:255" x14ac:dyDescent="0.2">
      <c r="A11" s="21" t="s">
        <v>122</v>
      </c>
      <c r="B11" s="54">
        <v>71702</v>
      </c>
      <c r="C11" s="77">
        <v>34654</v>
      </c>
      <c r="D11" s="55">
        <v>37048</v>
      </c>
      <c r="E11" s="54">
        <v>73782</v>
      </c>
      <c r="F11" s="77">
        <v>35684</v>
      </c>
      <c r="G11" s="55">
        <v>38098</v>
      </c>
      <c r="H11" s="54">
        <v>75969</v>
      </c>
      <c r="I11" s="77">
        <v>36769</v>
      </c>
      <c r="J11" s="55">
        <v>39200</v>
      </c>
      <c r="K11" s="54">
        <v>78261</v>
      </c>
      <c r="L11" s="77">
        <v>37906</v>
      </c>
      <c r="M11" s="55">
        <v>40355</v>
      </c>
      <c r="N11" s="54">
        <v>80663</v>
      </c>
      <c r="O11" s="77">
        <v>39098</v>
      </c>
      <c r="P11" s="55">
        <v>41565</v>
      </c>
      <c r="Q11" s="54">
        <v>83155</v>
      </c>
      <c r="R11" s="77">
        <v>40336</v>
      </c>
      <c r="S11" s="55">
        <v>42819</v>
      </c>
      <c r="T11" s="54">
        <v>85717</v>
      </c>
      <c r="U11" s="77">
        <v>41609</v>
      </c>
      <c r="V11" s="55">
        <v>44108</v>
      </c>
      <c r="W11" s="54">
        <v>88352</v>
      </c>
      <c r="X11" s="77">
        <v>42919</v>
      </c>
      <c r="Y11" s="55">
        <v>45433</v>
      </c>
      <c r="Z11" s="54">
        <v>91065</v>
      </c>
      <c r="AA11" s="77">
        <v>44268</v>
      </c>
      <c r="AB11" s="55">
        <v>46797</v>
      </c>
      <c r="AC11" s="54">
        <v>93861</v>
      </c>
      <c r="AD11" s="77">
        <v>45659</v>
      </c>
      <c r="AE11" s="55">
        <v>48202</v>
      </c>
    </row>
    <row r="12" spans="1:255" x14ac:dyDescent="0.2">
      <c r="A12" s="21" t="s">
        <v>123</v>
      </c>
      <c r="B12" s="54">
        <v>14910</v>
      </c>
      <c r="C12" s="77">
        <v>7461</v>
      </c>
      <c r="D12" s="55">
        <v>7449</v>
      </c>
      <c r="E12" s="54">
        <v>15343</v>
      </c>
      <c r="F12" s="77">
        <v>7683</v>
      </c>
      <c r="G12" s="55">
        <v>7660</v>
      </c>
      <c r="H12" s="54">
        <v>15799</v>
      </c>
      <c r="I12" s="77">
        <v>7917</v>
      </c>
      <c r="J12" s="55">
        <v>7882</v>
      </c>
      <c r="K12" s="54">
        <v>16275</v>
      </c>
      <c r="L12" s="77">
        <v>8161</v>
      </c>
      <c r="M12" s="55">
        <v>8114</v>
      </c>
      <c r="N12" s="54">
        <v>16775</v>
      </c>
      <c r="O12" s="77">
        <v>8418</v>
      </c>
      <c r="P12" s="55">
        <v>8357</v>
      </c>
      <c r="Q12" s="54">
        <v>17294</v>
      </c>
      <c r="R12" s="77">
        <v>8685</v>
      </c>
      <c r="S12" s="55">
        <v>8609</v>
      </c>
      <c r="T12" s="54">
        <v>17827</v>
      </c>
      <c r="U12" s="77">
        <v>8959</v>
      </c>
      <c r="V12" s="55">
        <v>8868</v>
      </c>
      <c r="W12" s="54">
        <v>18376</v>
      </c>
      <c r="X12" s="77">
        <v>9241</v>
      </c>
      <c r="Y12" s="55">
        <v>9135</v>
      </c>
      <c r="Z12" s="54">
        <v>18940</v>
      </c>
      <c r="AA12" s="77">
        <v>9531</v>
      </c>
      <c r="AB12" s="55">
        <v>9409</v>
      </c>
      <c r="AC12" s="54">
        <v>19523</v>
      </c>
      <c r="AD12" s="77">
        <v>9831</v>
      </c>
      <c r="AE12" s="55">
        <v>9692</v>
      </c>
    </row>
    <row r="13" spans="1:255" x14ac:dyDescent="0.2">
      <c r="A13" s="21" t="s">
        <v>124</v>
      </c>
      <c r="B13" s="54">
        <v>114419</v>
      </c>
      <c r="C13" s="77">
        <v>55912</v>
      </c>
      <c r="D13" s="55">
        <v>58507</v>
      </c>
      <c r="E13" s="54">
        <v>117740</v>
      </c>
      <c r="F13" s="77">
        <v>57575</v>
      </c>
      <c r="G13" s="55">
        <v>60165</v>
      </c>
      <c r="H13" s="54">
        <v>121232</v>
      </c>
      <c r="I13" s="77">
        <v>59325</v>
      </c>
      <c r="J13" s="55">
        <v>61907</v>
      </c>
      <c r="K13" s="54">
        <v>124891</v>
      </c>
      <c r="L13" s="77">
        <v>61160</v>
      </c>
      <c r="M13" s="55">
        <v>63731</v>
      </c>
      <c r="N13" s="54">
        <v>128725</v>
      </c>
      <c r="O13" s="77">
        <v>63084</v>
      </c>
      <c r="P13" s="55">
        <v>65641</v>
      </c>
      <c r="Q13" s="54">
        <v>132701</v>
      </c>
      <c r="R13" s="77">
        <v>65080</v>
      </c>
      <c r="S13" s="55">
        <v>67621</v>
      </c>
      <c r="T13" s="54">
        <v>136790</v>
      </c>
      <c r="U13" s="77">
        <v>67134</v>
      </c>
      <c r="V13" s="55">
        <v>69656</v>
      </c>
      <c r="W13" s="54">
        <v>140998</v>
      </c>
      <c r="X13" s="77">
        <v>69248</v>
      </c>
      <c r="Y13" s="55">
        <v>71750</v>
      </c>
      <c r="Z13" s="54">
        <v>145329</v>
      </c>
      <c r="AA13" s="77">
        <v>71425</v>
      </c>
      <c r="AB13" s="55">
        <v>73904</v>
      </c>
      <c r="AC13" s="54">
        <v>149792</v>
      </c>
      <c r="AD13" s="77">
        <v>73669</v>
      </c>
      <c r="AE13" s="55">
        <v>76123</v>
      </c>
    </row>
    <row r="14" spans="1:255" ht="12" thickBot="1" x14ac:dyDescent="0.25">
      <c r="A14" s="9" t="s">
        <v>125</v>
      </c>
      <c r="B14" s="56">
        <v>92291</v>
      </c>
      <c r="C14" s="11">
        <v>44532</v>
      </c>
      <c r="D14" s="57">
        <v>47759</v>
      </c>
      <c r="E14" s="56">
        <v>94969</v>
      </c>
      <c r="F14" s="11">
        <v>45856</v>
      </c>
      <c r="G14" s="57">
        <v>49113</v>
      </c>
      <c r="H14" s="56">
        <v>97784</v>
      </c>
      <c r="I14" s="11">
        <v>47250</v>
      </c>
      <c r="J14" s="57">
        <v>50534</v>
      </c>
      <c r="K14" s="56">
        <v>100734</v>
      </c>
      <c r="L14" s="11">
        <v>48711</v>
      </c>
      <c r="M14" s="57">
        <v>52023</v>
      </c>
      <c r="N14" s="56">
        <v>103825</v>
      </c>
      <c r="O14" s="11">
        <v>50243</v>
      </c>
      <c r="P14" s="57">
        <v>53582</v>
      </c>
      <c r="Q14" s="56">
        <v>107033</v>
      </c>
      <c r="R14" s="11">
        <v>51834</v>
      </c>
      <c r="S14" s="57">
        <v>55199</v>
      </c>
      <c r="T14" s="56">
        <v>110330</v>
      </c>
      <c r="U14" s="11">
        <v>53470</v>
      </c>
      <c r="V14" s="57">
        <v>56860</v>
      </c>
      <c r="W14" s="56">
        <v>113722</v>
      </c>
      <c r="X14" s="11">
        <v>55153</v>
      </c>
      <c r="Y14" s="57">
        <v>58569</v>
      </c>
      <c r="Z14" s="56">
        <v>117214</v>
      </c>
      <c r="AA14" s="11">
        <v>56887</v>
      </c>
      <c r="AB14" s="57">
        <v>60327</v>
      </c>
      <c r="AC14" s="56">
        <v>120813</v>
      </c>
      <c r="AD14" s="11">
        <v>58674</v>
      </c>
      <c r="AE14" s="57">
        <v>62139</v>
      </c>
    </row>
    <row r="15" spans="1:255" s="45" customFormat="1" ht="12" customHeight="1" x14ac:dyDescent="0.2">
      <c r="A15" s="43" t="s">
        <v>195</v>
      </c>
      <c r="B15" s="44"/>
      <c r="C15" s="44"/>
      <c r="D15" s="44"/>
      <c r="E15" s="44"/>
      <c r="F15" s="44"/>
      <c r="G15" s="44"/>
      <c r="AC15" s="44"/>
      <c r="AD15" s="44"/>
      <c r="AE15" s="44"/>
      <c r="AF15" s="44"/>
      <c r="AG15" s="44"/>
      <c r="AH15" s="44"/>
      <c r="AI15" s="44"/>
      <c r="AJ15" s="44"/>
      <c r="AK15" s="44"/>
      <c r="AL15" s="46"/>
      <c r="AM15" s="46"/>
      <c r="AN15" s="46"/>
      <c r="AO15" s="46"/>
      <c r="AP15" s="44"/>
      <c r="AQ15" s="44"/>
      <c r="AR15" s="46"/>
      <c r="AS15" s="44"/>
      <c r="AT15" s="44"/>
      <c r="BD15" s="47"/>
      <c r="CW15" s="48"/>
      <c r="CX15" s="48"/>
      <c r="CY15" s="48"/>
      <c r="CZ15" s="48"/>
      <c r="DA15" s="48"/>
      <c r="DB15" s="48"/>
      <c r="DC15" s="48"/>
      <c r="DD15" s="48"/>
      <c r="DE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GI15" s="47"/>
      <c r="IK15" s="47"/>
      <c r="IL15" s="47"/>
      <c r="IT15" s="47"/>
      <c r="IU15" s="47"/>
    </row>
  </sheetData>
  <mergeCells count="12">
    <mergeCell ref="K3:M3"/>
    <mergeCell ref="N3:P3"/>
    <mergeCell ref="Z3:AB3"/>
    <mergeCell ref="AC3:AE3"/>
    <mergeCell ref="A2:G2"/>
    <mergeCell ref="Q3:S3"/>
    <mergeCell ref="T3:V3"/>
    <mergeCell ref="W3:Y3"/>
    <mergeCell ref="A3:A4"/>
    <mergeCell ref="B3:D3"/>
    <mergeCell ref="E3:G3"/>
    <mergeCell ref="H3:J3"/>
  </mergeCells>
  <pageMargins left="0.7" right="0.7" top="0.75" bottom="0.75" header="0.3" footer="0.3"/>
  <pageSetup paperSize="9" scale="9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U15"/>
  <sheetViews>
    <sheetView workbookViewId="0">
      <pane xSplit="4" ySplit="4" topLeftCell="M5" activePane="bottomRight" state="frozen"/>
      <selection pane="topRight" activeCell="E1" sqref="E1"/>
      <selection pane="bottomLeft" activeCell="A5" sqref="A5"/>
      <selection pane="bottomRight" activeCell="AE33" sqref="AE33"/>
    </sheetView>
  </sheetViews>
  <sheetFormatPr defaultColWidth="9.140625" defaultRowHeight="12" x14ac:dyDescent="0.2"/>
  <cols>
    <col min="1" max="1" width="18.7109375" style="45" customWidth="1"/>
    <col min="2" max="2" width="10.28515625" style="45" customWidth="1"/>
    <col min="3" max="3" width="10.7109375" style="45" customWidth="1"/>
    <col min="4" max="4" width="10.140625" style="45" customWidth="1"/>
    <col min="5" max="5" width="10.85546875" style="45" customWidth="1"/>
    <col min="6" max="6" width="10" style="45" customWidth="1"/>
    <col min="7" max="8" width="10.28515625" style="45" customWidth="1"/>
    <col min="9" max="10" width="9.5703125" style="45" customWidth="1"/>
    <col min="11" max="16384" width="9.140625" style="45"/>
  </cols>
  <sheetData>
    <row r="2" spans="1:255" ht="13.5" customHeight="1" thickBot="1" x14ac:dyDescent="0.25">
      <c r="A2" s="144" t="s">
        <v>189</v>
      </c>
      <c r="B2" s="144"/>
      <c r="C2" s="144"/>
      <c r="D2" s="144"/>
      <c r="E2" s="144"/>
      <c r="F2" s="144"/>
      <c r="G2" s="144"/>
      <c r="H2" s="94"/>
      <c r="I2" s="94"/>
      <c r="J2" s="94"/>
    </row>
    <row r="3" spans="1:255" x14ac:dyDescent="0.2">
      <c r="A3" s="145" t="s">
        <v>7</v>
      </c>
      <c r="B3" s="159">
        <v>2015</v>
      </c>
      <c r="C3" s="158"/>
      <c r="D3" s="160"/>
      <c r="E3" s="159">
        <v>2016</v>
      </c>
      <c r="F3" s="158"/>
      <c r="G3" s="160"/>
      <c r="H3" s="159">
        <v>2017</v>
      </c>
      <c r="I3" s="158"/>
      <c r="J3" s="160"/>
      <c r="K3" s="159">
        <v>2018</v>
      </c>
      <c r="L3" s="158"/>
      <c r="M3" s="160"/>
      <c r="N3" s="158">
        <v>2019</v>
      </c>
      <c r="O3" s="158"/>
      <c r="P3" s="158"/>
      <c r="Q3" s="159">
        <v>2020</v>
      </c>
      <c r="R3" s="158"/>
      <c r="S3" s="160"/>
      <c r="T3" s="158">
        <v>2021</v>
      </c>
      <c r="U3" s="158"/>
      <c r="V3" s="158"/>
      <c r="W3" s="159">
        <v>2022</v>
      </c>
      <c r="X3" s="158"/>
      <c r="Y3" s="160"/>
      <c r="Z3" s="158">
        <v>2023</v>
      </c>
      <c r="AA3" s="158"/>
      <c r="AB3" s="158"/>
      <c r="AC3" s="159">
        <v>2024</v>
      </c>
      <c r="AD3" s="158"/>
      <c r="AE3" s="160"/>
    </row>
    <row r="4" spans="1:255" x14ac:dyDescent="0.2">
      <c r="A4" s="145"/>
      <c r="B4" s="115" t="s">
        <v>0</v>
      </c>
      <c r="C4" s="116" t="s">
        <v>1</v>
      </c>
      <c r="D4" s="117" t="s">
        <v>2</v>
      </c>
      <c r="E4" s="115" t="s">
        <v>0</v>
      </c>
      <c r="F4" s="116" t="s">
        <v>1</v>
      </c>
      <c r="G4" s="117" t="s">
        <v>2</v>
      </c>
      <c r="H4" s="115" t="s">
        <v>0</v>
      </c>
      <c r="I4" s="116" t="s">
        <v>1</v>
      </c>
      <c r="J4" s="117" t="s">
        <v>2</v>
      </c>
      <c r="K4" s="115" t="s">
        <v>0</v>
      </c>
      <c r="L4" s="116" t="s">
        <v>1</v>
      </c>
      <c r="M4" s="117" t="s">
        <v>2</v>
      </c>
      <c r="N4" s="113" t="s">
        <v>0</v>
      </c>
      <c r="O4" s="96" t="s">
        <v>1</v>
      </c>
      <c r="P4" s="116" t="s">
        <v>2</v>
      </c>
      <c r="Q4" s="115" t="s">
        <v>0</v>
      </c>
      <c r="R4" s="116" t="s">
        <v>1</v>
      </c>
      <c r="S4" s="117" t="s">
        <v>2</v>
      </c>
      <c r="T4" s="113" t="s">
        <v>0</v>
      </c>
      <c r="U4" s="96" t="s">
        <v>1</v>
      </c>
      <c r="V4" s="116" t="s">
        <v>2</v>
      </c>
      <c r="W4" s="115" t="s">
        <v>0</v>
      </c>
      <c r="X4" s="116" t="s">
        <v>1</v>
      </c>
      <c r="Y4" s="117" t="s">
        <v>2</v>
      </c>
      <c r="Z4" s="113" t="s">
        <v>0</v>
      </c>
      <c r="AA4" s="96" t="s">
        <v>1</v>
      </c>
      <c r="AB4" s="116" t="s">
        <v>2</v>
      </c>
      <c r="AC4" s="115" t="s">
        <v>0</v>
      </c>
      <c r="AD4" s="116" t="s">
        <v>1</v>
      </c>
      <c r="AE4" s="117" t="s">
        <v>2</v>
      </c>
    </row>
    <row r="5" spans="1:255" ht="12.75" thickBot="1" x14ac:dyDescent="0.25">
      <c r="A5" s="98" t="s">
        <v>126</v>
      </c>
      <c r="B5" s="118">
        <v>550986</v>
      </c>
      <c r="C5" s="100">
        <v>269043</v>
      </c>
      <c r="D5" s="119">
        <v>281943</v>
      </c>
      <c r="E5" s="118">
        <v>567071</v>
      </c>
      <c r="F5" s="100">
        <v>277085</v>
      </c>
      <c r="G5" s="119">
        <v>289986</v>
      </c>
      <c r="H5" s="118">
        <v>583893</v>
      </c>
      <c r="I5" s="100">
        <v>285500</v>
      </c>
      <c r="J5" s="119">
        <v>298393</v>
      </c>
      <c r="K5" s="118">
        <v>601453</v>
      </c>
      <c r="L5" s="100">
        <v>294287</v>
      </c>
      <c r="M5" s="119">
        <v>307166</v>
      </c>
      <c r="N5" s="100">
        <v>619756</v>
      </c>
      <c r="O5" s="100">
        <v>303448</v>
      </c>
      <c r="P5" s="100">
        <v>316308</v>
      </c>
      <c r="Q5" s="118">
        <v>638618</v>
      </c>
      <c r="R5" s="100">
        <v>312892</v>
      </c>
      <c r="S5" s="119">
        <v>325726</v>
      </c>
      <c r="T5" s="100">
        <v>657836</v>
      </c>
      <c r="U5" s="100">
        <v>322517</v>
      </c>
      <c r="V5" s="100">
        <v>335319</v>
      </c>
      <c r="W5" s="118">
        <v>677430</v>
      </c>
      <c r="X5" s="100">
        <v>332329</v>
      </c>
      <c r="Y5" s="119">
        <v>345101</v>
      </c>
      <c r="Z5" s="100">
        <v>697398</v>
      </c>
      <c r="AA5" s="100">
        <v>342331</v>
      </c>
      <c r="AB5" s="100">
        <v>355067</v>
      </c>
      <c r="AC5" s="118">
        <v>717744</v>
      </c>
      <c r="AD5" s="100">
        <v>352521</v>
      </c>
      <c r="AE5" s="119">
        <v>365223</v>
      </c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</row>
    <row r="6" spans="1:255" x14ac:dyDescent="0.2">
      <c r="A6" s="103" t="s">
        <v>127</v>
      </c>
      <c r="B6" s="120">
        <v>331120</v>
      </c>
      <c r="C6" s="114">
        <v>161088</v>
      </c>
      <c r="D6" s="121">
        <v>170032</v>
      </c>
      <c r="E6" s="120">
        <v>340784</v>
      </c>
      <c r="F6" s="114">
        <v>165902</v>
      </c>
      <c r="G6" s="121">
        <v>174882</v>
      </c>
      <c r="H6" s="120">
        <v>350894</v>
      </c>
      <c r="I6" s="114">
        <v>170941</v>
      </c>
      <c r="J6" s="121">
        <v>179953</v>
      </c>
      <c r="K6" s="120">
        <v>361446</v>
      </c>
      <c r="L6" s="114">
        <v>176202</v>
      </c>
      <c r="M6" s="121">
        <v>185244</v>
      </c>
      <c r="N6" s="114">
        <v>372444</v>
      </c>
      <c r="O6" s="44">
        <v>181687</v>
      </c>
      <c r="P6" s="114">
        <v>190757</v>
      </c>
      <c r="Q6" s="120">
        <v>383776</v>
      </c>
      <c r="R6" s="114">
        <v>187341</v>
      </c>
      <c r="S6" s="121">
        <v>196435</v>
      </c>
      <c r="T6" s="114">
        <v>395326</v>
      </c>
      <c r="U6" s="44">
        <v>193104</v>
      </c>
      <c r="V6" s="114">
        <v>202222</v>
      </c>
      <c r="W6" s="120">
        <v>407100</v>
      </c>
      <c r="X6" s="114">
        <v>198979</v>
      </c>
      <c r="Y6" s="121">
        <v>208121</v>
      </c>
      <c r="Z6" s="114">
        <v>419099</v>
      </c>
      <c r="AA6" s="44">
        <v>204967</v>
      </c>
      <c r="AB6" s="114">
        <v>214132</v>
      </c>
      <c r="AC6" s="120">
        <v>431326</v>
      </c>
      <c r="AD6" s="114">
        <v>211069</v>
      </c>
      <c r="AE6" s="121">
        <v>220257</v>
      </c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</row>
    <row r="7" spans="1:255" x14ac:dyDescent="0.2">
      <c r="A7" s="103" t="s">
        <v>128</v>
      </c>
      <c r="B7" s="120">
        <v>42128</v>
      </c>
      <c r="C7" s="114">
        <v>20704</v>
      </c>
      <c r="D7" s="121">
        <v>21424</v>
      </c>
      <c r="E7" s="120">
        <v>43358</v>
      </c>
      <c r="F7" s="114">
        <v>21323</v>
      </c>
      <c r="G7" s="121">
        <v>22035</v>
      </c>
      <c r="H7" s="120">
        <v>44645</v>
      </c>
      <c r="I7" s="114">
        <v>21971</v>
      </c>
      <c r="J7" s="121">
        <v>22674</v>
      </c>
      <c r="K7" s="120">
        <v>45987</v>
      </c>
      <c r="L7" s="114">
        <v>22647</v>
      </c>
      <c r="M7" s="121">
        <v>23340</v>
      </c>
      <c r="N7" s="114">
        <v>47387</v>
      </c>
      <c r="O7" s="44">
        <v>23352</v>
      </c>
      <c r="P7" s="114">
        <v>24035</v>
      </c>
      <c r="Q7" s="120">
        <v>48830</v>
      </c>
      <c r="R7" s="114">
        <v>24079</v>
      </c>
      <c r="S7" s="121">
        <v>24751</v>
      </c>
      <c r="T7" s="114">
        <v>50299</v>
      </c>
      <c r="U7" s="44">
        <v>24819</v>
      </c>
      <c r="V7" s="114">
        <v>25480</v>
      </c>
      <c r="W7" s="120">
        <v>51798</v>
      </c>
      <c r="X7" s="114">
        <v>25575</v>
      </c>
      <c r="Y7" s="121">
        <v>26223</v>
      </c>
      <c r="Z7" s="114">
        <v>53324</v>
      </c>
      <c r="AA7" s="44">
        <v>26344</v>
      </c>
      <c r="AB7" s="114">
        <v>26980</v>
      </c>
      <c r="AC7" s="120">
        <v>54880</v>
      </c>
      <c r="AD7" s="114">
        <v>27128</v>
      </c>
      <c r="AE7" s="121">
        <v>27752</v>
      </c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</row>
    <row r="8" spans="1:255" x14ac:dyDescent="0.2">
      <c r="A8" s="103" t="s">
        <v>129</v>
      </c>
      <c r="B8" s="120">
        <v>29364</v>
      </c>
      <c r="C8" s="114">
        <v>14580</v>
      </c>
      <c r="D8" s="121">
        <v>14784</v>
      </c>
      <c r="E8" s="120">
        <v>30222</v>
      </c>
      <c r="F8" s="114">
        <v>15016</v>
      </c>
      <c r="G8" s="121">
        <v>15206</v>
      </c>
      <c r="H8" s="120">
        <v>31119</v>
      </c>
      <c r="I8" s="114">
        <v>15472</v>
      </c>
      <c r="J8" s="121">
        <v>15647</v>
      </c>
      <c r="K8" s="120">
        <v>32055</v>
      </c>
      <c r="L8" s="114">
        <v>15948</v>
      </c>
      <c r="M8" s="121">
        <v>16107</v>
      </c>
      <c r="N8" s="114">
        <v>33031</v>
      </c>
      <c r="O8" s="44">
        <v>16445</v>
      </c>
      <c r="P8" s="114">
        <v>16586</v>
      </c>
      <c r="Q8" s="120">
        <v>34037</v>
      </c>
      <c r="R8" s="114">
        <v>16957</v>
      </c>
      <c r="S8" s="121">
        <v>17080</v>
      </c>
      <c r="T8" s="114">
        <v>35061</v>
      </c>
      <c r="U8" s="44">
        <v>17478</v>
      </c>
      <c r="V8" s="114">
        <v>17583</v>
      </c>
      <c r="W8" s="120">
        <v>36106</v>
      </c>
      <c r="X8" s="114">
        <v>18010</v>
      </c>
      <c r="Y8" s="121">
        <v>18096</v>
      </c>
      <c r="Z8" s="114">
        <v>37170</v>
      </c>
      <c r="AA8" s="44">
        <v>18552</v>
      </c>
      <c r="AB8" s="114">
        <v>18618</v>
      </c>
      <c r="AC8" s="120">
        <v>38255</v>
      </c>
      <c r="AD8" s="114">
        <v>19104</v>
      </c>
      <c r="AE8" s="121">
        <v>19151</v>
      </c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</row>
    <row r="9" spans="1:255" x14ac:dyDescent="0.2">
      <c r="A9" s="103" t="s">
        <v>130</v>
      </c>
      <c r="B9" s="120">
        <v>34104</v>
      </c>
      <c r="C9" s="114">
        <v>16604</v>
      </c>
      <c r="D9" s="121">
        <v>17500</v>
      </c>
      <c r="E9" s="120">
        <v>35099</v>
      </c>
      <c r="F9" s="114">
        <v>17100</v>
      </c>
      <c r="G9" s="121">
        <v>17999</v>
      </c>
      <c r="H9" s="120">
        <v>36140</v>
      </c>
      <c r="I9" s="114">
        <v>17619</v>
      </c>
      <c r="J9" s="121">
        <v>18521</v>
      </c>
      <c r="K9" s="120">
        <v>37228</v>
      </c>
      <c r="L9" s="114">
        <v>18162</v>
      </c>
      <c r="M9" s="121">
        <v>19066</v>
      </c>
      <c r="N9" s="114">
        <v>38360</v>
      </c>
      <c r="O9" s="44">
        <v>18727</v>
      </c>
      <c r="P9" s="114">
        <v>19633</v>
      </c>
      <c r="Q9" s="120">
        <v>39528</v>
      </c>
      <c r="R9" s="114">
        <v>19310</v>
      </c>
      <c r="S9" s="121">
        <v>20218</v>
      </c>
      <c r="T9" s="114">
        <v>40717</v>
      </c>
      <c r="U9" s="44">
        <v>19904</v>
      </c>
      <c r="V9" s="114">
        <v>20813</v>
      </c>
      <c r="W9" s="120">
        <v>41929</v>
      </c>
      <c r="X9" s="114">
        <v>20509</v>
      </c>
      <c r="Y9" s="121">
        <v>21420</v>
      </c>
      <c r="Z9" s="114">
        <v>43166</v>
      </c>
      <c r="AA9" s="44">
        <v>21127</v>
      </c>
      <c r="AB9" s="114">
        <v>22039</v>
      </c>
      <c r="AC9" s="120">
        <v>44425</v>
      </c>
      <c r="AD9" s="114">
        <v>21756</v>
      </c>
      <c r="AE9" s="121">
        <v>22669</v>
      </c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</row>
    <row r="10" spans="1:255" x14ac:dyDescent="0.2">
      <c r="A10" s="103" t="s">
        <v>131</v>
      </c>
      <c r="B10" s="120">
        <v>28062</v>
      </c>
      <c r="C10" s="114">
        <v>14567</v>
      </c>
      <c r="D10" s="121">
        <v>13495</v>
      </c>
      <c r="E10" s="120">
        <v>28883</v>
      </c>
      <c r="F10" s="114">
        <v>15003</v>
      </c>
      <c r="G10" s="121">
        <v>13880</v>
      </c>
      <c r="H10" s="120">
        <v>29740</v>
      </c>
      <c r="I10" s="114">
        <v>15458</v>
      </c>
      <c r="J10" s="121">
        <v>14282</v>
      </c>
      <c r="K10" s="120">
        <v>30636</v>
      </c>
      <c r="L10" s="114">
        <v>15934</v>
      </c>
      <c r="M10" s="121">
        <v>14702</v>
      </c>
      <c r="N10" s="114">
        <v>31570</v>
      </c>
      <c r="O10" s="44">
        <v>16430</v>
      </c>
      <c r="P10" s="114">
        <v>15140</v>
      </c>
      <c r="Q10" s="120">
        <v>32532</v>
      </c>
      <c r="R10" s="114">
        <v>16941</v>
      </c>
      <c r="S10" s="121">
        <v>15591</v>
      </c>
      <c r="T10" s="114">
        <v>33512</v>
      </c>
      <c r="U10" s="44">
        <v>17462</v>
      </c>
      <c r="V10" s="114">
        <v>16050</v>
      </c>
      <c r="W10" s="120">
        <v>34512</v>
      </c>
      <c r="X10" s="114">
        <v>17994</v>
      </c>
      <c r="Y10" s="121">
        <v>16518</v>
      </c>
      <c r="Z10" s="114">
        <v>35530</v>
      </c>
      <c r="AA10" s="44">
        <v>18535</v>
      </c>
      <c r="AB10" s="114">
        <v>16995</v>
      </c>
      <c r="AC10" s="120">
        <v>36568</v>
      </c>
      <c r="AD10" s="114">
        <v>19087</v>
      </c>
      <c r="AE10" s="121">
        <v>17481</v>
      </c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</row>
    <row r="11" spans="1:255" x14ac:dyDescent="0.2">
      <c r="A11" s="103" t="s">
        <v>132</v>
      </c>
      <c r="B11" s="120">
        <v>44340</v>
      </c>
      <c r="C11" s="114">
        <v>20808</v>
      </c>
      <c r="D11" s="121">
        <v>23532</v>
      </c>
      <c r="E11" s="120">
        <v>45633</v>
      </c>
      <c r="F11" s="114">
        <v>21430</v>
      </c>
      <c r="G11" s="121">
        <v>24203</v>
      </c>
      <c r="H11" s="120">
        <v>46985</v>
      </c>
      <c r="I11" s="114">
        <v>22081</v>
      </c>
      <c r="J11" s="121">
        <v>24904</v>
      </c>
      <c r="K11" s="120">
        <v>48397</v>
      </c>
      <c r="L11" s="114">
        <v>22760</v>
      </c>
      <c r="M11" s="121">
        <v>25637</v>
      </c>
      <c r="N11" s="114">
        <v>49869</v>
      </c>
      <c r="O11" s="44">
        <v>23469</v>
      </c>
      <c r="P11" s="114">
        <v>26400</v>
      </c>
      <c r="Q11" s="120">
        <v>51385</v>
      </c>
      <c r="R11" s="114">
        <v>24199</v>
      </c>
      <c r="S11" s="121">
        <v>27186</v>
      </c>
      <c r="T11" s="114">
        <v>52930</v>
      </c>
      <c r="U11" s="44">
        <v>24944</v>
      </c>
      <c r="V11" s="114">
        <v>27986</v>
      </c>
      <c r="W11" s="120">
        <v>54505</v>
      </c>
      <c r="X11" s="114">
        <v>25702</v>
      </c>
      <c r="Y11" s="121">
        <v>28803</v>
      </c>
      <c r="Z11" s="114">
        <v>56111</v>
      </c>
      <c r="AA11" s="44">
        <v>26476</v>
      </c>
      <c r="AB11" s="114">
        <v>29635</v>
      </c>
      <c r="AC11" s="120">
        <v>57746</v>
      </c>
      <c r="AD11" s="114">
        <v>27264</v>
      </c>
      <c r="AE11" s="121">
        <v>30482</v>
      </c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</row>
    <row r="12" spans="1:255" x14ac:dyDescent="0.2">
      <c r="A12" s="103" t="s">
        <v>133</v>
      </c>
      <c r="B12" s="120">
        <v>15607</v>
      </c>
      <c r="C12" s="114">
        <v>7769</v>
      </c>
      <c r="D12" s="121">
        <v>7838</v>
      </c>
      <c r="E12" s="120">
        <v>16064</v>
      </c>
      <c r="F12" s="114">
        <v>8002</v>
      </c>
      <c r="G12" s="121">
        <v>8062</v>
      </c>
      <c r="H12" s="120">
        <v>16540</v>
      </c>
      <c r="I12" s="114">
        <v>8245</v>
      </c>
      <c r="J12" s="121">
        <v>8295</v>
      </c>
      <c r="K12" s="120">
        <v>17037</v>
      </c>
      <c r="L12" s="114">
        <v>8498</v>
      </c>
      <c r="M12" s="121">
        <v>8539</v>
      </c>
      <c r="N12" s="114">
        <v>17556</v>
      </c>
      <c r="O12" s="44">
        <v>8763</v>
      </c>
      <c r="P12" s="114">
        <v>8793</v>
      </c>
      <c r="Q12" s="120">
        <v>18091</v>
      </c>
      <c r="R12" s="114">
        <v>9036</v>
      </c>
      <c r="S12" s="121">
        <v>9055</v>
      </c>
      <c r="T12" s="114">
        <v>18636</v>
      </c>
      <c r="U12" s="44">
        <v>9314</v>
      </c>
      <c r="V12" s="114">
        <v>9322</v>
      </c>
      <c r="W12" s="120">
        <v>19191</v>
      </c>
      <c r="X12" s="114">
        <v>9597</v>
      </c>
      <c r="Y12" s="121">
        <v>9594</v>
      </c>
      <c r="Z12" s="114">
        <v>19757</v>
      </c>
      <c r="AA12" s="44">
        <v>9886</v>
      </c>
      <c r="AB12" s="114">
        <v>9871</v>
      </c>
      <c r="AC12" s="120">
        <v>20333</v>
      </c>
      <c r="AD12" s="114">
        <v>10180</v>
      </c>
      <c r="AE12" s="121">
        <v>10153</v>
      </c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</row>
    <row r="13" spans="1:255" x14ac:dyDescent="0.2">
      <c r="A13" s="103" t="s">
        <v>134</v>
      </c>
      <c r="B13" s="120">
        <v>2885</v>
      </c>
      <c r="C13" s="114">
        <v>1454</v>
      </c>
      <c r="D13" s="121">
        <v>1431</v>
      </c>
      <c r="E13" s="120">
        <v>2970</v>
      </c>
      <c r="F13" s="114">
        <v>1498</v>
      </c>
      <c r="G13" s="121">
        <v>1472</v>
      </c>
      <c r="H13" s="120">
        <v>3058</v>
      </c>
      <c r="I13" s="114">
        <v>1543</v>
      </c>
      <c r="J13" s="121">
        <v>1515</v>
      </c>
      <c r="K13" s="120">
        <v>3150</v>
      </c>
      <c r="L13" s="114">
        <v>1591</v>
      </c>
      <c r="M13" s="121">
        <v>1559</v>
      </c>
      <c r="N13" s="114">
        <v>3246</v>
      </c>
      <c r="O13" s="44">
        <v>1640</v>
      </c>
      <c r="P13" s="114">
        <v>1606</v>
      </c>
      <c r="Q13" s="120">
        <v>3345</v>
      </c>
      <c r="R13" s="114">
        <v>1691</v>
      </c>
      <c r="S13" s="121">
        <v>1654</v>
      </c>
      <c r="T13" s="114">
        <v>3446</v>
      </c>
      <c r="U13" s="44">
        <v>1744</v>
      </c>
      <c r="V13" s="114">
        <v>1702</v>
      </c>
      <c r="W13" s="120">
        <v>3549</v>
      </c>
      <c r="X13" s="114">
        <v>1797</v>
      </c>
      <c r="Y13" s="121">
        <v>1752</v>
      </c>
      <c r="Z13" s="114">
        <v>3653</v>
      </c>
      <c r="AA13" s="44">
        <v>1851</v>
      </c>
      <c r="AB13" s="114">
        <v>1802</v>
      </c>
      <c r="AC13" s="120">
        <v>3760</v>
      </c>
      <c r="AD13" s="114">
        <v>1906</v>
      </c>
      <c r="AE13" s="121">
        <v>1854</v>
      </c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</row>
    <row r="14" spans="1:255" ht="12.75" thickBot="1" x14ac:dyDescent="0.25">
      <c r="A14" s="109" t="s">
        <v>135</v>
      </c>
      <c r="B14" s="122">
        <v>23376</v>
      </c>
      <c r="C14" s="111">
        <v>11469</v>
      </c>
      <c r="D14" s="123">
        <v>11907</v>
      </c>
      <c r="E14" s="122">
        <v>24058</v>
      </c>
      <c r="F14" s="111">
        <v>11811</v>
      </c>
      <c r="G14" s="123">
        <v>12247</v>
      </c>
      <c r="H14" s="122">
        <v>24772</v>
      </c>
      <c r="I14" s="111">
        <v>12170</v>
      </c>
      <c r="J14" s="123">
        <v>12602</v>
      </c>
      <c r="K14" s="122">
        <v>25517</v>
      </c>
      <c r="L14" s="111">
        <v>12545</v>
      </c>
      <c r="M14" s="123">
        <v>12972</v>
      </c>
      <c r="N14" s="111">
        <v>26293</v>
      </c>
      <c r="O14" s="111">
        <v>12935</v>
      </c>
      <c r="P14" s="111">
        <v>13358</v>
      </c>
      <c r="Q14" s="122">
        <v>27094</v>
      </c>
      <c r="R14" s="111">
        <v>13338</v>
      </c>
      <c r="S14" s="123">
        <v>13756</v>
      </c>
      <c r="T14" s="111">
        <v>27909</v>
      </c>
      <c r="U14" s="111">
        <v>13748</v>
      </c>
      <c r="V14" s="111">
        <v>14161</v>
      </c>
      <c r="W14" s="122">
        <v>28740</v>
      </c>
      <c r="X14" s="111">
        <v>14166</v>
      </c>
      <c r="Y14" s="123">
        <v>14574</v>
      </c>
      <c r="Z14" s="111">
        <v>29588</v>
      </c>
      <c r="AA14" s="111">
        <v>14593</v>
      </c>
      <c r="AB14" s="111">
        <v>14995</v>
      </c>
      <c r="AC14" s="122">
        <v>30451</v>
      </c>
      <c r="AD14" s="111">
        <v>15027</v>
      </c>
      <c r="AE14" s="123">
        <v>15424</v>
      </c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</row>
    <row r="15" spans="1:255" ht="12" customHeight="1" x14ac:dyDescent="0.2">
      <c r="A15" s="93" t="s">
        <v>196</v>
      </c>
      <c r="B15" s="44"/>
      <c r="C15" s="44"/>
      <c r="D15" s="44"/>
      <c r="E15" s="44"/>
      <c r="F15" s="44"/>
      <c r="G15" s="44"/>
      <c r="AC15" s="44"/>
      <c r="AD15" s="44"/>
      <c r="AE15" s="44"/>
      <c r="AF15" s="44"/>
      <c r="AG15" s="44"/>
      <c r="AH15" s="44"/>
      <c r="AI15" s="44"/>
      <c r="AJ15" s="44"/>
      <c r="AK15" s="44"/>
      <c r="AL15" s="46"/>
      <c r="AM15" s="46"/>
      <c r="AN15" s="46"/>
      <c r="AO15" s="46"/>
      <c r="AP15" s="44"/>
      <c r="AQ15" s="44"/>
      <c r="AR15" s="46"/>
      <c r="AS15" s="44"/>
      <c r="AT15" s="44"/>
      <c r="BD15" s="47"/>
      <c r="CW15" s="48"/>
      <c r="CX15" s="48"/>
      <c r="CY15" s="48"/>
      <c r="CZ15" s="48"/>
      <c r="DA15" s="48"/>
      <c r="DB15" s="48"/>
      <c r="DC15" s="48"/>
      <c r="DD15" s="48"/>
      <c r="DE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GI15" s="47"/>
      <c r="IK15" s="47"/>
      <c r="IL15" s="47"/>
      <c r="IT15" s="47"/>
      <c r="IU15" s="47"/>
    </row>
  </sheetData>
  <mergeCells count="12">
    <mergeCell ref="A2:G2"/>
    <mergeCell ref="Z3:AB3"/>
    <mergeCell ref="AC3:AE3"/>
    <mergeCell ref="H3:J3"/>
    <mergeCell ref="K3:M3"/>
    <mergeCell ref="A3:A4"/>
    <mergeCell ref="B3:D3"/>
    <mergeCell ref="E3:G3"/>
    <mergeCell ref="N3:P3"/>
    <mergeCell ref="Q3:S3"/>
    <mergeCell ref="T3:V3"/>
    <mergeCell ref="W3: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1"/>
  <sheetViews>
    <sheetView zoomScale="120" zoomScaleNormal="12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Z30" sqref="Z30"/>
    </sheetView>
  </sheetViews>
  <sheetFormatPr defaultColWidth="9.140625" defaultRowHeight="11.25" x14ac:dyDescent="0.2"/>
  <cols>
    <col min="1" max="1" width="16.42578125" style="1" customWidth="1"/>
    <col min="2" max="2" width="8.7109375" style="1" customWidth="1"/>
    <col min="3" max="3" width="7.7109375" style="1" customWidth="1"/>
    <col min="4" max="5" width="8.7109375" style="1" customWidth="1"/>
    <col min="6" max="6" width="7.7109375" style="1" customWidth="1"/>
    <col min="7" max="8" width="8.7109375" style="1" customWidth="1"/>
    <col min="9" max="10" width="7.7109375" style="1" customWidth="1"/>
    <col min="11" max="16384" width="9.140625" style="1"/>
  </cols>
  <sheetData>
    <row r="2" spans="1:255" ht="25.5" customHeight="1" thickBot="1" x14ac:dyDescent="0.25">
      <c r="A2" s="133" t="s">
        <v>190</v>
      </c>
      <c r="B2" s="141"/>
      <c r="C2" s="141"/>
      <c r="D2" s="141"/>
      <c r="E2" s="133"/>
      <c r="F2" s="133"/>
      <c r="G2" s="133"/>
      <c r="H2" s="14"/>
      <c r="I2" s="14"/>
      <c r="J2" s="14"/>
    </row>
    <row r="3" spans="1:255" ht="15.75" customHeight="1" thickBot="1" x14ac:dyDescent="0.25">
      <c r="A3" s="131" t="s">
        <v>7</v>
      </c>
      <c r="B3" s="153">
        <v>2015</v>
      </c>
      <c r="C3" s="154"/>
      <c r="D3" s="155"/>
      <c r="E3" s="153">
        <v>2016</v>
      </c>
      <c r="F3" s="154"/>
      <c r="G3" s="155"/>
      <c r="H3" s="153">
        <v>2017</v>
      </c>
      <c r="I3" s="154"/>
      <c r="J3" s="155"/>
      <c r="K3" s="153">
        <v>2018</v>
      </c>
      <c r="L3" s="154"/>
      <c r="M3" s="155"/>
      <c r="N3" s="153">
        <v>2019</v>
      </c>
      <c r="O3" s="154"/>
      <c r="P3" s="155"/>
      <c r="Q3" s="153">
        <v>2020</v>
      </c>
      <c r="R3" s="154"/>
      <c r="S3" s="155"/>
      <c r="T3" s="153">
        <v>2021</v>
      </c>
      <c r="U3" s="154"/>
      <c r="V3" s="155"/>
      <c r="W3" s="153">
        <v>2022</v>
      </c>
      <c r="X3" s="154"/>
      <c r="Y3" s="155"/>
      <c r="Z3" s="153">
        <v>2023</v>
      </c>
      <c r="AA3" s="154"/>
      <c r="AB3" s="155"/>
      <c r="AC3" s="153">
        <v>2024</v>
      </c>
      <c r="AD3" s="154"/>
      <c r="AE3" s="155"/>
    </row>
    <row r="4" spans="1:255" x14ac:dyDescent="0.2">
      <c r="A4" s="131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50" t="s">
        <v>0</v>
      </c>
      <c r="O4" s="78" t="s">
        <v>1</v>
      </c>
      <c r="P4" s="51" t="s">
        <v>2</v>
      </c>
      <c r="Q4" s="50" t="s">
        <v>0</v>
      </c>
      <c r="R4" s="78" t="s">
        <v>1</v>
      </c>
      <c r="S4" s="51" t="s">
        <v>2</v>
      </c>
      <c r="T4" s="50" t="s">
        <v>0</v>
      </c>
      <c r="U4" s="78" t="s">
        <v>1</v>
      </c>
      <c r="V4" s="51" t="s">
        <v>2</v>
      </c>
      <c r="W4" s="50" t="s">
        <v>0</v>
      </c>
      <c r="X4" s="78" t="s">
        <v>1</v>
      </c>
      <c r="Y4" s="51" t="s">
        <v>2</v>
      </c>
      <c r="Z4" s="76" t="s">
        <v>0</v>
      </c>
      <c r="AA4" s="25" t="s">
        <v>1</v>
      </c>
      <c r="AB4" s="78" t="s">
        <v>2</v>
      </c>
      <c r="AC4" s="50" t="s">
        <v>0</v>
      </c>
      <c r="AD4" s="78" t="s">
        <v>1</v>
      </c>
      <c r="AE4" s="51" t="s">
        <v>2</v>
      </c>
    </row>
    <row r="5" spans="1:255" s="6" customFormat="1" ht="12" thickBot="1" x14ac:dyDescent="0.25">
      <c r="A5" s="17" t="s">
        <v>136</v>
      </c>
      <c r="B5" s="52">
        <v>514444</v>
      </c>
      <c r="C5" s="27">
        <v>249713</v>
      </c>
      <c r="D5" s="53">
        <v>264731</v>
      </c>
      <c r="E5" s="52">
        <v>531766</v>
      </c>
      <c r="F5" s="27">
        <v>258325.99999999997</v>
      </c>
      <c r="G5" s="53">
        <v>273440</v>
      </c>
      <c r="H5" s="52">
        <v>549857</v>
      </c>
      <c r="I5" s="27">
        <v>267322</v>
      </c>
      <c r="J5" s="53">
        <v>282534.99999999994</v>
      </c>
      <c r="K5" s="52">
        <v>568722</v>
      </c>
      <c r="L5" s="27">
        <v>276701.99999999994</v>
      </c>
      <c r="M5" s="53">
        <v>292020</v>
      </c>
      <c r="N5" s="52">
        <v>588378</v>
      </c>
      <c r="O5" s="27">
        <v>286476</v>
      </c>
      <c r="P5" s="53">
        <v>301902</v>
      </c>
      <c r="Q5" s="52">
        <v>608649</v>
      </c>
      <c r="R5" s="27">
        <v>296556</v>
      </c>
      <c r="S5" s="53">
        <v>312092.99999999994</v>
      </c>
      <c r="T5" s="52">
        <v>629355</v>
      </c>
      <c r="U5" s="27">
        <v>306851</v>
      </c>
      <c r="V5" s="53">
        <v>322504</v>
      </c>
      <c r="W5" s="52">
        <v>650500</v>
      </c>
      <c r="X5" s="27">
        <v>317364</v>
      </c>
      <c r="Y5" s="53">
        <v>333136</v>
      </c>
      <c r="Z5" s="27">
        <v>672086</v>
      </c>
      <c r="AA5" s="27">
        <v>328095</v>
      </c>
      <c r="AB5" s="27">
        <v>343991</v>
      </c>
      <c r="AC5" s="52">
        <v>694116</v>
      </c>
      <c r="AD5" s="27">
        <v>339045.99999999994</v>
      </c>
      <c r="AE5" s="53">
        <v>355070</v>
      </c>
    </row>
    <row r="6" spans="1:255" ht="12.75" customHeight="1" x14ac:dyDescent="0.2">
      <c r="A6" s="21" t="s">
        <v>136</v>
      </c>
      <c r="B6" s="54">
        <v>303828.91005482094</v>
      </c>
      <c r="C6" s="77">
        <v>148736.96852794907</v>
      </c>
      <c r="D6" s="55">
        <v>155091.9415268719</v>
      </c>
      <c r="E6" s="54">
        <v>314061.22967007221</v>
      </c>
      <c r="F6" s="77">
        <v>153867.14400912635</v>
      </c>
      <c r="G6" s="55">
        <v>160194.08566094583</v>
      </c>
      <c r="H6" s="54">
        <v>324747.8132685466</v>
      </c>
      <c r="I6" s="77">
        <v>159225.44641579894</v>
      </c>
      <c r="J6" s="55">
        <v>165522.36685274768</v>
      </c>
      <c r="K6" s="54">
        <v>335891.59987110278</v>
      </c>
      <c r="L6" s="77">
        <v>164812.47137962605</v>
      </c>
      <c r="M6" s="55">
        <v>171079.12849147673</v>
      </c>
      <c r="N6" s="54">
        <v>347502.64672543202</v>
      </c>
      <c r="O6" s="77">
        <v>170634.1752172003</v>
      </c>
      <c r="P6" s="55">
        <v>176868.47150823168</v>
      </c>
      <c r="Q6" s="54">
        <v>359476.98368313594</v>
      </c>
      <c r="R6" s="77">
        <v>176638.14234250705</v>
      </c>
      <c r="S6" s="55">
        <v>182838.84134062889</v>
      </c>
      <c r="T6" s="54">
        <v>371708.26785353909</v>
      </c>
      <c r="U6" s="77">
        <v>182770.170274554</v>
      </c>
      <c r="V6" s="55">
        <v>188938.09757898506</v>
      </c>
      <c r="W6" s="54">
        <v>384198.87197891879</v>
      </c>
      <c r="X6" s="77">
        <v>189032.04590831886</v>
      </c>
      <c r="Y6" s="55">
        <v>195166.82607059996</v>
      </c>
      <c r="Z6" s="77">
        <v>396949.96775387489</v>
      </c>
      <c r="AA6" s="22">
        <v>195423.76924380168</v>
      </c>
      <c r="AB6" s="77">
        <v>201526.19851007321</v>
      </c>
      <c r="AC6" s="54">
        <v>409963.33228902559</v>
      </c>
      <c r="AD6" s="77">
        <v>201946.53154432095</v>
      </c>
      <c r="AE6" s="55">
        <v>208016.80074470464</v>
      </c>
    </row>
    <row r="7" spans="1:255" ht="12.75" customHeight="1" x14ac:dyDescent="0.2">
      <c r="A7" s="21" t="s">
        <v>137</v>
      </c>
      <c r="B7" s="54">
        <v>57636.932565428186</v>
      </c>
      <c r="C7" s="77">
        <v>28501.733124053011</v>
      </c>
      <c r="D7" s="55">
        <v>29135.199441375178</v>
      </c>
      <c r="E7" s="54">
        <v>59578.479376006901</v>
      </c>
      <c r="F7" s="77">
        <v>29484.803398317741</v>
      </c>
      <c r="G7" s="55">
        <v>30093.675977689159</v>
      </c>
      <c r="H7" s="54">
        <v>61606.222590613586</v>
      </c>
      <c r="I7" s="77">
        <v>30511.588512364589</v>
      </c>
      <c r="J7" s="55">
        <v>31094.634078249001</v>
      </c>
      <c r="K7" s="54">
        <v>63720.71657067482</v>
      </c>
      <c r="L7" s="77">
        <v>31582.202604156435</v>
      </c>
      <c r="M7" s="55">
        <v>32138.513966518389</v>
      </c>
      <c r="N7" s="54">
        <v>65923.873086880834</v>
      </c>
      <c r="O7" s="77">
        <v>32697.787053322056</v>
      </c>
      <c r="P7" s="55">
        <v>33226.086033558779</v>
      </c>
      <c r="Q7" s="54">
        <v>68195.963082297269</v>
      </c>
      <c r="R7" s="77">
        <v>33848.297719128219</v>
      </c>
      <c r="S7" s="55">
        <v>34347.665363169042</v>
      </c>
      <c r="T7" s="54">
        <v>70516.805030235191</v>
      </c>
      <c r="U7" s="77">
        <v>35023.348046953062</v>
      </c>
      <c r="V7" s="55">
        <v>35493.456983282129</v>
      </c>
      <c r="W7" s="54">
        <v>72886.851400449174</v>
      </c>
      <c r="X7" s="77">
        <v>36223.280450685226</v>
      </c>
      <c r="Y7" s="55">
        <v>36663.570949763955</v>
      </c>
      <c r="Z7" s="77">
        <v>75306.322304671077</v>
      </c>
      <c r="AA7" s="22">
        <v>37448.094930324703</v>
      </c>
      <c r="AB7" s="77">
        <v>37858.227374346374</v>
      </c>
      <c r="AC7" s="54">
        <v>77775.556074692548</v>
      </c>
      <c r="AD7" s="77">
        <v>38698.019761797252</v>
      </c>
      <c r="AE7" s="55">
        <v>39077.536312895296</v>
      </c>
    </row>
    <row r="8" spans="1:255" ht="12.75" customHeight="1" x14ac:dyDescent="0.2">
      <c r="A8" s="21" t="s">
        <v>138</v>
      </c>
      <c r="B8" s="54">
        <v>33696.472267228906</v>
      </c>
      <c r="C8" s="77">
        <v>16225.212229965337</v>
      </c>
      <c r="D8" s="55">
        <v>17471.260037263572</v>
      </c>
      <c r="E8" s="54">
        <v>34830.867302446801</v>
      </c>
      <c r="F8" s="77">
        <v>16784.845700936778</v>
      </c>
      <c r="G8" s="55">
        <v>18046.021601510027</v>
      </c>
      <c r="H8" s="54">
        <v>36015.622493846327</v>
      </c>
      <c r="I8" s="77">
        <v>17369.364765706207</v>
      </c>
      <c r="J8" s="55">
        <v>18646.257728140125</v>
      </c>
      <c r="K8" s="54">
        <v>37251.066801970635</v>
      </c>
      <c r="L8" s="77">
        <v>17978.834399714346</v>
      </c>
      <c r="M8" s="55">
        <v>19272.232402256286</v>
      </c>
      <c r="N8" s="54">
        <v>38538.311955156198</v>
      </c>
      <c r="O8" s="77">
        <v>18613.904357368458</v>
      </c>
      <c r="P8" s="55">
        <v>19924.407597787744</v>
      </c>
      <c r="Q8" s="54">
        <v>39865.832442365907</v>
      </c>
      <c r="R8" s="77">
        <v>19268.85679988467</v>
      </c>
      <c r="S8" s="55">
        <v>20596.975642481237</v>
      </c>
      <c r="T8" s="54">
        <v>41221.841829964826</v>
      </c>
      <c r="U8" s="77">
        <v>19937.778962156932</v>
      </c>
      <c r="V8" s="55">
        <v>21284.062867807894</v>
      </c>
      <c r="W8" s="54">
        <v>42606.60104055074</v>
      </c>
      <c r="X8" s="77">
        <v>20620.865770507418</v>
      </c>
      <c r="Y8" s="55">
        <v>21985.735270043318</v>
      </c>
      <c r="Z8" s="77">
        <v>44020.242066674859</v>
      </c>
      <c r="AA8" s="22">
        <v>21318.117224936137</v>
      </c>
      <c r="AB8" s="77">
        <v>22702.124841738721</v>
      </c>
      <c r="AC8" s="54">
        <v>45462.960855494239</v>
      </c>
      <c r="AD8" s="77">
        <v>22029.663276324532</v>
      </c>
      <c r="AE8" s="55">
        <v>23433.29757916971</v>
      </c>
    </row>
    <row r="9" spans="1:255" ht="12" customHeight="1" x14ac:dyDescent="0.2">
      <c r="A9" s="21" t="s">
        <v>139</v>
      </c>
      <c r="B9" s="54">
        <v>66990.878853827002</v>
      </c>
      <c r="C9" s="77">
        <v>31507.174777641616</v>
      </c>
      <c r="D9" s="55">
        <v>35483.704076185386</v>
      </c>
      <c r="E9" s="54">
        <v>69244.938362039233</v>
      </c>
      <c r="F9" s="77">
        <v>32593.90753228325</v>
      </c>
      <c r="G9" s="55">
        <v>36651.030829755982</v>
      </c>
      <c r="H9" s="54">
        <v>71599.06055492915</v>
      </c>
      <c r="I9" s="77">
        <v>33728.964755173787</v>
      </c>
      <c r="J9" s="55">
        <v>37870.095799755363</v>
      </c>
      <c r="K9" s="54">
        <v>74053.907753363601</v>
      </c>
      <c r="L9" s="77">
        <v>34912.47261985956</v>
      </c>
      <c r="M9" s="55">
        <v>39141.435133504034</v>
      </c>
      <c r="N9" s="54">
        <v>76611.679950616861</v>
      </c>
      <c r="O9" s="77">
        <v>36145.692861803989</v>
      </c>
      <c r="P9" s="55">
        <v>40465.987088812872</v>
      </c>
      <c r="Q9" s="54">
        <v>79249.478633559746</v>
      </c>
      <c r="R9" s="77">
        <v>37417.522208928996</v>
      </c>
      <c r="S9" s="55">
        <v>41831.956424630756</v>
      </c>
      <c r="T9" s="54">
        <v>81943.892731593936</v>
      </c>
      <c r="U9" s="77">
        <v>38716.478868517486</v>
      </c>
      <c r="V9" s="55">
        <v>43227.41386307645</v>
      </c>
      <c r="W9" s="54">
        <v>84695.434802188553</v>
      </c>
      <c r="X9" s="77">
        <v>40042.941361208483</v>
      </c>
      <c r="Y9" s="55">
        <v>44652.49344098007</v>
      </c>
      <c r="Z9" s="77">
        <v>87504.372919003858</v>
      </c>
      <c r="AA9" s="22">
        <v>41396.909687001978</v>
      </c>
      <c r="AB9" s="77">
        <v>46107.463232001872</v>
      </c>
      <c r="AC9" s="54">
        <v>90371.093465962651</v>
      </c>
      <c r="AD9" s="77">
        <v>42778.636192990671</v>
      </c>
      <c r="AE9" s="55">
        <v>47592.45727297198</v>
      </c>
    </row>
    <row r="10" spans="1:255" ht="12.75" customHeight="1" thickBot="1" x14ac:dyDescent="0.25">
      <c r="A10" s="9" t="s">
        <v>140</v>
      </c>
      <c r="B10" s="56">
        <v>52290.806258694924</v>
      </c>
      <c r="C10" s="11">
        <v>24741.911340390965</v>
      </c>
      <c r="D10" s="57">
        <v>27548.894918303959</v>
      </c>
      <c r="E10" s="56">
        <v>54050.485289434844</v>
      </c>
      <c r="F10" s="11">
        <v>25595.299359335862</v>
      </c>
      <c r="G10" s="57">
        <v>28455.185930098985</v>
      </c>
      <c r="H10" s="56">
        <v>55888.281092064266</v>
      </c>
      <c r="I10" s="11">
        <v>26486.635550956471</v>
      </c>
      <c r="J10" s="57">
        <v>29401.645541107799</v>
      </c>
      <c r="K10" s="56">
        <v>57804.709002888121</v>
      </c>
      <c r="L10" s="11">
        <v>27416.01899664359</v>
      </c>
      <c r="M10" s="57">
        <v>30388.690006244535</v>
      </c>
      <c r="N10" s="56">
        <v>59801.48828191412</v>
      </c>
      <c r="O10" s="11">
        <v>28384.440510305198</v>
      </c>
      <c r="P10" s="57">
        <v>31417.047771608923</v>
      </c>
      <c r="Q10" s="56">
        <v>61860.742158641107</v>
      </c>
      <c r="R10" s="11">
        <v>29383.180929551057</v>
      </c>
      <c r="S10" s="57">
        <v>32477.561229090046</v>
      </c>
      <c r="T10" s="56">
        <v>63964.192554666995</v>
      </c>
      <c r="U10" s="11">
        <v>30403.223847818528</v>
      </c>
      <c r="V10" s="57">
        <v>33560.968706848464</v>
      </c>
      <c r="W10" s="56">
        <v>66112.240777892701</v>
      </c>
      <c r="X10" s="11">
        <v>31444.866509280007</v>
      </c>
      <c r="Y10" s="57">
        <v>34667.374268612693</v>
      </c>
      <c r="Z10" s="11">
        <v>68305.094955775305</v>
      </c>
      <c r="AA10" s="11">
        <v>32508.108913935492</v>
      </c>
      <c r="AB10" s="11">
        <v>35796.986041839817</v>
      </c>
      <c r="AC10" s="56">
        <v>70543.057314824953</v>
      </c>
      <c r="AD10" s="11">
        <v>33593.14922456658</v>
      </c>
      <c r="AE10" s="57">
        <v>36949.908090258366</v>
      </c>
    </row>
    <row r="11" spans="1:255" s="45" customFormat="1" ht="12" customHeight="1" x14ac:dyDescent="0.2">
      <c r="A11" s="43" t="s">
        <v>195</v>
      </c>
      <c r="B11" s="44"/>
      <c r="C11" s="44"/>
      <c r="D11" s="44"/>
      <c r="E11" s="44"/>
      <c r="F11" s="44"/>
      <c r="G11" s="44"/>
      <c r="AC11" s="44"/>
      <c r="AD11" s="44"/>
      <c r="AE11" s="44"/>
      <c r="AF11" s="44"/>
      <c r="AG11" s="44"/>
      <c r="AH11" s="44"/>
      <c r="AI11" s="44"/>
      <c r="AJ11" s="44"/>
      <c r="AK11" s="44"/>
      <c r="AL11" s="46"/>
      <c r="AM11" s="46"/>
      <c r="AN11" s="46"/>
      <c r="AO11" s="46"/>
      <c r="AP11" s="44"/>
      <c r="AQ11" s="44"/>
      <c r="AR11" s="46"/>
      <c r="AS11" s="44"/>
      <c r="AT11" s="44"/>
      <c r="BD11" s="47"/>
      <c r="CW11" s="48"/>
      <c r="CX11" s="48"/>
      <c r="CY11" s="48"/>
      <c r="CZ11" s="48"/>
      <c r="DA11" s="48"/>
      <c r="DB11" s="48"/>
      <c r="DC11" s="48"/>
      <c r="DD11" s="48"/>
      <c r="DE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GI11" s="47"/>
      <c r="IK11" s="47"/>
      <c r="IL11" s="47"/>
      <c r="IT11" s="47"/>
      <c r="IU11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20"/>
  <sheetViews>
    <sheetView tabSelected="1" workbookViewId="0">
      <pane xSplit="4" ySplit="5" topLeftCell="P6" activePane="bottomRight" state="frozen"/>
      <selection pane="topRight" activeCell="E1" sqref="E1"/>
      <selection pane="bottomLeft" activeCell="A6" sqref="A6"/>
      <selection pane="bottomRight" activeCell="AH26" sqref="AH26"/>
    </sheetView>
  </sheetViews>
  <sheetFormatPr defaultColWidth="9.140625" defaultRowHeight="11.25" x14ac:dyDescent="0.2"/>
  <cols>
    <col min="1" max="1" width="11.7109375" style="1" customWidth="1"/>
    <col min="2" max="8" width="8.42578125" style="1" customWidth="1"/>
    <col min="9" max="9" width="9.140625" style="1" customWidth="1"/>
    <col min="10" max="10" width="9.42578125" style="1" customWidth="1"/>
    <col min="11" max="11" width="8.7109375" style="1" customWidth="1"/>
    <col min="12" max="12" width="8.85546875" style="1" customWidth="1"/>
    <col min="13" max="16384" width="9.140625" style="1"/>
  </cols>
  <sheetData>
    <row r="2" spans="1:253" ht="36" customHeight="1" thickBot="1" x14ac:dyDescent="0.25">
      <c r="A2" s="133" t="s">
        <v>191</v>
      </c>
      <c r="B2" s="141"/>
      <c r="C2" s="141"/>
      <c r="D2" s="141"/>
      <c r="E2" s="133"/>
      <c r="F2" s="133"/>
      <c r="G2" s="133"/>
      <c r="H2" s="14"/>
      <c r="I2" s="14"/>
      <c r="J2" s="14"/>
      <c r="K2" s="14"/>
    </row>
    <row r="3" spans="1:253" ht="15" customHeight="1" thickBot="1" x14ac:dyDescent="0.25">
      <c r="A3" s="131" t="s">
        <v>7</v>
      </c>
      <c r="B3" s="153">
        <v>2015</v>
      </c>
      <c r="C3" s="154"/>
      <c r="D3" s="155"/>
      <c r="E3" s="153">
        <v>2016</v>
      </c>
      <c r="F3" s="154"/>
      <c r="G3" s="155"/>
      <c r="H3" s="153">
        <v>2017</v>
      </c>
      <c r="I3" s="154"/>
      <c r="J3" s="155"/>
      <c r="K3" s="153">
        <v>2018</v>
      </c>
      <c r="L3" s="154"/>
      <c r="M3" s="155"/>
      <c r="N3" s="153">
        <v>2019</v>
      </c>
      <c r="O3" s="154"/>
      <c r="P3" s="155"/>
      <c r="Q3" s="153">
        <v>2020</v>
      </c>
      <c r="R3" s="154"/>
      <c r="S3" s="155"/>
      <c r="T3" s="153">
        <v>2021</v>
      </c>
      <c r="U3" s="154"/>
      <c r="V3" s="155"/>
      <c r="W3" s="153">
        <v>2022</v>
      </c>
      <c r="X3" s="154"/>
      <c r="Y3" s="155"/>
      <c r="Z3" s="153">
        <v>2023</v>
      </c>
      <c r="AA3" s="154"/>
      <c r="AB3" s="155"/>
      <c r="AC3" s="153">
        <v>2024</v>
      </c>
      <c r="AD3" s="154"/>
      <c r="AE3" s="155"/>
    </row>
    <row r="4" spans="1:253" ht="15" customHeight="1" x14ac:dyDescent="0.2">
      <c r="A4" s="131"/>
      <c r="B4" s="50" t="s">
        <v>0</v>
      </c>
      <c r="C4" s="78" t="s">
        <v>1</v>
      </c>
      <c r="D4" s="51" t="s">
        <v>2</v>
      </c>
      <c r="E4" s="50" t="s">
        <v>0</v>
      </c>
      <c r="F4" s="78" t="s">
        <v>1</v>
      </c>
      <c r="G4" s="51" t="s">
        <v>2</v>
      </c>
      <c r="H4" s="50" t="s">
        <v>0</v>
      </c>
      <c r="I4" s="78" t="s">
        <v>1</v>
      </c>
      <c r="J4" s="51" t="s">
        <v>2</v>
      </c>
      <c r="K4" s="50" t="s">
        <v>0</v>
      </c>
      <c r="L4" s="78" t="s">
        <v>1</v>
      </c>
      <c r="M4" s="51" t="s">
        <v>2</v>
      </c>
      <c r="N4" s="50" t="s">
        <v>0</v>
      </c>
      <c r="O4" s="78" t="s">
        <v>1</v>
      </c>
      <c r="P4" s="51" t="s">
        <v>2</v>
      </c>
      <c r="Q4" s="50" t="s">
        <v>0</v>
      </c>
      <c r="R4" s="78" t="s">
        <v>1</v>
      </c>
      <c r="S4" s="51" t="s">
        <v>2</v>
      </c>
      <c r="T4" s="50" t="s">
        <v>0</v>
      </c>
      <c r="U4" s="78" t="s">
        <v>1</v>
      </c>
      <c r="V4" s="51" t="s">
        <v>2</v>
      </c>
      <c r="W4" s="50" t="s">
        <v>0</v>
      </c>
      <c r="X4" s="78" t="s">
        <v>1</v>
      </c>
      <c r="Y4" s="51" t="s">
        <v>2</v>
      </c>
      <c r="Z4" s="50" t="s">
        <v>0</v>
      </c>
      <c r="AA4" s="78" t="s">
        <v>1</v>
      </c>
      <c r="AB4" s="51" t="s">
        <v>2</v>
      </c>
      <c r="AC4" s="50" t="s">
        <v>0</v>
      </c>
      <c r="AD4" s="78" t="s">
        <v>1</v>
      </c>
      <c r="AE4" s="51" t="s">
        <v>2</v>
      </c>
    </row>
    <row r="5" spans="1:253" ht="15" customHeight="1" thickBot="1" x14ac:dyDescent="0.25">
      <c r="A5" s="17" t="s">
        <v>141</v>
      </c>
      <c r="B5" s="52">
        <v>2577880.0000000005</v>
      </c>
      <c r="C5" s="27">
        <v>1226624</v>
      </c>
      <c r="D5" s="53">
        <v>1351255.9999999998</v>
      </c>
      <c r="E5" s="52">
        <v>2654836.0000000009</v>
      </c>
      <c r="F5" s="27">
        <v>1265133.0000000002</v>
      </c>
      <c r="G5" s="53">
        <v>1389703</v>
      </c>
      <c r="H5" s="52">
        <v>2735297.0000000005</v>
      </c>
      <c r="I5" s="27">
        <v>1305390.0000000005</v>
      </c>
      <c r="J5" s="53">
        <v>1429907.0000000002</v>
      </c>
      <c r="K5" s="52">
        <v>2819253</v>
      </c>
      <c r="L5" s="27">
        <v>1347393.0000000002</v>
      </c>
      <c r="M5" s="53">
        <v>1471860.0000000005</v>
      </c>
      <c r="N5" s="52">
        <v>2906791.0000000005</v>
      </c>
      <c r="O5" s="27">
        <v>1391183.9999999998</v>
      </c>
      <c r="P5" s="53">
        <v>1515607.0000000002</v>
      </c>
      <c r="Q5" s="52">
        <v>2997267.0000000009</v>
      </c>
      <c r="R5" s="27">
        <v>1436441.0000000002</v>
      </c>
      <c r="S5" s="53">
        <v>1560826.0000000002</v>
      </c>
      <c r="T5" s="52">
        <v>3090045.9999999995</v>
      </c>
      <c r="U5" s="27">
        <v>1482848.0000000002</v>
      </c>
      <c r="V5" s="53">
        <v>1607198.0000000005</v>
      </c>
      <c r="W5" s="52">
        <v>3185244</v>
      </c>
      <c r="X5" s="27">
        <v>1530465.0000000005</v>
      </c>
      <c r="Y5" s="53">
        <v>1654779.0000000005</v>
      </c>
      <c r="Z5" s="52">
        <v>3282968.0000000005</v>
      </c>
      <c r="AA5" s="27">
        <v>1579347</v>
      </c>
      <c r="AB5" s="53">
        <v>1703620.9999999998</v>
      </c>
      <c r="AC5" s="52">
        <v>3383342.0000000005</v>
      </c>
      <c r="AD5" s="27">
        <v>1629557.0000000005</v>
      </c>
      <c r="AE5" s="53">
        <v>1753785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</row>
    <row r="6" spans="1:253" ht="15" customHeight="1" x14ac:dyDescent="0.2">
      <c r="A6" s="21" t="s">
        <v>142</v>
      </c>
      <c r="B6" s="54">
        <v>801270.13482391275</v>
      </c>
      <c r="C6" s="77">
        <v>386065.44646861625</v>
      </c>
      <c r="D6" s="55">
        <v>415204.68835529656</v>
      </c>
      <c r="E6" s="54">
        <v>825204.11951006879</v>
      </c>
      <c r="F6" s="77">
        <v>398185.70033456048</v>
      </c>
      <c r="G6" s="55">
        <v>427018.41917550832</v>
      </c>
      <c r="H6" s="54">
        <v>850228.14551908872</v>
      </c>
      <c r="I6" s="77">
        <v>410856.11659780581</v>
      </c>
      <c r="J6" s="55">
        <v>439372.02892128291</v>
      </c>
      <c r="K6" s="54">
        <v>876339.12518934091</v>
      </c>
      <c r="L6" s="77">
        <v>424076.06578192522</v>
      </c>
      <c r="M6" s="55">
        <v>452263.05940741563</v>
      </c>
      <c r="N6" s="54">
        <v>903564.10481757065</v>
      </c>
      <c r="O6" s="77">
        <v>437858.76689188817</v>
      </c>
      <c r="P6" s="55">
        <v>465705.33792568243</v>
      </c>
      <c r="Q6" s="54">
        <v>931702.79674452636</v>
      </c>
      <c r="R6" s="77">
        <v>452102.87422292866</v>
      </c>
      <c r="S6" s="55">
        <v>479599.92252159776</v>
      </c>
      <c r="T6" s="54">
        <v>960557.72355968971</v>
      </c>
      <c r="U6" s="77">
        <v>466708.93049956195</v>
      </c>
      <c r="V6" s="55">
        <v>493848.7930601277</v>
      </c>
      <c r="W6" s="54">
        <v>990164.97685230616</v>
      </c>
      <c r="X6" s="77">
        <v>481695.82001460169</v>
      </c>
      <c r="Y6" s="55">
        <v>508469.15683770453</v>
      </c>
      <c r="Z6" s="54">
        <v>1020557.8454279518</v>
      </c>
      <c r="AA6" s="77">
        <v>497080.85336979356</v>
      </c>
      <c r="AB6" s="55">
        <v>523476.99205815827</v>
      </c>
      <c r="AC6" s="54">
        <v>1051774.9014562657</v>
      </c>
      <c r="AD6" s="77">
        <v>512883.85907259188</v>
      </c>
      <c r="AE6" s="55">
        <v>538891.04238367395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</row>
    <row r="7" spans="1:253" ht="15" customHeight="1" x14ac:dyDescent="0.2">
      <c r="A7" s="21" t="s">
        <v>143</v>
      </c>
      <c r="B7" s="54">
        <v>141388.89727055054</v>
      </c>
      <c r="C7" s="77">
        <v>66944.137037336244</v>
      </c>
      <c r="D7" s="55">
        <v>74444.760233214314</v>
      </c>
      <c r="E7" s="54">
        <v>145608.72244433223</v>
      </c>
      <c r="F7" s="77">
        <v>69045.801258133142</v>
      </c>
      <c r="G7" s="55">
        <v>76562.921186199092</v>
      </c>
      <c r="H7" s="54">
        <v>150020.74475006468</v>
      </c>
      <c r="I7" s="77">
        <v>71242.864192424371</v>
      </c>
      <c r="J7" s="55">
        <v>78777.880557640296</v>
      </c>
      <c r="K7" s="54">
        <v>154624.41429182226</v>
      </c>
      <c r="L7" s="77">
        <v>73535.216688363827</v>
      </c>
      <c r="M7" s="55">
        <v>81089.197603458437</v>
      </c>
      <c r="N7" s="54">
        <v>159424.5024438203</v>
      </c>
      <c r="O7" s="77">
        <v>75925.15093471967</v>
      </c>
      <c r="P7" s="55">
        <v>83499.351509100612</v>
      </c>
      <c r="Q7" s="54">
        <v>164385.69580963691</v>
      </c>
      <c r="R7" s="77">
        <v>78395.093484269266</v>
      </c>
      <c r="S7" s="55">
        <v>85990.602325367639</v>
      </c>
      <c r="T7" s="54">
        <v>169473.17372741841</v>
      </c>
      <c r="U7" s="77">
        <v>80927.798345328294</v>
      </c>
      <c r="V7" s="55">
        <v>88545.375382090133</v>
      </c>
      <c r="W7" s="54">
        <v>174693.29596110433</v>
      </c>
      <c r="X7" s="77">
        <v>83526.540073279844</v>
      </c>
      <c r="Y7" s="55">
        <v>91166.755887824489</v>
      </c>
      <c r="Z7" s="54">
        <v>180051.92902297908</v>
      </c>
      <c r="AA7" s="77">
        <v>86194.320343891755</v>
      </c>
      <c r="AB7" s="55">
        <v>93857.608679087323</v>
      </c>
      <c r="AC7" s="54">
        <v>185555.87186980099</v>
      </c>
      <c r="AD7" s="77">
        <v>88934.577440316294</v>
      </c>
      <c r="AE7" s="55">
        <v>96621.294429484697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</row>
    <row r="8" spans="1:253" ht="15" customHeight="1" x14ac:dyDescent="0.2">
      <c r="A8" s="21" t="s">
        <v>144</v>
      </c>
      <c r="B8" s="54">
        <v>196807.98008276511</v>
      </c>
      <c r="C8" s="77">
        <v>91855.106579773448</v>
      </c>
      <c r="D8" s="55">
        <v>104952.87350299164</v>
      </c>
      <c r="E8" s="54">
        <v>202677.90853803733</v>
      </c>
      <c r="F8" s="77">
        <v>94738.833214243743</v>
      </c>
      <c r="G8" s="55">
        <v>107939.07532379357</v>
      </c>
      <c r="H8" s="54">
        <v>208815.20232936309</v>
      </c>
      <c r="I8" s="77">
        <v>97753.457928566902</v>
      </c>
      <c r="J8" s="55">
        <v>111061.7444007962</v>
      </c>
      <c r="K8" s="54">
        <v>215219.09032291779</v>
      </c>
      <c r="L8" s="77">
        <v>100898.83095377286</v>
      </c>
      <c r="M8" s="55">
        <v>114320.25936914491</v>
      </c>
      <c r="N8" s="54">
        <v>221896.21284438041</v>
      </c>
      <c r="O8" s="77">
        <v>104178.09743823334</v>
      </c>
      <c r="P8" s="55">
        <v>117718.11540614707</v>
      </c>
      <c r="Q8" s="54">
        <v>228797.44715416827</v>
      </c>
      <c r="R8" s="77">
        <v>107567.14457776494</v>
      </c>
      <c r="S8" s="55">
        <v>121230.30257640332</v>
      </c>
      <c r="T8" s="54">
        <v>235874.35283142931</v>
      </c>
      <c r="U8" s="77">
        <v>111042.30887509447</v>
      </c>
      <c r="V8" s="55">
        <v>124832.04395633483</v>
      </c>
      <c r="W8" s="54">
        <v>243135.77249924856</v>
      </c>
      <c r="X8" s="77">
        <v>114608.08339932446</v>
      </c>
      <c r="Y8" s="55">
        <v>128527.68909992409</v>
      </c>
      <c r="Z8" s="54">
        <v>250589.86367585842</v>
      </c>
      <c r="AA8" s="77">
        <v>118268.58679713217</v>
      </c>
      <c r="AB8" s="55">
        <v>132321.27687872626</v>
      </c>
      <c r="AC8" s="54">
        <v>258246.08199083328</v>
      </c>
      <c r="AD8" s="77">
        <v>122028.53679107524</v>
      </c>
      <c r="AE8" s="55">
        <v>136217.54519975802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</row>
    <row r="9" spans="1:253" ht="15" customHeight="1" x14ac:dyDescent="0.2">
      <c r="A9" s="21" t="s">
        <v>145</v>
      </c>
      <c r="B9" s="54">
        <v>173226.97737075039</v>
      </c>
      <c r="C9" s="77">
        <v>82752.013897293815</v>
      </c>
      <c r="D9" s="55">
        <v>90474.963473456562</v>
      </c>
      <c r="E9" s="54">
        <v>178399.18371772219</v>
      </c>
      <c r="F9" s="77">
        <v>85349.955322841401</v>
      </c>
      <c r="G9" s="55">
        <v>93049.228394880774</v>
      </c>
      <c r="H9" s="54">
        <v>183806.95782509301</v>
      </c>
      <c r="I9" s="77">
        <v>88065.822469956867</v>
      </c>
      <c r="J9" s="55">
        <v>95741.135355136154</v>
      </c>
      <c r="K9" s="54">
        <v>189449.62911682884</v>
      </c>
      <c r="L9" s="77">
        <v>90899.480412185309</v>
      </c>
      <c r="M9" s="55">
        <v>98550.148704643521</v>
      </c>
      <c r="N9" s="54">
        <v>195333.04407736514</v>
      </c>
      <c r="O9" s="77">
        <v>93853.762605079304</v>
      </c>
      <c r="P9" s="55">
        <v>101479.28147228585</v>
      </c>
      <c r="Q9" s="54">
        <v>201413.9196519031</v>
      </c>
      <c r="R9" s="77">
        <v>96906.945889402632</v>
      </c>
      <c r="S9" s="55">
        <v>104506.97376250046</v>
      </c>
      <c r="T9" s="54">
        <v>207649.57843360066</v>
      </c>
      <c r="U9" s="77">
        <v>100037.71188528379</v>
      </c>
      <c r="V9" s="55">
        <v>107611.86654831686</v>
      </c>
      <c r="W9" s="54">
        <v>214047.81776315867</v>
      </c>
      <c r="X9" s="77">
        <v>103250.10838636923</v>
      </c>
      <c r="Y9" s="55">
        <v>110797.70937678944</v>
      </c>
      <c r="Z9" s="54">
        <v>220615.82984035125</v>
      </c>
      <c r="AA9" s="77">
        <v>106547.84587016827</v>
      </c>
      <c r="AB9" s="55">
        <v>114067.98397018296</v>
      </c>
      <c r="AC9" s="54">
        <v>227361.94917654854</v>
      </c>
      <c r="AD9" s="77">
        <v>109935.17452000972</v>
      </c>
      <c r="AE9" s="55">
        <v>117426.77465653882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</row>
    <row r="10" spans="1:253" ht="15" customHeight="1" x14ac:dyDescent="0.2">
      <c r="A10" s="21" t="s">
        <v>146</v>
      </c>
      <c r="B10" s="54">
        <v>185729.93881094188</v>
      </c>
      <c r="C10" s="77">
        <v>89240.655569544571</v>
      </c>
      <c r="D10" s="55">
        <v>96489.283241397323</v>
      </c>
      <c r="E10" s="54">
        <v>191276.9756745029</v>
      </c>
      <c r="F10" s="77">
        <v>92042.303348593079</v>
      </c>
      <c r="G10" s="55">
        <v>99234.672325909807</v>
      </c>
      <c r="H10" s="54">
        <v>197076.64718454072</v>
      </c>
      <c r="I10" s="77">
        <v>94971.123485214528</v>
      </c>
      <c r="J10" s="55">
        <v>102105.52369932619</v>
      </c>
      <c r="K10" s="54">
        <v>203128.23657806084</v>
      </c>
      <c r="L10" s="77">
        <v>98026.970473278998</v>
      </c>
      <c r="M10" s="55">
        <v>105101.26610478183</v>
      </c>
      <c r="N10" s="54">
        <v>209438.01280365579</v>
      </c>
      <c r="O10" s="77">
        <v>101212.89994151532</v>
      </c>
      <c r="P10" s="55">
        <v>108225.11286214046</v>
      </c>
      <c r="Q10" s="54">
        <v>215959.55628560123</v>
      </c>
      <c r="R10" s="77">
        <v>104505.48540300221</v>
      </c>
      <c r="S10" s="55">
        <v>111454.07088259902</v>
      </c>
      <c r="T10" s="54">
        <v>222647.09818788676</v>
      </c>
      <c r="U10" s="77">
        <v>107881.73688920813</v>
      </c>
      <c r="V10" s="55">
        <v>114765.36129867863</v>
      </c>
      <c r="W10" s="54">
        <v>229509.00249246351</v>
      </c>
      <c r="X10" s="77">
        <v>111346.01958403148</v>
      </c>
      <c r="Y10" s="55">
        <v>118162.98290843202</v>
      </c>
      <c r="Z10" s="54">
        <v>236552.98378752536</v>
      </c>
      <c r="AA10" s="77">
        <v>114902.3349060458</v>
      </c>
      <c r="AB10" s="55">
        <v>121650.64888147956</v>
      </c>
      <c r="AC10" s="54">
        <v>243787.98134975875</v>
      </c>
      <c r="AD10" s="77">
        <v>118555.26629834436</v>
      </c>
      <c r="AE10" s="55">
        <v>125232.71505141439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</row>
    <row r="11" spans="1:253" ht="15" customHeight="1" x14ac:dyDescent="0.2">
      <c r="A11" s="21" t="s">
        <v>147</v>
      </c>
      <c r="B11" s="54">
        <v>77760.544954152458</v>
      </c>
      <c r="C11" s="77">
        <v>36847.930626956731</v>
      </c>
      <c r="D11" s="55">
        <v>40912.614327195733</v>
      </c>
      <c r="E11" s="54">
        <v>80081.437814050791</v>
      </c>
      <c r="F11" s="77">
        <v>38004.745560068652</v>
      </c>
      <c r="G11" s="55">
        <v>42076.692253982139</v>
      </c>
      <c r="H11" s="54">
        <v>82508.038318044448</v>
      </c>
      <c r="I11" s="77">
        <v>39214.07062076321</v>
      </c>
      <c r="J11" s="55">
        <v>43293.967697281245</v>
      </c>
      <c r="K11" s="54">
        <v>85040.044166128093</v>
      </c>
      <c r="L11" s="77">
        <v>40475.845728802888</v>
      </c>
      <c r="M11" s="55">
        <v>44564.198437325205</v>
      </c>
      <c r="N11" s="54">
        <v>87680.079529483512</v>
      </c>
      <c r="O11" s="77">
        <v>41791.332569175371</v>
      </c>
      <c r="P11" s="55">
        <v>45888.746960308148</v>
      </c>
      <c r="Q11" s="54">
        <v>90408.72214421611</v>
      </c>
      <c r="R11" s="77">
        <v>43150.858223641764</v>
      </c>
      <c r="S11" s="55">
        <v>47257.863920574346</v>
      </c>
      <c r="T11" s="54">
        <v>93206.820819556713</v>
      </c>
      <c r="U11" s="77">
        <v>44544.930014675672</v>
      </c>
      <c r="V11" s="55">
        <v>48661.890804881034</v>
      </c>
      <c r="W11" s="54">
        <v>96077.873501005495</v>
      </c>
      <c r="X11" s="77">
        <v>45975.350349402368</v>
      </c>
      <c r="Y11" s="55">
        <v>50102.52315160312</v>
      </c>
      <c r="Z11" s="54">
        <v>99025.106823584938</v>
      </c>
      <c r="AA11" s="77">
        <v>47443.771434353344</v>
      </c>
      <c r="AB11" s="55">
        <v>51581.335389231586</v>
      </c>
      <c r="AC11" s="54">
        <v>102052.26024050635</v>
      </c>
      <c r="AD11" s="77">
        <v>48952.085797010113</v>
      </c>
      <c r="AE11" s="55">
        <v>53100.174443496246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</row>
    <row r="12" spans="1:253" ht="15" customHeight="1" x14ac:dyDescent="0.2">
      <c r="A12" s="21" t="s">
        <v>148</v>
      </c>
      <c r="B12" s="54">
        <v>81074.845781740471</v>
      </c>
      <c r="C12" s="77">
        <v>39039.921286084704</v>
      </c>
      <c r="D12" s="55">
        <v>42034.924495655774</v>
      </c>
      <c r="E12" s="54">
        <v>83496.487503571567</v>
      </c>
      <c r="F12" s="77">
        <v>40265.552228252665</v>
      </c>
      <c r="G12" s="55">
        <v>43230.935275318901</v>
      </c>
      <c r="H12" s="54">
        <v>86028.41987304113</v>
      </c>
      <c r="I12" s="77">
        <v>41546.816993342793</v>
      </c>
      <c r="J12" s="55">
        <v>44481.602879698337</v>
      </c>
      <c r="K12" s="54">
        <v>88670.330371576652</v>
      </c>
      <c r="L12" s="77">
        <v>42883.651927095445</v>
      </c>
      <c r="M12" s="55">
        <v>45786.678444481215</v>
      </c>
      <c r="N12" s="54">
        <v>91424.955600390458</v>
      </c>
      <c r="O12" s="77">
        <v>44277.393768962989</v>
      </c>
      <c r="P12" s="55">
        <v>47147.561831427469</v>
      </c>
      <c r="Q12" s="54">
        <v>94272.030435087654</v>
      </c>
      <c r="R12" s="77">
        <v>45717.794183143975</v>
      </c>
      <c r="S12" s="55">
        <v>48554.236251943687</v>
      </c>
      <c r="T12" s="54">
        <v>97191.574038169609</v>
      </c>
      <c r="U12" s="77">
        <v>47194.795796615857</v>
      </c>
      <c r="V12" s="55">
        <v>49996.778241553759</v>
      </c>
      <c r="W12" s="54">
        <v>100187.23808761558</v>
      </c>
      <c r="X12" s="77">
        <v>48710.308237167723</v>
      </c>
      <c r="Y12" s="55">
        <v>51476.92985044785</v>
      </c>
      <c r="Z12" s="54">
        <v>103262.39069359927</v>
      </c>
      <c r="AA12" s="77">
        <v>50266.081996939582</v>
      </c>
      <c r="AB12" s="55">
        <v>52996.308696659689</v>
      </c>
      <c r="AC12" s="54">
        <v>106420.93455568494</v>
      </c>
      <c r="AD12" s="77">
        <v>51864.122185109969</v>
      </c>
      <c r="AE12" s="55">
        <v>54556.812370574975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</row>
    <row r="13" spans="1:253" ht="15" customHeight="1" x14ac:dyDescent="0.2">
      <c r="A13" s="21" t="s">
        <v>149</v>
      </c>
      <c r="B13" s="54">
        <v>164030.35688666443</v>
      </c>
      <c r="C13" s="77">
        <v>75231.782995561021</v>
      </c>
      <c r="D13" s="55">
        <v>88798.573891103413</v>
      </c>
      <c r="E13" s="54">
        <v>168918.77290316866</v>
      </c>
      <c r="F13" s="77">
        <v>77593.632047410691</v>
      </c>
      <c r="G13" s="55">
        <v>91325.140855757971</v>
      </c>
      <c r="H13" s="54">
        <v>174029.86021627093</v>
      </c>
      <c r="I13" s="77">
        <v>80062.690119038423</v>
      </c>
      <c r="J13" s="55">
        <v>93967.170097232505</v>
      </c>
      <c r="K13" s="54">
        <v>179362.97043653636</v>
      </c>
      <c r="L13" s="77">
        <v>82638.83454566187</v>
      </c>
      <c r="M13" s="55">
        <v>96724.135890874473</v>
      </c>
      <c r="N13" s="54">
        <v>184923.63672556501</v>
      </c>
      <c r="O13" s="77">
        <v>85324.641287710459</v>
      </c>
      <c r="P13" s="55">
        <v>99598.995437854537</v>
      </c>
      <c r="Q13" s="54">
        <v>190670.94963613199</v>
      </c>
      <c r="R13" s="77">
        <v>88100.361315225091</v>
      </c>
      <c r="S13" s="55">
        <v>102570.5883209069</v>
      </c>
      <c r="T13" s="54">
        <v>196564.56486210416</v>
      </c>
      <c r="U13" s="77">
        <v>90946.613592593698</v>
      </c>
      <c r="V13" s="55">
        <v>105617.95126951046</v>
      </c>
      <c r="W13" s="54">
        <v>202611.84241952014</v>
      </c>
      <c r="X13" s="77">
        <v>93867.078063286943</v>
      </c>
      <c r="Y13" s="55">
        <v>108744.76435623318</v>
      </c>
      <c r="Z13" s="54">
        <v>208819.57280013632</v>
      </c>
      <c r="AA13" s="77">
        <v>96865.128008819578</v>
      </c>
      <c r="AB13" s="55">
        <v>111954.44479131674</v>
      </c>
      <c r="AC13" s="54">
        <v>215195.62859507272</v>
      </c>
      <c r="AD13" s="77">
        <v>99944.627369835769</v>
      </c>
      <c r="AE13" s="55">
        <v>115251.00122523696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</row>
    <row r="14" spans="1:253" ht="15" customHeight="1" x14ac:dyDescent="0.2">
      <c r="A14" s="21" t="s">
        <v>150</v>
      </c>
      <c r="B14" s="54">
        <v>271227.22062692844</v>
      </c>
      <c r="C14" s="77">
        <v>128525.10170998129</v>
      </c>
      <c r="D14" s="55">
        <v>142702.11891694713</v>
      </c>
      <c r="E14" s="54">
        <v>279322.44911812112</v>
      </c>
      <c r="F14" s="77">
        <v>132560.0571174653</v>
      </c>
      <c r="G14" s="55">
        <v>146762.39200065582</v>
      </c>
      <c r="H14" s="54">
        <v>287786.38378333638</v>
      </c>
      <c r="I14" s="77">
        <v>136778.16716548224</v>
      </c>
      <c r="J14" s="55">
        <v>151008.21661785417</v>
      </c>
      <c r="K14" s="54">
        <v>296617.97020733188</v>
      </c>
      <c r="L14" s="77">
        <v>141179.22229494678</v>
      </c>
      <c r="M14" s="55">
        <v>155438.74791238509</v>
      </c>
      <c r="N14" s="54">
        <v>305826.36144678178</v>
      </c>
      <c r="O14" s="77">
        <v>145767.62324664983</v>
      </c>
      <c r="P14" s="55">
        <v>160058.73820013195</v>
      </c>
      <c r="Q14" s="54">
        <v>315343.81302863557</v>
      </c>
      <c r="R14" s="77">
        <v>150509.63100786161</v>
      </c>
      <c r="S14" s="55">
        <v>164834.18202077397</v>
      </c>
      <c r="T14" s="54">
        <v>325103.52597815735</v>
      </c>
      <c r="U14" s="77">
        <v>155372.13524310818</v>
      </c>
      <c r="V14" s="55">
        <v>169731.39073504918</v>
      </c>
      <c r="W14" s="54">
        <v>335117.70106100477</v>
      </c>
      <c r="X14" s="77">
        <v>160361.42272494792</v>
      </c>
      <c r="Y14" s="55">
        <v>174756.27833605689</v>
      </c>
      <c r="Z14" s="54">
        <v>345397.59271704376</v>
      </c>
      <c r="AA14" s="77">
        <v>165483.25632822595</v>
      </c>
      <c r="AB14" s="55">
        <v>179914.33638881781</v>
      </c>
      <c r="AC14" s="54">
        <v>355956.24408565788</v>
      </c>
      <c r="AD14" s="77">
        <v>170744.23716412851</v>
      </c>
      <c r="AE14" s="55">
        <v>185212.00692152939</v>
      </c>
    </row>
    <row r="15" spans="1:253" ht="15" customHeight="1" x14ac:dyDescent="0.2">
      <c r="A15" s="21" t="s">
        <v>151</v>
      </c>
      <c r="B15" s="54">
        <v>136053.70792245094</v>
      </c>
      <c r="C15" s="77">
        <v>64957.372595309287</v>
      </c>
      <c r="D15" s="55">
        <v>71096.335327141642</v>
      </c>
      <c r="E15" s="54">
        <v>140115.88799755258</v>
      </c>
      <c r="F15" s="77">
        <v>66996.663740169301</v>
      </c>
      <c r="G15" s="55">
        <v>73119.224257383292</v>
      </c>
      <c r="H15" s="54">
        <v>144363.08010449438</v>
      </c>
      <c r="I15" s="77">
        <v>69128.522360715913</v>
      </c>
      <c r="J15" s="55">
        <v>75234.557743778467</v>
      </c>
      <c r="K15" s="54">
        <v>148794.75741082747</v>
      </c>
      <c r="L15" s="77">
        <v>71352.842544505547</v>
      </c>
      <c r="M15" s="55">
        <v>77441.914866321924</v>
      </c>
      <c r="N15" s="54">
        <v>153415.51175289653</v>
      </c>
      <c r="O15" s="77">
        <v>73671.84845285333</v>
      </c>
      <c r="P15" s="55">
        <v>79743.66330004319</v>
      </c>
      <c r="Q15" s="54">
        <v>158191.34919707416</v>
      </c>
      <c r="R15" s="77">
        <v>76068.488182343295</v>
      </c>
      <c r="S15" s="55">
        <v>82122.861014730865</v>
      </c>
      <c r="T15" s="54">
        <v>163088.75139206578</v>
      </c>
      <c r="U15" s="77">
        <v>78526.027566890247</v>
      </c>
      <c r="V15" s="55">
        <v>84562.723825175533</v>
      </c>
      <c r="W15" s="54">
        <v>168113.84215121542</v>
      </c>
      <c r="X15" s="77">
        <v>81047.643979801491</v>
      </c>
      <c r="Y15" s="55">
        <v>87066.19817141394</v>
      </c>
      <c r="Z15" s="54">
        <v>173272.27004675564</v>
      </c>
      <c r="AA15" s="77">
        <v>83636.250013275407</v>
      </c>
      <c r="AB15" s="55">
        <v>89636.020033480236</v>
      </c>
      <c r="AC15" s="54">
        <v>178570.58083569916</v>
      </c>
      <c r="AD15" s="77">
        <v>86295.181909284685</v>
      </c>
      <c r="AE15" s="55">
        <v>92275.398926414462</v>
      </c>
    </row>
    <row r="16" spans="1:253" ht="15" customHeight="1" x14ac:dyDescent="0.2">
      <c r="A16" s="21" t="s">
        <v>152</v>
      </c>
      <c r="B16" s="54">
        <v>108475.78024211177</v>
      </c>
      <c r="C16" s="77">
        <v>51689.715986263123</v>
      </c>
      <c r="D16" s="55">
        <v>56786.064255848643</v>
      </c>
      <c r="E16" s="54">
        <v>111714.26444156829</v>
      </c>
      <c r="F16" s="77">
        <v>53312.478359178545</v>
      </c>
      <c r="G16" s="55">
        <v>58401.786082389735</v>
      </c>
      <c r="H16" s="54">
        <v>115100.24636339146</v>
      </c>
      <c r="I16" s="77">
        <v>55008.901139475522</v>
      </c>
      <c r="J16" s="55">
        <v>60091.345223915945</v>
      </c>
      <c r="K16" s="54">
        <v>118633.30553071653</v>
      </c>
      <c r="L16" s="77">
        <v>56778.900047511735</v>
      </c>
      <c r="M16" s="55">
        <v>61854.405483204799</v>
      </c>
      <c r="N16" s="54">
        <v>122317.10292540846</v>
      </c>
      <c r="O16" s="77">
        <v>58624.244955775757</v>
      </c>
      <c r="P16" s="55">
        <v>63692.857969632692</v>
      </c>
      <c r="Q16" s="54">
        <v>126124.53758685038</v>
      </c>
      <c r="R16" s="77">
        <v>60531.366841855197</v>
      </c>
      <c r="S16" s="55">
        <v>65593.170744995179</v>
      </c>
      <c r="T16" s="54">
        <v>130028.88746731087</v>
      </c>
      <c r="U16" s="77">
        <v>62486.949522264607</v>
      </c>
      <c r="V16" s="55">
        <v>67541.937945046258</v>
      </c>
      <c r="W16" s="54">
        <v>134035.03433661658</v>
      </c>
      <c r="X16" s="77">
        <v>64493.521386273373</v>
      </c>
      <c r="Y16" s="55">
        <v>69541.512950343211</v>
      </c>
      <c r="Z16" s="54">
        <v>138147.4811668772</v>
      </c>
      <c r="AA16" s="77">
        <v>66553.400124045103</v>
      </c>
      <c r="AB16" s="55">
        <v>71594.081042832084</v>
      </c>
      <c r="AC16" s="54">
        <v>142371.44627064691</v>
      </c>
      <c r="AD16" s="77">
        <v>68669.240544312663</v>
      </c>
      <c r="AE16" s="55">
        <v>73702.205726334243</v>
      </c>
    </row>
    <row r="17" spans="1:255" ht="15" customHeight="1" x14ac:dyDescent="0.2">
      <c r="A17" s="21" t="s">
        <v>153</v>
      </c>
      <c r="B17" s="54">
        <v>66799.177890334453</v>
      </c>
      <c r="C17" s="77">
        <v>31977.082857520523</v>
      </c>
      <c r="D17" s="55">
        <v>34822.095032813937</v>
      </c>
      <c r="E17" s="54">
        <v>68793.861649392493</v>
      </c>
      <c r="F17" s="77">
        <v>32980.980941823662</v>
      </c>
      <c r="G17" s="55">
        <v>35812.880707568831</v>
      </c>
      <c r="H17" s="54">
        <v>70879.392522877286</v>
      </c>
      <c r="I17" s="77">
        <v>34030.447954204967</v>
      </c>
      <c r="J17" s="55">
        <v>36848.944568672319</v>
      </c>
      <c r="K17" s="54">
        <v>73055.512211077847</v>
      </c>
      <c r="L17" s="77">
        <v>35125.431756302787</v>
      </c>
      <c r="M17" s="55">
        <v>37930.080454775059</v>
      </c>
      <c r="N17" s="54">
        <v>75324.475277178761</v>
      </c>
      <c r="O17" s="77">
        <v>36267.027253711676</v>
      </c>
      <c r="P17" s="55">
        <v>39057.448023467085</v>
      </c>
      <c r="Q17" s="54">
        <v>77669.589450644213</v>
      </c>
      <c r="R17" s="77">
        <v>37446.840170206713</v>
      </c>
      <c r="S17" s="55">
        <v>40222.749280437492</v>
      </c>
      <c r="T17" s="54">
        <v>80074.396186529309</v>
      </c>
      <c r="U17" s="77">
        <v>38656.632644647907</v>
      </c>
      <c r="V17" s="55">
        <v>41417.763541881402</v>
      </c>
      <c r="W17" s="54">
        <v>82541.902765128791</v>
      </c>
      <c r="X17" s="77">
        <v>39897.968827884622</v>
      </c>
      <c r="Y17" s="55">
        <v>42643.933937244175</v>
      </c>
      <c r="Z17" s="54">
        <v>85074.883040158631</v>
      </c>
      <c r="AA17" s="77">
        <v>41172.282524862116</v>
      </c>
      <c r="AB17" s="55">
        <v>43902.600515296523</v>
      </c>
      <c r="AC17" s="54">
        <v>87676.551350299356</v>
      </c>
      <c r="AD17" s="77">
        <v>42481.216093972209</v>
      </c>
      <c r="AE17" s="55">
        <v>45195.335256327147</v>
      </c>
    </row>
    <row r="18" spans="1:255" ht="15" customHeight="1" x14ac:dyDescent="0.2">
      <c r="A18" s="21" t="s">
        <v>154</v>
      </c>
      <c r="B18" s="54">
        <v>82017.751243782928</v>
      </c>
      <c r="C18" s="77">
        <v>37562.947500331036</v>
      </c>
      <c r="D18" s="55">
        <v>44454.803743451899</v>
      </c>
      <c r="E18" s="54">
        <v>84461.876720035973</v>
      </c>
      <c r="F18" s="77">
        <v>38742.209886596305</v>
      </c>
      <c r="G18" s="55">
        <v>45719.66683343966</v>
      </c>
      <c r="H18" s="54">
        <v>87017.334583691176</v>
      </c>
      <c r="I18" s="77">
        <v>39975.001334929962</v>
      </c>
      <c r="J18" s="55">
        <v>47042.333248761213</v>
      </c>
      <c r="K18" s="54">
        <v>89683.800397673214</v>
      </c>
      <c r="L18" s="77">
        <v>41261.260599265574</v>
      </c>
      <c r="M18" s="55">
        <v>48422.539798407641</v>
      </c>
      <c r="N18" s="54">
        <v>92464.040778802504</v>
      </c>
      <c r="O18" s="77">
        <v>42602.273846998374</v>
      </c>
      <c r="P18" s="55">
        <v>49861.766931804123</v>
      </c>
      <c r="Q18" s="54">
        <v>95337.601672273217</v>
      </c>
      <c r="R18" s="77">
        <v>43988.180461431555</v>
      </c>
      <c r="S18" s="55">
        <v>51349.421210841661</v>
      </c>
      <c r="T18" s="54">
        <v>98284.311458107244</v>
      </c>
      <c r="U18" s="77">
        <v>45409.303564067617</v>
      </c>
      <c r="V18" s="55">
        <v>52875.007894039627</v>
      </c>
      <c r="W18" s="54">
        <v>101307.84985536023</v>
      </c>
      <c r="X18" s="77">
        <v>46867.48053689977</v>
      </c>
      <c r="Y18" s="55">
        <v>54440.369318460449</v>
      </c>
      <c r="Z18" s="54">
        <v>104411.61187241721</v>
      </c>
      <c r="AA18" s="77">
        <v>48364.395646755096</v>
      </c>
      <c r="AB18" s="55">
        <v>56047.216225662109</v>
      </c>
      <c r="AC18" s="54">
        <v>107599.53359181405</v>
      </c>
      <c r="AD18" s="77">
        <v>49901.978144726454</v>
      </c>
      <c r="AE18" s="55">
        <v>57697.555447087594</v>
      </c>
    </row>
    <row r="19" spans="1:255" ht="15" customHeight="1" thickBot="1" x14ac:dyDescent="0.25">
      <c r="A19" s="9" t="s">
        <v>155</v>
      </c>
      <c r="B19" s="56">
        <v>92016.686092913587</v>
      </c>
      <c r="C19" s="11">
        <v>43934.78488942804</v>
      </c>
      <c r="D19" s="57">
        <v>48081.901203485548</v>
      </c>
      <c r="E19" s="56">
        <v>94764.051967875348</v>
      </c>
      <c r="F19" s="11">
        <v>45314.086640663125</v>
      </c>
      <c r="G19" s="57">
        <v>49449.965327212223</v>
      </c>
      <c r="H19" s="56">
        <v>97636.54662670278</v>
      </c>
      <c r="I19" s="11">
        <v>46755.997638078559</v>
      </c>
      <c r="J19" s="57">
        <v>50880.548988624221</v>
      </c>
      <c r="K19" s="56">
        <v>100633.81376916169</v>
      </c>
      <c r="L19" s="11">
        <v>48260.446246381223</v>
      </c>
      <c r="M19" s="57">
        <v>52373.367522780463</v>
      </c>
      <c r="N19" s="56">
        <v>103758.95897670102</v>
      </c>
      <c r="O19" s="11">
        <v>49828.93680672648</v>
      </c>
      <c r="P19" s="57">
        <v>53930.022169974545</v>
      </c>
      <c r="Q19" s="56">
        <v>106988.99120325109</v>
      </c>
      <c r="R19" s="11">
        <v>51449.936036923216</v>
      </c>
      <c r="S19" s="57">
        <v>55539.055166327875</v>
      </c>
      <c r="T19" s="56">
        <v>110301.24105797443</v>
      </c>
      <c r="U19" s="11">
        <v>53112.125560659661</v>
      </c>
      <c r="V19" s="57">
        <v>57189.115497314771</v>
      </c>
      <c r="W19" s="56">
        <v>113699.850254252</v>
      </c>
      <c r="X19" s="11">
        <v>54817.654436729179</v>
      </c>
      <c r="Y19" s="57">
        <v>58882.195817522821</v>
      </c>
      <c r="Z19" s="56">
        <v>117188.63908476142</v>
      </c>
      <c r="AA19" s="11">
        <v>56568.492635692368</v>
      </c>
      <c r="AB19" s="57">
        <v>60620.146449069056</v>
      </c>
      <c r="AC19" s="56">
        <v>120772.0346314115</v>
      </c>
      <c r="AD19" s="11">
        <v>58366.896669282265</v>
      </c>
      <c r="AE19" s="57">
        <v>62405.137962129236</v>
      </c>
    </row>
    <row r="20" spans="1:255" s="45" customFormat="1" ht="12" customHeight="1" x14ac:dyDescent="0.2">
      <c r="A20" s="43" t="s">
        <v>195</v>
      </c>
      <c r="B20" s="44"/>
      <c r="C20" s="44"/>
      <c r="D20" s="44"/>
      <c r="E20" s="44"/>
      <c r="F20" s="44"/>
      <c r="G20" s="44"/>
      <c r="AC20" s="44"/>
      <c r="AD20" s="44"/>
      <c r="AE20" s="44"/>
      <c r="AF20" s="44"/>
      <c r="AG20" s="44"/>
      <c r="AH20" s="44"/>
      <c r="AI20" s="44"/>
      <c r="AJ20" s="44"/>
      <c r="AK20" s="44"/>
      <c r="AL20" s="46"/>
      <c r="AM20" s="46"/>
      <c r="AN20" s="46"/>
      <c r="AO20" s="46"/>
      <c r="AP20" s="44"/>
      <c r="AQ20" s="44"/>
      <c r="AR20" s="46"/>
      <c r="AS20" s="44"/>
      <c r="AT20" s="44"/>
      <c r="BD20" s="47"/>
      <c r="CW20" s="48"/>
      <c r="CX20" s="48"/>
      <c r="CY20" s="48"/>
      <c r="CZ20" s="48"/>
      <c r="DA20" s="48"/>
      <c r="DB20" s="48"/>
      <c r="DC20" s="48"/>
      <c r="DD20" s="48"/>
      <c r="DE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GI20" s="47"/>
      <c r="IK20" s="47"/>
      <c r="IL20" s="47"/>
      <c r="IT20" s="47"/>
      <c r="IU20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8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2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C20" sqref="AC20"/>
    </sheetView>
  </sheetViews>
  <sheetFormatPr defaultColWidth="9.140625" defaultRowHeight="11.25" x14ac:dyDescent="0.2"/>
  <cols>
    <col min="1" max="1" width="16.42578125" style="1" customWidth="1"/>
    <col min="2" max="2" width="8.7109375" style="1" customWidth="1"/>
    <col min="3" max="3" width="7.7109375" style="1" customWidth="1"/>
    <col min="4" max="5" width="8.7109375" style="1" customWidth="1"/>
    <col min="6" max="6" width="7.7109375" style="1" customWidth="1"/>
    <col min="7" max="8" width="8.7109375" style="1" customWidth="1"/>
    <col min="9" max="10" width="7.7109375" style="1" customWidth="1"/>
    <col min="11" max="16384" width="9.140625" style="1"/>
  </cols>
  <sheetData>
    <row r="2" spans="1:255" ht="25.5" customHeight="1" thickBot="1" x14ac:dyDescent="0.25">
      <c r="A2" s="131" t="s">
        <v>192</v>
      </c>
      <c r="B2" s="131"/>
      <c r="C2" s="131"/>
      <c r="D2" s="131"/>
      <c r="E2" s="132"/>
      <c r="F2" s="132"/>
      <c r="G2" s="132"/>
      <c r="H2" s="14"/>
      <c r="I2" s="14"/>
      <c r="J2" s="14"/>
    </row>
    <row r="3" spans="1:255" ht="15.75" customHeight="1" x14ac:dyDescent="0.2">
      <c r="A3" s="164" t="s">
        <v>7</v>
      </c>
      <c r="B3" s="161">
        <v>2015</v>
      </c>
      <c r="C3" s="162"/>
      <c r="D3" s="163"/>
      <c r="E3" s="161">
        <v>2016</v>
      </c>
      <c r="F3" s="162"/>
      <c r="G3" s="163"/>
      <c r="H3" s="161">
        <v>2017</v>
      </c>
      <c r="I3" s="162"/>
      <c r="J3" s="163"/>
      <c r="K3" s="161">
        <v>2018</v>
      </c>
      <c r="L3" s="162"/>
      <c r="M3" s="163"/>
      <c r="N3" s="161">
        <v>2019</v>
      </c>
      <c r="O3" s="162"/>
      <c r="P3" s="163"/>
      <c r="Q3" s="161">
        <v>2020</v>
      </c>
      <c r="R3" s="162"/>
      <c r="S3" s="163"/>
      <c r="T3" s="161">
        <v>2021</v>
      </c>
      <c r="U3" s="162"/>
      <c r="V3" s="163"/>
      <c r="W3" s="161">
        <v>2022</v>
      </c>
      <c r="X3" s="162"/>
      <c r="Y3" s="163"/>
      <c r="Z3" s="161">
        <v>2023</v>
      </c>
      <c r="AA3" s="162"/>
      <c r="AB3" s="163"/>
      <c r="AC3" s="161">
        <v>2024</v>
      </c>
      <c r="AD3" s="162"/>
      <c r="AE3" s="163"/>
    </row>
    <row r="4" spans="1:255" ht="12" thickBot="1" x14ac:dyDescent="0.25">
      <c r="A4" s="132"/>
      <c r="B4" s="60" t="s">
        <v>0</v>
      </c>
      <c r="C4" s="3" t="s">
        <v>1</v>
      </c>
      <c r="D4" s="124" t="s">
        <v>2</v>
      </c>
      <c r="E4" s="60" t="s">
        <v>0</v>
      </c>
      <c r="F4" s="3" t="s">
        <v>1</v>
      </c>
      <c r="G4" s="124" t="s">
        <v>2</v>
      </c>
      <c r="H4" s="60" t="s">
        <v>0</v>
      </c>
      <c r="I4" s="3" t="s">
        <v>1</v>
      </c>
      <c r="J4" s="124" t="s">
        <v>2</v>
      </c>
      <c r="K4" s="60" t="s">
        <v>0</v>
      </c>
      <c r="L4" s="3" t="s">
        <v>1</v>
      </c>
      <c r="M4" s="124" t="s">
        <v>2</v>
      </c>
      <c r="N4" s="60" t="s">
        <v>0</v>
      </c>
      <c r="O4" s="3" t="s">
        <v>1</v>
      </c>
      <c r="P4" s="124" t="s">
        <v>2</v>
      </c>
      <c r="Q4" s="60" t="s">
        <v>0</v>
      </c>
      <c r="R4" s="3" t="s">
        <v>1</v>
      </c>
      <c r="S4" s="124" t="s">
        <v>2</v>
      </c>
      <c r="T4" s="60" t="s">
        <v>0</v>
      </c>
      <c r="U4" s="3" t="s">
        <v>1</v>
      </c>
      <c r="V4" s="124" t="s">
        <v>2</v>
      </c>
      <c r="W4" s="60" t="s">
        <v>0</v>
      </c>
      <c r="X4" s="3" t="s">
        <v>1</v>
      </c>
      <c r="Y4" s="124" t="s">
        <v>2</v>
      </c>
      <c r="Z4" s="60" t="s">
        <v>0</v>
      </c>
      <c r="AA4" s="3" t="s">
        <v>1</v>
      </c>
      <c r="AB4" s="124" t="s">
        <v>2</v>
      </c>
      <c r="AC4" s="60" t="s">
        <v>0</v>
      </c>
      <c r="AD4" s="3" t="s">
        <v>1</v>
      </c>
      <c r="AE4" s="124" t="s">
        <v>2</v>
      </c>
    </row>
    <row r="5" spans="1:255" s="6" customFormat="1" ht="12" thickBot="1" x14ac:dyDescent="0.25">
      <c r="A5" s="42" t="s">
        <v>156</v>
      </c>
      <c r="B5" s="62">
        <v>1023420</v>
      </c>
      <c r="C5" s="19">
        <v>479044</v>
      </c>
      <c r="D5" s="63">
        <v>544376</v>
      </c>
      <c r="E5" s="62">
        <v>1054711</v>
      </c>
      <c r="F5" s="19">
        <v>495059</v>
      </c>
      <c r="G5" s="63">
        <v>559652</v>
      </c>
      <c r="H5" s="62">
        <v>1087493</v>
      </c>
      <c r="I5" s="19">
        <v>511804</v>
      </c>
      <c r="J5" s="63">
        <v>575689</v>
      </c>
      <c r="K5" s="62">
        <v>1121748</v>
      </c>
      <c r="L5" s="19">
        <v>529273.00000000012</v>
      </c>
      <c r="M5" s="63">
        <v>592475</v>
      </c>
      <c r="N5" s="62">
        <v>1157491</v>
      </c>
      <c r="O5" s="19">
        <v>547476.00000000012</v>
      </c>
      <c r="P5" s="63">
        <v>610015</v>
      </c>
      <c r="Q5" s="62">
        <v>1194495</v>
      </c>
      <c r="R5" s="19">
        <v>566301.00000000012</v>
      </c>
      <c r="S5" s="63">
        <v>628194</v>
      </c>
      <c r="T5" s="62">
        <v>1232537</v>
      </c>
      <c r="U5" s="19">
        <v>585638</v>
      </c>
      <c r="V5" s="63">
        <v>646899</v>
      </c>
      <c r="W5" s="62">
        <v>1271638</v>
      </c>
      <c r="X5" s="19">
        <v>605499</v>
      </c>
      <c r="Y5" s="63">
        <v>666138.99999999988</v>
      </c>
      <c r="Z5" s="62">
        <v>1311824</v>
      </c>
      <c r="AA5" s="19">
        <v>625898.00000000012</v>
      </c>
      <c r="AB5" s="63">
        <v>685926</v>
      </c>
      <c r="AC5" s="62">
        <v>1353118</v>
      </c>
      <c r="AD5" s="19">
        <v>646848</v>
      </c>
      <c r="AE5" s="63">
        <v>706269.99999999988</v>
      </c>
    </row>
    <row r="6" spans="1:255" ht="12.75" customHeight="1" x14ac:dyDescent="0.2">
      <c r="A6" s="21" t="s">
        <v>157</v>
      </c>
      <c r="B6" s="54">
        <v>387131.6987200536</v>
      </c>
      <c r="C6" s="77">
        <v>179954.20941454708</v>
      </c>
      <c r="D6" s="55">
        <v>207177.48930550652</v>
      </c>
      <c r="E6" s="54">
        <v>398961.48636564636</v>
      </c>
      <c r="F6" s="77">
        <v>185970.28865523054</v>
      </c>
      <c r="G6" s="55">
        <v>212991.19771041584</v>
      </c>
      <c r="H6" s="54">
        <v>411355.12034127669</v>
      </c>
      <c r="I6" s="77">
        <v>192260.59442390021</v>
      </c>
      <c r="J6" s="55">
        <v>219094.52591737648</v>
      </c>
      <c r="K6" s="54">
        <v>424305.77979515842</v>
      </c>
      <c r="L6" s="77">
        <v>198822.8728038877</v>
      </c>
      <c r="M6" s="55">
        <v>225482.90699127069</v>
      </c>
      <c r="N6" s="54">
        <v>437819.12414470449</v>
      </c>
      <c r="O6" s="77">
        <v>205660.88032297362</v>
      </c>
      <c r="P6" s="55">
        <v>232158.24382173087</v>
      </c>
      <c r="Q6" s="54">
        <v>451809.31381722668</v>
      </c>
      <c r="R6" s="77">
        <v>212732.54387001492</v>
      </c>
      <c r="S6" s="55">
        <v>239076.76994721178</v>
      </c>
      <c r="T6" s="54">
        <v>466192.0217014458</v>
      </c>
      <c r="U6" s="77">
        <v>219996.5416394246</v>
      </c>
      <c r="V6" s="55">
        <v>246195.4800620212</v>
      </c>
      <c r="W6" s="54">
        <v>480975.18083203695</v>
      </c>
      <c r="X6" s="77">
        <v>227457.38146453947</v>
      </c>
      <c r="Y6" s="55">
        <v>253517.79936749747</v>
      </c>
      <c r="Z6" s="54">
        <v>496168.61728301068</v>
      </c>
      <c r="AA6" s="77">
        <v>235120.32248425236</v>
      </c>
      <c r="AB6" s="55">
        <v>261048.29479875832</v>
      </c>
      <c r="AC6" s="54">
        <v>511781.02031974669</v>
      </c>
      <c r="AD6" s="77">
        <v>242990.24818467812</v>
      </c>
      <c r="AE6" s="55">
        <v>268790.77213506855</v>
      </c>
    </row>
    <row r="7" spans="1:255" ht="12.75" customHeight="1" x14ac:dyDescent="0.2">
      <c r="A7" s="21" t="s">
        <v>158</v>
      </c>
      <c r="B7" s="54">
        <v>315224.57944561611</v>
      </c>
      <c r="C7" s="77">
        <v>146294.90703061098</v>
      </c>
      <c r="D7" s="55">
        <v>168929.6724150051</v>
      </c>
      <c r="E7" s="54">
        <v>324855.8067164619</v>
      </c>
      <c r="F7" s="77">
        <v>151185.71650968853</v>
      </c>
      <c r="G7" s="55">
        <v>173670.09020677334</v>
      </c>
      <c r="H7" s="54">
        <v>334946.12016817927</v>
      </c>
      <c r="I7" s="77">
        <v>156299.46017045368</v>
      </c>
      <c r="J7" s="55">
        <v>178646.6599977256</v>
      </c>
      <c r="K7" s="54">
        <v>345489.96364900982</v>
      </c>
      <c r="L7" s="77">
        <v>161634.30567716653</v>
      </c>
      <c r="M7" s="55">
        <v>183855.65797184326</v>
      </c>
      <c r="N7" s="54">
        <v>356491.94264186098</v>
      </c>
      <c r="O7" s="77">
        <v>167193.30692272689</v>
      </c>
      <c r="P7" s="55">
        <v>189298.63571913409</v>
      </c>
      <c r="Q7" s="54">
        <v>367882.16697607579</v>
      </c>
      <c r="R7" s="77">
        <v>172942.26030665665</v>
      </c>
      <c r="S7" s="55">
        <v>194939.90666941914</v>
      </c>
      <c r="T7" s="54">
        <v>379591.97789558035</v>
      </c>
      <c r="U7" s="77">
        <v>178847.57300705771</v>
      </c>
      <c r="V7" s="55">
        <v>200744.40488852261</v>
      </c>
      <c r="W7" s="54">
        <v>391627.83293386834</v>
      </c>
      <c r="X7" s="77">
        <v>184912.90969540985</v>
      </c>
      <c r="Y7" s="55">
        <v>206714.92323845849</v>
      </c>
      <c r="Z7" s="54">
        <v>403997.73135701835</v>
      </c>
      <c r="AA7" s="77">
        <v>191142.54582177283</v>
      </c>
      <c r="AB7" s="55">
        <v>212855.18553524549</v>
      </c>
      <c r="AC7" s="54">
        <v>416708.74640581553</v>
      </c>
      <c r="AD7" s="77">
        <v>197540.45144691644</v>
      </c>
      <c r="AE7" s="55">
        <v>219168.29495889909</v>
      </c>
    </row>
    <row r="8" spans="1:255" ht="12.75" customHeight="1" x14ac:dyDescent="0.2">
      <c r="A8" s="21" t="s">
        <v>159</v>
      </c>
      <c r="B8" s="54">
        <v>59328.993850573257</v>
      </c>
      <c r="C8" s="77">
        <v>27547.988764831465</v>
      </c>
      <c r="D8" s="55">
        <v>31781.005085741788</v>
      </c>
      <c r="E8" s="54">
        <v>61141.777523844721</v>
      </c>
      <c r="F8" s="77">
        <v>28468.950179792882</v>
      </c>
      <c r="G8" s="55">
        <v>32672.827344051839</v>
      </c>
      <c r="H8" s="54">
        <v>63040.96835308084</v>
      </c>
      <c r="I8" s="77">
        <v>29431.891103522441</v>
      </c>
      <c r="J8" s="55">
        <v>33609.077249558402</v>
      </c>
      <c r="K8" s="54">
        <v>65025.520733856159</v>
      </c>
      <c r="L8" s="77">
        <v>30436.466498961774</v>
      </c>
      <c r="M8" s="55">
        <v>34589.054234894385</v>
      </c>
      <c r="N8" s="54">
        <v>67096.301631004244</v>
      </c>
      <c r="O8" s="77">
        <v>31483.251427874835</v>
      </c>
      <c r="P8" s="55">
        <v>35613.050203129409</v>
      </c>
      <c r="Q8" s="54">
        <v>69240.156582167576</v>
      </c>
      <c r="R8" s="77">
        <v>32565.805198505408</v>
      </c>
      <c r="S8" s="55">
        <v>36674.351383662171</v>
      </c>
      <c r="T8" s="54">
        <v>71444.162898569266</v>
      </c>
      <c r="U8" s="77">
        <v>33677.802131450073</v>
      </c>
      <c r="V8" s="55">
        <v>37766.360767119193</v>
      </c>
      <c r="W8" s="54">
        <v>73709.536079851372</v>
      </c>
      <c r="X8" s="77">
        <v>34819.932300825574</v>
      </c>
      <c r="Y8" s="55">
        <v>38889.603779025798</v>
      </c>
      <c r="Z8" s="54">
        <v>76037.781779850528</v>
      </c>
      <c r="AA8" s="77">
        <v>35993.000793101441</v>
      </c>
      <c r="AB8" s="55">
        <v>40044.780986749087</v>
      </c>
      <c r="AC8" s="54">
        <v>78430.23138499909</v>
      </c>
      <c r="AD8" s="77">
        <v>37197.755188570787</v>
      </c>
      <c r="AE8" s="55">
        <v>41232.476196428303</v>
      </c>
    </row>
    <row r="9" spans="1:255" ht="12" customHeight="1" x14ac:dyDescent="0.2">
      <c r="A9" s="21" t="s">
        <v>160</v>
      </c>
      <c r="B9" s="54">
        <v>42471.367157196742</v>
      </c>
      <c r="C9" s="77">
        <v>20100.988543131662</v>
      </c>
      <c r="D9" s="55">
        <v>22370.378614065081</v>
      </c>
      <c r="E9" s="54">
        <v>43771.112750270913</v>
      </c>
      <c r="F9" s="77">
        <v>20772.988049478165</v>
      </c>
      <c r="G9" s="55">
        <v>22998.124700792745</v>
      </c>
      <c r="H9" s="54">
        <v>45132.761846225243</v>
      </c>
      <c r="I9" s="77">
        <v>21475.618816494847</v>
      </c>
      <c r="J9" s="55">
        <v>23657.143029730392</v>
      </c>
      <c r="K9" s="54">
        <v>46555.569557874565</v>
      </c>
      <c r="L9" s="77">
        <v>22208.629080395378</v>
      </c>
      <c r="M9" s="55">
        <v>24346.940477479187</v>
      </c>
      <c r="N9" s="54">
        <v>48040.160959612287</v>
      </c>
      <c r="O9" s="77">
        <v>22972.438447490313</v>
      </c>
      <c r="P9" s="55">
        <v>25067.722512121971</v>
      </c>
      <c r="Q9" s="54">
        <v>49577.110694854651</v>
      </c>
      <c r="R9" s="77">
        <v>23762.347327101485</v>
      </c>
      <c r="S9" s="55">
        <v>25814.76336775317</v>
      </c>
      <c r="T9" s="54">
        <v>51157.159515513173</v>
      </c>
      <c r="U9" s="77">
        <v>24573.740049812834</v>
      </c>
      <c r="V9" s="55">
        <v>26583.419465700339</v>
      </c>
      <c r="W9" s="54">
        <v>52781.180791709638</v>
      </c>
      <c r="X9" s="77">
        <v>25407.120143197029</v>
      </c>
      <c r="Y9" s="55">
        <v>27374.060648512608</v>
      </c>
      <c r="Z9" s="54">
        <v>54450.255095677661</v>
      </c>
      <c r="AA9" s="77">
        <v>26263.075056088837</v>
      </c>
      <c r="AB9" s="55">
        <v>28187.180039588824</v>
      </c>
      <c r="AC9" s="54">
        <v>56165.338851786655</v>
      </c>
      <c r="AD9" s="77">
        <v>27142.150276691973</v>
      </c>
      <c r="AE9" s="55">
        <v>29023.188575094686</v>
      </c>
    </row>
    <row r="10" spans="1:255" ht="12.75" customHeight="1" x14ac:dyDescent="0.2">
      <c r="A10" s="21" t="s">
        <v>161</v>
      </c>
      <c r="B10" s="54">
        <v>146843.01146011008</v>
      </c>
      <c r="C10" s="77">
        <v>71210.707941709159</v>
      </c>
      <c r="D10" s="55">
        <v>75632.30351840092</v>
      </c>
      <c r="E10" s="54">
        <v>151346.02343021351</v>
      </c>
      <c r="F10" s="77">
        <v>73591.36501639639</v>
      </c>
      <c r="G10" s="55">
        <v>77754.658413817131</v>
      </c>
      <c r="H10" s="54">
        <v>156063.27987557184</v>
      </c>
      <c r="I10" s="77">
        <v>76080.53783660481</v>
      </c>
      <c r="J10" s="55">
        <v>79982.742038967015</v>
      </c>
      <c r="K10" s="54">
        <v>160992.22167864587</v>
      </c>
      <c r="L10" s="77">
        <v>78677.334492097245</v>
      </c>
      <c r="M10" s="55">
        <v>82314.887186548614</v>
      </c>
      <c r="N10" s="54">
        <v>166135.03002620669</v>
      </c>
      <c r="O10" s="77">
        <v>81383.241499935626</v>
      </c>
      <c r="P10" s="55">
        <v>84751.788526271062</v>
      </c>
      <c r="Q10" s="54">
        <v>171459.0785238501</v>
      </c>
      <c r="R10" s="77">
        <v>84181.609869026317</v>
      </c>
      <c r="S10" s="55">
        <v>87277.468654823781</v>
      </c>
      <c r="T10" s="54">
        <v>176932.31594846782</v>
      </c>
      <c r="U10" s="77">
        <v>87056.08791168801</v>
      </c>
      <c r="V10" s="55">
        <v>89876.228036779794</v>
      </c>
      <c r="W10" s="54">
        <v>182557.77652601065</v>
      </c>
      <c r="X10" s="77">
        <v>90008.45944839505</v>
      </c>
      <c r="Y10" s="55">
        <v>92549.317077615604</v>
      </c>
      <c r="Z10" s="54">
        <v>188339.20858766729</v>
      </c>
      <c r="AA10" s="77">
        <v>93040.805603034125</v>
      </c>
      <c r="AB10" s="55">
        <v>95298.402984633169</v>
      </c>
      <c r="AC10" s="54">
        <v>194279.93394503661</v>
      </c>
      <c r="AD10" s="77">
        <v>96155.058847785767</v>
      </c>
      <c r="AE10" s="55">
        <v>98124.875097250828</v>
      </c>
    </row>
    <row r="11" spans="1:255" ht="16.5" customHeight="1" thickBot="1" x14ac:dyDescent="0.25">
      <c r="A11" s="9" t="s">
        <v>162</v>
      </c>
      <c r="B11" s="56">
        <v>72420.349366450246</v>
      </c>
      <c r="C11" s="11">
        <v>33935.198305169703</v>
      </c>
      <c r="D11" s="57">
        <v>38485.151061280543</v>
      </c>
      <c r="E11" s="56">
        <v>74634.793213562589</v>
      </c>
      <c r="F11" s="11">
        <v>35069.691589413509</v>
      </c>
      <c r="G11" s="57">
        <v>39565.10162414908</v>
      </c>
      <c r="H11" s="56">
        <v>76954.749415666098</v>
      </c>
      <c r="I11" s="11">
        <v>36255.897649024038</v>
      </c>
      <c r="J11" s="57">
        <v>40698.851766642059</v>
      </c>
      <c r="K11" s="56">
        <v>79378.944585455247</v>
      </c>
      <c r="L11" s="11">
        <v>37493.391447491427</v>
      </c>
      <c r="M11" s="57">
        <v>41885.55313796382</v>
      </c>
      <c r="N11" s="56">
        <v>81908.440596611326</v>
      </c>
      <c r="O11" s="11">
        <v>38782.881378998769</v>
      </c>
      <c r="P11" s="57">
        <v>43125.559217612557</v>
      </c>
      <c r="Q11" s="56">
        <v>84527.17340582519</v>
      </c>
      <c r="R11" s="11">
        <v>40116.433428695287</v>
      </c>
      <c r="S11" s="57">
        <v>44410.73997712991</v>
      </c>
      <c r="T11" s="56">
        <v>87219.362040423614</v>
      </c>
      <c r="U11" s="11">
        <v>41486.255260566824</v>
      </c>
      <c r="V11" s="57">
        <v>45733.106779856796</v>
      </c>
      <c r="W11" s="56">
        <v>89986.492836523044</v>
      </c>
      <c r="X11" s="11">
        <v>42893.196947633092</v>
      </c>
      <c r="Y11" s="57">
        <v>47093.295888889959</v>
      </c>
      <c r="Z11" s="56">
        <v>92830.405896775512</v>
      </c>
      <c r="AA11" s="11">
        <v>44338.250241750451</v>
      </c>
      <c r="AB11" s="57">
        <v>48492.155655025053</v>
      </c>
      <c r="AC11" s="56">
        <v>95752.729092615395</v>
      </c>
      <c r="AD11" s="11">
        <v>45822.336055356936</v>
      </c>
      <c r="AE11" s="57">
        <v>49930.393037258458</v>
      </c>
    </row>
    <row r="12" spans="1:255" s="45" customFormat="1" ht="12" customHeight="1" x14ac:dyDescent="0.2">
      <c r="A12" s="43" t="s">
        <v>195</v>
      </c>
      <c r="B12" s="44"/>
      <c r="C12" s="44"/>
      <c r="D12" s="44"/>
      <c r="E12" s="44"/>
      <c r="F12" s="44"/>
      <c r="G12" s="44"/>
      <c r="AC12" s="44"/>
      <c r="AD12" s="44"/>
      <c r="AE12" s="44"/>
      <c r="AF12" s="44"/>
      <c r="AG12" s="44"/>
      <c r="AH12" s="44"/>
      <c r="AI12" s="44"/>
      <c r="AJ12" s="44"/>
      <c r="AK12" s="44"/>
      <c r="AL12" s="46"/>
      <c r="AM12" s="46"/>
      <c r="AN12" s="46"/>
      <c r="AO12" s="46"/>
      <c r="AP12" s="44"/>
      <c r="AQ12" s="44"/>
      <c r="AR12" s="46"/>
      <c r="AS12" s="44"/>
      <c r="AT12" s="44"/>
      <c r="BD12" s="47"/>
      <c r="CW12" s="48"/>
      <c r="CX12" s="48"/>
      <c r="CY12" s="48"/>
      <c r="CZ12" s="48"/>
      <c r="DA12" s="48"/>
      <c r="DB12" s="48"/>
      <c r="DC12" s="48"/>
      <c r="DD12" s="48"/>
      <c r="DE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GI12" s="47"/>
      <c r="IK12" s="47"/>
      <c r="IL12" s="47"/>
      <c r="IT12" s="47"/>
      <c r="IU12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6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0"/>
  <sheetViews>
    <sheetView zoomScale="120" zoomScaleNormal="120" workbookViewId="0">
      <pane xSplit="4" ySplit="4" topLeftCell="O5" activePane="bottomRight" state="frozen"/>
      <selection pane="topRight" activeCell="E1" sqref="E1"/>
      <selection pane="bottomLeft" activeCell="A5" sqref="A5"/>
      <selection pane="bottomRight" activeCell="Z17" sqref="Z17"/>
    </sheetView>
  </sheetViews>
  <sheetFormatPr defaultColWidth="9.140625" defaultRowHeight="11.25" x14ac:dyDescent="0.2"/>
  <cols>
    <col min="1" max="1" width="16.42578125" style="1" customWidth="1"/>
    <col min="2" max="2" width="8.7109375" style="1" customWidth="1"/>
    <col min="3" max="3" width="7.7109375" style="1" customWidth="1"/>
    <col min="4" max="5" width="8.7109375" style="1" customWidth="1"/>
    <col min="6" max="6" width="7.7109375" style="1" customWidth="1"/>
    <col min="7" max="8" width="8.7109375" style="1" customWidth="1"/>
    <col min="9" max="10" width="7.7109375" style="1" customWidth="1"/>
    <col min="11" max="16384" width="9.140625" style="1"/>
  </cols>
  <sheetData>
    <row r="2" spans="1:255" ht="25.5" customHeight="1" thickBot="1" x14ac:dyDescent="0.25">
      <c r="A2" s="132" t="s">
        <v>193</v>
      </c>
      <c r="B2" s="131"/>
      <c r="C2" s="131"/>
      <c r="D2" s="131"/>
      <c r="E2" s="132"/>
      <c r="F2" s="132"/>
      <c r="G2" s="132"/>
      <c r="H2" s="14"/>
      <c r="I2" s="14"/>
      <c r="J2" s="14"/>
    </row>
    <row r="3" spans="1:255" ht="15.75" customHeight="1" x14ac:dyDescent="0.2">
      <c r="A3" s="131" t="s">
        <v>7</v>
      </c>
      <c r="B3" s="161">
        <v>2015</v>
      </c>
      <c r="C3" s="162"/>
      <c r="D3" s="163"/>
      <c r="E3" s="161">
        <v>2016</v>
      </c>
      <c r="F3" s="162"/>
      <c r="G3" s="163"/>
      <c r="H3" s="161">
        <v>2017</v>
      </c>
      <c r="I3" s="162"/>
      <c r="J3" s="163"/>
      <c r="K3" s="161">
        <v>2018</v>
      </c>
      <c r="L3" s="162"/>
      <c r="M3" s="163"/>
      <c r="N3" s="161">
        <v>2019</v>
      </c>
      <c r="O3" s="162"/>
      <c r="P3" s="163"/>
      <c r="Q3" s="161">
        <v>2020</v>
      </c>
      <c r="R3" s="162"/>
      <c r="S3" s="163"/>
      <c r="T3" s="161">
        <v>2021</v>
      </c>
      <c r="U3" s="162"/>
      <c r="V3" s="163"/>
      <c r="W3" s="161">
        <v>2022</v>
      </c>
      <c r="X3" s="162"/>
      <c r="Y3" s="163"/>
      <c r="Z3" s="161">
        <v>2023</v>
      </c>
      <c r="AA3" s="162"/>
      <c r="AB3" s="163"/>
      <c r="AC3" s="161">
        <v>2024</v>
      </c>
      <c r="AD3" s="162"/>
      <c r="AE3" s="163"/>
    </row>
    <row r="4" spans="1:255" ht="12" thickBot="1" x14ac:dyDescent="0.25">
      <c r="A4" s="131"/>
      <c r="B4" s="60" t="s">
        <v>0</v>
      </c>
      <c r="C4" s="3" t="s">
        <v>1</v>
      </c>
      <c r="D4" s="124" t="s">
        <v>2</v>
      </c>
      <c r="E4" s="60" t="s">
        <v>0</v>
      </c>
      <c r="F4" s="3" t="s">
        <v>1</v>
      </c>
      <c r="G4" s="124" t="s">
        <v>2</v>
      </c>
      <c r="H4" s="60" t="s">
        <v>0</v>
      </c>
      <c r="I4" s="3" t="s">
        <v>1</v>
      </c>
      <c r="J4" s="124" t="s">
        <v>2</v>
      </c>
      <c r="K4" s="60" t="s">
        <v>0</v>
      </c>
      <c r="L4" s="3" t="s">
        <v>1</v>
      </c>
      <c r="M4" s="124" t="s">
        <v>2</v>
      </c>
      <c r="N4" s="60" t="s">
        <v>0</v>
      </c>
      <c r="O4" s="3" t="s">
        <v>1</v>
      </c>
      <c r="P4" s="124" t="s">
        <v>2</v>
      </c>
      <c r="Q4" s="60" t="s">
        <v>0</v>
      </c>
      <c r="R4" s="3" t="s">
        <v>1</v>
      </c>
      <c r="S4" s="124" t="s">
        <v>2</v>
      </c>
      <c r="T4" s="60" t="s">
        <v>0</v>
      </c>
      <c r="U4" s="3" t="s">
        <v>1</v>
      </c>
      <c r="V4" s="124" t="s">
        <v>2</v>
      </c>
      <c r="W4" s="60" t="s">
        <v>0</v>
      </c>
      <c r="X4" s="3" t="s">
        <v>1</v>
      </c>
      <c r="Y4" s="124" t="s">
        <v>2</v>
      </c>
      <c r="Z4" s="60" t="s">
        <v>0</v>
      </c>
      <c r="AA4" s="3" t="s">
        <v>1</v>
      </c>
      <c r="AB4" s="124" t="s">
        <v>2</v>
      </c>
      <c r="AC4" s="60" t="s">
        <v>0</v>
      </c>
      <c r="AD4" s="3" t="s">
        <v>1</v>
      </c>
      <c r="AE4" s="124" t="s">
        <v>2</v>
      </c>
    </row>
    <row r="5" spans="1:255" s="6" customFormat="1" ht="12" thickBot="1" x14ac:dyDescent="0.25">
      <c r="A5" s="17" t="s">
        <v>163</v>
      </c>
      <c r="B5" s="62">
        <v>556172</v>
      </c>
      <c r="C5" s="19">
        <v>275203</v>
      </c>
      <c r="D5" s="63">
        <v>280969</v>
      </c>
      <c r="E5" s="62">
        <v>573346</v>
      </c>
      <c r="F5" s="19">
        <v>283911.99999999994</v>
      </c>
      <c r="G5" s="63">
        <v>289434</v>
      </c>
      <c r="H5" s="62">
        <v>591237</v>
      </c>
      <c r="I5" s="19">
        <v>292974.00000000006</v>
      </c>
      <c r="J5" s="63">
        <v>298263</v>
      </c>
      <c r="K5" s="62">
        <v>609851</v>
      </c>
      <c r="L5" s="19">
        <v>302393</v>
      </c>
      <c r="M5" s="63">
        <v>307458.00000000006</v>
      </c>
      <c r="N5" s="62">
        <v>629213</v>
      </c>
      <c r="O5" s="19">
        <v>312181</v>
      </c>
      <c r="P5" s="63">
        <v>317032</v>
      </c>
      <c r="Q5" s="62">
        <v>649133</v>
      </c>
      <c r="R5" s="19">
        <v>322243</v>
      </c>
      <c r="S5" s="63">
        <v>326890.00000000006</v>
      </c>
      <c r="T5" s="62">
        <v>669413</v>
      </c>
      <c r="U5" s="19">
        <v>332481</v>
      </c>
      <c r="V5" s="63">
        <v>336932</v>
      </c>
      <c r="W5" s="62">
        <v>690073</v>
      </c>
      <c r="X5" s="19">
        <v>342904</v>
      </c>
      <c r="Y5" s="63">
        <v>347169</v>
      </c>
      <c r="Z5" s="62">
        <v>711130</v>
      </c>
      <c r="AA5" s="19">
        <v>353521</v>
      </c>
      <c r="AB5" s="63">
        <v>357609.00000000006</v>
      </c>
      <c r="AC5" s="62">
        <v>732600</v>
      </c>
      <c r="AD5" s="19">
        <v>364339.00000000006</v>
      </c>
      <c r="AE5" s="63">
        <v>368261</v>
      </c>
    </row>
    <row r="6" spans="1:255" ht="12.75" customHeight="1" x14ac:dyDescent="0.2">
      <c r="A6" s="21" t="s">
        <v>164</v>
      </c>
      <c r="B6" s="54">
        <v>457730.40785226575</v>
      </c>
      <c r="C6" s="77">
        <v>225614.85465424086</v>
      </c>
      <c r="D6" s="55">
        <v>232115.55319802489</v>
      </c>
      <c r="E6" s="54">
        <v>471863.30403545545</v>
      </c>
      <c r="F6" s="77">
        <v>232754.60156537112</v>
      </c>
      <c r="G6" s="55">
        <v>239108.70247008436</v>
      </c>
      <c r="H6" s="54">
        <v>486586.30357433407</v>
      </c>
      <c r="I6" s="77">
        <v>240183.74228286598</v>
      </c>
      <c r="J6" s="55">
        <v>246402.5612914681</v>
      </c>
      <c r="K6" s="54">
        <v>501904.3379691029</v>
      </c>
      <c r="L6" s="77">
        <v>247905.55605665583</v>
      </c>
      <c r="M6" s="55">
        <v>253998.78191244707</v>
      </c>
      <c r="N6" s="54">
        <v>517837.98459631507</v>
      </c>
      <c r="O6" s="77">
        <v>255929.88063653218</v>
      </c>
      <c r="P6" s="55">
        <v>261908.10395978286</v>
      </c>
      <c r="Q6" s="54">
        <v>534230.8793822485</v>
      </c>
      <c r="R6" s="77">
        <v>264178.83383664617</v>
      </c>
      <c r="S6" s="55">
        <v>270052.04554560239</v>
      </c>
      <c r="T6" s="54">
        <v>550920.06819005613</v>
      </c>
      <c r="U6" s="77">
        <v>272572.07403370115</v>
      </c>
      <c r="V6" s="55">
        <v>278347.99415635504</v>
      </c>
      <c r="W6" s="54">
        <v>567922.01670857216</v>
      </c>
      <c r="X6" s="77">
        <v>281116.97954004066</v>
      </c>
      <c r="Y6" s="55">
        <v>286805.03716853145</v>
      </c>
      <c r="Z6" s="54">
        <v>585250.71225122386</v>
      </c>
      <c r="AA6" s="77">
        <v>289820.9286680083</v>
      </c>
      <c r="AB6" s="55">
        <v>295429.78358321555</v>
      </c>
      <c r="AC6" s="54">
        <v>602919.32863160933</v>
      </c>
      <c r="AD6" s="77">
        <v>298689.66010498238</v>
      </c>
      <c r="AE6" s="55">
        <v>304229.66852662695</v>
      </c>
    </row>
    <row r="7" spans="1:255" x14ac:dyDescent="0.2">
      <c r="A7" s="21" t="s">
        <v>165</v>
      </c>
      <c r="B7" s="54">
        <v>34414.227505616087</v>
      </c>
      <c r="C7" s="77">
        <v>17215.630837049226</v>
      </c>
      <c r="D7" s="55">
        <v>17198.596668566857</v>
      </c>
      <c r="E7" s="54">
        <v>35477.185958573216</v>
      </c>
      <c r="F7" s="77">
        <v>17760.432052733147</v>
      </c>
      <c r="G7" s="55">
        <v>17716.753905840073</v>
      </c>
      <c r="H7" s="54">
        <v>36584.50778779808</v>
      </c>
      <c r="I7" s="77">
        <v>18327.315577423429</v>
      </c>
      <c r="J7" s="55">
        <v>18257.192210374655</v>
      </c>
      <c r="K7" s="54">
        <v>37736.565641201829</v>
      </c>
      <c r="L7" s="77">
        <v>18916.531635584739</v>
      </c>
      <c r="M7" s="55">
        <v>18820.03400561709</v>
      </c>
      <c r="N7" s="54">
        <v>38934.905944580634</v>
      </c>
      <c r="O7" s="77">
        <v>19528.830900611058</v>
      </c>
      <c r="P7" s="55">
        <v>19406.075043969577</v>
      </c>
      <c r="Q7" s="54">
        <v>40167.77075319046</v>
      </c>
      <c r="R7" s="77">
        <v>20158.270541466678</v>
      </c>
      <c r="S7" s="55">
        <v>20009.500211723782</v>
      </c>
      <c r="T7" s="54">
        <v>41422.908395322564</v>
      </c>
      <c r="U7" s="77">
        <v>20798.720058767398</v>
      </c>
      <c r="V7" s="55">
        <v>20624.188336555166</v>
      </c>
      <c r="W7" s="54">
        <v>42701.555204978125</v>
      </c>
      <c r="X7" s="77">
        <v>21450.742457558707</v>
      </c>
      <c r="Y7" s="55">
        <v>21250.812747419419</v>
      </c>
      <c r="Z7" s="54">
        <v>44004.763880988598</v>
      </c>
      <c r="AA7" s="77">
        <v>22114.90074288609</v>
      </c>
      <c r="AB7" s="55">
        <v>21889.863138102512</v>
      </c>
      <c r="AC7" s="54">
        <v>45333.523221676354</v>
      </c>
      <c r="AD7" s="77">
        <v>22791.632807562703</v>
      </c>
      <c r="AE7" s="55">
        <v>22541.890414113652</v>
      </c>
    </row>
    <row r="8" spans="1:255" ht="12.75" customHeight="1" x14ac:dyDescent="0.2">
      <c r="A8" s="21" t="s">
        <v>166</v>
      </c>
      <c r="B8" s="54">
        <v>31028.822675121533</v>
      </c>
      <c r="C8" s="77">
        <v>15722.137141925683</v>
      </c>
      <c r="D8" s="55">
        <v>15306.685533195849</v>
      </c>
      <c r="E8" s="54">
        <v>31987.519159409618</v>
      </c>
      <c r="F8" s="77">
        <v>16219.675658471764</v>
      </c>
      <c r="G8" s="55">
        <v>15767.843500937852</v>
      </c>
      <c r="H8" s="54">
        <v>32986.212329018606</v>
      </c>
      <c r="I8" s="77">
        <v>16737.380795334844</v>
      </c>
      <c r="J8" s="55">
        <v>16248.831533683764</v>
      </c>
      <c r="K8" s="54">
        <v>34025.239657293736</v>
      </c>
      <c r="L8" s="77">
        <v>17275.481069459031</v>
      </c>
      <c r="M8" s="55">
        <v>16749.758587834705</v>
      </c>
      <c r="N8" s="54">
        <v>35105.994911674585</v>
      </c>
      <c r="O8" s="77">
        <v>17834.662031676624</v>
      </c>
      <c r="P8" s="55">
        <v>17271.332879997961</v>
      </c>
      <c r="Q8" s="54">
        <v>36217.875385685511</v>
      </c>
      <c r="R8" s="77">
        <v>18409.496404565205</v>
      </c>
      <c r="S8" s="55">
        <v>17808.378981120306</v>
      </c>
      <c r="T8" s="54">
        <v>37349.834594140004</v>
      </c>
      <c r="U8" s="77">
        <v>18994.385522994275</v>
      </c>
      <c r="V8" s="55">
        <v>18355.449071145729</v>
      </c>
      <c r="W8" s="54">
        <v>38502.985960368445</v>
      </c>
      <c r="X8" s="77">
        <v>19589.843550088062</v>
      </c>
      <c r="Y8" s="55">
        <v>18913.142410280387</v>
      </c>
      <c r="Z8" s="54">
        <v>39678.279473099552</v>
      </c>
      <c r="AA8" s="77">
        <v>20196.384648970794</v>
      </c>
      <c r="AB8" s="55">
        <v>19481.894824128762</v>
      </c>
      <c r="AC8" s="54">
        <v>40876.605340790557</v>
      </c>
      <c r="AD8" s="77">
        <v>20814.408724294655</v>
      </c>
      <c r="AE8" s="55">
        <v>20062.196616495901</v>
      </c>
    </row>
    <row r="9" spans="1:255" ht="14.25" customHeight="1" thickBot="1" x14ac:dyDescent="0.25">
      <c r="A9" s="9" t="s">
        <v>167</v>
      </c>
      <c r="B9" s="56">
        <v>32998.54196699665</v>
      </c>
      <c r="C9" s="11">
        <v>16650.377366784229</v>
      </c>
      <c r="D9" s="57">
        <v>16348.164600212423</v>
      </c>
      <c r="E9" s="56">
        <v>34017.990846561683</v>
      </c>
      <c r="F9" s="11">
        <v>17177.290723423961</v>
      </c>
      <c r="G9" s="57">
        <v>16840.700123137722</v>
      </c>
      <c r="H9" s="56">
        <v>35079.976308849276</v>
      </c>
      <c r="I9" s="11">
        <v>17725.561344375761</v>
      </c>
      <c r="J9" s="57">
        <v>17354.414964473512</v>
      </c>
      <c r="K9" s="56">
        <v>36184.85673240156</v>
      </c>
      <c r="L9" s="11">
        <v>18295.431238300393</v>
      </c>
      <c r="M9" s="57">
        <v>17889.425494101168</v>
      </c>
      <c r="N9" s="56">
        <v>37334.114547429781</v>
      </c>
      <c r="O9" s="11">
        <v>18887.626431180135</v>
      </c>
      <c r="P9" s="57">
        <v>18446.488116249642</v>
      </c>
      <c r="Q9" s="56">
        <v>38516.474478875491</v>
      </c>
      <c r="R9" s="11">
        <v>19496.399217321941</v>
      </c>
      <c r="S9" s="57">
        <v>19020.075261553549</v>
      </c>
      <c r="T9" s="56">
        <v>39720.188820481271</v>
      </c>
      <c r="U9" s="11">
        <v>20115.820384537186</v>
      </c>
      <c r="V9" s="57">
        <v>19604.368435944081</v>
      </c>
      <c r="W9" s="56">
        <v>40946.442126081383</v>
      </c>
      <c r="X9" s="11">
        <v>20746.43445231258</v>
      </c>
      <c r="Y9" s="57">
        <v>20200.007673768803</v>
      </c>
      <c r="Z9" s="56">
        <v>42196.244394688059</v>
      </c>
      <c r="AA9" s="11">
        <v>21388.785940134836</v>
      </c>
      <c r="AB9" s="57">
        <v>20807.458454553223</v>
      </c>
      <c r="AC9" s="56">
        <v>43470.542805923818</v>
      </c>
      <c r="AD9" s="11">
        <v>22043.29836316028</v>
      </c>
      <c r="AE9" s="57">
        <v>21427.244442763535</v>
      </c>
    </row>
    <row r="10" spans="1:255" s="45" customFormat="1" ht="12" customHeight="1" x14ac:dyDescent="0.2">
      <c r="A10" s="43" t="s">
        <v>195</v>
      </c>
      <c r="B10" s="44"/>
      <c r="C10" s="44"/>
      <c r="D10" s="44"/>
      <c r="E10" s="44"/>
      <c r="F10" s="44"/>
      <c r="G10" s="44"/>
      <c r="AC10" s="44"/>
      <c r="AD10" s="44"/>
      <c r="AE10" s="44"/>
      <c r="AF10" s="44"/>
      <c r="AG10" s="44"/>
      <c r="AH10" s="44"/>
      <c r="AI10" s="44"/>
      <c r="AJ10" s="44"/>
      <c r="AK10" s="44"/>
      <c r="AL10" s="46"/>
      <c r="AM10" s="46"/>
      <c r="AN10" s="46"/>
      <c r="AO10" s="46"/>
      <c r="AP10" s="44"/>
      <c r="AQ10" s="44"/>
      <c r="AR10" s="46"/>
      <c r="AS10" s="44"/>
      <c r="AT10" s="44"/>
      <c r="BD10" s="47"/>
      <c r="CW10" s="48"/>
      <c r="CX10" s="48"/>
      <c r="CY10" s="48"/>
      <c r="CZ10" s="48"/>
      <c r="DA10" s="48"/>
      <c r="DB10" s="48"/>
      <c r="DC10" s="48"/>
      <c r="DD10" s="48"/>
      <c r="DE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GI10" s="47"/>
      <c r="IK10" s="47"/>
      <c r="IL10" s="47"/>
      <c r="IT10" s="47"/>
      <c r="IU10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6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U12"/>
  <sheetViews>
    <sheetView zoomScale="120" zoomScaleNormal="12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A3" sqref="A3:A4"/>
    </sheetView>
  </sheetViews>
  <sheetFormatPr defaultColWidth="9.140625" defaultRowHeight="11.25" x14ac:dyDescent="0.2"/>
  <cols>
    <col min="1" max="1" width="16.42578125" style="1" customWidth="1"/>
    <col min="2" max="2" width="8.7109375" style="1" customWidth="1"/>
    <col min="3" max="3" width="7.7109375" style="1" customWidth="1"/>
    <col min="4" max="5" width="8.7109375" style="1" customWidth="1"/>
    <col min="6" max="6" width="7.7109375" style="1" customWidth="1"/>
    <col min="7" max="8" width="8.7109375" style="1" customWidth="1"/>
    <col min="9" max="10" width="7.7109375" style="1" customWidth="1"/>
    <col min="11" max="16384" width="9.140625" style="1"/>
  </cols>
  <sheetData>
    <row r="2" spans="1:255" ht="25.5" customHeight="1" thickBot="1" x14ac:dyDescent="0.25">
      <c r="A2" s="133" t="s">
        <v>194</v>
      </c>
      <c r="B2" s="141"/>
      <c r="C2" s="141"/>
      <c r="D2" s="141"/>
      <c r="E2" s="133"/>
      <c r="F2" s="133"/>
      <c r="G2" s="133"/>
      <c r="H2" s="14"/>
      <c r="I2" s="14"/>
      <c r="J2" s="14"/>
    </row>
    <row r="3" spans="1:255" x14ac:dyDescent="0.2">
      <c r="A3" s="131" t="s">
        <v>7</v>
      </c>
      <c r="B3" s="161">
        <v>2015</v>
      </c>
      <c r="C3" s="162"/>
      <c r="D3" s="163"/>
      <c r="E3" s="161">
        <v>2016</v>
      </c>
      <c r="F3" s="162"/>
      <c r="G3" s="163"/>
      <c r="H3" s="161">
        <v>2017</v>
      </c>
      <c r="I3" s="162"/>
      <c r="J3" s="163"/>
      <c r="K3" s="161">
        <v>2018</v>
      </c>
      <c r="L3" s="162"/>
      <c r="M3" s="163"/>
      <c r="N3" s="161">
        <v>2019</v>
      </c>
      <c r="O3" s="162"/>
      <c r="P3" s="163"/>
      <c r="Q3" s="161">
        <v>2020</v>
      </c>
      <c r="R3" s="162"/>
      <c r="S3" s="163"/>
      <c r="T3" s="161">
        <v>2021</v>
      </c>
      <c r="U3" s="162"/>
      <c r="V3" s="163"/>
      <c r="W3" s="165">
        <v>2022</v>
      </c>
      <c r="X3" s="165"/>
      <c r="Y3" s="165"/>
      <c r="Z3" s="161">
        <v>2023</v>
      </c>
      <c r="AA3" s="162"/>
      <c r="AB3" s="163"/>
      <c r="AC3" s="161">
        <v>2024</v>
      </c>
      <c r="AD3" s="162"/>
      <c r="AE3" s="163"/>
    </row>
    <row r="4" spans="1:255" ht="12" thickBot="1" x14ac:dyDescent="0.25">
      <c r="A4" s="131"/>
      <c r="B4" s="60" t="s">
        <v>0</v>
      </c>
      <c r="C4" s="3" t="s">
        <v>1</v>
      </c>
      <c r="D4" s="124" t="s">
        <v>2</v>
      </c>
      <c r="E4" s="60" t="s">
        <v>0</v>
      </c>
      <c r="F4" s="3" t="s">
        <v>1</v>
      </c>
      <c r="G4" s="124" t="s">
        <v>2</v>
      </c>
      <c r="H4" s="60" t="s">
        <v>0</v>
      </c>
      <c r="I4" s="3" t="s">
        <v>1</v>
      </c>
      <c r="J4" s="124" t="s">
        <v>2</v>
      </c>
      <c r="K4" s="60" t="s">
        <v>0</v>
      </c>
      <c r="L4" s="3" t="s">
        <v>1</v>
      </c>
      <c r="M4" s="124" t="s">
        <v>2</v>
      </c>
      <c r="N4" s="60" t="s">
        <v>0</v>
      </c>
      <c r="O4" s="3" t="s">
        <v>1</v>
      </c>
      <c r="P4" s="124" t="s">
        <v>2</v>
      </c>
      <c r="Q4" s="60" t="s">
        <v>0</v>
      </c>
      <c r="R4" s="3" t="s">
        <v>1</v>
      </c>
      <c r="S4" s="124" t="s">
        <v>2</v>
      </c>
      <c r="T4" s="60" t="s">
        <v>0</v>
      </c>
      <c r="U4" s="3" t="s">
        <v>1</v>
      </c>
      <c r="V4" s="124" t="s">
        <v>2</v>
      </c>
      <c r="W4" s="15" t="s">
        <v>0</v>
      </c>
      <c r="X4" s="3" t="s">
        <v>1</v>
      </c>
      <c r="Y4" s="3" t="s">
        <v>2</v>
      </c>
      <c r="Z4" s="60" t="s">
        <v>0</v>
      </c>
      <c r="AA4" s="3" t="s">
        <v>1</v>
      </c>
      <c r="AB4" s="124" t="s">
        <v>2</v>
      </c>
      <c r="AC4" s="60" t="s">
        <v>0</v>
      </c>
      <c r="AD4" s="3" t="s">
        <v>1</v>
      </c>
      <c r="AE4" s="124" t="s">
        <v>2</v>
      </c>
    </row>
    <row r="5" spans="1:255" s="6" customFormat="1" ht="12" thickBot="1" x14ac:dyDescent="0.25">
      <c r="A5" s="17" t="s">
        <v>168</v>
      </c>
      <c r="B5" s="62">
        <v>384019.00000000006</v>
      </c>
      <c r="C5" s="19">
        <v>191699.00000000003</v>
      </c>
      <c r="D5" s="63">
        <v>192320.00000000003</v>
      </c>
      <c r="E5" s="62">
        <v>398499.00000000006</v>
      </c>
      <c r="F5" s="19">
        <v>199091.00000000003</v>
      </c>
      <c r="G5" s="63">
        <v>199408.00000000003</v>
      </c>
      <c r="H5" s="62">
        <v>413599.00000000006</v>
      </c>
      <c r="I5" s="19">
        <v>206787.00000000003</v>
      </c>
      <c r="J5" s="63">
        <v>206812.00000000003</v>
      </c>
      <c r="K5" s="62">
        <v>429322</v>
      </c>
      <c r="L5" s="19">
        <v>214789</v>
      </c>
      <c r="M5" s="63">
        <v>214533.00000000003</v>
      </c>
      <c r="N5" s="62">
        <v>445690.00000000012</v>
      </c>
      <c r="O5" s="19">
        <v>223108.00000000006</v>
      </c>
      <c r="P5" s="63">
        <v>222582.00000000003</v>
      </c>
      <c r="Q5" s="62">
        <v>462598</v>
      </c>
      <c r="R5" s="19">
        <v>231692</v>
      </c>
      <c r="S5" s="63">
        <v>230906.00000000003</v>
      </c>
      <c r="T5" s="62">
        <v>479936</v>
      </c>
      <c r="U5" s="19">
        <v>240486</v>
      </c>
      <c r="V5" s="63">
        <v>239450.00000000003</v>
      </c>
      <c r="W5" s="19">
        <v>497721.00000000012</v>
      </c>
      <c r="X5" s="19">
        <v>249498.00000000003</v>
      </c>
      <c r="Y5" s="19">
        <v>248223.00000000006</v>
      </c>
      <c r="Z5" s="62">
        <v>515967.00000000012</v>
      </c>
      <c r="AA5" s="19">
        <v>258736.00000000006</v>
      </c>
      <c r="AB5" s="63">
        <v>257231.00000000006</v>
      </c>
      <c r="AC5" s="62">
        <v>534689</v>
      </c>
      <c r="AD5" s="19">
        <v>268208</v>
      </c>
      <c r="AE5" s="63">
        <v>266481</v>
      </c>
    </row>
    <row r="6" spans="1:255" ht="12.75" customHeight="1" x14ac:dyDescent="0.2">
      <c r="A6" s="21" t="s">
        <v>169</v>
      </c>
      <c r="B6" s="54">
        <v>239610.64712421538</v>
      </c>
      <c r="C6" s="77">
        <v>119778.88464317872</v>
      </c>
      <c r="D6" s="55">
        <v>119831.76248103667</v>
      </c>
      <c r="E6" s="54">
        <v>248645.8035185558</v>
      </c>
      <c r="F6" s="77">
        <v>124397.61252012319</v>
      </c>
      <c r="G6" s="55">
        <v>124248.1909984326</v>
      </c>
      <c r="H6" s="54">
        <v>258067.80254697916</v>
      </c>
      <c r="I6" s="77">
        <v>129206.28808031861</v>
      </c>
      <c r="J6" s="55">
        <v>128861.51446666053</v>
      </c>
      <c r="K6" s="54">
        <v>267878.51695058378</v>
      </c>
      <c r="L6" s="77">
        <v>134206.16097957586</v>
      </c>
      <c r="M6" s="55">
        <v>133672.3559710079</v>
      </c>
      <c r="N6" s="54">
        <v>278091.67377449124</v>
      </c>
      <c r="O6" s="77">
        <v>139404.10432485468</v>
      </c>
      <c r="P6" s="55">
        <v>138687.56944963656</v>
      </c>
      <c r="Q6" s="54">
        <v>288641.75844738469</v>
      </c>
      <c r="R6" s="77">
        <v>144767.62706507265</v>
      </c>
      <c r="S6" s="55">
        <v>143874.13138231204</v>
      </c>
      <c r="T6" s="54">
        <v>299460.13574365608</v>
      </c>
      <c r="U6" s="77">
        <v>150262.3636654311</v>
      </c>
      <c r="V6" s="55">
        <v>149197.77207822498</v>
      </c>
      <c r="W6" s="77">
        <v>310557.41205413581</v>
      </c>
      <c r="X6" s="22">
        <v>155893.31274917346</v>
      </c>
      <c r="Y6" s="77">
        <v>154664.09930496238</v>
      </c>
      <c r="Z6" s="54">
        <v>321942.32451379206</v>
      </c>
      <c r="AA6" s="77">
        <v>161665.47293954319</v>
      </c>
      <c r="AB6" s="55">
        <v>160276.85157424887</v>
      </c>
      <c r="AC6" s="54">
        <v>333624.23334288027</v>
      </c>
      <c r="AD6" s="77">
        <v>167583.8428597837</v>
      </c>
      <c r="AE6" s="55">
        <v>166040.39048309656</v>
      </c>
    </row>
    <row r="7" spans="1:255" x14ac:dyDescent="0.2">
      <c r="A7" s="21" t="s">
        <v>170</v>
      </c>
      <c r="B7" s="54">
        <v>24456.816844931567</v>
      </c>
      <c r="C7" s="77">
        <v>13067.594076392872</v>
      </c>
      <c r="D7" s="55">
        <v>11389.222768538695</v>
      </c>
      <c r="E7" s="54">
        <v>25380.461726024929</v>
      </c>
      <c r="F7" s="77">
        <v>13571.48640453593</v>
      </c>
      <c r="G7" s="55">
        <v>11808.975321488997</v>
      </c>
      <c r="H7" s="54">
        <v>26343.543024966762</v>
      </c>
      <c r="I7" s="77">
        <v>14096.101577342881</v>
      </c>
      <c r="J7" s="55">
        <v>12247.44144762388</v>
      </c>
      <c r="K7" s="54">
        <v>27346.256296429736</v>
      </c>
      <c r="L7" s="77">
        <v>14641.575929318091</v>
      </c>
      <c r="M7" s="55">
        <v>12704.680367111645</v>
      </c>
      <c r="N7" s="54">
        <v>28390.002802039242</v>
      </c>
      <c r="O7" s="77">
        <v>15208.659300235582</v>
      </c>
      <c r="P7" s="55">
        <v>13181.343501803658</v>
      </c>
      <c r="Q7" s="54">
        <v>29468.099175761516</v>
      </c>
      <c r="R7" s="77">
        <v>15793.806992981796</v>
      </c>
      <c r="S7" s="55">
        <v>13674.29218277972</v>
      </c>
      <c r="T7" s="54">
        <v>30573.539109469639</v>
      </c>
      <c r="U7" s="77">
        <v>16393.269808686618</v>
      </c>
      <c r="V7" s="55">
        <v>14180.26930078302</v>
      </c>
      <c r="W7" s="77">
        <v>31707.40092269583</v>
      </c>
      <c r="X7" s="22">
        <v>17007.593085367524</v>
      </c>
      <c r="Y7" s="77">
        <v>14699.807837328308</v>
      </c>
      <c r="Z7" s="54">
        <v>32870.585274467398</v>
      </c>
      <c r="AA7" s="77">
        <v>17637.322161041979</v>
      </c>
      <c r="AB7" s="55">
        <v>15233.263113425421</v>
      </c>
      <c r="AC7" s="54">
        <v>34064.052043979951</v>
      </c>
      <c r="AD7" s="77">
        <v>18283.002373727457</v>
      </c>
      <c r="AE7" s="55">
        <v>15781.049670252494</v>
      </c>
    </row>
    <row r="8" spans="1:255" ht="12.75" customHeight="1" x14ac:dyDescent="0.2">
      <c r="A8" s="21" t="s">
        <v>171</v>
      </c>
      <c r="B8" s="54">
        <v>65555.891782911145</v>
      </c>
      <c r="C8" s="77">
        <v>32182.661828266821</v>
      </c>
      <c r="D8" s="55">
        <v>33373.229954644332</v>
      </c>
      <c r="E8" s="54">
        <v>68026.848196563486</v>
      </c>
      <c r="F8" s="77">
        <v>33423.639800163117</v>
      </c>
      <c r="G8" s="55">
        <v>34603.208396400361</v>
      </c>
      <c r="H8" s="54">
        <v>70603.675882831943</v>
      </c>
      <c r="I8" s="77">
        <v>34715.653662678531</v>
      </c>
      <c r="J8" s="55">
        <v>35888.022220153412</v>
      </c>
      <c r="K8" s="54">
        <v>73286.88413384468</v>
      </c>
      <c r="L8" s="77">
        <v>36059.039178251332</v>
      </c>
      <c r="M8" s="55">
        <v>37227.844955593348</v>
      </c>
      <c r="N8" s="54">
        <v>76080.228469600785</v>
      </c>
      <c r="O8" s="77">
        <v>37455.643040292096</v>
      </c>
      <c r="P8" s="55">
        <v>38624.585429308681</v>
      </c>
      <c r="Q8" s="54">
        <v>78965.781993142038</v>
      </c>
      <c r="R8" s="77">
        <v>38896.735425405437</v>
      </c>
      <c r="S8" s="55">
        <v>40069.046567736608</v>
      </c>
      <c r="T8" s="54">
        <v>81924.767104473169</v>
      </c>
      <c r="U8" s="77">
        <v>40373.082866538556</v>
      </c>
      <c r="V8" s="55">
        <v>41551.68423793462</v>
      </c>
      <c r="W8" s="77">
        <v>84960.088620556082</v>
      </c>
      <c r="X8" s="22">
        <v>41886.028413444597</v>
      </c>
      <c r="Y8" s="77">
        <v>43074.060207111484</v>
      </c>
      <c r="Z8" s="54">
        <v>88074.130769283074</v>
      </c>
      <c r="AA8" s="77">
        <v>43436.915115876684</v>
      </c>
      <c r="AB8" s="55">
        <v>44637.215653406391</v>
      </c>
      <c r="AC8" s="54">
        <v>91269.451308236341</v>
      </c>
      <c r="AD8" s="77">
        <v>45027.086023587952</v>
      </c>
      <c r="AE8" s="55">
        <v>46242.365284648382</v>
      </c>
    </row>
    <row r="9" spans="1:255" ht="14.25" customHeight="1" x14ac:dyDescent="0.2">
      <c r="A9" s="21" t="s">
        <v>172</v>
      </c>
      <c r="B9" s="54">
        <v>14487.301415094033</v>
      </c>
      <c r="C9" s="77">
        <v>7172.558601171826</v>
      </c>
      <c r="D9" s="55">
        <v>7314.7428139222075</v>
      </c>
      <c r="E9" s="54">
        <v>15033.46512465637</v>
      </c>
      <c r="F9" s="77">
        <v>7449.1356995388605</v>
      </c>
      <c r="G9" s="55">
        <v>7584.3294251175093</v>
      </c>
      <c r="H9" s="54">
        <v>15603.022033239584</v>
      </c>
      <c r="I9" s="77">
        <v>7737.0871807391713</v>
      </c>
      <c r="J9" s="55">
        <v>7865.9348525004134</v>
      </c>
      <c r="K9" s="54">
        <v>16196.085006538127</v>
      </c>
      <c r="L9" s="77">
        <v>8036.4878762387671</v>
      </c>
      <c r="M9" s="55">
        <v>8159.5971302993594</v>
      </c>
      <c r="N9" s="54">
        <v>16813.483994127899</v>
      </c>
      <c r="O9" s="77">
        <v>8347.7493591006933</v>
      </c>
      <c r="P9" s="55">
        <v>8465.7346350272073</v>
      </c>
      <c r="Q9" s="54">
        <v>17451.257563785279</v>
      </c>
      <c r="R9" s="77">
        <v>8668.9260112087322</v>
      </c>
      <c r="S9" s="55">
        <v>8782.3315525765447</v>
      </c>
      <c r="T9" s="54">
        <v>18105.255967630725</v>
      </c>
      <c r="U9" s="77">
        <v>8997.9599672476525</v>
      </c>
      <c r="V9" s="55">
        <v>9107.2960003830722</v>
      </c>
      <c r="W9" s="77">
        <v>18776.120839584255</v>
      </c>
      <c r="X9" s="22">
        <v>9335.1505530814884</v>
      </c>
      <c r="Y9" s="77">
        <v>9440.9702865027666</v>
      </c>
      <c r="Z9" s="54">
        <v>19464.379710880552</v>
      </c>
      <c r="AA9" s="77">
        <v>9680.7970945742727</v>
      </c>
      <c r="AB9" s="55">
        <v>9783.5826163062775</v>
      </c>
      <c r="AC9" s="54">
        <v>20170.598146982738</v>
      </c>
      <c r="AD9" s="77">
        <v>10035.19891759004</v>
      </c>
      <c r="AE9" s="55">
        <v>10135.399229392699</v>
      </c>
    </row>
    <row r="10" spans="1:255" ht="12.75" customHeight="1" x14ac:dyDescent="0.2">
      <c r="A10" s="21" t="s">
        <v>173</v>
      </c>
      <c r="B10" s="54">
        <v>32364.950862454803</v>
      </c>
      <c r="C10" s="77">
        <v>15628.32832084107</v>
      </c>
      <c r="D10" s="55">
        <v>16736.622541613731</v>
      </c>
      <c r="E10" s="54">
        <v>33584.418521065876</v>
      </c>
      <c r="F10" s="77">
        <v>16230.963717727111</v>
      </c>
      <c r="G10" s="55">
        <v>17353.454803338762</v>
      </c>
      <c r="H10" s="54">
        <v>34856.169744644743</v>
      </c>
      <c r="I10" s="77">
        <v>16858.382821411495</v>
      </c>
      <c r="J10" s="55">
        <v>17997.786923233249</v>
      </c>
      <c r="K10" s="54">
        <v>36180.454608761662</v>
      </c>
      <c r="L10" s="77">
        <v>17510.748682596844</v>
      </c>
      <c r="M10" s="55">
        <v>18669.705926164821</v>
      </c>
      <c r="N10" s="54">
        <v>37559.127165824917</v>
      </c>
      <c r="O10" s="77">
        <v>18188.958080147571</v>
      </c>
      <c r="P10" s="55">
        <v>19370.169085677346</v>
      </c>
      <c r="Q10" s="54">
        <v>38983.335779582252</v>
      </c>
      <c r="R10" s="77">
        <v>18888.771695795538</v>
      </c>
      <c r="S10" s="55">
        <v>20094.56408378671</v>
      </c>
      <c r="T10" s="54">
        <v>40443.810187992218</v>
      </c>
      <c r="U10" s="77">
        <v>19605.705635218677</v>
      </c>
      <c r="V10" s="55">
        <v>20838.10455277354</v>
      </c>
      <c r="W10" s="77">
        <v>41941.985817673944</v>
      </c>
      <c r="X10" s="22">
        <v>20340.412101227474</v>
      </c>
      <c r="Y10" s="77">
        <v>21601.57371644647</v>
      </c>
      <c r="Z10" s="54">
        <v>43479.037020643642</v>
      </c>
      <c r="AA10" s="77">
        <v>21093.543296632404</v>
      </c>
      <c r="AB10" s="55">
        <v>22385.493724011238</v>
      </c>
      <c r="AC10" s="54">
        <v>45056.225173785177</v>
      </c>
      <c r="AD10" s="77">
        <v>21865.751424243954</v>
      </c>
      <c r="AE10" s="55">
        <v>23190.473749541223</v>
      </c>
    </row>
    <row r="11" spans="1:255" ht="16.5" customHeight="1" thickBot="1" x14ac:dyDescent="0.25">
      <c r="A11" s="9" t="s">
        <v>199</v>
      </c>
      <c r="B11" s="56">
        <v>7543.3919703931078</v>
      </c>
      <c r="C11" s="11">
        <v>3868.9725301487119</v>
      </c>
      <c r="D11" s="57">
        <v>3674.4194402443959</v>
      </c>
      <c r="E11" s="56">
        <v>7828.002913133605</v>
      </c>
      <c r="F11" s="11">
        <v>4018.1618579118158</v>
      </c>
      <c r="G11" s="57">
        <v>3809.8410552217892</v>
      </c>
      <c r="H11" s="56">
        <v>8124.7867673378696</v>
      </c>
      <c r="I11" s="11">
        <v>4173.4866775093333</v>
      </c>
      <c r="J11" s="57">
        <v>3951.3000898285359</v>
      </c>
      <c r="K11" s="56">
        <v>8433.8030038420784</v>
      </c>
      <c r="L11" s="11">
        <v>4334.987354019122</v>
      </c>
      <c r="M11" s="57">
        <v>4098.8156498229564</v>
      </c>
      <c r="N11" s="56">
        <v>8755.4837939159806</v>
      </c>
      <c r="O11" s="11">
        <v>4502.8858953694007</v>
      </c>
      <c r="P11" s="57">
        <v>4252.597898546579</v>
      </c>
      <c r="Q11" s="56">
        <v>9087.767040344268</v>
      </c>
      <c r="R11" s="11">
        <v>4676.1328095358631</v>
      </c>
      <c r="S11" s="57">
        <v>4411.6342308084049</v>
      </c>
      <c r="T11" s="56">
        <v>9428.4918867782071</v>
      </c>
      <c r="U11" s="11">
        <v>4853.6180568774125</v>
      </c>
      <c r="V11" s="57">
        <v>4574.8738299007937</v>
      </c>
      <c r="W11" s="11">
        <v>9777.9917453541129</v>
      </c>
      <c r="X11" s="11">
        <v>5035.503097705483</v>
      </c>
      <c r="Y11" s="11">
        <v>4742.4886476486308</v>
      </c>
      <c r="Z11" s="56">
        <v>10136.542710933347</v>
      </c>
      <c r="AA11" s="11">
        <v>5221.9493923315049</v>
      </c>
      <c r="AB11" s="57">
        <v>4914.5933186018419</v>
      </c>
      <c r="AC11" s="56">
        <v>10504.439984135583</v>
      </c>
      <c r="AD11" s="11">
        <v>5413.1184010669112</v>
      </c>
      <c r="AE11" s="57">
        <v>5091.3215830686713</v>
      </c>
    </row>
    <row r="12" spans="1:255" s="45" customFormat="1" ht="12" customHeight="1" x14ac:dyDescent="0.2">
      <c r="A12" s="43" t="s">
        <v>195</v>
      </c>
      <c r="B12" s="44"/>
      <c r="C12" s="44"/>
      <c r="D12" s="44"/>
      <c r="E12" s="44"/>
      <c r="F12" s="44"/>
      <c r="G12" s="44"/>
      <c r="AC12" s="44"/>
      <c r="AD12" s="44"/>
      <c r="AE12" s="44"/>
      <c r="AF12" s="44"/>
      <c r="AG12" s="44"/>
      <c r="AH12" s="44"/>
      <c r="AI12" s="44"/>
      <c r="AJ12" s="44"/>
      <c r="AK12" s="44"/>
      <c r="AL12" s="46"/>
      <c r="AM12" s="46"/>
      <c r="AN12" s="46"/>
      <c r="AO12" s="46"/>
      <c r="AP12" s="44"/>
      <c r="AQ12" s="44"/>
      <c r="AR12" s="46"/>
      <c r="AS12" s="44"/>
      <c r="AT12" s="44"/>
      <c r="BD12" s="47"/>
      <c r="CW12" s="48"/>
      <c r="CX12" s="48"/>
      <c r="CY12" s="48"/>
      <c r="CZ12" s="48"/>
      <c r="DA12" s="48"/>
      <c r="DB12" s="48"/>
      <c r="DC12" s="48"/>
      <c r="DD12" s="48"/>
      <c r="DE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GI12" s="47"/>
      <c r="IK12" s="47"/>
      <c r="IL12" s="47"/>
      <c r="IT12" s="47"/>
      <c r="IU12" s="47"/>
    </row>
  </sheetData>
  <mergeCells count="12">
    <mergeCell ref="A2:G2"/>
    <mergeCell ref="H3:J3"/>
    <mergeCell ref="Z3:AB3"/>
    <mergeCell ref="AC3:AE3"/>
    <mergeCell ref="W3:Y3"/>
    <mergeCell ref="Q3:S3"/>
    <mergeCell ref="T3:V3"/>
    <mergeCell ref="K3:M3"/>
    <mergeCell ref="N3:P3"/>
    <mergeCell ref="A3:A4"/>
    <mergeCell ref="B3:D3"/>
    <mergeCell ref="E3:G3"/>
  </mergeCells>
  <pageMargins left="0.7" right="0.7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18</vt:i4>
      </vt:variant>
      <vt:variant>
        <vt:lpstr>Intervalos com nome</vt:lpstr>
      </vt:variant>
      <vt:variant>
        <vt:i4>1</vt:i4>
      </vt:variant>
    </vt:vector>
  </HeadingPairs>
  <TitlesOfParts>
    <vt:vector size="19" baseType="lpstr">
      <vt:lpstr>Cabinda</vt:lpstr>
      <vt:lpstr>Zaire</vt:lpstr>
      <vt:lpstr>Uíge</vt:lpstr>
      <vt:lpstr>Luanda</vt:lpstr>
      <vt:lpstr>Cuanza Norte</vt:lpstr>
      <vt:lpstr>Cuanza Sul</vt:lpstr>
      <vt:lpstr>Malanje</vt:lpstr>
      <vt:lpstr>Lunda Norte</vt:lpstr>
      <vt:lpstr>Benguela</vt:lpstr>
      <vt:lpstr>Huambo</vt:lpstr>
      <vt:lpstr>Bié</vt:lpstr>
      <vt:lpstr>Moxico</vt:lpstr>
      <vt:lpstr>Cuando Cubango</vt:lpstr>
      <vt:lpstr>Namibe</vt:lpstr>
      <vt:lpstr>Huíla</vt:lpstr>
      <vt:lpstr>Cunene</vt:lpstr>
      <vt:lpstr>Lunda Sul</vt:lpstr>
      <vt:lpstr>Bengo</vt:lpstr>
      <vt:lpstr>Luanda!Município_PopulaçãoNEw_2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carvalho</dc:creator>
  <cp:lastModifiedBy>Eliana  Quintas</cp:lastModifiedBy>
  <dcterms:created xsi:type="dcterms:W3CDTF">2019-02-19T09:39:30Z</dcterms:created>
  <dcterms:modified xsi:type="dcterms:W3CDTF">2025-09-26T09:52:28Z</dcterms:modified>
</cp:coreProperties>
</file>