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ocumentos Comércio Externo\Dados em Excel do Portal do INE\Nova pasta\Comércio Externo - Anual\"/>
    </mc:Choice>
  </mc:AlternateContent>
  <xr:revisionPtr revIDLastSave="0" documentId="13_ncr:1_{4CCF8B2A-AFB9-4E78-ADD6-953B86A6CBDC}" xr6:coauthVersionLast="47" xr6:coauthVersionMax="47" xr10:uidLastSave="{00000000-0000-0000-0000-000000000000}"/>
  <bookViews>
    <workbookView xWindow="-120" yWindow="-120" windowWidth="29040" windowHeight="15720" tabRatio="923" xr2:uid="{2E6F5516-1A9A-487D-BF24-2CC4A054C7C9}"/>
  </bookViews>
  <sheets>
    <sheet name="Export Categorias Económicas" sheetId="11" r:id="rId1"/>
    <sheet name="Import Categorias Económicas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2" l="1"/>
  <c r="D4" i="12"/>
  <c r="E4" i="12"/>
  <c r="F4" i="12"/>
  <c r="C4" i="11" l="1"/>
  <c r="D4" i="11"/>
  <c r="E4" i="11"/>
  <c r="F4" i="11"/>
  <c r="X4" i="12" l="1"/>
  <c r="W4" i="12"/>
  <c r="V4" i="12"/>
  <c r="U4" i="12"/>
  <c r="T4" i="12"/>
  <c r="S4" i="12"/>
  <c r="R4" i="12"/>
  <c r="Q4" i="12"/>
  <c r="P4" i="12"/>
  <c r="O4" i="12"/>
  <c r="N4" i="12"/>
  <c r="M4" i="12"/>
  <c r="L4" i="12"/>
  <c r="K4" i="12"/>
  <c r="J4" i="12"/>
  <c r="I4" i="12"/>
  <c r="H4" i="12"/>
  <c r="G4" i="12" l="1"/>
  <c r="M4" i="11"/>
  <c r="L4" i="11"/>
  <c r="K4" i="11"/>
  <c r="J4" i="11"/>
  <c r="I4" i="11"/>
  <c r="H4" i="11"/>
  <c r="X4" i="11"/>
  <c r="O4" i="11" l="1"/>
  <c r="Q4" i="11"/>
  <c r="T4" i="11"/>
  <c r="R4" i="11"/>
  <c r="N4" i="11"/>
  <c r="S4" i="11"/>
  <c r="P4" i="11"/>
  <c r="U4" i="11"/>
  <c r="V4" i="11"/>
  <c r="G4" i="11"/>
  <c r="W4" i="11"/>
</calcChain>
</file>

<file path=xl/sharedStrings.xml><?xml version="1.0" encoding="utf-8"?>
<sst xmlns="http://schemas.openxmlformats.org/spreadsheetml/2006/main" count="30" uniqueCount="16">
  <si>
    <t>Descrição</t>
  </si>
  <si>
    <t>Total Geral</t>
  </si>
  <si>
    <t>2025*</t>
  </si>
  <si>
    <t>CGCE</t>
  </si>
  <si>
    <t>Produtos Alimentares e Bebidas</t>
  </si>
  <si>
    <t>Fornecimentos Industriais não Especificados em Outra Categoria</t>
  </si>
  <si>
    <t>Combustíveis e Lubrificantes</t>
  </si>
  <si>
    <t>Bens de Capital (excp. Equip. de transp.), Suas Partes e Acessórios</t>
  </si>
  <si>
    <t>Equipamentos de Transporte, Suas Partes e Acessórios</t>
  </si>
  <si>
    <t>Bens Consumo Não Especificados Em Outra Categoria</t>
  </si>
  <si>
    <t>Bens Não Especificados Em Outra Categoria</t>
  </si>
  <si>
    <t>Fonte: INE, Departamento de Estatística Económica e Financeira</t>
  </si>
  <si>
    <t>U.M.: Em milhões de kwanzas</t>
  </si>
  <si>
    <t>Quadro n.º5 - Valores de exportação de Angola por grandes categorias económicas de bens, 2004 - 2025</t>
  </si>
  <si>
    <t>Quadro n.º6 - Valores de importação de Angola por grandes categorias económicas de bens, 2004 - 2025</t>
  </si>
  <si>
    <t>* Dados preliminares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</si>
</sst>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K_z_-;\-* #,##0.00\ _K_z_-;_-* &quot;-&quot;??\ _K_z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6" xfId="0" applyFont="1" applyBorder="1" applyAlignment="1">
      <alignment vertical="center"/>
    </xf>
    <xf numFmtId="164" fontId="4" fillId="0" borderId="6" xfId="0" applyNumberFormat="1" applyFont="1" applyBorder="1" applyAlignment="1">
      <alignment vertical="center"/>
    </xf>
    <xf numFmtId="164" fontId="3" fillId="0" borderId="0" xfId="0" applyNumberFormat="1" applyFont="1"/>
    <xf numFmtId="0" fontId="3" fillId="0" borderId="7" xfId="0" applyFont="1" applyBorder="1"/>
    <xf numFmtId="164" fontId="3" fillId="0" borderId="7" xfId="0" applyNumberFormat="1" applyFont="1" applyBorder="1"/>
    <xf numFmtId="43" fontId="3" fillId="0" borderId="0" xfId="1" applyFont="1" applyFill="1"/>
    <xf numFmtId="4" fontId="3" fillId="0" borderId="0" xfId="0" applyNumberFormat="1" applyFont="1"/>
    <xf numFmtId="164" fontId="4" fillId="0" borderId="6" xfId="0" applyNumberFormat="1" applyFont="1" applyBorder="1"/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4">
    <cellStyle name="Normal" xfId="0" builtinId="0"/>
    <cellStyle name="Normal 2" xfId="2" xr:uid="{628E0FEE-ABB2-403A-9231-B3350A68AB4C}"/>
    <cellStyle name="Vírgula" xfId="1" builtinId="3"/>
    <cellStyle name="Vírgula 2" xfId="3" xr:uid="{108678A0-A6E8-4EFB-A98D-DB37B8E288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7582F-6F73-4D22-B7B2-15054F06BD03}">
  <dimension ref="A1:AA15"/>
  <sheetViews>
    <sheetView showGridLines="0" tabSelected="1" workbookViewId="0">
      <pane xSplit="2" topLeftCell="P1" activePane="topRight" state="frozen"/>
      <selection activeCell="E1" sqref="E1"/>
      <selection pane="topRight" activeCell="Q20" sqref="Q20"/>
    </sheetView>
  </sheetViews>
  <sheetFormatPr defaultRowHeight="12" x14ac:dyDescent="0.2"/>
  <cols>
    <col min="1" max="1" width="9.140625" style="1" customWidth="1"/>
    <col min="2" max="2" width="26.7109375" style="1" customWidth="1"/>
    <col min="3" max="6" width="13.42578125" style="1" bestFit="1" customWidth="1"/>
    <col min="7" max="16" width="15.42578125" style="1" bestFit="1" customWidth="1"/>
    <col min="17" max="23" width="16.42578125" style="1" bestFit="1" customWidth="1"/>
    <col min="24" max="24" width="15.42578125" style="1" bestFit="1" customWidth="1"/>
    <col min="25" max="26" width="9.140625" style="1"/>
    <col min="27" max="27" width="20" style="1" bestFit="1" customWidth="1"/>
    <col min="28" max="16384" width="9.140625" style="1"/>
  </cols>
  <sheetData>
    <row r="1" spans="1:27" x14ac:dyDescent="0.2">
      <c r="A1" s="2" t="s">
        <v>13</v>
      </c>
    </row>
    <row r="2" spans="1:27" x14ac:dyDescent="0.2">
      <c r="A2" s="1" t="s">
        <v>12</v>
      </c>
    </row>
    <row r="3" spans="1:27" x14ac:dyDescent="0.2">
      <c r="A3" s="14" t="s">
        <v>3</v>
      </c>
      <c r="B3" s="3" t="s">
        <v>0</v>
      </c>
      <c r="C3" s="4">
        <v>2004</v>
      </c>
      <c r="D3" s="4">
        <v>2005</v>
      </c>
      <c r="E3" s="4">
        <v>2006</v>
      </c>
      <c r="F3" s="4">
        <v>2007</v>
      </c>
      <c r="G3" s="4">
        <v>2008</v>
      </c>
      <c r="H3" s="4">
        <v>2009</v>
      </c>
      <c r="I3" s="4">
        <v>2010</v>
      </c>
      <c r="J3" s="4">
        <v>2011</v>
      </c>
      <c r="K3" s="4">
        <v>2012</v>
      </c>
      <c r="L3" s="4">
        <v>2013</v>
      </c>
      <c r="M3" s="4">
        <v>2014</v>
      </c>
      <c r="N3" s="4">
        <v>2015</v>
      </c>
      <c r="O3" s="4">
        <v>2016</v>
      </c>
      <c r="P3" s="4">
        <v>2017</v>
      </c>
      <c r="Q3" s="4">
        <v>2018</v>
      </c>
      <c r="R3" s="4">
        <v>2019</v>
      </c>
      <c r="S3" s="4">
        <v>2020</v>
      </c>
      <c r="T3" s="4">
        <v>2021</v>
      </c>
      <c r="U3" s="4">
        <v>2022</v>
      </c>
      <c r="V3" s="4">
        <v>2023</v>
      </c>
      <c r="W3" s="4">
        <v>2024</v>
      </c>
      <c r="X3" s="5" t="s">
        <v>2</v>
      </c>
    </row>
    <row r="4" spans="1:27" ht="12.75" thickBot="1" x14ac:dyDescent="0.25">
      <c r="A4" s="15"/>
      <c r="B4" s="6" t="s">
        <v>1</v>
      </c>
      <c r="C4" s="7">
        <f>SUM(C5:C11)</f>
        <v>1118311.6890276538</v>
      </c>
      <c r="D4" s="7">
        <f t="shared" ref="D4:F4" si="0">SUM(D5:D11)</f>
        <v>2061952.3735150138</v>
      </c>
      <c r="E4" s="7">
        <f t="shared" si="0"/>
        <v>2558480.2259810339</v>
      </c>
      <c r="F4" s="7">
        <f t="shared" si="0"/>
        <v>3400618.6134590181</v>
      </c>
      <c r="G4" s="7">
        <f t="shared" ref="G4:X4" si="1">SUM(G5:G11)</f>
        <v>4890977.7454085024</v>
      </c>
      <c r="H4" s="7">
        <f t="shared" si="1"/>
        <v>3292131.596327086</v>
      </c>
      <c r="I4" s="7">
        <f t="shared" si="1"/>
        <v>4882608.0303581422</v>
      </c>
      <c r="J4" s="7">
        <f t="shared" si="1"/>
        <v>6288998.6697964221</v>
      </c>
      <c r="K4" s="7">
        <f t="shared" si="1"/>
        <v>6818313.9519873876</v>
      </c>
      <c r="L4" s="7">
        <f t="shared" si="1"/>
        <v>6591377.2402695892</v>
      </c>
      <c r="M4" s="7">
        <f t="shared" si="1"/>
        <v>5806481.0638288828</v>
      </c>
      <c r="N4" s="7">
        <f t="shared" si="1"/>
        <v>4036402.3164658449</v>
      </c>
      <c r="O4" s="7">
        <f t="shared" si="1"/>
        <v>4638334.4255583035</v>
      </c>
      <c r="P4" s="7">
        <f t="shared" si="1"/>
        <v>5838083.850974733</v>
      </c>
      <c r="Q4" s="7">
        <f t="shared" si="1"/>
        <v>10282577.526205873</v>
      </c>
      <c r="R4" s="7">
        <f t="shared" si="1"/>
        <v>12795850.547396315</v>
      </c>
      <c r="S4" s="7">
        <f t="shared" si="1"/>
        <v>12239774.731931034</v>
      </c>
      <c r="T4" s="7">
        <f t="shared" si="1"/>
        <v>21001984.351576153</v>
      </c>
      <c r="U4" s="7">
        <f t="shared" si="1"/>
        <v>23084581.906750701</v>
      </c>
      <c r="V4" s="7">
        <f t="shared" si="1"/>
        <v>25543766.885622978</v>
      </c>
      <c r="W4" s="7">
        <f t="shared" si="1"/>
        <v>31700760.58588833</v>
      </c>
      <c r="X4" s="7">
        <f t="shared" si="1"/>
        <v>27553027.45982312</v>
      </c>
    </row>
    <row r="5" spans="1:27" x14ac:dyDescent="0.2">
      <c r="A5" s="1">
        <v>1</v>
      </c>
      <c r="B5" s="1" t="s">
        <v>4</v>
      </c>
      <c r="C5" s="8">
        <v>2901.211827093513</v>
      </c>
      <c r="D5" s="8">
        <v>5117.2891028052245</v>
      </c>
      <c r="E5" s="8">
        <v>1592.9500932283072</v>
      </c>
      <c r="F5" s="8">
        <v>3324.1457343479128</v>
      </c>
      <c r="G5" s="8">
        <v>3483.8575533532958</v>
      </c>
      <c r="H5" s="8">
        <v>2642.4097366550754</v>
      </c>
      <c r="I5" s="8">
        <v>2715.2395523519226</v>
      </c>
      <c r="J5" s="8">
        <v>2671.56324998943</v>
      </c>
      <c r="K5" s="8">
        <v>4523.0963008132467</v>
      </c>
      <c r="L5" s="8">
        <v>5171.9971862215534</v>
      </c>
      <c r="M5" s="8">
        <v>6906.0921926812598</v>
      </c>
      <c r="N5" s="8">
        <v>11679.71272763438</v>
      </c>
      <c r="O5" s="8">
        <v>26516.855881920939</v>
      </c>
      <c r="P5" s="8">
        <v>23421.054707428175</v>
      </c>
      <c r="Q5" s="8">
        <v>34818.278471713515</v>
      </c>
      <c r="R5" s="8">
        <v>53849.206067380008</v>
      </c>
      <c r="S5" s="8">
        <v>66672.456947708153</v>
      </c>
      <c r="T5" s="8">
        <v>56807.149393796339</v>
      </c>
      <c r="U5" s="8">
        <v>54700.675913584186</v>
      </c>
      <c r="V5" s="8">
        <v>114776.53080190226</v>
      </c>
      <c r="W5" s="8">
        <v>127763.48943879001</v>
      </c>
      <c r="X5" s="8">
        <v>145588.408956</v>
      </c>
      <c r="AA5" s="8"/>
    </row>
    <row r="6" spans="1:27" x14ac:dyDescent="0.2">
      <c r="A6" s="1">
        <v>2</v>
      </c>
      <c r="B6" s="1" t="s">
        <v>5</v>
      </c>
      <c r="C6" s="8">
        <v>66888.017828286174</v>
      </c>
      <c r="D6" s="8">
        <v>88251.236410391997</v>
      </c>
      <c r="E6" s="8">
        <v>99091.239028721262</v>
      </c>
      <c r="F6" s="8">
        <v>93639.712846977578</v>
      </c>
      <c r="G6" s="8">
        <v>96366.620620015296</v>
      </c>
      <c r="H6" s="8">
        <v>72059.156545601843</v>
      </c>
      <c r="I6" s="8">
        <v>105926.19803793715</v>
      </c>
      <c r="J6" s="8">
        <v>121668.98043391484</v>
      </c>
      <c r="K6" s="8">
        <v>124667.77020639765</v>
      </c>
      <c r="L6" s="8">
        <v>128901.9341875489</v>
      </c>
      <c r="M6" s="8">
        <v>131275.68513905254</v>
      </c>
      <c r="N6" s="8">
        <v>137659.04713727403</v>
      </c>
      <c r="O6" s="8">
        <v>232988.45547733581</v>
      </c>
      <c r="P6" s="8">
        <v>224825.35575675737</v>
      </c>
      <c r="Q6" s="8">
        <v>397060.48155155481</v>
      </c>
      <c r="R6" s="8">
        <v>538278.38744715287</v>
      </c>
      <c r="S6" s="8">
        <v>769331.90934652975</v>
      </c>
      <c r="T6" s="8">
        <v>1156137.6735611486</v>
      </c>
      <c r="U6" s="8">
        <v>1143572.4620553099</v>
      </c>
      <c r="V6" s="8">
        <v>1269746.8657525976</v>
      </c>
      <c r="W6" s="8">
        <v>1522556.8503666187</v>
      </c>
      <c r="X6" s="8">
        <v>2120104.8372626854</v>
      </c>
    </row>
    <row r="7" spans="1:27" x14ac:dyDescent="0.2">
      <c r="A7" s="1">
        <v>3</v>
      </c>
      <c r="B7" s="1" t="s">
        <v>6</v>
      </c>
      <c r="C7" s="8">
        <v>1043957.1370906448</v>
      </c>
      <c r="D7" s="8">
        <v>1962820.4230500939</v>
      </c>
      <c r="E7" s="8">
        <v>2450024.6005845917</v>
      </c>
      <c r="F7" s="8">
        <v>3295470.0107293436</v>
      </c>
      <c r="G7" s="8">
        <v>4778288.104036402</v>
      </c>
      <c r="H7" s="8">
        <v>3197414.236905585</v>
      </c>
      <c r="I7" s="8">
        <v>4749886.8210967239</v>
      </c>
      <c r="J7" s="8">
        <v>6132185.5704502799</v>
      </c>
      <c r="K7" s="8">
        <v>6666937.1296932669</v>
      </c>
      <c r="L7" s="8">
        <v>6433504.0467359107</v>
      </c>
      <c r="M7" s="8">
        <v>5637413.1632832587</v>
      </c>
      <c r="N7" s="8">
        <v>3806111.1103271712</v>
      </c>
      <c r="O7" s="8">
        <v>4275202.3407367729</v>
      </c>
      <c r="P7" s="8">
        <v>5518839.936439014</v>
      </c>
      <c r="Q7" s="8">
        <v>9801807.6595329624</v>
      </c>
      <c r="R7" s="8">
        <v>12129185.100669559</v>
      </c>
      <c r="S7" s="8">
        <v>11328397.773364294</v>
      </c>
      <c r="T7" s="8">
        <v>19701875.15785921</v>
      </c>
      <c r="U7" s="8">
        <v>21803450.131554808</v>
      </c>
      <c r="V7" s="8">
        <v>24018458.016718172</v>
      </c>
      <c r="W7" s="8">
        <v>29869735.510187268</v>
      </c>
      <c r="X7" s="8">
        <v>25070230.990161825</v>
      </c>
    </row>
    <row r="8" spans="1:27" x14ac:dyDescent="0.2">
      <c r="A8" s="1">
        <v>4</v>
      </c>
      <c r="B8" s="1" t="s">
        <v>7</v>
      </c>
      <c r="C8" s="8">
        <v>3630.4574809620394</v>
      </c>
      <c r="D8" s="8">
        <v>4672.9456644893571</v>
      </c>
      <c r="E8" s="8">
        <v>6461.0157090627463</v>
      </c>
      <c r="F8" s="8">
        <v>6487.3074812868444</v>
      </c>
      <c r="G8" s="8">
        <v>10346.041189173298</v>
      </c>
      <c r="H8" s="8">
        <v>15693.107183500926</v>
      </c>
      <c r="I8" s="8">
        <v>18492.551750618852</v>
      </c>
      <c r="J8" s="8">
        <v>20406.616558540052</v>
      </c>
      <c r="K8" s="8">
        <v>17036.742274391017</v>
      </c>
      <c r="L8" s="8">
        <v>17657.674430089432</v>
      </c>
      <c r="M8" s="8">
        <v>24022.799932851805</v>
      </c>
      <c r="N8" s="8">
        <v>68982.615981920535</v>
      </c>
      <c r="O8" s="8">
        <v>77688.06823692529</v>
      </c>
      <c r="P8" s="8">
        <v>50877.874929934187</v>
      </c>
      <c r="Q8" s="8">
        <v>27064.361263313593</v>
      </c>
      <c r="R8" s="8">
        <v>37259.706817060949</v>
      </c>
      <c r="S8" s="8">
        <v>28868.628284999999</v>
      </c>
      <c r="T8" s="8">
        <v>52858.241415999997</v>
      </c>
      <c r="U8" s="8">
        <v>43397.323261999998</v>
      </c>
      <c r="V8" s="8">
        <v>80853.976930310004</v>
      </c>
      <c r="W8" s="8">
        <v>114625.74640243001</v>
      </c>
      <c r="X8" s="8">
        <v>137699.84162441999</v>
      </c>
    </row>
    <row r="9" spans="1:27" x14ac:dyDescent="0.2">
      <c r="A9" s="1">
        <v>5</v>
      </c>
      <c r="B9" s="1" t="s">
        <v>8</v>
      </c>
      <c r="C9" s="8">
        <v>570.66269458572845</v>
      </c>
      <c r="D9" s="8">
        <v>683.26677195121113</v>
      </c>
      <c r="E9" s="8">
        <v>1099.1066090199404</v>
      </c>
      <c r="F9" s="8">
        <v>1287.9958871709437</v>
      </c>
      <c r="G9" s="8">
        <v>1872.0555129036004</v>
      </c>
      <c r="H9" s="8">
        <v>3588.9009088450998</v>
      </c>
      <c r="I9" s="8">
        <v>4624.6402415923503</v>
      </c>
      <c r="J9" s="8">
        <v>9614.414167610239</v>
      </c>
      <c r="K9" s="8">
        <v>4296.4790580835861</v>
      </c>
      <c r="L9" s="8">
        <v>5426.2200431282308</v>
      </c>
      <c r="M9" s="8">
        <v>5555.1027242657301</v>
      </c>
      <c r="N9" s="8">
        <v>8631.9459085343424</v>
      </c>
      <c r="O9" s="8">
        <v>17824.220491129192</v>
      </c>
      <c r="P9" s="8">
        <v>10177.531199427485</v>
      </c>
      <c r="Q9" s="8">
        <v>13604.717385513595</v>
      </c>
      <c r="R9" s="8">
        <v>26620.015393677455</v>
      </c>
      <c r="S9" s="8">
        <v>37118.808293499998</v>
      </c>
      <c r="T9" s="8">
        <v>22260.008931</v>
      </c>
      <c r="U9" s="8">
        <v>30376.687354999998</v>
      </c>
      <c r="V9" s="8">
        <v>47547.914735999999</v>
      </c>
      <c r="W9" s="8">
        <v>38286.437778430001</v>
      </c>
      <c r="X9" s="8">
        <v>57796.942358</v>
      </c>
    </row>
    <row r="10" spans="1:27" x14ac:dyDescent="0.2">
      <c r="A10" s="1">
        <v>6</v>
      </c>
      <c r="B10" s="1" t="s">
        <v>9</v>
      </c>
      <c r="C10" s="8">
        <v>364.05246253137329</v>
      </c>
      <c r="D10" s="8">
        <v>241.10709908524396</v>
      </c>
      <c r="E10" s="8">
        <v>100.61903764920196</v>
      </c>
      <c r="F10" s="8">
        <v>324.58417745550946</v>
      </c>
      <c r="G10" s="8">
        <v>314.47418504583965</v>
      </c>
      <c r="H10" s="8">
        <v>263.89623173321019</v>
      </c>
      <c r="I10" s="8">
        <v>301.34043589970912</v>
      </c>
      <c r="J10" s="8">
        <v>415.20420717801017</v>
      </c>
      <c r="K10" s="8">
        <v>305.52072582507981</v>
      </c>
      <c r="L10" s="8">
        <v>448.74846244604902</v>
      </c>
      <c r="M10" s="8">
        <v>1007.5758588327599</v>
      </c>
      <c r="N10" s="8">
        <v>2128.7875180142873</v>
      </c>
      <c r="O10" s="8">
        <v>7643.4485905768624</v>
      </c>
      <c r="P10" s="8">
        <v>7550.8651184481823</v>
      </c>
      <c r="Q10" s="8">
        <v>8083.5683546171067</v>
      </c>
      <c r="R10" s="8">
        <v>10579.900074483789</v>
      </c>
      <c r="S10" s="8">
        <v>9385.1277769999997</v>
      </c>
      <c r="T10" s="8">
        <v>11561.415383</v>
      </c>
      <c r="U10" s="8">
        <v>8982.6259960000007</v>
      </c>
      <c r="V10" s="8">
        <v>12382.114847999999</v>
      </c>
      <c r="W10" s="8">
        <v>26378.334972789999</v>
      </c>
      <c r="X10" s="8">
        <v>18904.899002190003</v>
      </c>
    </row>
    <row r="11" spans="1:27" ht="12.75" thickBot="1" x14ac:dyDescent="0.25">
      <c r="A11" s="9">
        <v>7</v>
      </c>
      <c r="B11" s="9" t="s">
        <v>10</v>
      </c>
      <c r="C11" s="10">
        <v>0.14964354999999999</v>
      </c>
      <c r="D11" s="10">
        <v>166.10541619659404</v>
      </c>
      <c r="E11" s="10">
        <v>110.69491876117002</v>
      </c>
      <c r="F11" s="10">
        <v>84.856602435465973</v>
      </c>
      <c r="G11" s="10">
        <v>306.59231160948019</v>
      </c>
      <c r="H11" s="10">
        <v>469.88881516475999</v>
      </c>
      <c r="I11" s="10">
        <v>661.23924301890008</v>
      </c>
      <c r="J11" s="10">
        <v>2036.3207289102299</v>
      </c>
      <c r="K11" s="10">
        <v>547.21372861023008</v>
      </c>
      <c r="L11" s="10">
        <v>266.61922424497004</v>
      </c>
      <c r="M11" s="10">
        <v>300.64469794061</v>
      </c>
      <c r="N11" s="10">
        <v>1209.0968652957297</v>
      </c>
      <c r="O11" s="10">
        <v>471.03614364290996</v>
      </c>
      <c r="P11" s="10">
        <v>2391.2328237240495</v>
      </c>
      <c r="Q11" s="10">
        <v>138.45964619783001</v>
      </c>
      <c r="R11" s="10">
        <v>78.230926999999994</v>
      </c>
      <c r="S11" s="10">
        <v>2.7917000000000001E-2</v>
      </c>
      <c r="T11" s="10">
        <v>484.70503200000002</v>
      </c>
      <c r="U11" s="10">
        <v>102.000614</v>
      </c>
      <c r="V11" s="10">
        <v>1.4658359999999999</v>
      </c>
      <c r="W11" s="10">
        <v>1414.2167420000001</v>
      </c>
      <c r="X11" s="10">
        <v>2701.5404579999999</v>
      </c>
    </row>
    <row r="12" spans="1:27" x14ac:dyDescent="0.2">
      <c r="A12" s="1" t="s">
        <v>11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27" x14ac:dyDescent="0.2">
      <c r="A13" s="1" t="s">
        <v>15</v>
      </c>
    </row>
    <row r="14" spans="1:27" x14ac:dyDescent="0.2">
      <c r="AA14" s="11"/>
    </row>
    <row r="15" spans="1:27" x14ac:dyDescent="0.2">
      <c r="AA15" s="11"/>
    </row>
  </sheetData>
  <mergeCells count="1">
    <mergeCell ref="A3:A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B1D0E-8CED-49E0-A994-627819E8173E}">
  <dimension ref="A1:AA14"/>
  <sheetViews>
    <sheetView showGridLines="0" zoomScaleNormal="100" workbookViewId="0">
      <pane xSplit="2" topLeftCell="K1" activePane="topRight" state="frozen"/>
      <selection activeCell="E1" sqref="E1"/>
      <selection pane="topRight" activeCell="B17" sqref="B17"/>
    </sheetView>
  </sheetViews>
  <sheetFormatPr defaultRowHeight="12" x14ac:dyDescent="0.2"/>
  <cols>
    <col min="1" max="1" width="6.28515625" style="1" customWidth="1"/>
    <col min="2" max="2" width="26.7109375" style="1" customWidth="1"/>
    <col min="3" max="5" width="12" style="1" bestFit="1" customWidth="1"/>
    <col min="6" max="21" width="13.42578125" style="1" bestFit="1" customWidth="1"/>
    <col min="22" max="24" width="14.28515625" style="1" bestFit="1" customWidth="1"/>
    <col min="25" max="26" width="9.140625" style="1"/>
    <col min="27" max="27" width="20" style="1" bestFit="1" customWidth="1"/>
    <col min="28" max="16384" width="9.140625" style="1"/>
  </cols>
  <sheetData>
    <row r="1" spans="1:27" x14ac:dyDescent="0.2">
      <c r="A1" s="2" t="s">
        <v>14</v>
      </c>
    </row>
    <row r="2" spans="1:27" x14ac:dyDescent="0.2">
      <c r="A2" s="1" t="s">
        <v>12</v>
      </c>
    </row>
    <row r="3" spans="1:27" x14ac:dyDescent="0.2">
      <c r="A3" s="14" t="s">
        <v>3</v>
      </c>
      <c r="B3" s="3" t="s">
        <v>0</v>
      </c>
      <c r="C3" s="4">
        <v>2004</v>
      </c>
      <c r="D3" s="4">
        <v>2005</v>
      </c>
      <c r="E3" s="4">
        <v>2006</v>
      </c>
      <c r="F3" s="4">
        <v>2007</v>
      </c>
      <c r="G3" s="4">
        <v>2008</v>
      </c>
      <c r="H3" s="4">
        <v>2009</v>
      </c>
      <c r="I3" s="4">
        <v>2010</v>
      </c>
      <c r="J3" s="4">
        <v>2011</v>
      </c>
      <c r="K3" s="4">
        <v>2012</v>
      </c>
      <c r="L3" s="4">
        <v>2013</v>
      </c>
      <c r="M3" s="4">
        <v>2014</v>
      </c>
      <c r="N3" s="4">
        <v>2015</v>
      </c>
      <c r="O3" s="4">
        <v>2016</v>
      </c>
      <c r="P3" s="4">
        <v>2017</v>
      </c>
      <c r="Q3" s="4">
        <v>2018</v>
      </c>
      <c r="R3" s="4">
        <v>2019</v>
      </c>
      <c r="S3" s="4">
        <v>2020</v>
      </c>
      <c r="T3" s="4">
        <v>2021</v>
      </c>
      <c r="U3" s="4">
        <v>2022</v>
      </c>
      <c r="V3" s="4">
        <v>2023</v>
      </c>
      <c r="W3" s="4">
        <v>2024</v>
      </c>
      <c r="X3" s="5" t="s">
        <v>2</v>
      </c>
      <c r="AA3" s="12"/>
    </row>
    <row r="4" spans="1:27" ht="12.75" thickBot="1" x14ac:dyDescent="0.25">
      <c r="A4" s="15"/>
      <c r="B4" s="6" t="s">
        <v>1</v>
      </c>
      <c r="C4" s="13">
        <f>SUM(C5:C11)</f>
        <v>440021.98753753019</v>
      </c>
      <c r="D4" s="13">
        <f t="shared" ref="D4:F4" si="0">SUM(D5:D11)</f>
        <v>689257.7372351269</v>
      </c>
      <c r="E4" s="13">
        <f t="shared" si="0"/>
        <v>851374.83311660052</v>
      </c>
      <c r="F4" s="13">
        <f t="shared" si="0"/>
        <v>1145066.2513511807</v>
      </c>
      <c r="G4" s="13">
        <f t="shared" ref="G4:X4" si="1">SUM(G5:G11)</f>
        <v>1794933.1018016485</v>
      </c>
      <c r="H4" s="13">
        <f t="shared" si="1"/>
        <v>1701926.7168081973</v>
      </c>
      <c r="I4" s="13">
        <f t="shared" si="1"/>
        <v>1751015.8874987082</v>
      </c>
      <c r="J4" s="13">
        <f t="shared" si="1"/>
        <v>2123350.6061148513</v>
      </c>
      <c r="K4" s="13">
        <f t="shared" si="1"/>
        <v>2634570.9382392191</v>
      </c>
      <c r="L4" s="13">
        <f t="shared" si="1"/>
        <v>2930982.0724699255</v>
      </c>
      <c r="M4" s="13">
        <f t="shared" si="1"/>
        <v>3221010.9651321704</v>
      </c>
      <c r="N4" s="13">
        <f t="shared" si="1"/>
        <v>2731565.1802235828</v>
      </c>
      <c r="O4" s="13">
        <f t="shared" si="1"/>
        <v>2456226.098094488</v>
      </c>
      <c r="P4" s="13">
        <f t="shared" si="1"/>
        <v>2700994.428373056</v>
      </c>
      <c r="Q4" s="13">
        <f t="shared" si="1"/>
        <v>4102493.6242623739</v>
      </c>
      <c r="R4" s="13">
        <f t="shared" si="1"/>
        <v>5070319.0454258751</v>
      </c>
      <c r="S4" s="13">
        <f t="shared" si="1"/>
        <v>5391081.5941296834</v>
      </c>
      <c r="T4" s="13">
        <f t="shared" si="1"/>
        <v>7218452.2378303818</v>
      </c>
      <c r="U4" s="13">
        <f t="shared" si="1"/>
        <v>8201836.0517559694</v>
      </c>
      <c r="V4" s="13">
        <f t="shared" si="1"/>
        <v>10740932.946871839</v>
      </c>
      <c r="W4" s="13">
        <f t="shared" si="1"/>
        <v>13070710.322006848</v>
      </c>
      <c r="X4" s="13">
        <f t="shared" si="1"/>
        <v>15346361.776553778</v>
      </c>
      <c r="AA4" s="12"/>
    </row>
    <row r="5" spans="1:27" x14ac:dyDescent="0.2">
      <c r="A5" s="1">
        <v>1</v>
      </c>
      <c r="B5" s="1" t="s">
        <v>4</v>
      </c>
      <c r="C5" s="8">
        <v>109691.61694592732</v>
      </c>
      <c r="D5" s="8">
        <v>115503.1408971948</v>
      </c>
      <c r="E5" s="8">
        <v>142316.43445254516</v>
      </c>
      <c r="F5" s="8">
        <v>160394.67853506378</v>
      </c>
      <c r="G5" s="8">
        <v>241059.78302374258</v>
      </c>
      <c r="H5" s="8">
        <v>227454.34971319139</v>
      </c>
      <c r="I5" s="8">
        <v>260936.27292976284</v>
      </c>
      <c r="J5" s="8">
        <v>357636.23556324659</v>
      </c>
      <c r="K5" s="8">
        <v>413798.56797713955</v>
      </c>
      <c r="L5" s="8">
        <v>500741.77949669719</v>
      </c>
      <c r="M5" s="8">
        <v>592083.52266678214</v>
      </c>
      <c r="N5" s="8">
        <v>544982.00848512689</v>
      </c>
      <c r="O5" s="8">
        <v>512147.65754567599</v>
      </c>
      <c r="P5" s="8">
        <v>718141.36451514729</v>
      </c>
      <c r="Q5" s="8">
        <v>885037.83914054721</v>
      </c>
      <c r="R5" s="8">
        <v>977096.46302857308</v>
      </c>
      <c r="S5" s="8">
        <v>1188407.2822989104</v>
      </c>
      <c r="T5" s="8">
        <v>1253444.1854960504</v>
      </c>
      <c r="U5" s="8">
        <v>1408652.2348650403</v>
      </c>
      <c r="V5" s="8">
        <v>1491363.6036376213</v>
      </c>
      <c r="W5" s="8">
        <v>2032055.8463133702</v>
      </c>
      <c r="X5" s="8">
        <v>2205978.6716944501</v>
      </c>
      <c r="AA5" s="12"/>
    </row>
    <row r="6" spans="1:27" x14ac:dyDescent="0.2">
      <c r="A6" s="1">
        <v>2</v>
      </c>
      <c r="B6" s="1" t="s">
        <v>5</v>
      </c>
      <c r="C6" s="8">
        <v>77537.451070713214</v>
      </c>
      <c r="D6" s="8">
        <v>127910.38339369887</v>
      </c>
      <c r="E6" s="8">
        <v>185479.43577066646</v>
      </c>
      <c r="F6" s="8">
        <v>236451.28022929229</v>
      </c>
      <c r="G6" s="8">
        <v>371050.62047487719</v>
      </c>
      <c r="H6" s="8">
        <v>410223.67547486688</v>
      </c>
      <c r="I6" s="8">
        <v>400331.71423979715</v>
      </c>
      <c r="J6" s="8">
        <v>416426.50115415297</v>
      </c>
      <c r="K6" s="8">
        <v>509092.56631242397</v>
      </c>
      <c r="L6" s="8">
        <v>576009.7411368204</v>
      </c>
      <c r="M6" s="8">
        <v>661973.19284372358</v>
      </c>
      <c r="N6" s="8">
        <v>616785.44774949609</v>
      </c>
      <c r="O6" s="8">
        <v>504002.60349982575</v>
      </c>
      <c r="P6" s="8">
        <v>521642.42037191096</v>
      </c>
      <c r="Q6" s="8">
        <v>789316.32970656676</v>
      </c>
      <c r="R6" s="8">
        <v>1102548.8862348821</v>
      </c>
      <c r="S6" s="8">
        <v>1296041.340515252</v>
      </c>
      <c r="T6" s="8">
        <v>1718905.4465774114</v>
      </c>
      <c r="U6" s="8">
        <v>1934234.0971715411</v>
      </c>
      <c r="V6" s="8">
        <v>2268809.9142933693</v>
      </c>
      <c r="W6" s="8">
        <v>3317097.2777559175</v>
      </c>
      <c r="X6" s="8">
        <v>4098320.7373711905</v>
      </c>
      <c r="AA6" s="12"/>
    </row>
    <row r="7" spans="1:27" x14ac:dyDescent="0.2">
      <c r="A7" s="1">
        <v>3</v>
      </c>
      <c r="B7" s="1" t="s">
        <v>6</v>
      </c>
      <c r="C7" s="8">
        <v>21674.174877021494</v>
      </c>
      <c r="D7" s="8">
        <v>36007.300462642634</v>
      </c>
      <c r="E7" s="8">
        <v>54363.857944281786</v>
      </c>
      <c r="F7" s="8">
        <v>95509.364661823376</v>
      </c>
      <c r="G7" s="8">
        <v>225375.98343275918</v>
      </c>
      <c r="H7" s="8">
        <v>134643.85422148797</v>
      </c>
      <c r="I7" s="8">
        <v>235991.76038079546</v>
      </c>
      <c r="J7" s="8">
        <v>337379.37003834127</v>
      </c>
      <c r="K7" s="8">
        <v>514439.4677887779</v>
      </c>
      <c r="L7" s="8">
        <v>534038.88779484015</v>
      </c>
      <c r="M7" s="8">
        <v>521666.42537160433</v>
      </c>
      <c r="N7" s="8">
        <v>375426.02488491841</v>
      </c>
      <c r="O7" s="8">
        <v>301907.76584763406</v>
      </c>
      <c r="P7" s="8">
        <v>316819.99024279678</v>
      </c>
      <c r="Q7" s="8">
        <v>629360.3519450092</v>
      </c>
      <c r="R7" s="8">
        <v>720984.52073761402</v>
      </c>
      <c r="S7" s="8">
        <v>534623.69693126006</v>
      </c>
      <c r="T7" s="8">
        <v>1187842.00183519</v>
      </c>
      <c r="U7" s="8">
        <v>1825000.96669901</v>
      </c>
      <c r="V7" s="8">
        <v>2363752.9846012495</v>
      </c>
      <c r="W7" s="8">
        <v>2495462.0956442007</v>
      </c>
      <c r="X7" s="8">
        <v>2525005.3799560796</v>
      </c>
      <c r="AA7" s="12"/>
    </row>
    <row r="8" spans="1:27" x14ac:dyDescent="0.2">
      <c r="A8" s="1">
        <v>4</v>
      </c>
      <c r="B8" s="1" t="s">
        <v>7</v>
      </c>
      <c r="C8" s="8">
        <v>125678.46765396226</v>
      </c>
      <c r="D8" s="8">
        <v>270228.96274243086</v>
      </c>
      <c r="E8" s="8">
        <v>219919.07495025161</v>
      </c>
      <c r="F8" s="8">
        <v>365436.12682735047</v>
      </c>
      <c r="G8" s="8">
        <v>518795.29085101199</v>
      </c>
      <c r="H8" s="8">
        <v>458182.0379080525</v>
      </c>
      <c r="I8" s="8">
        <v>481403.64226719987</v>
      </c>
      <c r="J8" s="8">
        <v>595990.76161150157</v>
      </c>
      <c r="K8" s="8">
        <v>522264.97364280996</v>
      </c>
      <c r="L8" s="8">
        <v>739134.61411541235</v>
      </c>
      <c r="M8" s="8">
        <v>693714.80721489992</v>
      </c>
      <c r="N8" s="8">
        <v>690369.61087618477</v>
      </c>
      <c r="O8" s="8">
        <v>518248.02951339434</v>
      </c>
      <c r="P8" s="8">
        <v>530259.765733929</v>
      </c>
      <c r="Q8" s="8">
        <v>1079573.9972856774</v>
      </c>
      <c r="R8" s="8">
        <v>1423693.7150814761</v>
      </c>
      <c r="S8" s="8">
        <v>1210140.9497468406</v>
      </c>
      <c r="T8" s="8">
        <v>1725511.7309653901</v>
      </c>
      <c r="U8" s="8">
        <v>1536332.8376563194</v>
      </c>
      <c r="V8" s="8">
        <v>2625371.6786089195</v>
      </c>
      <c r="W8" s="8">
        <v>3318051.2017811383</v>
      </c>
      <c r="X8" s="8">
        <v>3836875.2830141592</v>
      </c>
    </row>
    <row r="9" spans="1:27" x14ac:dyDescent="0.2">
      <c r="A9" s="1">
        <v>5</v>
      </c>
      <c r="B9" s="1" t="s">
        <v>8</v>
      </c>
      <c r="C9" s="8">
        <v>57857.702042931945</v>
      </c>
      <c r="D9" s="8">
        <v>77392.004196031339</v>
      </c>
      <c r="E9" s="8">
        <v>164545.66917279715</v>
      </c>
      <c r="F9" s="8">
        <v>188857.81076542087</v>
      </c>
      <c r="G9" s="8">
        <v>304768.95997393719</v>
      </c>
      <c r="H9" s="8">
        <v>321835.63516480528</v>
      </c>
      <c r="I9" s="8">
        <v>224928.97270178207</v>
      </c>
      <c r="J9" s="8">
        <v>240429.85750974537</v>
      </c>
      <c r="K9" s="8">
        <v>449450.4491503443</v>
      </c>
      <c r="L9" s="8">
        <v>326652.84616368101</v>
      </c>
      <c r="M9" s="8">
        <v>468418.23618388851</v>
      </c>
      <c r="N9" s="8">
        <v>211533.6754137502</v>
      </c>
      <c r="O9" s="8">
        <v>310289.60697978444</v>
      </c>
      <c r="P9" s="8">
        <v>242855.34175492902</v>
      </c>
      <c r="Q9" s="8">
        <v>291257.04967077373</v>
      </c>
      <c r="R9" s="8">
        <v>410201.18480687926</v>
      </c>
      <c r="S9" s="8">
        <v>648256.50731400028</v>
      </c>
      <c r="T9" s="8">
        <v>687623.94585730007</v>
      </c>
      <c r="U9" s="8">
        <v>879141.18170208996</v>
      </c>
      <c r="V9" s="8">
        <v>1221067.3259148397</v>
      </c>
      <c r="W9" s="8">
        <v>1087616.5706002801</v>
      </c>
      <c r="X9" s="8">
        <v>1550950.7436455402</v>
      </c>
    </row>
    <row r="10" spans="1:27" x14ac:dyDescent="0.2">
      <c r="A10" s="1">
        <v>6</v>
      </c>
      <c r="B10" s="1" t="s">
        <v>9</v>
      </c>
      <c r="C10" s="8">
        <v>47535.363252578813</v>
      </c>
      <c r="D10" s="8">
        <v>61093.049449413098</v>
      </c>
      <c r="E10" s="8">
        <v>83867.149147276228</v>
      </c>
      <c r="F10" s="8">
        <v>97028.20823318632</v>
      </c>
      <c r="G10" s="8">
        <v>129565.92773450639</v>
      </c>
      <c r="H10" s="8">
        <v>136427.86283636841</v>
      </c>
      <c r="I10" s="8">
        <v>137792.51268889764</v>
      </c>
      <c r="J10" s="8">
        <v>160160.17201087653</v>
      </c>
      <c r="K10" s="8">
        <v>193924.12805793111</v>
      </c>
      <c r="L10" s="8">
        <v>235610.52027553302</v>
      </c>
      <c r="M10" s="8">
        <v>261119.39985611793</v>
      </c>
      <c r="N10" s="8">
        <v>197793.59066375889</v>
      </c>
      <c r="O10" s="8">
        <v>166768.59238261299</v>
      </c>
      <c r="P10" s="8">
        <v>254728.46650619109</v>
      </c>
      <c r="Q10" s="8">
        <v>346433.02446755563</v>
      </c>
      <c r="R10" s="8">
        <v>409583.51965844957</v>
      </c>
      <c r="S10" s="8">
        <v>496030.38812296995</v>
      </c>
      <c r="T10" s="8">
        <v>643165.31026904006</v>
      </c>
      <c r="U10" s="8">
        <v>611591.23337390949</v>
      </c>
      <c r="V10" s="8">
        <v>736677.49326884001</v>
      </c>
      <c r="W10" s="8">
        <v>752715.83667844045</v>
      </c>
      <c r="X10" s="8">
        <v>1016837.6175537003</v>
      </c>
      <c r="AA10" s="12"/>
    </row>
    <row r="11" spans="1:27" ht="12.75" thickBot="1" x14ac:dyDescent="0.25">
      <c r="A11" s="9">
        <v>7</v>
      </c>
      <c r="B11" s="9" t="s">
        <v>10</v>
      </c>
      <c r="C11" s="10">
        <v>47.21169439517999</v>
      </c>
      <c r="D11" s="10">
        <v>1122.8960937151717</v>
      </c>
      <c r="E11" s="10">
        <v>883.21167878221945</v>
      </c>
      <c r="F11" s="10">
        <v>1388.7820990434152</v>
      </c>
      <c r="G11" s="10">
        <v>4316.5363108140582</v>
      </c>
      <c r="H11" s="10">
        <v>13159.301489424917</v>
      </c>
      <c r="I11" s="10">
        <v>9631.0122904730961</v>
      </c>
      <c r="J11" s="10">
        <v>15327.708226986791</v>
      </c>
      <c r="K11" s="10">
        <v>31600.785309792493</v>
      </c>
      <c r="L11" s="10">
        <v>18793.683486941132</v>
      </c>
      <c r="M11" s="10">
        <v>22035.380995153693</v>
      </c>
      <c r="N11" s="10">
        <v>94674.822150347129</v>
      </c>
      <c r="O11" s="10">
        <v>142861.8423255604</v>
      </c>
      <c r="P11" s="10">
        <v>116547.07924815168</v>
      </c>
      <c r="Q11" s="10">
        <v>81515.032046244611</v>
      </c>
      <c r="R11" s="10">
        <v>26210.755878</v>
      </c>
      <c r="S11" s="10">
        <v>17581.429200450002</v>
      </c>
      <c r="T11" s="10">
        <v>1959.6168299999999</v>
      </c>
      <c r="U11" s="10">
        <v>6883.5002880600005</v>
      </c>
      <c r="V11" s="10">
        <v>33889.946547</v>
      </c>
      <c r="W11" s="10">
        <v>67711.493233500005</v>
      </c>
      <c r="X11" s="10">
        <v>112393.34331866</v>
      </c>
    </row>
    <row r="12" spans="1:27" x14ac:dyDescent="0.2">
      <c r="A12" s="1" t="s">
        <v>11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27" x14ac:dyDescent="0.2">
      <c r="A13" s="1" t="s">
        <v>15</v>
      </c>
      <c r="AA13" s="11"/>
    </row>
    <row r="14" spans="1:27" x14ac:dyDescent="0.2"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AA14" s="11"/>
    </row>
  </sheetData>
  <mergeCells count="1">
    <mergeCell ref="A3:A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Export Categorias Económicas</vt:lpstr>
      <vt:lpstr>Import Categorias Económicas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Adilson André Freitas</dc:creator>
  <cp:lastModifiedBy>Adilson André Freitas</cp:lastModifiedBy>
  <dcterms:created xsi:type="dcterms:W3CDTF">2025-06-10T13:31:08Z</dcterms:created>
  <dcterms:modified xsi:type="dcterms:W3CDTF">2026-03-16T13:12:57Z</dcterms:modified>
</cp:coreProperties>
</file>