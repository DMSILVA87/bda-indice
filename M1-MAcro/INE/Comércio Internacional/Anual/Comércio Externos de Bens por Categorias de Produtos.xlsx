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Comércio Externo - Anual\"/>
    </mc:Choice>
  </mc:AlternateContent>
  <xr:revisionPtr revIDLastSave="0" documentId="13_ncr:1_{F04DDE6A-7B4D-42A6-A255-E2827621CFB3}" xr6:coauthVersionLast="47" xr6:coauthVersionMax="47" xr10:uidLastSave="{00000000-0000-0000-0000-000000000000}"/>
  <bookViews>
    <workbookView xWindow="-120" yWindow="-120" windowWidth="29040" windowHeight="15720" tabRatio="876" xr2:uid="{2E6F5516-1A9A-487D-BF24-2CC4A054C7C9}"/>
  </bookViews>
  <sheets>
    <sheet name="Export Categorias de Produtos" sheetId="2" r:id="rId1"/>
    <sheet name="Import Categorias de Produto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D4" i="5"/>
  <c r="E4" i="5"/>
  <c r="F4" i="5"/>
  <c r="G4" i="2" l="1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D4" i="2" l="1"/>
  <c r="E4" i="2"/>
  <c r="F4" i="2"/>
  <c r="C4" i="2"/>
  <c r="G4" i="5"/>
  <c r="X4" i="2"/>
  <c r="H4" i="2" l="1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</calcChain>
</file>

<file path=xl/sharedStrings.xml><?xml version="1.0" encoding="utf-8"?>
<sst xmlns="http://schemas.openxmlformats.org/spreadsheetml/2006/main" count="53" uniqueCount="27">
  <si>
    <t xml:space="preserve">Produtos Agrícolas e Animais Vivos </t>
  </si>
  <si>
    <t>Produtos Alimentares</t>
  </si>
  <si>
    <t>Bebidas Alcoólicas e Tabacos</t>
  </si>
  <si>
    <t>Produtos Químicos</t>
  </si>
  <si>
    <t>Plásticos e Borrachas</t>
  </si>
  <si>
    <t xml:space="preserve">Peles e Couros </t>
  </si>
  <si>
    <t>Madeira e Cortiça</t>
  </si>
  <si>
    <t>Pasta Celulósicas e Papel</t>
  </si>
  <si>
    <t>Matérias Têxteis</t>
  </si>
  <si>
    <t>Vestuários e Calçados</t>
  </si>
  <si>
    <t>Minerais e Minérios</t>
  </si>
  <si>
    <t>Pérolas; Pedras e Metais Preciosos, Bijutarias</t>
  </si>
  <si>
    <t>Metais Comuns</t>
  </si>
  <si>
    <t xml:space="preserve">Máquinas e Aparelhos </t>
  </si>
  <si>
    <t>Veículos e Outros Meios de Transporte</t>
  </si>
  <si>
    <t>Óptica e Precisão</t>
  </si>
  <si>
    <t>Outros Produtos</t>
  </si>
  <si>
    <t>Combustíveis Minerais</t>
  </si>
  <si>
    <t>Descrição</t>
  </si>
  <si>
    <t>Total Geral</t>
  </si>
  <si>
    <t>2025*</t>
  </si>
  <si>
    <t>Grupo de Produtos</t>
  </si>
  <si>
    <t>Fonte: INE, Departamento de Estatística Económica e Financeira</t>
  </si>
  <si>
    <t>U.M.: Em milhões de kwanzas</t>
  </si>
  <si>
    <t>Quadro n.º6 - Valores de exportação de Angola por categorias de produtos, 2004 - 2025</t>
  </si>
  <si>
    <t>Quadro n.º 7 - Valores de importações de Angola por categorias de produtos, 2004-2025</t>
  </si>
  <si>
    <t>* Dados preliminares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</si>
</sst>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6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4" fillId="0" borderId="0" xfId="0" applyNumberFormat="1" applyFont="1"/>
    <xf numFmtId="4" fontId="4" fillId="0" borderId="0" xfId="0" applyNumberFormat="1" applyFont="1"/>
    <xf numFmtId="0" fontId="4" fillId="0" borderId="5" xfId="0" applyFont="1" applyBorder="1"/>
    <xf numFmtId="164" fontId="4" fillId="0" borderId="5" xfId="0" applyNumberFormat="1" applyFont="1" applyBorder="1"/>
    <xf numFmtId="43" fontId="4" fillId="0" borderId="0" xfId="1" applyFont="1" applyFill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</cellXfs>
  <cellStyles count="4">
    <cellStyle name="Normal" xfId="0" builtinId="0"/>
    <cellStyle name="Normal 2" xfId="2" xr:uid="{628E0FEE-ABB2-403A-9231-B3350A68AB4C}"/>
    <cellStyle name="Vírgula" xfId="1" builtinId="3"/>
    <cellStyle name="Vírgula 2" xfId="3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EE6F-00B8-4AA7-9867-81686CFC06F7}">
  <dimension ref="A1:Z26"/>
  <sheetViews>
    <sheetView showGridLines="0" tabSelected="1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M28" sqref="M28"/>
    </sheetView>
  </sheetViews>
  <sheetFormatPr defaultColWidth="9.140625" defaultRowHeight="12" x14ac:dyDescent="0.2"/>
  <cols>
    <col min="1" max="1" width="7.140625" style="2" customWidth="1"/>
    <col min="2" max="2" width="28.85546875" style="2" customWidth="1"/>
    <col min="3" max="16" width="13.42578125" style="2" bestFit="1" customWidth="1"/>
    <col min="17" max="24" width="14.28515625" style="2" bestFit="1" customWidth="1"/>
    <col min="25" max="25" width="14.140625" style="2" bestFit="1" customWidth="1"/>
    <col min="26" max="26" width="20" style="2" bestFit="1" customWidth="1"/>
    <col min="27" max="16384" width="9.140625" style="2"/>
  </cols>
  <sheetData>
    <row r="1" spans="1:26" x14ac:dyDescent="0.2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26" x14ac:dyDescent="0.2">
      <c r="A2" s="13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6" x14ac:dyDescent="0.2">
      <c r="A3" s="15" t="s">
        <v>21</v>
      </c>
      <c r="B3" s="3" t="s">
        <v>18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5" t="s">
        <v>20</v>
      </c>
    </row>
    <row r="4" spans="1:26" ht="15.75" customHeight="1" thickBot="1" x14ac:dyDescent="0.25">
      <c r="A4" s="16"/>
      <c r="B4" s="6" t="s">
        <v>19</v>
      </c>
      <c r="C4" s="7">
        <f t="shared" ref="C4:F4" si="0">SUM(C5:C22)</f>
        <v>1118311.6890276538</v>
      </c>
      <c r="D4" s="7">
        <f t="shared" si="0"/>
        <v>2061952.3735150136</v>
      </c>
      <c r="E4" s="7">
        <f t="shared" si="0"/>
        <v>2558480.2259810348</v>
      </c>
      <c r="F4" s="7">
        <f t="shared" si="0"/>
        <v>3400618.6134590185</v>
      </c>
      <c r="G4" s="7">
        <f t="shared" ref="G4:X4" si="1">SUM(G5:G22)</f>
        <v>4890977.7454085005</v>
      </c>
      <c r="H4" s="7">
        <f t="shared" si="1"/>
        <v>3292131.5963270869</v>
      </c>
      <c r="I4" s="7">
        <f t="shared" si="1"/>
        <v>4882608.0303581469</v>
      </c>
      <c r="J4" s="7">
        <f t="shared" si="1"/>
        <v>6288998.6697964231</v>
      </c>
      <c r="K4" s="7">
        <f t="shared" si="1"/>
        <v>6818313.9519873885</v>
      </c>
      <c r="L4" s="7">
        <f t="shared" si="1"/>
        <v>6591377.240269593</v>
      </c>
      <c r="M4" s="7">
        <f t="shared" si="1"/>
        <v>5806481.0638288837</v>
      </c>
      <c r="N4" s="7">
        <f t="shared" si="1"/>
        <v>4036402.3164658439</v>
      </c>
      <c r="O4" s="7">
        <f t="shared" si="1"/>
        <v>4638334.4255583044</v>
      </c>
      <c r="P4" s="7">
        <f t="shared" si="1"/>
        <v>5838083.8509747349</v>
      </c>
      <c r="Q4" s="7">
        <f t="shared" si="1"/>
        <v>10282577.526205877</v>
      </c>
      <c r="R4" s="7">
        <f t="shared" si="1"/>
        <v>12795850.547396313</v>
      </c>
      <c r="S4" s="7">
        <f t="shared" si="1"/>
        <v>12239774.731931034</v>
      </c>
      <c r="T4" s="7">
        <f t="shared" si="1"/>
        <v>21001984.351576149</v>
      </c>
      <c r="U4" s="7">
        <f t="shared" si="1"/>
        <v>23084581.906750709</v>
      </c>
      <c r="V4" s="7">
        <f t="shared" si="1"/>
        <v>25543766.885622982</v>
      </c>
      <c r="W4" s="7">
        <f t="shared" si="1"/>
        <v>31700760.585888322</v>
      </c>
      <c r="X4" s="7">
        <f t="shared" si="1"/>
        <v>27553027.459823124</v>
      </c>
      <c r="Y4" s="8"/>
    </row>
    <row r="5" spans="1:26" x14ac:dyDescent="0.2">
      <c r="A5" s="2">
        <v>1</v>
      </c>
      <c r="B5" s="2" t="s">
        <v>0</v>
      </c>
      <c r="C5" s="8">
        <v>25.545056041266118</v>
      </c>
      <c r="D5" s="8">
        <v>85.714903600452985</v>
      </c>
      <c r="E5" s="8">
        <v>33.987036901491997</v>
      </c>
      <c r="F5" s="8">
        <v>33.505301794764001</v>
      </c>
      <c r="G5" s="8">
        <v>72.157360099910079</v>
      </c>
      <c r="H5" s="8">
        <v>65.845168530230012</v>
      </c>
      <c r="I5" s="8">
        <v>59.108045374329983</v>
      </c>
      <c r="J5" s="8">
        <v>100.7589362686001</v>
      </c>
      <c r="K5" s="8">
        <v>114.03470661244003</v>
      </c>
      <c r="L5" s="8">
        <v>79.499376294120154</v>
      </c>
      <c r="M5" s="8">
        <v>747.59194815249509</v>
      </c>
      <c r="N5" s="8">
        <v>2337.7538106174857</v>
      </c>
      <c r="O5" s="8">
        <v>469.98407123960123</v>
      </c>
      <c r="P5" s="8">
        <v>559.32590208246995</v>
      </c>
      <c r="Q5" s="8">
        <v>1509.9227160801804</v>
      </c>
      <c r="R5" s="8">
        <v>4655.6672817417993</v>
      </c>
      <c r="S5" s="8">
        <v>3891.0629190812133</v>
      </c>
      <c r="T5" s="8">
        <v>4355.7522253343004</v>
      </c>
      <c r="U5" s="8">
        <v>5328.6620103470004</v>
      </c>
      <c r="V5" s="8">
        <v>14784.298433226999</v>
      </c>
      <c r="W5" s="8">
        <v>17432.384904099999</v>
      </c>
      <c r="X5" s="8">
        <v>26725.513490999998</v>
      </c>
      <c r="Y5" s="8"/>
      <c r="Z5" s="8"/>
    </row>
    <row r="6" spans="1:26" x14ac:dyDescent="0.2">
      <c r="A6" s="2">
        <v>2</v>
      </c>
      <c r="B6" s="2" t="s">
        <v>1</v>
      </c>
      <c r="C6" s="8">
        <v>2906.2848080403091</v>
      </c>
      <c r="D6" s="8">
        <v>5031.3612879232005</v>
      </c>
      <c r="E6" s="8">
        <v>1557.5475235218505</v>
      </c>
      <c r="F6" s="8">
        <v>3305.5139583068471</v>
      </c>
      <c r="G6" s="8">
        <v>3441.0509993655796</v>
      </c>
      <c r="H6" s="8">
        <v>2590.3682093811153</v>
      </c>
      <c r="I6" s="8">
        <v>2872.0519561387723</v>
      </c>
      <c r="J6" s="8">
        <v>2688.4309003956114</v>
      </c>
      <c r="K6" s="8">
        <v>4497.4420141644496</v>
      </c>
      <c r="L6" s="8">
        <v>5204.2296470711372</v>
      </c>
      <c r="M6" s="8">
        <v>6396.1810095215224</v>
      </c>
      <c r="N6" s="8">
        <v>10399.005668241713</v>
      </c>
      <c r="O6" s="8">
        <v>22793.152219573727</v>
      </c>
      <c r="P6" s="8">
        <v>19754.804224286716</v>
      </c>
      <c r="Q6" s="8">
        <v>31898.251171900691</v>
      </c>
      <c r="R6" s="8">
        <v>42805.430458921888</v>
      </c>
      <c r="S6" s="8">
        <v>56088.052910626946</v>
      </c>
      <c r="T6" s="8">
        <v>40372.712823462047</v>
      </c>
      <c r="U6" s="8">
        <v>41448.632745237184</v>
      </c>
      <c r="V6" s="8">
        <v>92410.685679675269</v>
      </c>
      <c r="W6" s="8">
        <v>98940.206651690009</v>
      </c>
      <c r="X6" s="8">
        <v>113938.943848</v>
      </c>
      <c r="Y6" s="8"/>
    </row>
    <row r="7" spans="1:26" x14ac:dyDescent="0.2">
      <c r="A7" s="2">
        <v>3</v>
      </c>
      <c r="B7" s="2" t="s">
        <v>2</v>
      </c>
      <c r="C7" s="8">
        <v>1.3627405483319999</v>
      </c>
      <c r="D7" s="8">
        <v>1.195610627145</v>
      </c>
      <c r="E7" s="8">
        <v>4.7402178253509994</v>
      </c>
      <c r="F7" s="8">
        <v>182.88085718119797</v>
      </c>
      <c r="G7" s="8">
        <v>61.881552055059991</v>
      </c>
      <c r="H7" s="8">
        <v>44.125588018360006</v>
      </c>
      <c r="I7" s="8">
        <v>24.4092478767</v>
      </c>
      <c r="J7" s="8">
        <v>131.35926340461998</v>
      </c>
      <c r="K7" s="8">
        <v>127.22999071837999</v>
      </c>
      <c r="L7" s="8">
        <v>135.07679356574997</v>
      </c>
      <c r="M7" s="8">
        <v>219.17186788141996</v>
      </c>
      <c r="N7" s="8">
        <v>382.53823738032992</v>
      </c>
      <c r="O7" s="8">
        <v>4732.117368864223</v>
      </c>
      <c r="P7" s="8">
        <v>4348.2984680398267</v>
      </c>
      <c r="Q7" s="8">
        <v>2728.4484682494794</v>
      </c>
      <c r="R7" s="8">
        <v>7361.8400468885611</v>
      </c>
      <c r="S7" s="8">
        <v>7015.6850270000004</v>
      </c>
      <c r="T7" s="8">
        <v>12393.056423</v>
      </c>
      <c r="U7" s="8">
        <v>8152.7376379999996</v>
      </c>
      <c r="V7" s="8">
        <v>8311.6701990000001</v>
      </c>
      <c r="W7" s="8">
        <v>12712.177127000001</v>
      </c>
      <c r="X7" s="8">
        <v>11440.631341</v>
      </c>
      <c r="Y7" s="8"/>
    </row>
    <row r="8" spans="1:26" x14ac:dyDescent="0.2">
      <c r="A8" s="2">
        <v>4</v>
      </c>
      <c r="B8" s="2" t="s">
        <v>17</v>
      </c>
      <c r="C8" s="8">
        <v>1046494.4016550557</v>
      </c>
      <c r="D8" s="8">
        <v>1966185.4808671707</v>
      </c>
      <c r="E8" s="8">
        <v>2455119.752884733</v>
      </c>
      <c r="F8" s="8">
        <v>3295471.1928834659</v>
      </c>
      <c r="G8" s="8">
        <v>4778292.0662538884</v>
      </c>
      <c r="H8" s="8">
        <v>3197395.5673196581</v>
      </c>
      <c r="I8" s="8">
        <v>4749888.8177613597</v>
      </c>
      <c r="J8" s="8">
        <v>6132184.9698202796</v>
      </c>
      <c r="K8" s="8">
        <v>6672933.4658354064</v>
      </c>
      <c r="L8" s="8">
        <v>6443567.5822370118</v>
      </c>
      <c r="M8" s="8">
        <v>5637427.2944650287</v>
      </c>
      <c r="N8" s="8">
        <v>3806079.0291666943</v>
      </c>
      <c r="O8" s="8">
        <v>4290661.0449882336</v>
      </c>
      <c r="P8" s="8">
        <v>5522869.1362495841</v>
      </c>
      <c r="Q8" s="8">
        <v>9837340.0131324995</v>
      </c>
      <c r="R8" s="8">
        <v>12180713.29688788</v>
      </c>
      <c r="S8" s="8">
        <v>11384673.925040852</v>
      </c>
      <c r="T8" s="8">
        <v>19776164.604670621</v>
      </c>
      <c r="U8" s="8">
        <v>21912146.775646109</v>
      </c>
      <c r="V8" s="8">
        <v>24054874.804407511</v>
      </c>
      <c r="W8" s="8">
        <v>29869396.312711269</v>
      </c>
      <c r="X8" s="8">
        <v>25159432.611750305</v>
      </c>
      <c r="Y8" s="8"/>
    </row>
    <row r="9" spans="1:26" x14ac:dyDescent="0.2">
      <c r="A9" s="2">
        <v>5</v>
      </c>
      <c r="B9" s="2" t="s">
        <v>3</v>
      </c>
      <c r="C9" s="8">
        <v>126.53925980457693</v>
      </c>
      <c r="D9" s="8">
        <v>118.07040185801002</v>
      </c>
      <c r="E9" s="8">
        <v>319.12315530874821</v>
      </c>
      <c r="F9" s="8">
        <v>168.64628296590399</v>
      </c>
      <c r="G9" s="8">
        <v>242.92873729167002</v>
      </c>
      <c r="H9" s="8">
        <v>420.03744903956999</v>
      </c>
      <c r="I9" s="8">
        <v>836.87662063296034</v>
      </c>
      <c r="J9" s="8">
        <v>549.32922863960016</v>
      </c>
      <c r="K9" s="8">
        <v>111.62432147890003</v>
      </c>
      <c r="L9" s="8">
        <v>248.22024335521999</v>
      </c>
      <c r="M9" s="8">
        <v>514.19598398275002</v>
      </c>
      <c r="N9" s="8">
        <v>587.7828127225996</v>
      </c>
      <c r="O9" s="8">
        <v>2104.0848061461706</v>
      </c>
      <c r="P9" s="8">
        <v>3390.8679410145924</v>
      </c>
      <c r="Q9" s="8">
        <v>3540.6347008574489</v>
      </c>
      <c r="R9" s="8">
        <v>4317.3513539349597</v>
      </c>
      <c r="S9" s="8">
        <v>5262.6139489999996</v>
      </c>
      <c r="T9" s="8">
        <v>3269.1943759999999</v>
      </c>
      <c r="U9" s="8">
        <v>6275.6033379999999</v>
      </c>
      <c r="V9" s="8">
        <v>7060.1482100000003</v>
      </c>
      <c r="W9" s="8">
        <v>24557.497655750001</v>
      </c>
      <c r="X9" s="8">
        <v>19356.113168000003</v>
      </c>
      <c r="Y9" s="8"/>
    </row>
    <row r="10" spans="1:26" x14ac:dyDescent="0.2">
      <c r="A10" s="2">
        <v>6</v>
      </c>
      <c r="B10" s="2" t="s">
        <v>4</v>
      </c>
      <c r="C10" s="8">
        <v>28.636745979744987</v>
      </c>
      <c r="D10" s="8">
        <v>19.950634829263006</v>
      </c>
      <c r="E10" s="8">
        <v>180.76729529004908</v>
      </c>
      <c r="F10" s="8">
        <v>293.65919656401297</v>
      </c>
      <c r="G10" s="8">
        <v>175.01072696397011</v>
      </c>
      <c r="H10" s="8">
        <v>146.66148397153989</v>
      </c>
      <c r="I10" s="8">
        <v>301.08152300371989</v>
      </c>
      <c r="J10" s="8">
        <v>427.17267226657992</v>
      </c>
      <c r="K10" s="8">
        <v>124.32762260253007</v>
      </c>
      <c r="L10" s="8">
        <v>262.62930320996014</v>
      </c>
      <c r="M10" s="8">
        <v>961.3880008944717</v>
      </c>
      <c r="N10" s="8">
        <v>1327.4467851224906</v>
      </c>
      <c r="O10" s="8">
        <v>2526.7642839614346</v>
      </c>
      <c r="P10" s="8">
        <v>1677.3656067185486</v>
      </c>
      <c r="Q10" s="8">
        <v>2094.532015554898</v>
      </c>
      <c r="R10" s="8">
        <v>1919.0046810822803</v>
      </c>
      <c r="S10" s="8">
        <v>1884.95461</v>
      </c>
      <c r="T10" s="8">
        <v>2965.2346120000002</v>
      </c>
      <c r="U10" s="8">
        <v>2527.094779</v>
      </c>
      <c r="V10" s="8">
        <v>3878.0293040000001</v>
      </c>
      <c r="W10" s="8">
        <v>8317.0919872599989</v>
      </c>
      <c r="X10" s="8">
        <v>5514.7884729999996</v>
      </c>
      <c r="Y10" s="8"/>
    </row>
    <row r="11" spans="1:26" x14ac:dyDescent="0.2">
      <c r="A11" s="2">
        <v>7</v>
      </c>
      <c r="B11" s="2" t="s">
        <v>5</v>
      </c>
      <c r="C11" s="8">
        <v>5.755570865105998</v>
      </c>
      <c r="D11" s="8">
        <v>2.5806009216279993</v>
      </c>
      <c r="E11" s="8">
        <v>2.0428888783820001</v>
      </c>
      <c r="F11" s="8">
        <v>6.4775688207460016</v>
      </c>
      <c r="G11" s="8">
        <v>8.4750516378300045</v>
      </c>
      <c r="H11" s="8">
        <v>4.0987195491999993</v>
      </c>
      <c r="I11" s="8">
        <v>2.4884278656100003</v>
      </c>
      <c r="J11" s="8">
        <v>11.292003325989997</v>
      </c>
      <c r="K11" s="8">
        <v>7.0319906114699977</v>
      </c>
      <c r="L11" s="8">
        <v>26.326143997430012</v>
      </c>
      <c r="M11" s="8">
        <v>32.032367308470022</v>
      </c>
      <c r="N11" s="8">
        <v>32.510869348780012</v>
      </c>
      <c r="O11" s="8">
        <v>43.586356821969993</v>
      </c>
      <c r="P11" s="8">
        <v>37.382838098389982</v>
      </c>
      <c r="Q11" s="8">
        <v>63.166674568849977</v>
      </c>
      <c r="R11" s="8">
        <v>81.086075612849996</v>
      </c>
      <c r="S11" s="8">
        <v>139.099118</v>
      </c>
      <c r="T11" s="8">
        <v>104.46424399999999</v>
      </c>
      <c r="U11" s="8">
        <v>95.413970000000006</v>
      </c>
      <c r="V11" s="8">
        <v>133.483814</v>
      </c>
      <c r="W11" s="8">
        <v>142.97920500000001</v>
      </c>
      <c r="X11" s="8">
        <v>129.78825499999999</v>
      </c>
      <c r="Y11" s="8"/>
    </row>
    <row r="12" spans="1:26" x14ac:dyDescent="0.2">
      <c r="A12" s="2">
        <v>8</v>
      </c>
      <c r="B12" s="2" t="s">
        <v>6</v>
      </c>
      <c r="C12" s="8">
        <v>48.35421812488724</v>
      </c>
      <c r="D12" s="8">
        <v>42.167231306463407</v>
      </c>
      <c r="E12" s="8">
        <v>46.074081016157969</v>
      </c>
      <c r="F12" s="8">
        <v>33.369154502200004</v>
      </c>
      <c r="G12" s="8">
        <v>71.80688310414007</v>
      </c>
      <c r="H12" s="8">
        <v>32.857300586320001</v>
      </c>
      <c r="I12" s="8">
        <v>65.914556488049996</v>
      </c>
      <c r="J12" s="8">
        <v>316.73238854613982</v>
      </c>
      <c r="K12" s="8">
        <v>533.15210593685003</v>
      </c>
      <c r="L12" s="8">
        <v>329.44318371921014</v>
      </c>
      <c r="M12" s="8">
        <v>1144.5848200591365</v>
      </c>
      <c r="N12" s="8">
        <v>1739.6371686254618</v>
      </c>
      <c r="O12" s="8">
        <v>10937.68718817972</v>
      </c>
      <c r="P12" s="8">
        <v>9056.2536457004862</v>
      </c>
      <c r="Q12" s="8">
        <v>38333.35876647562</v>
      </c>
      <c r="R12" s="8">
        <v>10859.333290845632</v>
      </c>
      <c r="S12" s="8">
        <v>19851.481454678738</v>
      </c>
      <c r="T12" s="8">
        <v>30535.976018132587</v>
      </c>
      <c r="U12" s="8">
        <v>23025.652555444325</v>
      </c>
      <c r="V12" s="8">
        <v>27288.782472847732</v>
      </c>
      <c r="W12" s="8">
        <v>12366.182097000001</v>
      </c>
      <c r="X12" s="8">
        <v>10114.933154</v>
      </c>
      <c r="Y12" s="8"/>
    </row>
    <row r="13" spans="1:26" x14ac:dyDescent="0.2">
      <c r="A13" s="2">
        <v>9</v>
      </c>
      <c r="B13" s="2" t="s">
        <v>7</v>
      </c>
      <c r="C13" s="8">
        <v>60.791803962605961</v>
      </c>
      <c r="D13" s="8">
        <v>26.257365148167001</v>
      </c>
      <c r="E13" s="8">
        <v>17.684324054083007</v>
      </c>
      <c r="F13" s="8">
        <v>7.0928299328610063</v>
      </c>
      <c r="G13" s="8">
        <v>33.407393801650024</v>
      </c>
      <c r="H13" s="8">
        <v>76.991858609870022</v>
      </c>
      <c r="I13" s="8">
        <v>21.586901290590003</v>
      </c>
      <c r="J13" s="8">
        <v>27.247024914360011</v>
      </c>
      <c r="K13" s="8">
        <v>226.48448787461007</v>
      </c>
      <c r="L13" s="8">
        <v>16.375507869700009</v>
      </c>
      <c r="M13" s="8">
        <v>152.85475300330987</v>
      </c>
      <c r="N13" s="8">
        <v>380.43671716383</v>
      </c>
      <c r="O13" s="8">
        <v>486.2886225533997</v>
      </c>
      <c r="P13" s="8">
        <v>660.61083533841008</v>
      </c>
      <c r="Q13" s="8">
        <v>553.73792260763037</v>
      </c>
      <c r="R13" s="8">
        <v>1221.6203690148802</v>
      </c>
      <c r="S13" s="8">
        <v>1167.4697550000001</v>
      </c>
      <c r="T13" s="8">
        <v>1004.934661</v>
      </c>
      <c r="U13" s="8">
        <v>1105.1124359999999</v>
      </c>
      <c r="V13" s="8">
        <v>1667.592128</v>
      </c>
      <c r="W13" s="8">
        <v>1633.02595765</v>
      </c>
      <c r="X13" s="8">
        <v>18317.953198000003</v>
      </c>
      <c r="Y13" s="8"/>
    </row>
    <row r="14" spans="1:26" x14ac:dyDescent="0.2">
      <c r="A14" s="2">
        <v>10</v>
      </c>
      <c r="B14" s="2" t="s">
        <v>8</v>
      </c>
      <c r="C14" s="8">
        <v>36.90227827647</v>
      </c>
      <c r="D14" s="8">
        <v>61.472813459219978</v>
      </c>
      <c r="E14" s="8">
        <v>89.572681555842024</v>
      </c>
      <c r="F14" s="8">
        <v>48.48983682615998</v>
      </c>
      <c r="G14" s="8">
        <v>58.702543146129997</v>
      </c>
      <c r="H14" s="8">
        <v>86.986151178100002</v>
      </c>
      <c r="I14" s="8">
        <v>153.5087153873601</v>
      </c>
      <c r="J14" s="8">
        <v>170.51980353200997</v>
      </c>
      <c r="K14" s="8">
        <v>67.79262541490003</v>
      </c>
      <c r="L14" s="8">
        <v>83.12382391247003</v>
      </c>
      <c r="M14" s="8">
        <v>227.46268672736986</v>
      </c>
      <c r="N14" s="8">
        <v>238.46325404213988</v>
      </c>
      <c r="O14" s="8">
        <v>647.56092612832924</v>
      </c>
      <c r="P14" s="8">
        <v>566.52098543215959</v>
      </c>
      <c r="Q14" s="8">
        <v>279.09248552780014</v>
      </c>
      <c r="R14" s="8">
        <v>832.85293412774013</v>
      </c>
      <c r="S14" s="8">
        <v>984.80834100000004</v>
      </c>
      <c r="T14" s="8">
        <v>1094.5978720000001</v>
      </c>
      <c r="U14" s="8">
        <v>808.36517600000002</v>
      </c>
      <c r="V14" s="8">
        <v>1127.005418</v>
      </c>
      <c r="W14" s="8">
        <v>1817.0459594400002</v>
      </c>
      <c r="X14" s="8">
        <v>2612.9222879999998</v>
      </c>
      <c r="Y14" s="8"/>
    </row>
    <row r="15" spans="1:26" x14ac:dyDescent="0.2">
      <c r="A15" s="2">
        <v>11</v>
      </c>
      <c r="B15" s="2" t="s">
        <v>9</v>
      </c>
      <c r="C15" s="8">
        <v>28.551276200759968</v>
      </c>
      <c r="D15" s="8">
        <v>24.540188516440999</v>
      </c>
      <c r="E15" s="8">
        <v>4.9143933069020003</v>
      </c>
      <c r="F15" s="8">
        <v>7.4193803107340006</v>
      </c>
      <c r="G15" s="8">
        <v>45.663436708409996</v>
      </c>
      <c r="H15" s="8">
        <v>27.298641934620008</v>
      </c>
      <c r="I15" s="8">
        <v>40.231521716949956</v>
      </c>
      <c r="J15" s="8">
        <v>20.883163282930013</v>
      </c>
      <c r="K15" s="8">
        <v>50.926092352559976</v>
      </c>
      <c r="L15" s="8">
        <v>36.534184421469988</v>
      </c>
      <c r="M15" s="8">
        <v>153.16016578743003</v>
      </c>
      <c r="N15" s="8">
        <v>174.16624310620023</v>
      </c>
      <c r="O15" s="8">
        <v>1008.3153986175693</v>
      </c>
      <c r="P15" s="8">
        <v>1405.5464404055492</v>
      </c>
      <c r="Q15" s="8">
        <v>2069.5913239904112</v>
      </c>
      <c r="R15" s="8">
        <v>2193.4654520948002</v>
      </c>
      <c r="S15" s="8">
        <v>1765.9320789999999</v>
      </c>
      <c r="T15" s="8">
        <v>2135.511356</v>
      </c>
      <c r="U15" s="8">
        <v>880.55459299999995</v>
      </c>
      <c r="V15" s="8">
        <v>1363.783678</v>
      </c>
      <c r="W15" s="8">
        <v>1821.86933312</v>
      </c>
      <c r="X15" s="8">
        <v>1907.0341558499999</v>
      </c>
      <c r="Y15" s="8"/>
    </row>
    <row r="16" spans="1:26" x14ac:dyDescent="0.2">
      <c r="A16" s="2">
        <v>12</v>
      </c>
      <c r="B16" s="2" t="s">
        <v>10</v>
      </c>
      <c r="C16" s="8">
        <v>57.888393645219018</v>
      </c>
      <c r="D16" s="8">
        <v>21.065028143220005</v>
      </c>
      <c r="E16" s="8">
        <v>7.3393679355680081</v>
      </c>
      <c r="F16" s="8">
        <v>338.06084093151998</v>
      </c>
      <c r="G16" s="8">
        <v>738.80792645422093</v>
      </c>
      <c r="H16" s="8">
        <v>949.5501856103009</v>
      </c>
      <c r="I16" s="8">
        <v>943.33244961725006</v>
      </c>
      <c r="J16" s="8">
        <v>1327.3975063412297</v>
      </c>
      <c r="K16" s="8">
        <v>2174.2893814894283</v>
      </c>
      <c r="L16" s="8">
        <v>1978.8166659151912</v>
      </c>
      <c r="M16" s="8">
        <v>1641.1635907374437</v>
      </c>
      <c r="N16" s="8">
        <v>4567.8654863777501</v>
      </c>
      <c r="O16" s="8">
        <v>14436.293938809456</v>
      </c>
      <c r="P16" s="8">
        <v>4975.313686727809</v>
      </c>
      <c r="Q16" s="8">
        <v>8646.0644388009932</v>
      </c>
      <c r="R16" s="8">
        <v>6602.3216499683813</v>
      </c>
      <c r="S16" s="8">
        <v>21345.122358580316</v>
      </c>
      <c r="T16" s="8">
        <v>44027.001052948239</v>
      </c>
      <c r="U16" s="8">
        <v>59370.02737871118</v>
      </c>
      <c r="V16" s="8">
        <v>50553.722693962889</v>
      </c>
      <c r="W16" s="8">
        <v>43746.77667508</v>
      </c>
      <c r="X16" s="8">
        <v>50168.652336589003</v>
      </c>
      <c r="Y16" s="8"/>
    </row>
    <row r="17" spans="1:26" x14ac:dyDescent="0.2">
      <c r="A17" s="2">
        <v>13</v>
      </c>
      <c r="B17" s="2" t="s">
        <v>11</v>
      </c>
      <c r="C17" s="8">
        <v>63863.227369636574</v>
      </c>
      <c r="D17" s="8">
        <v>84179.315174590782</v>
      </c>
      <c r="E17" s="8">
        <v>91859.706629475113</v>
      </c>
      <c r="F17" s="8">
        <v>90545.457958751809</v>
      </c>
      <c r="G17" s="8">
        <v>92933.766491928443</v>
      </c>
      <c r="H17" s="8">
        <v>64941.663259300294</v>
      </c>
      <c r="I17" s="8">
        <v>98871.990492298384</v>
      </c>
      <c r="J17" s="8">
        <v>113773.86700558745</v>
      </c>
      <c r="K17" s="8">
        <v>106186.88359600965</v>
      </c>
      <c r="L17" s="8">
        <v>111872.71801921635</v>
      </c>
      <c r="M17" s="8">
        <v>119401.12649384285</v>
      </c>
      <c r="N17" s="8">
        <v>118221.38386736803</v>
      </c>
      <c r="O17" s="8">
        <v>159809.36267447076</v>
      </c>
      <c r="P17" s="8">
        <v>187740.27226436944</v>
      </c>
      <c r="Q17" s="8">
        <v>298593.42398769269</v>
      </c>
      <c r="R17" s="8">
        <v>448721.23133538949</v>
      </c>
      <c r="S17" s="8">
        <v>640780.2297287148</v>
      </c>
      <c r="T17" s="8">
        <v>970748.51141565421</v>
      </c>
      <c r="U17" s="8">
        <v>915337.65347885352</v>
      </c>
      <c r="V17" s="8">
        <v>1089569.2460934448</v>
      </c>
      <c r="W17" s="8">
        <v>1341014.0214365483</v>
      </c>
      <c r="X17" s="8">
        <v>1624385.045206618</v>
      </c>
      <c r="Y17" s="8"/>
    </row>
    <row r="18" spans="1:26" x14ac:dyDescent="0.2">
      <c r="A18" s="2">
        <v>14</v>
      </c>
      <c r="B18" s="2" t="s">
        <v>12</v>
      </c>
      <c r="C18" s="8">
        <v>836.39357246797761</v>
      </c>
      <c r="D18" s="8">
        <v>1002.7344656182391</v>
      </c>
      <c r="E18" s="8">
        <v>2858.1691814456217</v>
      </c>
      <c r="F18" s="8">
        <v>2866.7179514826689</v>
      </c>
      <c r="G18" s="8">
        <v>4008.3427073949342</v>
      </c>
      <c r="H18" s="8">
        <v>7102.199901328986</v>
      </c>
      <c r="I18" s="8">
        <v>6321.4299012930196</v>
      </c>
      <c r="J18" s="8">
        <v>5668.9241885115571</v>
      </c>
      <c r="K18" s="8">
        <v>9317.8424536945622</v>
      </c>
      <c r="L18" s="8">
        <v>4276.7914378369605</v>
      </c>
      <c r="M18" s="8">
        <v>7419.4964721608449</v>
      </c>
      <c r="N18" s="8">
        <v>11566.602451973522</v>
      </c>
      <c r="O18" s="8">
        <v>28798.303568190142</v>
      </c>
      <c r="P18" s="8">
        <v>12966.582962689596</v>
      </c>
      <c r="Q18" s="8">
        <v>11129.318467590856</v>
      </c>
      <c r="R18" s="8">
        <v>13483.675682863604</v>
      </c>
      <c r="S18" s="8">
        <v>20196.667325999999</v>
      </c>
      <c r="T18" s="8">
        <v>30727.111237000001</v>
      </c>
      <c r="U18" s="8">
        <v>29664.801350000002</v>
      </c>
      <c r="V18" s="8">
        <v>55893.704767000003</v>
      </c>
      <c r="W18" s="8">
        <v>96626.092097740009</v>
      </c>
      <c r="X18" s="8">
        <v>305199.56704499997</v>
      </c>
      <c r="Y18" s="8"/>
    </row>
    <row r="19" spans="1:26" x14ac:dyDescent="0.2">
      <c r="A19" s="2">
        <v>15</v>
      </c>
      <c r="B19" s="2" t="s">
        <v>13</v>
      </c>
      <c r="C19" s="8">
        <v>3107.5014181422671</v>
      </c>
      <c r="D19" s="8">
        <v>4263.3571150279449</v>
      </c>
      <c r="E19" s="8">
        <v>4865.31266928072</v>
      </c>
      <c r="F19" s="8">
        <v>5109.3135232633695</v>
      </c>
      <c r="G19" s="8">
        <v>8138.192916219321</v>
      </c>
      <c r="H19" s="8">
        <v>12620.848159080228</v>
      </c>
      <c r="I19" s="8">
        <v>16252.234482709102</v>
      </c>
      <c r="J19" s="8">
        <v>19720.600335257695</v>
      </c>
      <c r="K19" s="8">
        <v>14916.609997399397</v>
      </c>
      <c r="L19" s="8">
        <v>17185.27966623531</v>
      </c>
      <c r="M19" s="8">
        <v>23308.41185419411</v>
      </c>
      <c r="N19" s="8">
        <v>37207.010879955247</v>
      </c>
      <c r="O19" s="8">
        <v>57324.554602454664</v>
      </c>
      <c r="P19" s="8">
        <v>45028.629782476251</v>
      </c>
      <c r="Q19" s="8">
        <v>30948.083594784064</v>
      </c>
      <c r="R19" s="8">
        <v>48759.095915539394</v>
      </c>
      <c r="S19" s="8">
        <v>47570.302508000001</v>
      </c>
      <c r="T19" s="8">
        <v>55692.777760999998</v>
      </c>
      <c r="U19" s="8">
        <v>54497.980621000002</v>
      </c>
      <c r="V19" s="8">
        <v>93324.404764000006</v>
      </c>
      <c r="W19" s="8">
        <v>116903.09312492001</v>
      </c>
      <c r="X19" s="8">
        <v>147032.66880242</v>
      </c>
      <c r="Y19" s="8"/>
    </row>
    <row r="20" spans="1:26" x14ac:dyDescent="0.2">
      <c r="A20" s="2">
        <v>16</v>
      </c>
      <c r="B20" s="2" t="s">
        <v>14</v>
      </c>
      <c r="C20" s="8">
        <v>584.86129433937242</v>
      </c>
      <c r="D20" s="8">
        <v>482.28806980168105</v>
      </c>
      <c r="E20" s="8">
        <v>894.35636956359531</v>
      </c>
      <c r="F20" s="8">
        <v>1040.4640840708416</v>
      </c>
      <c r="G20" s="8">
        <v>1065.6830692144501</v>
      </c>
      <c r="H20" s="8">
        <v>3725.8601353887416</v>
      </c>
      <c r="I20" s="8">
        <v>3073.9382866573596</v>
      </c>
      <c r="J20" s="8">
        <v>6881.6029830681628</v>
      </c>
      <c r="K20" s="8">
        <v>3120.1335057172491</v>
      </c>
      <c r="L20" s="8">
        <v>2798.9990756353404</v>
      </c>
      <c r="M20" s="8">
        <v>2729.1642086073221</v>
      </c>
      <c r="N20" s="8">
        <v>30926.11626748761</v>
      </c>
      <c r="O20" s="8">
        <v>27189.827385518784</v>
      </c>
      <c r="P20" s="8">
        <v>7992.0327552116059</v>
      </c>
      <c r="Q20" s="8">
        <v>3981.3775766950089</v>
      </c>
      <c r="R20" s="8">
        <v>11073.19722431801</v>
      </c>
      <c r="S20" s="8">
        <v>19518.6802685</v>
      </c>
      <c r="T20" s="8">
        <v>7958.6928090000001</v>
      </c>
      <c r="U20" s="8">
        <v>9088.5103859999999</v>
      </c>
      <c r="V20" s="8">
        <v>16004.712297</v>
      </c>
      <c r="W20" s="8">
        <v>15750.039085310002</v>
      </c>
      <c r="X20" s="8">
        <v>23837.142163</v>
      </c>
      <c r="Y20" s="8"/>
    </row>
    <row r="21" spans="1:26" x14ac:dyDescent="0.2">
      <c r="A21" s="2">
        <v>17</v>
      </c>
      <c r="B21" s="2" t="s">
        <v>15</v>
      </c>
      <c r="C21" s="8">
        <v>19.508468832817002</v>
      </c>
      <c r="D21" s="8">
        <v>203.13682013359798</v>
      </c>
      <c r="E21" s="8">
        <v>462.01241797568593</v>
      </c>
      <c r="F21" s="8">
        <v>716.73632807963133</v>
      </c>
      <c r="G21" s="8">
        <v>1234.9423649485495</v>
      </c>
      <c r="H21" s="8">
        <v>1406.2063076174688</v>
      </c>
      <c r="I21" s="8">
        <v>2080.6965996069698</v>
      </c>
      <c r="J21" s="8">
        <v>2621.3456962064288</v>
      </c>
      <c r="K21" s="8">
        <v>2973.9960687827984</v>
      </c>
      <c r="L21" s="8">
        <v>2818.8542862677068</v>
      </c>
      <c r="M21" s="8">
        <v>3409.8019458644021</v>
      </c>
      <c r="N21" s="8">
        <v>8566.173475844118</v>
      </c>
      <c r="O21" s="8">
        <v>10623.891378317818</v>
      </c>
      <c r="P21" s="8">
        <v>11773.943180210732</v>
      </c>
      <c r="Q21" s="8">
        <v>5777.8741153219225</v>
      </c>
      <c r="R21" s="8">
        <v>7036.8546564474591</v>
      </c>
      <c r="S21" s="8">
        <v>3939.7260689999998</v>
      </c>
      <c r="T21" s="8">
        <v>12258.581883000001</v>
      </c>
      <c r="U21" s="8">
        <v>10822.157363</v>
      </c>
      <c r="V21" s="8">
        <v>20327.39857931</v>
      </c>
      <c r="W21" s="8">
        <v>28907.053904050004</v>
      </c>
      <c r="X21" s="8">
        <v>28146.823051340001</v>
      </c>
      <c r="Y21" s="8"/>
    </row>
    <row r="22" spans="1:26" ht="12.75" thickBot="1" x14ac:dyDescent="0.25">
      <c r="A22" s="10">
        <v>18</v>
      </c>
      <c r="B22" s="10" t="s">
        <v>16</v>
      </c>
      <c r="C22" s="11">
        <v>79.183097689914064</v>
      </c>
      <c r="D22" s="11">
        <v>201.68493633754494</v>
      </c>
      <c r="E22" s="11">
        <v>157.12286296628795</v>
      </c>
      <c r="F22" s="11">
        <v>443.6155217676062</v>
      </c>
      <c r="G22" s="11">
        <v>354.85899427815019</v>
      </c>
      <c r="H22" s="11">
        <v>494.43048830440983</v>
      </c>
      <c r="I22" s="11">
        <v>798.33286882945026</v>
      </c>
      <c r="J22" s="11">
        <v>2376.2368765960196</v>
      </c>
      <c r="K22" s="11">
        <v>830.68519112078047</v>
      </c>
      <c r="L22" s="11">
        <v>456.74067405720001</v>
      </c>
      <c r="M22" s="11">
        <v>595.98119512770006</v>
      </c>
      <c r="N22" s="11">
        <v>1668.3933037722807</v>
      </c>
      <c r="O22" s="11">
        <v>3741.6057802222786</v>
      </c>
      <c r="P22" s="11">
        <v>3280.9632063475724</v>
      </c>
      <c r="Q22" s="11">
        <v>3090.6346466780788</v>
      </c>
      <c r="R22" s="11">
        <v>3213.2220996427204</v>
      </c>
      <c r="S22" s="11">
        <v>3698.9184679999998</v>
      </c>
      <c r="T22" s="11">
        <v>6175.6361360000001</v>
      </c>
      <c r="U22" s="11">
        <v>4006.1712859999998</v>
      </c>
      <c r="V22" s="11">
        <v>5193.4126839999999</v>
      </c>
      <c r="W22" s="11">
        <v>8676.735975399999</v>
      </c>
      <c r="X22" s="11">
        <v>4766.3280960000002</v>
      </c>
      <c r="Y22" s="8"/>
    </row>
    <row r="23" spans="1:26" x14ac:dyDescent="0.2">
      <c r="A23" s="2" t="s">
        <v>22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6" x14ac:dyDescent="0.2">
      <c r="A24" s="2" t="s">
        <v>26</v>
      </c>
    </row>
    <row r="25" spans="1:26" x14ac:dyDescent="0.2">
      <c r="Z25" s="12"/>
    </row>
    <row r="26" spans="1:26" x14ac:dyDescent="0.2">
      <c r="Z26" s="12"/>
    </row>
  </sheetData>
  <mergeCells count="2">
    <mergeCell ref="A3:A4"/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8DE6-0539-486A-94D3-9F2B6291C54E}">
  <dimension ref="A1:Y25"/>
  <sheetViews>
    <sheetView showGridLines="0" zoomScaleNormal="100" workbookViewId="0">
      <pane xSplit="2" topLeftCell="L1" activePane="topRight" state="frozen"/>
      <selection activeCell="E1" sqref="E1"/>
      <selection pane="topRight" activeCell="M29" sqref="M29"/>
    </sheetView>
  </sheetViews>
  <sheetFormatPr defaultColWidth="9.140625" defaultRowHeight="12" x14ac:dyDescent="0.2"/>
  <cols>
    <col min="1" max="1" width="9.28515625" style="2" bestFit="1" customWidth="1"/>
    <col min="2" max="2" width="42.42578125" style="2" bestFit="1" customWidth="1"/>
    <col min="3" max="5" width="12" style="2" bestFit="1" customWidth="1"/>
    <col min="6" max="21" width="13.42578125" style="2" bestFit="1" customWidth="1"/>
    <col min="22" max="24" width="14.28515625" style="2" bestFit="1" customWidth="1"/>
    <col min="25" max="25" width="20" style="2" bestFit="1" customWidth="1"/>
    <col min="26" max="16384" width="9.140625" style="2"/>
  </cols>
  <sheetData>
    <row r="1" spans="1:25" ht="18.75" customHeight="1" x14ac:dyDescent="0.2">
      <c r="A1" s="14" t="s">
        <v>25</v>
      </c>
      <c r="B1" s="14"/>
      <c r="C1" s="14"/>
      <c r="D1" s="14"/>
      <c r="E1" s="14"/>
      <c r="F1" s="14"/>
      <c r="G1" s="14"/>
      <c r="H1" s="14"/>
      <c r="I1" s="14"/>
    </row>
    <row r="2" spans="1:25" ht="12" customHeight="1" x14ac:dyDescent="0.2">
      <c r="A2" s="13" t="s">
        <v>23</v>
      </c>
      <c r="B2" s="1"/>
      <c r="C2" s="1"/>
      <c r="D2" s="1"/>
      <c r="E2" s="1"/>
      <c r="F2" s="1"/>
      <c r="G2" s="1"/>
      <c r="H2" s="1"/>
      <c r="I2" s="1"/>
    </row>
    <row r="3" spans="1:25" ht="14.25" customHeight="1" x14ac:dyDescent="0.2">
      <c r="A3" s="15" t="s">
        <v>21</v>
      </c>
      <c r="B3" s="3" t="s">
        <v>18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5" t="s">
        <v>20</v>
      </c>
    </row>
    <row r="4" spans="1:25" ht="12.75" thickBot="1" x14ac:dyDescent="0.25">
      <c r="A4" s="16" t="s">
        <v>19</v>
      </c>
      <c r="B4" s="6" t="s">
        <v>19</v>
      </c>
      <c r="C4" s="7">
        <f t="shared" ref="C4:F4" si="0">SUM(C5:C22)</f>
        <v>440021.98753753019</v>
      </c>
      <c r="D4" s="7">
        <f t="shared" si="0"/>
        <v>689257.7372351283</v>
      </c>
      <c r="E4" s="7">
        <f t="shared" si="0"/>
        <v>851374.8331166046</v>
      </c>
      <c r="F4" s="7">
        <f t="shared" si="0"/>
        <v>1145066.2513511861</v>
      </c>
      <c r="G4" s="7">
        <f>SUM(G5:G22)</f>
        <v>1794933.1018016469</v>
      </c>
      <c r="H4" s="7">
        <f t="shared" ref="H4:X4" si="1">SUM(H5:H22)</f>
        <v>1701926.7168081922</v>
      </c>
      <c r="I4" s="7">
        <f t="shared" si="1"/>
        <v>1751015.8874987117</v>
      </c>
      <c r="J4" s="7">
        <f t="shared" si="1"/>
        <v>2123350.6061148485</v>
      </c>
      <c r="K4" s="7">
        <f t="shared" si="1"/>
        <v>2634570.9382392089</v>
      </c>
      <c r="L4" s="7">
        <f t="shared" si="1"/>
        <v>2930982.0724699222</v>
      </c>
      <c r="M4" s="7">
        <f t="shared" si="1"/>
        <v>3221010.9651321792</v>
      </c>
      <c r="N4" s="7">
        <f t="shared" si="1"/>
        <v>2731565.1802235777</v>
      </c>
      <c r="O4" s="7">
        <f t="shared" si="1"/>
        <v>2456226.0980944834</v>
      </c>
      <c r="P4" s="7">
        <f t="shared" si="1"/>
        <v>2700994.4283730546</v>
      </c>
      <c r="Q4" s="7">
        <f t="shared" si="1"/>
        <v>4102493.6242623753</v>
      </c>
      <c r="R4" s="7">
        <f t="shared" si="1"/>
        <v>5070319.045425876</v>
      </c>
      <c r="S4" s="7">
        <f t="shared" si="1"/>
        <v>5391081.5941296825</v>
      </c>
      <c r="T4" s="7">
        <f t="shared" si="1"/>
        <v>7218452.2378303818</v>
      </c>
      <c r="U4" s="7">
        <f t="shared" si="1"/>
        <v>8201836.0517559703</v>
      </c>
      <c r="V4" s="7">
        <f t="shared" si="1"/>
        <v>10740932.946871838</v>
      </c>
      <c r="W4" s="7">
        <f t="shared" si="1"/>
        <v>13070710.322006851</v>
      </c>
      <c r="X4" s="7">
        <f t="shared" si="1"/>
        <v>15346367.904345779</v>
      </c>
    </row>
    <row r="5" spans="1:25" x14ac:dyDescent="0.2">
      <c r="A5" s="2">
        <v>1</v>
      </c>
      <c r="B5" s="2" t="s">
        <v>0</v>
      </c>
      <c r="C5" s="8">
        <v>20402.863284510204</v>
      </c>
      <c r="D5" s="8">
        <v>14460.204537615478</v>
      </c>
      <c r="E5" s="8">
        <v>14434.164602786746</v>
      </c>
      <c r="F5" s="8">
        <v>16229.477367458143</v>
      </c>
      <c r="G5" s="8">
        <v>29300.19242580876</v>
      </c>
      <c r="H5" s="8">
        <v>19138.625725336573</v>
      </c>
      <c r="I5" s="8">
        <v>29095.122004319073</v>
      </c>
      <c r="J5" s="8">
        <v>36587.432847596967</v>
      </c>
      <c r="K5" s="8">
        <v>43579.465791034047</v>
      </c>
      <c r="L5" s="8">
        <v>56466.224730508788</v>
      </c>
      <c r="M5" s="8">
        <v>56455.054190661627</v>
      </c>
      <c r="N5" s="8">
        <v>62381.648656563935</v>
      </c>
      <c r="O5" s="8">
        <v>72093.218724711114</v>
      </c>
      <c r="P5" s="8">
        <v>87206.864916399427</v>
      </c>
      <c r="Q5" s="8">
        <v>156717.60870130098</v>
      </c>
      <c r="R5" s="8">
        <v>212920.40591612345</v>
      </c>
      <c r="S5" s="8">
        <v>363511.58734680997</v>
      </c>
      <c r="T5" s="8">
        <v>410678.95338999998</v>
      </c>
      <c r="U5" s="8">
        <v>422379.38370836992</v>
      </c>
      <c r="V5" s="8">
        <v>487208.62937774003</v>
      </c>
      <c r="W5" s="8">
        <v>782249.13713679009</v>
      </c>
      <c r="X5" s="8">
        <v>876718.77418159996</v>
      </c>
      <c r="Y5" s="8"/>
    </row>
    <row r="6" spans="1:25" x14ac:dyDescent="0.2">
      <c r="A6" s="2">
        <v>2</v>
      </c>
      <c r="B6" s="2" t="s">
        <v>1</v>
      </c>
      <c r="C6" s="8">
        <v>79384.831308046356</v>
      </c>
      <c r="D6" s="8">
        <v>89856.816263876346</v>
      </c>
      <c r="E6" s="8">
        <v>110850.37319496895</v>
      </c>
      <c r="F6" s="8">
        <v>124507.44466354932</v>
      </c>
      <c r="G6" s="8">
        <v>189212.81794845304</v>
      </c>
      <c r="H6" s="8">
        <v>183871.50777671215</v>
      </c>
      <c r="I6" s="8">
        <v>204575.21728814393</v>
      </c>
      <c r="J6" s="8">
        <v>285528.13606955495</v>
      </c>
      <c r="K6" s="8">
        <v>325931.20209933224</v>
      </c>
      <c r="L6" s="8">
        <v>392335.60731131921</v>
      </c>
      <c r="M6" s="8">
        <v>484820.40131940838</v>
      </c>
      <c r="N6" s="8">
        <v>452501.29882501927</v>
      </c>
      <c r="O6" s="8">
        <v>433712.3341835264</v>
      </c>
      <c r="P6" s="8">
        <v>622105.04509868775</v>
      </c>
      <c r="Q6" s="8">
        <v>726033.87177373725</v>
      </c>
      <c r="R6" s="8">
        <v>761979.57754467987</v>
      </c>
      <c r="S6" s="8">
        <v>826658.77216481988</v>
      </c>
      <c r="T6" s="8">
        <v>866743.54102499015</v>
      </c>
      <c r="U6" s="8">
        <v>1002991.6251448403</v>
      </c>
      <c r="V6" s="8">
        <v>996751.77739954984</v>
      </c>
      <c r="W6" s="8">
        <v>1317458.7309520205</v>
      </c>
      <c r="X6" s="8">
        <v>1403373.84695427</v>
      </c>
    </row>
    <row r="7" spans="1:25" x14ac:dyDescent="0.2">
      <c r="A7" s="2">
        <v>3</v>
      </c>
      <c r="B7" s="2" t="s">
        <v>2</v>
      </c>
      <c r="C7" s="8">
        <v>13500.308749755824</v>
      </c>
      <c r="D7" s="8">
        <v>15109.182267980581</v>
      </c>
      <c r="E7" s="8">
        <v>20378.865999189904</v>
      </c>
      <c r="F7" s="8">
        <v>23524.305100854133</v>
      </c>
      <c r="G7" s="8">
        <v>29858.501756359343</v>
      </c>
      <c r="H7" s="8">
        <v>31986.597537485148</v>
      </c>
      <c r="I7" s="8">
        <v>35387.41264664723</v>
      </c>
      <c r="J7" s="8">
        <v>45703.095064997069</v>
      </c>
      <c r="K7" s="8">
        <v>55668.534903903637</v>
      </c>
      <c r="L7" s="8">
        <v>64989.505516368088</v>
      </c>
      <c r="M7" s="8">
        <v>63290.605667401731</v>
      </c>
      <c r="N7" s="8">
        <v>47936.936966422429</v>
      </c>
      <c r="O7" s="8">
        <v>23019.420755497387</v>
      </c>
      <c r="P7" s="8">
        <v>32396.90444796165</v>
      </c>
      <c r="Q7" s="8">
        <v>44115.955977447353</v>
      </c>
      <c r="R7" s="8">
        <v>54118.21623754812</v>
      </c>
      <c r="S7" s="8">
        <v>70901.192018149988</v>
      </c>
      <c r="T7" s="8">
        <v>62388.590537480006</v>
      </c>
      <c r="U7" s="8">
        <v>60244.895222800005</v>
      </c>
      <c r="V7" s="8">
        <v>97005.985431769994</v>
      </c>
      <c r="W7" s="8">
        <v>113814.52928098998</v>
      </c>
      <c r="X7" s="8">
        <v>111791.30031861001</v>
      </c>
    </row>
    <row r="8" spans="1:25" x14ac:dyDescent="0.2">
      <c r="A8" s="2">
        <v>4</v>
      </c>
      <c r="B8" s="2" t="s">
        <v>17</v>
      </c>
      <c r="C8" s="8">
        <v>21688.235464058554</v>
      </c>
      <c r="D8" s="8">
        <v>36439.877406063009</v>
      </c>
      <c r="E8" s="8">
        <v>55040.52988000882</v>
      </c>
      <c r="F8" s="8">
        <v>98757.553108532535</v>
      </c>
      <c r="G8" s="8">
        <v>239716.67539113853</v>
      </c>
      <c r="H8" s="8">
        <v>143483.70019418653</v>
      </c>
      <c r="I8" s="8">
        <v>241260.51521313077</v>
      </c>
      <c r="J8" s="8">
        <v>345098.77646612405</v>
      </c>
      <c r="K8" s="8">
        <v>529807.76770407415</v>
      </c>
      <c r="L8" s="8">
        <v>546718.79098145827</v>
      </c>
      <c r="M8" s="8">
        <v>530112.16973757674</v>
      </c>
      <c r="N8" s="8">
        <v>379387.90218626789</v>
      </c>
      <c r="O8" s="8">
        <v>303196.25032286311</v>
      </c>
      <c r="P8" s="8">
        <v>321347.20131331956</v>
      </c>
      <c r="Q8" s="8">
        <v>633883.61260770448</v>
      </c>
      <c r="R8" s="8">
        <v>723294.8873025662</v>
      </c>
      <c r="S8" s="8">
        <v>535028.6882028</v>
      </c>
      <c r="T8" s="8">
        <v>1189459.6345385101</v>
      </c>
      <c r="U8" s="8">
        <v>1834207.2240657799</v>
      </c>
      <c r="V8" s="8">
        <v>2385500.7391894399</v>
      </c>
      <c r="W8" s="8">
        <v>2512406.8417154504</v>
      </c>
      <c r="X8" s="8">
        <v>2548551.98739305</v>
      </c>
    </row>
    <row r="9" spans="1:25" x14ac:dyDescent="0.2">
      <c r="A9" s="2">
        <v>5</v>
      </c>
      <c r="B9" s="2" t="s">
        <v>3</v>
      </c>
      <c r="C9" s="8">
        <v>22999.279707226051</v>
      </c>
      <c r="D9" s="8">
        <v>30168.156861604057</v>
      </c>
      <c r="E9" s="8">
        <v>43481.643575926995</v>
      </c>
      <c r="F9" s="8">
        <v>50215.882020547331</v>
      </c>
      <c r="G9" s="8">
        <v>70628.690712598182</v>
      </c>
      <c r="H9" s="8">
        <v>70198.087005349633</v>
      </c>
      <c r="I9" s="8">
        <v>77747.728393572208</v>
      </c>
      <c r="J9" s="8">
        <v>100504.09898361602</v>
      </c>
      <c r="K9" s="8">
        <v>123826.83527684175</v>
      </c>
      <c r="L9" s="8">
        <v>139097.26382882724</v>
      </c>
      <c r="M9" s="8">
        <v>151978.04932251616</v>
      </c>
      <c r="N9" s="8">
        <v>143971.23166842456</v>
      </c>
      <c r="O9" s="8">
        <v>162749.88826866538</v>
      </c>
      <c r="P9" s="8">
        <v>202987.98473724854</v>
      </c>
      <c r="Q9" s="8">
        <v>323794.48953689431</v>
      </c>
      <c r="R9" s="8">
        <v>383679.80080212042</v>
      </c>
      <c r="S9" s="8">
        <v>500203.44519367011</v>
      </c>
      <c r="T9" s="8">
        <v>626107.37832001015</v>
      </c>
      <c r="U9" s="8">
        <v>765764.55260119971</v>
      </c>
      <c r="V9" s="8">
        <v>778768.47517951985</v>
      </c>
      <c r="W9" s="8">
        <v>964765.05388222041</v>
      </c>
      <c r="X9" s="8">
        <v>1161334.7499616598</v>
      </c>
    </row>
    <row r="10" spans="1:25" x14ac:dyDescent="0.2">
      <c r="A10" s="2">
        <v>6</v>
      </c>
      <c r="B10" s="2" t="s">
        <v>4</v>
      </c>
      <c r="C10" s="8">
        <v>11749.022512668533</v>
      </c>
      <c r="D10" s="8">
        <v>17330.00611130942</v>
      </c>
      <c r="E10" s="8">
        <v>27007.435794961068</v>
      </c>
      <c r="F10" s="8">
        <v>35500.673075180457</v>
      </c>
      <c r="G10" s="8">
        <v>47076.082076120918</v>
      </c>
      <c r="H10" s="8">
        <v>50007.698191351781</v>
      </c>
      <c r="I10" s="8">
        <v>45374.409447972779</v>
      </c>
      <c r="J10" s="8">
        <v>63048.824307035051</v>
      </c>
      <c r="K10" s="8">
        <v>81526.851141987514</v>
      </c>
      <c r="L10" s="8">
        <v>93479.985417705582</v>
      </c>
      <c r="M10" s="8">
        <v>110067.77880049513</v>
      </c>
      <c r="N10" s="8">
        <v>90538.785438987499</v>
      </c>
      <c r="O10" s="8">
        <v>90914.735791075058</v>
      </c>
      <c r="P10" s="8">
        <v>109379.34117182149</v>
      </c>
      <c r="Q10" s="8">
        <v>162810.35443530951</v>
      </c>
      <c r="R10" s="8">
        <v>231587.64947294423</v>
      </c>
      <c r="S10" s="8">
        <v>281284.39570345986</v>
      </c>
      <c r="T10" s="8">
        <v>340251.20660377998</v>
      </c>
      <c r="U10" s="8">
        <v>356398.3100782698</v>
      </c>
      <c r="V10" s="8">
        <v>418640.19431298022</v>
      </c>
      <c r="W10" s="8">
        <v>588254.35073671001</v>
      </c>
      <c r="X10" s="8">
        <v>716142.97823659994</v>
      </c>
    </row>
    <row r="11" spans="1:25" x14ac:dyDescent="0.2">
      <c r="A11" s="2">
        <v>7</v>
      </c>
      <c r="B11" s="2" t="s">
        <v>5</v>
      </c>
      <c r="C11" s="8">
        <v>784.5642022949902</v>
      </c>
      <c r="D11" s="8">
        <v>1416.1899764415252</v>
      </c>
      <c r="E11" s="8">
        <v>1453.3703692215445</v>
      </c>
      <c r="F11" s="8">
        <v>1656.1386356609103</v>
      </c>
      <c r="G11" s="8">
        <v>2467.3005082226905</v>
      </c>
      <c r="H11" s="8">
        <v>3229.7504981099087</v>
      </c>
      <c r="I11" s="8">
        <v>2706.3486704496413</v>
      </c>
      <c r="J11" s="8">
        <v>3270.8466371078548</v>
      </c>
      <c r="K11" s="8">
        <v>3343.2592656732854</v>
      </c>
      <c r="L11" s="8">
        <v>3996.9675524385452</v>
      </c>
      <c r="M11" s="8">
        <v>4558.6077118655176</v>
      </c>
      <c r="N11" s="8">
        <v>3368.9404988696419</v>
      </c>
      <c r="O11" s="8">
        <v>3153.9755565522532</v>
      </c>
      <c r="P11" s="8">
        <v>3526.6214087518388</v>
      </c>
      <c r="Q11" s="8">
        <v>4483.0945550053848</v>
      </c>
      <c r="R11" s="8">
        <v>8248.9986857232798</v>
      </c>
      <c r="S11" s="8">
        <v>5372.3452636499987</v>
      </c>
      <c r="T11" s="8">
        <v>6471.9433237600006</v>
      </c>
      <c r="U11" s="8">
        <v>10945.510927460002</v>
      </c>
      <c r="V11" s="8">
        <v>13664.890752089997</v>
      </c>
      <c r="W11" s="8">
        <v>15032.141248</v>
      </c>
      <c r="X11" s="8">
        <v>22776.949019620002</v>
      </c>
    </row>
    <row r="12" spans="1:25" x14ac:dyDescent="0.2">
      <c r="A12" s="2">
        <v>8</v>
      </c>
      <c r="B12" s="2" t="s">
        <v>6</v>
      </c>
      <c r="C12" s="8">
        <v>1811.1082272148483</v>
      </c>
      <c r="D12" s="8">
        <v>2623.6922750186154</v>
      </c>
      <c r="E12" s="8">
        <v>3013.1843133872753</v>
      </c>
      <c r="F12" s="8">
        <v>4775.5268957739518</v>
      </c>
      <c r="G12" s="8">
        <v>8611.0151332056357</v>
      </c>
      <c r="H12" s="8">
        <v>8321.1504072101379</v>
      </c>
      <c r="I12" s="8">
        <v>8120.2034514875968</v>
      </c>
      <c r="J12" s="8">
        <v>7374.2569659457404</v>
      </c>
      <c r="K12" s="8">
        <v>8534.0526097896218</v>
      </c>
      <c r="L12" s="8">
        <v>10873.969067720078</v>
      </c>
      <c r="M12" s="8">
        <v>10291.281616941538</v>
      </c>
      <c r="N12" s="8">
        <v>7156.6697958113509</v>
      </c>
      <c r="O12" s="8">
        <v>4262.1253538471747</v>
      </c>
      <c r="P12" s="8">
        <v>4831.5547294393618</v>
      </c>
      <c r="Q12" s="8">
        <v>6818.1507961746902</v>
      </c>
      <c r="R12" s="8">
        <v>8534.4967027100829</v>
      </c>
      <c r="S12" s="8">
        <v>9026.7577422300019</v>
      </c>
      <c r="T12" s="8">
        <v>14759.900550920001</v>
      </c>
      <c r="U12" s="8">
        <v>13562.8540275</v>
      </c>
      <c r="V12" s="8">
        <v>21534.130264670002</v>
      </c>
      <c r="W12" s="8">
        <v>18253.555367049998</v>
      </c>
      <c r="X12" s="8">
        <v>31792.964974049999</v>
      </c>
    </row>
    <row r="13" spans="1:25" x14ac:dyDescent="0.2">
      <c r="A13" s="2">
        <v>9</v>
      </c>
      <c r="B13" s="2" t="s">
        <v>7</v>
      </c>
      <c r="C13" s="8">
        <v>6629.3500959966805</v>
      </c>
      <c r="D13" s="8">
        <v>9623.9100945467671</v>
      </c>
      <c r="E13" s="8">
        <v>10899.298596879156</v>
      </c>
      <c r="F13" s="8">
        <v>13115.392480586819</v>
      </c>
      <c r="G13" s="8">
        <v>18741.798996078389</v>
      </c>
      <c r="H13" s="8">
        <v>20953.759111408461</v>
      </c>
      <c r="I13" s="8">
        <v>22808.388699877898</v>
      </c>
      <c r="J13" s="8">
        <v>30567.453068274957</v>
      </c>
      <c r="K13" s="8">
        <v>33868.592438614462</v>
      </c>
      <c r="L13" s="8">
        <v>40836.932179098818</v>
      </c>
      <c r="M13" s="8">
        <v>36195.284463609147</v>
      </c>
      <c r="N13" s="8">
        <v>30613.420623449889</v>
      </c>
      <c r="O13" s="8">
        <v>30975.3850163692</v>
      </c>
      <c r="P13" s="8">
        <v>40247.723141157068</v>
      </c>
      <c r="Q13" s="8">
        <v>72263.710326851113</v>
      </c>
      <c r="R13" s="8">
        <v>173244.72958931664</v>
      </c>
      <c r="S13" s="8">
        <v>167230.25637387001</v>
      </c>
      <c r="T13" s="8">
        <v>197336.58329347003</v>
      </c>
      <c r="U13" s="8">
        <v>232526.35465985996</v>
      </c>
      <c r="V13" s="8">
        <v>249550.38131746996</v>
      </c>
      <c r="W13" s="8">
        <v>287300.18888623</v>
      </c>
      <c r="X13" s="8">
        <v>403016.20126320998</v>
      </c>
    </row>
    <row r="14" spans="1:25" x14ac:dyDescent="0.2">
      <c r="A14" s="2">
        <v>10</v>
      </c>
      <c r="B14" s="2" t="s">
        <v>8</v>
      </c>
      <c r="C14" s="8">
        <v>7958.346032444374</v>
      </c>
      <c r="D14" s="8">
        <v>10445.399267171919</v>
      </c>
      <c r="E14" s="8">
        <v>13470.565448491867</v>
      </c>
      <c r="F14" s="8">
        <v>14597.350874747721</v>
      </c>
      <c r="G14" s="8">
        <v>18392.052159747807</v>
      </c>
      <c r="H14" s="8">
        <v>20295.222729935573</v>
      </c>
      <c r="I14" s="8">
        <v>18592.034230589405</v>
      </c>
      <c r="J14" s="8">
        <v>20499.041568034147</v>
      </c>
      <c r="K14" s="8">
        <v>24106.934561299775</v>
      </c>
      <c r="L14" s="8">
        <v>29851.458953432</v>
      </c>
      <c r="M14" s="8">
        <v>32880.020079057926</v>
      </c>
      <c r="N14" s="8">
        <v>27234.301973668815</v>
      </c>
      <c r="O14" s="8">
        <v>21454.824515370059</v>
      </c>
      <c r="P14" s="8">
        <v>44560.947181712989</v>
      </c>
      <c r="Q14" s="8">
        <v>59288.076592109559</v>
      </c>
      <c r="R14" s="8">
        <v>76936.65907705159</v>
      </c>
      <c r="S14" s="8">
        <v>106781.43875440002</v>
      </c>
      <c r="T14" s="8">
        <v>226648.01013476998</v>
      </c>
      <c r="U14" s="8">
        <v>162280.22333951999</v>
      </c>
      <c r="V14" s="8">
        <v>172819.43425598001</v>
      </c>
      <c r="W14" s="8">
        <v>145283.12660334999</v>
      </c>
      <c r="X14" s="8">
        <v>197820.14644639997</v>
      </c>
    </row>
    <row r="15" spans="1:25" x14ac:dyDescent="0.2">
      <c r="A15" s="2">
        <v>11</v>
      </c>
      <c r="B15" s="2" t="s">
        <v>9</v>
      </c>
      <c r="C15" s="8">
        <v>7485.8493172518174</v>
      </c>
      <c r="D15" s="8">
        <v>10171.444060368953</v>
      </c>
      <c r="E15" s="8">
        <v>12688.235756330145</v>
      </c>
      <c r="F15" s="8">
        <v>14849.922983404267</v>
      </c>
      <c r="G15" s="8">
        <v>20665.660067959841</v>
      </c>
      <c r="H15" s="8">
        <v>20278.600565460434</v>
      </c>
      <c r="I15" s="8">
        <v>19748.068413142613</v>
      </c>
      <c r="J15" s="8">
        <v>23697.601719667506</v>
      </c>
      <c r="K15" s="8">
        <v>28811.871934792089</v>
      </c>
      <c r="L15" s="8">
        <v>32465.101906981272</v>
      </c>
      <c r="M15" s="8">
        <v>36708.13463996425</v>
      </c>
      <c r="N15" s="8">
        <v>30929.558988970079</v>
      </c>
      <c r="O15" s="8">
        <v>26294.528463832103</v>
      </c>
      <c r="P15" s="8">
        <v>46872.328705008724</v>
      </c>
      <c r="Q15" s="8">
        <v>46835.458376499839</v>
      </c>
      <c r="R15" s="8">
        <v>71490.808075353329</v>
      </c>
      <c r="S15" s="8">
        <v>54212.279145920009</v>
      </c>
      <c r="T15" s="8">
        <v>59271.760031530001</v>
      </c>
      <c r="U15" s="8">
        <v>95268.000525109979</v>
      </c>
      <c r="V15" s="8">
        <v>117380.61912848998</v>
      </c>
      <c r="W15" s="8">
        <v>108559.57778643999</v>
      </c>
      <c r="X15" s="8">
        <v>114671.12170711</v>
      </c>
    </row>
    <row r="16" spans="1:25" x14ac:dyDescent="0.2">
      <c r="A16" s="2">
        <v>12</v>
      </c>
      <c r="B16" s="2" t="s">
        <v>10</v>
      </c>
      <c r="C16" s="8">
        <v>10008.692991092672</v>
      </c>
      <c r="D16" s="8">
        <v>16158.630619707226</v>
      </c>
      <c r="E16" s="8">
        <v>20559.748030863542</v>
      </c>
      <c r="F16" s="8">
        <v>27612.330303144314</v>
      </c>
      <c r="G16" s="8">
        <v>46616.111488818024</v>
      </c>
      <c r="H16" s="8">
        <v>58467.012085708251</v>
      </c>
      <c r="I16" s="8">
        <v>58323.026365334241</v>
      </c>
      <c r="J16" s="8">
        <v>49285.060698338813</v>
      </c>
      <c r="K16" s="8">
        <v>56654.196618002461</v>
      </c>
      <c r="L16" s="8">
        <v>65067.390674591363</v>
      </c>
      <c r="M16" s="8">
        <v>61931.000321446823</v>
      </c>
      <c r="N16" s="8">
        <v>47857.931048171908</v>
      </c>
      <c r="O16" s="8">
        <v>37979.2674081113</v>
      </c>
      <c r="P16" s="8">
        <v>37915.323848240871</v>
      </c>
      <c r="Q16" s="8">
        <v>55559.846699256224</v>
      </c>
      <c r="R16" s="8">
        <v>69229.615119185575</v>
      </c>
      <c r="S16" s="8">
        <v>72911.269132290006</v>
      </c>
      <c r="T16" s="8">
        <v>101036.32000804001</v>
      </c>
      <c r="U16" s="8">
        <v>120628.06416656</v>
      </c>
      <c r="V16" s="8">
        <v>115515.49667852005</v>
      </c>
      <c r="W16" s="8">
        <v>123651.08031095999</v>
      </c>
      <c r="X16" s="8">
        <v>176184.79908279004</v>
      </c>
    </row>
    <row r="17" spans="1:25" x14ac:dyDescent="0.2">
      <c r="A17" s="2">
        <v>13</v>
      </c>
      <c r="B17" s="2" t="s">
        <v>11</v>
      </c>
      <c r="C17" s="8">
        <v>38.37232024408199</v>
      </c>
      <c r="D17" s="8">
        <v>70.460742439788007</v>
      </c>
      <c r="E17" s="8">
        <v>131.22351369372126</v>
      </c>
      <c r="F17" s="8">
        <v>259.09071374439924</v>
      </c>
      <c r="G17" s="8">
        <v>400.7833591028101</v>
      </c>
      <c r="H17" s="8">
        <v>312.28097339793027</v>
      </c>
      <c r="I17" s="8">
        <v>322.20324460648999</v>
      </c>
      <c r="J17" s="8">
        <v>328.78717247672012</v>
      </c>
      <c r="K17" s="8">
        <v>306.17718852900015</v>
      </c>
      <c r="L17" s="8">
        <v>545.47094060893016</v>
      </c>
      <c r="M17" s="8">
        <v>402.00427269341617</v>
      </c>
      <c r="N17" s="8">
        <v>391.08638413461881</v>
      </c>
      <c r="O17" s="8">
        <v>332.21215495180024</v>
      </c>
      <c r="P17" s="8">
        <v>279.09703522015951</v>
      </c>
      <c r="Q17" s="8">
        <v>438.54511391025028</v>
      </c>
      <c r="R17" s="8">
        <v>711.34944432517977</v>
      </c>
      <c r="S17" s="8">
        <v>1058.2979736300001</v>
      </c>
      <c r="T17" s="8">
        <v>610.63324201</v>
      </c>
      <c r="U17" s="8">
        <v>2594.95530977</v>
      </c>
      <c r="V17" s="8">
        <v>958.55419442000004</v>
      </c>
      <c r="W17" s="8">
        <v>1490.04394768</v>
      </c>
      <c r="X17" s="8">
        <v>6765.7723870299997</v>
      </c>
    </row>
    <row r="18" spans="1:25" x14ac:dyDescent="0.2">
      <c r="A18" s="2">
        <v>14</v>
      </c>
      <c r="B18" s="2" t="s">
        <v>12</v>
      </c>
      <c r="C18" s="8">
        <v>36211.898186377373</v>
      </c>
      <c r="D18" s="8">
        <v>68966.805165568541</v>
      </c>
      <c r="E18" s="8">
        <v>102298.24515638902</v>
      </c>
      <c r="F18" s="8">
        <v>126713.16040848386</v>
      </c>
      <c r="G18" s="8">
        <v>196456.28887189308</v>
      </c>
      <c r="H18" s="8">
        <v>237309.92945757962</v>
      </c>
      <c r="I18" s="8">
        <v>224199.48238545057</v>
      </c>
      <c r="J18" s="8">
        <v>198543.05331158524</v>
      </c>
      <c r="K18" s="8">
        <v>249087.98976408082</v>
      </c>
      <c r="L18" s="8">
        <v>287240.16623684118</v>
      </c>
      <c r="M18" s="8">
        <v>354024.5285433603</v>
      </c>
      <c r="N18" s="8">
        <v>327355.18039494671</v>
      </c>
      <c r="O18" s="8">
        <v>210869.02085471136</v>
      </c>
      <c r="P18" s="8">
        <v>178739.42822213774</v>
      </c>
      <c r="Q18" s="8">
        <v>250296.52909946715</v>
      </c>
      <c r="R18" s="8">
        <v>317819.48239887052</v>
      </c>
      <c r="S18" s="8">
        <v>410320.81452463998</v>
      </c>
      <c r="T18" s="8">
        <v>577649.23784997023</v>
      </c>
      <c r="U18" s="8">
        <v>521829.98038739001</v>
      </c>
      <c r="V18" s="8">
        <v>818810.75432942074</v>
      </c>
      <c r="W18" s="8">
        <v>1427248.4474236697</v>
      </c>
      <c r="X18" s="8">
        <v>1649423.1776332904</v>
      </c>
    </row>
    <row r="19" spans="1:25" x14ac:dyDescent="0.2">
      <c r="A19" s="2">
        <v>15</v>
      </c>
      <c r="B19" s="2" t="s">
        <v>13</v>
      </c>
      <c r="C19" s="8">
        <v>126831.43298824402</v>
      </c>
      <c r="D19" s="8">
        <v>237769.51865147438</v>
      </c>
      <c r="E19" s="8">
        <v>217380.88541172797</v>
      </c>
      <c r="F19" s="8">
        <v>355763.53027844691</v>
      </c>
      <c r="G19" s="8">
        <v>405985.22415218403</v>
      </c>
      <c r="H19" s="8">
        <v>435394.64598953212</v>
      </c>
      <c r="I19" s="8">
        <v>445858.63676688448</v>
      </c>
      <c r="J19" s="8">
        <v>410852.25735868741</v>
      </c>
      <c r="K19" s="8">
        <v>522824.37406156783</v>
      </c>
      <c r="L19" s="8">
        <v>573440.21396256145</v>
      </c>
      <c r="M19" s="8">
        <v>684948.12894811353</v>
      </c>
      <c r="N19" s="8">
        <v>703868.02267567522</v>
      </c>
      <c r="O19" s="8">
        <v>575028.07372669096</v>
      </c>
      <c r="P19" s="8">
        <v>584376.1092113168</v>
      </c>
      <c r="Q19" s="8">
        <v>791355.92879006325</v>
      </c>
      <c r="R19" s="8">
        <v>986305.69299843279</v>
      </c>
      <c r="S19" s="8">
        <v>1222195.8971029609</v>
      </c>
      <c r="T19" s="8">
        <v>1622885.5488985619</v>
      </c>
      <c r="U19" s="8">
        <v>1523410.2389618796</v>
      </c>
      <c r="V19" s="8">
        <v>2544570.9332255386</v>
      </c>
      <c r="W19" s="8">
        <v>3236390.0141893406</v>
      </c>
      <c r="X19" s="8">
        <v>3928080.5434924089</v>
      </c>
    </row>
    <row r="20" spans="1:25" x14ac:dyDescent="0.2">
      <c r="A20" s="2">
        <v>16</v>
      </c>
      <c r="B20" s="2" t="s">
        <v>14</v>
      </c>
      <c r="C20" s="8">
        <v>54712.070122745259</v>
      </c>
      <c r="D20" s="8">
        <v>103200.40876036903</v>
      </c>
      <c r="E20" s="8">
        <v>158525.46514425063</v>
      </c>
      <c r="F20" s="8">
        <v>179223.05070222641</v>
      </c>
      <c r="G20" s="8">
        <v>391846.49422314932</v>
      </c>
      <c r="H20" s="8">
        <v>308066.44894278963</v>
      </c>
      <c r="I20" s="8">
        <v>231438.71199487278</v>
      </c>
      <c r="J20" s="8">
        <v>408052.12708732212</v>
      </c>
      <c r="K20" s="8">
        <v>419979.55020634277</v>
      </c>
      <c r="L20" s="8">
        <v>461935.98344805144</v>
      </c>
      <c r="M20" s="8">
        <v>426679.72199134051</v>
      </c>
      <c r="N20" s="8">
        <v>171624.56678106164</v>
      </c>
      <c r="O20" s="8">
        <v>234466.70545850162</v>
      </c>
      <c r="P20" s="8">
        <v>179779.1648643167</v>
      </c>
      <c r="Q20" s="8">
        <v>564052.97101187706</v>
      </c>
      <c r="R20" s="8">
        <v>805911.27125140012</v>
      </c>
      <c r="S20" s="8">
        <v>530225.59136276005</v>
      </c>
      <c r="T20" s="8">
        <v>564523.89169040008</v>
      </c>
      <c r="U20" s="8">
        <v>746128.91324827983</v>
      </c>
      <c r="V20" s="8">
        <v>1033582.2294912899</v>
      </c>
      <c r="W20" s="8">
        <v>873431.33722413017</v>
      </c>
      <c r="X20" s="8">
        <v>1361093.8285858</v>
      </c>
    </row>
    <row r="21" spans="1:25" x14ac:dyDescent="0.2">
      <c r="A21" s="2">
        <v>17</v>
      </c>
      <c r="B21" s="2" t="s">
        <v>15</v>
      </c>
      <c r="C21" s="8">
        <v>5856.3985195432742</v>
      </c>
      <c r="D21" s="8">
        <v>9087.3227756540473</v>
      </c>
      <c r="E21" s="8">
        <v>16193.218695388618</v>
      </c>
      <c r="F21" s="8">
        <v>25921.207782241407</v>
      </c>
      <c r="G21" s="8">
        <v>27819.951585278926</v>
      </c>
      <c r="H21" s="8">
        <v>27812.819088153516</v>
      </c>
      <c r="I21" s="8">
        <v>31469.678470577088</v>
      </c>
      <c r="J21" s="8">
        <v>33813.655073841379</v>
      </c>
      <c r="K21" s="8">
        <v>40263.140760107657</v>
      </c>
      <c r="L21" s="8">
        <v>46655.462978090094</v>
      </c>
      <c r="M21" s="8">
        <v>71611.976069976256</v>
      </c>
      <c r="N21" s="8">
        <v>56236.357465236943</v>
      </c>
      <c r="O21" s="8">
        <v>48228.231227222117</v>
      </c>
      <c r="P21" s="8">
        <v>38134.75164464648</v>
      </c>
      <c r="Q21" s="8">
        <v>63370.553846567804</v>
      </c>
      <c r="R21" s="8">
        <v>79988.971888280605</v>
      </c>
      <c r="S21" s="8">
        <v>141112.28538852994</v>
      </c>
      <c r="T21" s="8">
        <v>243388.38382501007</v>
      </c>
      <c r="U21" s="8">
        <v>174082.80419322994</v>
      </c>
      <c r="V21" s="8">
        <v>307053.63540987001</v>
      </c>
      <c r="W21" s="8">
        <v>375692.67755418003</v>
      </c>
      <c r="X21" s="8">
        <v>424084.17436514999</v>
      </c>
    </row>
    <row r="22" spans="1:25" ht="12.75" thickBot="1" x14ac:dyDescent="0.25">
      <c r="A22" s="10">
        <v>18</v>
      </c>
      <c r="B22" s="10" t="s">
        <v>16</v>
      </c>
      <c r="C22" s="11">
        <v>11969.363507815271</v>
      </c>
      <c r="D22" s="11">
        <v>16359.711397918625</v>
      </c>
      <c r="E22" s="11">
        <v>23568.379632138527</v>
      </c>
      <c r="F22" s="11">
        <v>31844.213956603031</v>
      </c>
      <c r="G22" s="11">
        <v>51137.460945527804</v>
      </c>
      <c r="H22" s="11">
        <v>62798.880528484886</v>
      </c>
      <c r="I22" s="11">
        <v>53988.699811652863</v>
      </c>
      <c r="J22" s="11">
        <v>60596.101714642675</v>
      </c>
      <c r="K22" s="11">
        <v>86450.141913236192</v>
      </c>
      <c r="L22" s="11">
        <v>84985.576783320008</v>
      </c>
      <c r="M22" s="11">
        <v>104056.21743575024</v>
      </c>
      <c r="N22" s="11">
        <v>148211.33985189511</v>
      </c>
      <c r="O22" s="11">
        <v>177495.90031198508</v>
      </c>
      <c r="P22" s="11">
        <v>166308.03669566786</v>
      </c>
      <c r="Q22" s="11">
        <v>140374.8660221984</v>
      </c>
      <c r="R22" s="11">
        <v>104316.43291924403</v>
      </c>
      <c r="S22" s="11">
        <v>93046.280735089997</v>
      </c>
      <c r="T22" s="11">
        <v>108240.72056716999</v>
      </c>
      <c r="U22" s="11">
        <v>156592.16118815003</v>
      </c>
      <c r="V22" s="11">
        <v>181616.08693308002</v>
      </c>
      <c r="W22" s="11">
        <v>179429.48776163999</v>
      </c>
      <c r="X22" s="11">
        <v>212744.58834312996</v>
      </c>
    </row>
    <row r="23" spans="1:25" x14ac:dyDescent="0.2">
      <c r="A23" s="2" t="s">
        <v>22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5" x14ac:dyDescent="0.2">
      <c r="A24" s="2" t="s">
        <v>26</v>
      </c>
      <c r="Y24" s="12"/>
    </row>
    <row r="25" spans="1:25" x14ac:dyDescent="0.2"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Y25" s="12"/>
    </row>
  </sheetData>
  <mergeCells count="1">
    <mergeCell ref="A3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 Categorias de Produtos</vt:lpstr>
      <vt:lpstr>Import Categorias de Produtos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2026-03-16T13:11:25Z</dcterms:modified>
</cp:coreProperties>
</file>