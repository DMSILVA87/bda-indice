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Comércio Externo - Trimestral\"/>
    </mc:Choice>
  </mc:AlternateContent>
  <xr:revisionPtr revIDLastSave="0" documentId="13_ncr:1_{4C80FC76-56B0-4835-BE27-C0842064B01C}" xr6:coauthVersionLast="47" xr6:coauthVersionMax="47" xr10:uidLastSave="{00000000-0000-0000-0000-000000000000}"/>
  <bookViews>
    <workbookView xWindow="-120" yWindow="-120" windowWidth="29040" windowHeight="15720" tabRatio="923" activeTab="1" xr2:uid="{2E6F5516-1A9A-487D-BF24-2CC4A054C7C9}"/>
  </bookViews>
  <sheets>
    <sheet name="Export Categorias Económicas" sheetId="11" r:id="rId1"/>
    <sheet name="Import Categorias Económica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12" i="12" l="1"/>
  <c r="DH11" i="12"/>
  <c r="DH10" i="12"/>
  <c r="DH9" i="12"/>
  <c r="DH8" i="12"/>
  <c r="DH7" i="12"/>
  <c r="DH6" i="12"/>
  <c r="DC11" i="12"/>
  <c r="DC5" i="12" s="1"/>
  <c r="DC12" i="12"/>
  <c r="DC10" i="12"/>
  <c r="DC9" i="12"/>
  <c r="DC8" i="12"/>
  <c r="DC7" i="12"/>
  <c r="DC6" i="12"/>
  <c r="CX11" i="12"/>
  <c r="CX12" i="12"/>
  <c r="CX10" i="12"/>
  <c r="CX9" i="12"/>
  <c r="CX8" i="12"/>
  <c r="CX7" i="12"/>
  <c r="CX6" i="12"/>
  <c r="CS12" i="12"/>
  <c r="CS8" i="12"/>
  <c r="CN12" i="12"/>
  <c r="CN9" i="12"/>
  <c r="CS11" i="12"/>
  <c r="CS10" i="12"/>
  <c r="CS9" i="12"/>
  <c r="CS7" i="12"/>
  <c r="CS6" i="12"/>
  <c r="CN10" i="12"/>
  <c r="CN6" i="12"/>
  <c r="CN11" i="12"/>
  <c r="CN8" i="12"/>
  <c r="CN7" i="12"/>
  <c r="CI12" i="12"/>
  <c r="CI11" i="12"/>
  <c r="CI10" i="12"/>
  <c r="CI9" i="12"/>
  <c r="CI8" i="12"/>
  <c r="CI7" i="12"/>
  <c r="CI6" i="12"/>
  <c r="CI5" i="12"/>
  <c r="CD11" i="12"/>
  <c r="CD5" i="12" s="1"/>
  <c r="CD12" i="12"/>
  <c r="CD10" i="12"/>
  <c r="CD9" i="12"/>
  <c r="CD8" i="12"/>
  <c r="CD7" i="12"/>
  <c r="CD6" i="12"/>
  <c r="BY10" i="12"/>
  <c r="BY5" i="12" s="1"/>
  <c r="BY12" i="12"/>
  <c r="BY11" i="12"/>
  <c r="BY9" i="12"/>
  <c r="BY8" i="12"/>
  <c r="BY7" i="12"/>
  <c r="BY6" i="12"/>
  <c r="BT9" i="12"/>
  <c r="BT12" i="12"/>
  <c r="BT11" i="12"/>
  <c r="BT10" i="12"/>
  <c r="BT8" i="12"/>
  <c r="BT7" i="12"/>
  <c r="BT6" i="12"/>
  <c r="BT5" i="12"/>
  <c r="BO12" i="12"/>
  <c r="BO9" i="12"/>
  <c r="BO11" i="12"/>
  <c r="BO10" i="12"/>
  <c r="BO8" i="12"/>
  <c r="BO7" i="12"/>
  <c r="BO6" i="12"/>
  <c r="BJ9" i="12"/>
  <c r="BJ5" i="12"/>
  <c r="BJ12" i="12"/>
  <c r="BJ11" i="12"/>
  <c r="BJ10" i="12"/>
  <c r="BJ8" i="12"/>
  <c r="BJ7" i="12"/>
  <c r="BJ6" i="12"/>
  <c r="BE8" i="12"/>
  <c r="BE5" i="12" s="1"/>
  <c r="BE12" i="12"/>
  <c r="BE11" i="12"/>
  <c r="BE10" i="12"/>
  <c r="BE9" i="12"/>
  <c r="BE7" i="12"/>
  <c r="BE6" i="12"/>
  <c r="AZ12" i="12"/>
  <c r="AZ11" i="12"/>
  <c r="AZ10" i="12"/>
  <c r="AZ9" i="12"/>
  <c r="AZ8" i="12"/>
  <c r="AZ5" i="12" s="1"/>
  <c r="AZ7" i="12"/>
  <c r="AZ6" i="12"/>
  <c r="AU12" i="12"/>
  <c r="AU11" i="12"/>
  <c r="AU10" i="12"/>
  <c r="AU9" i="12"/>
  <c r="AU8" i="12"/>
  <c r="AU7" i="12"/>
  <c r="AU6" i="12"/>
  <c r="AP12" i="12"/>
  <c r="AP8" i="12"/>
  <c r="AP7" i="12"/>
  <c r="AP11" i="12"/>
  <c r="AP10" i="12"/>
  <c r="AP9" i="12"/>
  <c r="AP6" i="12"/>
  <c r="AK8" i="12"/>
  <c r="AK5" i="12"/>
  <c r="AK12" i="12"/>
  <c r="AK11" i="12"/>
  <c r="AK10" i="12"/>
  <c r="AK9" i="12"/>
  <c r="AK7" i="12"/>
  <c r="AK6" i="12"/>
  <c r="AF10" i="12"/>
  <c r="AF9" i="12"/>
  <c r="AF8" i="12"/>
  <c r="AF7" i="12"/>
  <c r="AF6" i="12"/>
  <c r="AF12" i="12"/>
  <c r="AF11" i="12"/>
  <c r="AA8" i="12"/>
  <c r="AA5" i="12" s="1"/>
  <c r="AA12" i="12"/>
  <c r="AA11" i="12"/>
  <c r="AA10" i="12"/>
  <c r="AA9" i="12"/>
  <c r="AA7" i="12"/>
  <c r="AA6" i="12"/>
  <c r="V11" i="12"/>
  <c r="V7" i="12"/>
  <c r="V5" i="12"/>
  <c r="V12" i="12"/>
  <c r="V10" i="12"/>
  <c r="V9" i="12"/>
  <c r="V8" i="12"/>
  <c r="V6" i="12"/>
  <c r="Q7" i="12"/>
  <c r="Q5" i="12" s="1"/>
  <c r="Q12" i="12"/>
  <c r="Q11" i="12"/>
  <c r="Q10" i="12"/>
  <c r="Q9" i="12"/>
  <c r="Q8" i="12"/>
  <c r="Q6" i="12"/>
  <c r="L6" i="12"/>
  <c r="L5" i="12"/>
  <c r="L12" i="12"/>
  <c r="L11" i="12"/>
  <c r="L10" i="12"/>
  <c r="L9" i="12"/>
  <c r="L8" i="12"/>
  <c r="L7" i="12"/>
  <c r="G12" i="12"/>
  <c r="G11" i="12"/>
  <c r="G10" i="12"/>
  <c r="G9" i="12"/>
  <c r="G8" i="12"/>
  <c r="G7" i="12"/>
  <c r="G6" i="12"/>
  <c r="G6" i="11"/>
  <c r="L12" i="11"/>
  <c r="L6" i="11"/>
  <c r="Q12" i="11"/>
  <c r="Q6" i="11"/>
  <c r="V6" i="11"/>
  <c r="AA6" i="11"/>
  <c r="AF6" i="11"/>
  <c r="AK6" i="11"/>
  <c r="AP6" i="11"/>
  <c r="AU6" i="11"/>
  <c r="AZ6" i="11"/>
  <c r="BE6" i="11"/>
  <c r="BJ12" i="11"/>
  <c r="BJ6" i="11"/>
  <c r="BO12" i="11"/>
  <c r="BO7" i="11"/>
  <c r="BO6" i="11"/>
  <c r="BT12" i="11"/>
  <c r="BT6" i="11"/>
  <c r="BY12" i="11"/>
  <c r="BY6" i="11"/>
  <c r="CD12" i="11"/>
  <c r="CD7" i="11"/>
  <c r="CD6" i="11"/>
  <c r="CI12" i="11"/>
  <c r="CI5" i="11" s="1"/>
  <c r="CI6" i="11"/>
  <c r="CN6" i="11"/>
  <c r="CS6" i="11"/>
  <c r="CX12" i="11"/>
  <c r="CX11" i="11"/>
  <c r="CX10" i="11"/>
  <c r="CX9" i="11"/>
  <c r="CX8" i="11"/>
  <c r="CX7" i="11"/>
  <c r="CX6" i="11"/>
  <c r="DC12" i="11"/>
  <c r="DC11" i="11"/>
  <c r="DC10" i="11"/>
  <c r="DC9" i="11"/>
  <c r="DC8" i="11"/>
  <c r="DC7" i="11"/>
  <c r="DC6" i="11"/>
  <c r="DH12" i="11"/>
  <c r="DH11" i="11"/>
  <c r="DH10" i="11"/>
  <c r="DH9" i="11"/>
  <c r="DH8" i="11"/>
  <c r="DH7" i="11"/>
  <c r="DH6" i="11"/>
  <c r="DH5" i="12" l="1"/>
  <c r="CX5" i="12"/>
  <c r="CS5" i="12"/>
  <c r="CN5" i="12"/>
  <c r="BO5" i="12"/>
  <c r="AU5" i="12"/>
  <c r="AP5" i="12"/>
  <c r="AF5" i="12"/>
  <c r="G5" i="12"/>
  <c r="BJ5" i="11"/>
  <c r="DH5" i="11"/>
  <c r="DC5" i="11"/>
  <c r="CX5" i="11"/>
  <c r="CS12" i="11"/>
  <c r="CS11" i="11"/>
  <c r="CS10" i="11"/>
  <c r="CS9" i="11"/>
  <c r="CS8" i="11"/>
  <c r="CS7" i="11"/>
  <c r="CS5" i="11"/>
  <c r="CN12" i="11"/>
  <c r="CN11" i="11"/>
  <c r="CN10" i="11"/>
  <c r="CN9" i="11"/>
  <c r="CN8" i="11"/>
  <c r="CN7" i="11"/>
  <c r="CN5" i="11"/>
  <c r="CI11" i="11"/>
  <c r="CI10" i="11"/>
  <c r="CI9" i="11"/>
  <c r="CI8" i="11"/>
  <c r="CI7" i="11"/>
  <c r="CD11" i="11"/>
  <c r="CD10" i="11"/>
  <c r="CD9" i="11"/>
  <c r="CD8" i="11"/>
  <c r="CD5" i="11" s="1"/>
  <c r="BY11" i="11"/>
  <c r="BY10" i="11"/>
  <c r="BY9" i="11"/>
  <c r="BY8" i="11"/>
  <c r="BY7" i="11"/>
  <c r="BY5" i="11"/>
  <c r="BT11" i="11"/>
  <c r="BT10" i="11"/>
  <c r="BT9" i="11"/>
  <c r="BT8" i="11"/>
  <c r="BT7" i="11"/>
  <c r="BT5" i="11"/>
  <c r="BO11" i="11"/>
  <c r="BO10" i="11"/>
  <c r="BO9" i="11"/>
  <c r="BO8" i="11"/>
  <c r="BO5" i="11"/>
  <c r="BJ11" i="11"/>
  <c r="BJ10" i="11"/>
  <c r="BJ9" i="11"/>
  <c r="BJ8" i="11"/>
  <c r="BJ7" i="11"/>
  <c r="BE12" i="11"/>
  <c r="BE11" i="11"/>
  <c r="BE10" i="11"/>
  <c r="BE9" i="11"/>
  <c r="BE8" i="11"/>
  <c r="BE5" i="11" s="1"/>
  <c r="BE7" i="11"/>
  <c r="AZ12" i="11"/>
  <c r="AZ11" i="11"/>
  <c r="AZ10" i="11"/>
  <c r="AZ9" i="11"/>
  <c r="AZ8" i="11"/>
  <c r="AZ5" i="11" s="1"/>
  <c r="AZ7" i="11"/>
  <c r="AU12" i="11"/>
  <c r="AU11" i="11"/>
  <c r="AU10" i="11"/>
  <c r="AU9" i="11"/>
  <c r="AU8" i="11"/>
  <c r="AU7" i="11"/>
  <c r="AU5" i="11"/>
  <c r="AP12" i="11"/>
  <c r="AP11" i="11"/>
  <c r="AP10" i="11"/>
  <c r="AP9" i="11"/>
  <c r="AP8" i="11"/>
  <c r="AP5" i="11" s="1"/>
  <c r="AP7" i="11"/>
  <c r="AK12" i="11"/>
  <c r="AK11" i="11"/>
  <c r="AK10" i="11"/>
  <c r="AK9" i="11"/>
  <c r="AK8" i="11"/>
  <c r="AK7" i="11"/>
  <c r="AK5" i="11"/>
  <c r="AF12" i="11"/>
  <c r="AF11" i="11"/>
  <c r="AF10" i="11"/>
  <c r="AF9" i="11"/>
  <c r="AF8" i="11"/>
  <c r="AF7" i="11"/>
  <c r="AF5" i="11"/>
  <c r="AA12" i="11"/>
  <c r="AA11" i="11"/>
  <c r="AA10" i="11"/>
  <c r="AA9" i="11"/>
  <c r="AA8" i="11"/>
  <c r="AA7" i="11"/>
  <c r="AA5" i="11"/>
  <c r="V12" i="11"/>
  <c r="V11" i="11"/>
  <c r="V10" i="11"/>
  <c r="V9" i="11"/>
  <c r="V8" i="11"/>
  <c r="V7" i="11"/>
  <c r="Q11" i="11"/>
  <c r="Q10" i="11"/>
  <c r="Q9" i="11"/>
  <c r="Q8" i="11"/>
  <c r="Q7" i="11"/>
  <c r="L11" i="11"/>
  <c r="L10" i="11"/>
  <c r="L9" i="11"/>
  <c r="L8" i="11"/>
  <c r="L7" i="11"/>
  <c r="G7" i="11"/>
  <c r="G8" i="11"/>
  <c r="G9" i="11"/>
  <c r="G10" i="11"/>
  <c r="G11" i="11"/>
  <c r="G12" i="11"/>
  <c r="C5" i="12"/>
  <c r="D5" i="12"/>
  <c r="E5" i="12"/>
  <c r="F5" i="12"/>
  <c r="H5" i="12"/>
  <c r="I5" i="12"/>
  <c r="J5" i="12"/>
  <c r="K5" i="12"/>
  <c r="M5" i="12"/>
  <c r="N5" i="12"/>
  <c r="O5" i="12"/>
  <c r="P5" i="12"/>
  <c r="R5" i="12"/>
  <c r="S5" i="12"/>
  <c r="T5" i="12"/>
  <c r="U5" i="12"/>
  <c r="S5" i="11"/>
  <c r="U5" i="11"/>
  <c r="P5" i="11"/>
  <c r="M5" i="11"/>
  <c r="V5" i="11" l="1"/>
  <c r="Q5" i="11"/>
  <c r="G5" i="11"/>
  <c r="L5" i="11"/>
  <c r="C5" i="11"/>
  <c r="F5" i="11"/>
  <c r="E5" i="11"/>
  <c r="D5" i="11"/>
  <c r="H5" i="11"/>
  <c r="R5" i="11"/>
  <c r="K5" i="11"/>
  <c r="I5" i="11"/>
  <c r="T5" i="11"/>
  <c r="J5" i="11"/>
  <c r="O5" i="11"/>
  <c r="N5" i="11"/>
  <c r="DE5" i="12" l="1"/>
  <c r="DF5" i="12"/>
  <c r="DG5" i="12"/>
  <c r="DD5" i="12"/>
  <c r="CZ5" i="12"/>
  <c r="DA5" i="12"/>
  <c r="DB5" i="12"/>
  <c r="CY5" i="12"/>
  <c r="CU5" i="12"/>
  <c r="CV5" i="12"/>
  <c r="CW5" i="12"/>
  <c r="CT5" i="12"/>
  <c r="CP5" i="12"/>
  <c r="CQ5" i="12"/>
  <c r="CR5" i="12"/>
  <c r="CO5" i="12"/>
  <c r="CK5" i="12"/>
  <c r="CL5" i="12"/>
  <c r="CM5" i="12"/>
  <c r="CJ5" i="12"/>
  <c r="CF5" i="12"/>
  <c r="CG5" i="12"/>
  <c r="CH5" i="12"/>
  <c r="CE5" i="12"/>
  <c r="CA5" i="12"/>
  <c r="CB5" i="12"/>
  <c r="CC5" i="12"/>
  <c r="BZ5" i="12"/>
  <c r="BV5" i="12"/>
  <c r="BW5" i="12"/>
  <c r="BX5" i="12"/>
  <c r="BU5" i="12"/>
  <c r="BQ5" i="12"/>
  <c r="BR5" i="12"/>
  <c r="BS5" i="12"/>
  <c r="BP5" i="12"/>
  <c r="BL5" i="12"/>
  <c r="BM5" i="12"/>
  <c r="BN5" i="12"/>
  <c r="BK5" i="12"/>
  <c r="BG5" i="12"/>
  <c r="BH5" i="12"/>
  <c r="BI5" i="12"/>
  <c r="BF5" i="12"/>
  <c r="BB5" i="12"/>
  <c r="BC5" i="12"/>
  <c r="BD5" i="12"/>
  <c r="BA5" i="12"/>
  <c r="AW5" i="12"/>
  <c r="AX5" i="12"/>
  <c r="AY5" i="12"/>
  <c r="AV5" i="12"/>
  <c r="AR5" i="12"/>
  <c r="AS5" i="12"/>
  <c r="AT5" i="12"/>
  <c r="AQ5" i="12"/>
  <c r="AM5" i="12"/>
  <c r="AN5" i="12"/>
  <c r="AO5" i="12"/>
  <c r="AL5" i="12"/>
  <c r="AH5" i="12"/>
  <c r="AI5" i="12"/>
  <c r="AJ5" i="12"/>
  <c r="AG5" i="12"/>
  <c r="AC5" i="12"/>
  <c r="AD5" i="12"/>
  <c r="AE5" i="12"/>
  <c r="AB5" i="12"/>
  <c r="X5" i="12"/>
  <c r="Y5" i="12"/>
  <c r="Z5" i="12"/>
  <c r="W5" i="12"/>
  <c r="DE5" i="11"/>
  <c r="DF5" i="11"/>
  <c r="DG5" i="11"/>
  <c r="CZ5" i="11"/>
  <c r="DA5" i="11"/>
  <c r="DB5" i="11"/>
  <c r="CY5" i="11"/>
  <c r="CU5" i="11"/>
  <c r="CV5" i="11"/>
  <c r="CW5" i="11"/>
  <c r="CT5" i="11"/>
  <c r="CP5" i="11"/>
  <c r="CQ5" i="11"/>
  <c r="CR5" i="11"/>
  <c r="CO5" i="11"/>
  <c r="CK5" i="11"/>
  <c r="CL5" i="11"/>
  <c r="CM5" i="11"/>
  <c r="CJ5" i="11"/>
  <c r="CF5" i="11"/>
  <c r="CG5" i="11"/>
  <c r="CH5" i="11"/>
  <c r="CE5" i="11"/>
  <c r="CA5" i="11"/>
  <c r="CB5" i="11"/>
  <c r="CC5" i="11"/>
  <c r="BZ5" i="11"/>
  <c r="BV5" i="11"/>
  <c r="BW5" i="11"/>
  <c r="BX5" i="11"/>
  <c r="BU5" i="11"/>
  <c r="BL5" i="11"/>
  <c r="BM5" i="11"/>
  <c r="BN5" i="11"/>
  <c r="BK5" i="11"/>
  <c r="BG5" i="11"/>
  <c r="BH5" i="11"/>
  <c r="BI5" i="11"/>
  <c r="BF5" i="11"/>
  <c r="BB5" i="11"/>
  <c r="BC5" i="11"/>
  <c r="BD5" i="11"/>
  <c r="BA5" i="11"/>
  <c r="AW5" i="11"/>
  <c r="AX5" i="11"/>
  <c r="AY5" i="11"/>
  <c r="AV5" i="11"/>
  <c r="AR5" i="11"/>
  <c r="AS5" i="11"/>
  <c r="AT5" i="11"/>
  <c r="AQ5" i="11"/>
  <c r="AM5" i="11"/>
  <c r="AN5" i="11"/>
  <c r="AO5" i="11"/>
  <c r="AL5" i="11"/>
  <c r="AH5" i="11"/>
  <c r="AI5" i="11"/>
  <c r="AJ5" i="11"/>
  <c r="AG5" i="11"/>
  <c r="X5" i="11"/>
  <c r="Y5" i="11"/>
  <c r="Z5" i="11"/>
  <c r="AB5" i="11" l="1"/>
  <c r="AD5" i="11"/>
  <c r="AC5" i="11"/>
  <c r="AE5" i="11"/>
  <c r="BQ5" i="11"/>
  <c r="BP5" i="11"/>
  <c r="BR5" i="11"/>
  <c r="BS5" i="11"/>
  <c r="DD5" i="11"/>
  <c r="W5" i="11" l="1"/>
</calcChain>
</file>

<file path=xl/sharedStrings.xml><?xml version="1.0" encoding="utf-8"?>
<sst xmlns="http://schemas.openxmlformats.org/spreadsheetml/2006/main" count="246" uniqueCount="40">
  <si>
    <t>Descrição</t>
  </si>
  <si>
    <t>Total Geral</t>
  </si>
  <si>
    <t>CGCE</t>
  </si>
  <si>
    <t>Produtos Alimentares e Bebidas</t>
  </si>
  <si>
    <t>Fornecimentos Industriais não Especificados em Outra Categoria</t>
  </si>
  <si>
    <t>Combustíveis e Lubrificantes</t>
  </si>
  <si>
    <t>Bens de Capital (excp. Equip. de transp.), Suas Partes e Acessórios</t>
  </si>
  <si>
    <t>Equipamentos de Transporte, Suas Partes e Acessórios</t>
  </si>
  <si>
    <t>Bens Consumo Não Especificados Em Outra Categoria</t>
  </si>
  <si>
    <t>Bens Não Especificados Em Outra Categoria</t>
  </si>
  <si>
    <t>Fonte: INE, Departamento de Estatística Económica e Financeira</t>
  </si>
  <si>
    <t>I TRIM</t>
  </si>
  <si>
    <t>II TRIM</t>
  </si>
  <si>
    <t>III TRIM</t>
  </si>
  <si>
    <t>IV TRIM</t>
  </si>
  <si>
    <t>U.M.: Em milhões de kwanzas</t>
  </si>
  <si>
    <t>Quadro n.º 6 - Valores de importação de Angola por grandes categorias económicas de bens, 2004 - 2025</t>
  </si>
  <si>
    <t>Quadro n.º5 - Valores de exportação de Angola por grandes categorias económicas de bens, 2004 - 2025</t>
  </si>
  <si>
    <t>Ano
2004</t>
  </si>
  <si>
    <t>Ano
2005</t>
  </si>
  <si>
    <t>Ano
2006</t>
  </si>
  <si>
    <t>Ano
2007</t>
  </si>
  <si>
    <t>Ano
2025</t>
  </si>
  <si>
    <t>Ano
2024</t>
  </si>
  <si>
    <t>Ano
2023</t>
  </si>
  <si>
    <t>Ano
2008</t>
  </si>
  <si>
    <t>Ano
2009</t>
  </si>
  <si>
    <t>Ano
2010</t>
  </si>
  <si>
    <t>Ano
2011</t>
  </si>
  <si>
    <t>Ano
2012</t>
  </si>
  <si>
    <t>Ano
2013</t>
  </si>
  <si>
    <t>Ano
2014</t>
  </si>
  <si>
    <t>Ano
2015</t>
  </si>
  <si>
    <t>Ano
2016</t>
  </si>
  <si>
    <t>Ano
2017</t>
  </si>
  <si>
    <t>Ano
2018</t>
  </si>
  <si>
    <t>Ano
2019</t>
  </si>
  <si>
    <t>Ano
2020</t>
  </si>
  <si>
    <t>Ano
2021</t>
  </si>
  <si>
    <t>Ano
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</si>
</sst>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z_-;\-* #,##0.00\ _K_z_-;_-* &quot;-&quot;??\ _K_z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164" fontId="3" fillId="0" borderId="0" xfId="0" applyNumberFormat="1" applyFont="1"/>
    <xf numFmtId="0" fontId="3" fillId="0" borderId="7" xfId="0" applyFont="1" applyBorder="1"/>
    <xf numFmtId="164" fontId="3" fillId="0" borderId="7" xfId="0" applyNumberFormat="1" applyFont="1" applyBorder="1"/>
    <xf numFmtId="43" fontId="3" fillId="0" borderId="0" xfId="1" applyFont="1" applyFill="1"/>
    <xf numFmtId="4" fontId="3" fillId="0" borderId="0" xfId="0" applyNumberFormat="1" applyFont="1"/>
    <xf numFmtId="164" fontId="4" fillId="0" borderId="6" xfId="0" applyNumberFormat="1" applyFont="1" applyBorder="1"/>
    <xf numFmtId="164" fontId="3" fillId="0" borderId="9" xfId="0" applyNumberFormat="1" applyFont="1" applyBorder="1"/>
    <xf numFmtId="0" fontId="4" fillId="0" borderId="10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14" xfId="0" applyNumberFormat="1" applyFont="1" applyBorder="1" applyAlignment="1">
      <alignment vertical="center"/>
    </xf>
    <xf numFmtId="164" fontId="4" fillId="0" borderId="15" xfId="0" applyNumberFormat="1" applyFont="1" applyBorder="1"/>
    <xf numFmtId="164" fontId="4" fillId="0" borderId="8" xfId="0" applyNumberFormat="1" applyFont="1" applyBorder="1"/>
    <xf numFmtId="164" fontId="4" fillId="0" borderId="16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</cellXfs>
  <cellStyles count="4">
    <cellStyle name="Normal" xfId="0" builtinId="0"/>
    <cellStyle name="Normal 2" xfId="2" xr:uid="{628E0FEE-ABB2-403A-9231-B3350A68AB4C}"/>
    <cellStyle name="Vírgula" xfId="1" builtinId="3"/>
    <cellStyle name="Vírgula 2" xfId="3" xr:uid="{108678A0-A6E8-4EFB-A98D-DB37B8E28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582F-6F73-4D22-B7B2-15054F06BD03}">
  <dimension ref="A1:DH16"/>
  <sheetViews>
    <sheetView showGridLines="0" zoomScaleNormal="100" workbookViewId="0">
      <pane xSplit="2" topLeftCell="CY1" activePane="topRight" state="frozen"/>
      <selection activeCell="D7" sqref="D7"/>
      <selection pane="topRight" activeCell="DD25" sqref="DD25"/>
    </sheetView>
  </sheetViews>
  <sheetFormatPr defaultRowHeight="12" x14ac:dyDescent="0.2"/>
  <cols>
    <col min="1" max="1" width="9.85546875" style="1" customWidth="1"/>
    <col min="2" max="2" width="27" style="1" customWidth="1"/>
    <col min="3" max="6" width="12" style="1" bestFit="1" customWidth="1"/>
    <col min="7" max="7" width="13.42578125" style="1" bestFit="1" customWidth="1"/>
    <col min="8" max="11" width="12" style="1" bestFit="1" customWidth="1"/>
    <col min="12" max="12" width="13.42578125" style="1" bestFit="1" customWidth="1"/>
    <col min="13" max="16" width="12" style="1" bestFit="1" customWidth="1"/>
    <col min="17" max="17" width="13.42578125" style="1" bestFit="1" customWidth="1"/>
    <col min="18" max="20" width="12" style="1" bestFit="1" customWidth="1"/>
    <col min="21" max="21" width="13.42578125" style="1" bestFit="1" customWidth="1"/>
    <col min="22" max="22" width="13.42578125" style="1" customWidth="1"/>
    <col min="23" max="26" width="15.42578125" style="1" bestFit="1" customWidth="1"/>
    <col min="27" max="27" width="15.42578125" style="1" customWidth="1"/>
    <col min="28" max="31" width="15.42578125" style="1" bestFit="1" customWidth="1"/>
    <col min="32" max="32" width="15.42578125" style="1" customWidth="1"/>
    <col min="33" max="34" width="15.42578125" style="1" bestFit="1" customWidth="1"/>
    <col min="35" max="36" width="16.42578125" style="1" bestFit="1" customWidth="1"/>
    <col min="37" max="37" width="16.42578125" style="1" customWidth="1"/>
    <col min="38" max="41" width="16.42578125" style="1" bestFit="1" customWidth="1"/>
    <col min="42" max="42" width="16.42578125" style="1" customWidth="1"/>
    <col min="43" max="43" width="16.42578125" style="1" bestFit="1" customWidth="1"/>
    <col min="44" max="107" width="16.42578125" style="1" customWidth="1"/>
    <col min="108" max="108" width="15.42578125" style="1" bestFit="1" customWidth="1"/>
    <col min="109" max="111" width="13.42578125" style="1" bestFit="1" customWidth="1"/>
    <col min="112" max="112" width="14.28515625" style="1" bestFit="1" customWidth="1"/>
    <col min="113" max="16384" width="9.140625" style="1"/>
  </cols>
  <sheetData>
    <row r="1" spans="1:112" x14ac:dyDescent="0.2">
      <c r="A1" s="2" t="s">
        <v>17</v>
      </c>
    </row>
    <row r="2" spans="1:112" x14ac:dyDescent="0.2">
      <c r="A2" s="1" t="s">
        <v>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112" ht="12" customHeight="1" x14ac:dyDescent="0.2">
      <c r="A3" s="23" t="s">
        <v>2</v>
      </c>
      <c r="B3" s="26" t="s">
        <v>0</v>
      </c>
      <c r="C3" s="20">
        <v>2004</v>
      </c>
      <c r="D3" s="20"/>
      <c r="E3" s="20"/>
      <c r="F3" s="28"/>
      <c r="G3" s="21" t="s">
        <v>18</v>
      </c>
      <c r="H3" s="29">
        <v>2005</v>
      </c>
      <c r="I3" s="20"/>
      <c r="J3" s="20"/>
      <c r="K3" s="20"/>
      <c r="L3" s="21" t="s">
        <v>19</v>
      </c>
      <c r="M3" s="20">
        <v>2006</v>
      </c>
      <c r="N3" s="20"/>
      <c r="O3" s="20"/>
      <c r="P3" s="20"/>
      <c r="Q3" s="21" t="s">
        <v>20</v>
      </c>
      <c r="R3" s="20">
        <v>2007</v>
      </c>
      <c r="S3" s="20"/>
      <c r="T3" s="20"/>
      <c r="U3" s="20"/>
      <c r="V3" s="21" t="s">
        <v>21</v>
      </c>
      <c r="W3" s="20">
        <v>2008</v>
      </c>
      <c r="X3" s="20"/>
      <c r="Y3" s="20"/>
      <c r="Z3" s="20"/>
      <c r="AA3" s="21" t="s">
        <v>25</v>
      </c>
      <c r="AB3" s="20">
        <v>2009</v>
      </c>
      <c r="AC3" s="20"/>
      <c r="AD3" s="20"/>
      <c r="AE3" s="20"/>
      <c r="AF3" s="21" t="s">
        <v>26</v>
      </c>
      <c r="AG3" s="20">
        <v>2010</v>
      </c>
      <c r="AH3" s="20"/>
      <c r="AI3" s="20"/>
      <c r="AJ3" s="20"/>
      <c r="AK3" s="21" t="s">
        <v>27</v>
      </c>
      <c r="AL3" s="20">
        <v>2011</v>
      </c>
      <c r="AM3" s="20"/>
      <c r="AN3" s="20"/>
      <c r="AO3" s="20"/>
      <c r="AP3" s="21" t="s">
        <v>28</v>
      </c>
      <c r="AQ3" s="20">
        <v>2012</v>
      </c>
      <c r="AR3" s="20"/>
      <c r="AS3" s="20"/>
      <c r="AT3" s="20"/>
      <c r="AU3" s="21" t="s">
        <v>29</v>
      </c>
      <c r="AV3" s="20">
        <v>2013</v>
      </c>
      <c r="AW3" s="20"/>
      <c r="AX3" s="20"/>
      <c r="AY3" s="20"/>
      <c r="AZ3" s="21" t="s">
        <v>30</v>
      </c>
      <c r="BA3" s="20">
        <v>2014</v>
      </c>
      <c r="BB3" s="20"/>
      <c r="BC3" s="20"/>
      <c r="BD3" s="20"/>
      <c r="BE3" s="21" t="s">
        <v>31</v>
      </c>
      <c r="BF3" s="20">
        <v>2015</v>
      </c>
      <c r="BG3" s="20"/>
      <c r="BH3" s="20"/>
      <c r="BI3" s="20"/>
      <c r="BJ3" s="21" t="s">
        <v>32</v>
      </c>
      <c r="BK3" s="20">
        <v>2016</v>
      </c>
      <c r="BL3" s="20"/>
      <c r="BM3" s="20"/>
      <c r="BN3" s="20"/>
      <c r="BO3" s="21" t="s">
        <v>33</v>
      </c>
      <c r="BP3" s="20">
        <v>2017</v>
      </c>
      <c r="BQ3" s="20"/>
      <c r="BR3" s="20"/>
      <c r="BS3" s="20"/>
      <c r="BT3" s="21" t="s">
        <v>34</v>
      </c>
      <c r="BU3" s="20">
        <v>2018</v>
      </c>
      <c r="BV3" s="20"/>
      <c r="BW3" s="20"/>
      <c r="BX3" s="20"/>
      <c r="BY3" s="21" t="s">
        <v>35</v>
      </c>
      <c r="BZ3" s="20">
        <v>2019</v>
      </c>
      <c r="CA3" s="20"/>
      <c r="CB3" s="20"/>
      <c r="CC3" s="20"/>
      <c r="CD3" s="21" t="s">
        <v>36</v>
      </c>
      <c r="CE3" s="20">
        <v>2020</v>
      </c>
      <c r="CF3" s="20"/>
      <c r="CG3" s="20"/>
      <c r="CH3" s="20"/>
      <c r="CI3" s="21" t="s">
        <v>37</v>
      </c>
      <c r="CJ3" s="20">
        <v>2021</v>
      </c>
      <c r="CK3" s="20"/>
      <c r="CL3" s="20"/>
      <c r="CM3" s="20"/>
      <c r="CN3" s="21" t="s">
        <v>38</v>
      </c>
      <c r="CO3" s="20">
        <v>2022</v>
      </c>
      <c r="CP3" s="20"/>
      <c r="CQ3" s="20"/>
      <c r="CR3" s="20"/>
      <c r="CS3" s="21" t="s">
        <v>39</v>
      </c>
      <c r="CT3" s="20">
        <v>2023</v>
      </c>
      <c r="CU3" s="20"/>
      <c r="CV3" s="20"/>
      <c r="CW3" s="20"/>
      <c r="CX3" s="21" t="s">
        <v>24</v>
      </c>
      <c r="CY3" s="20">
        <v>2024</v>
      </c>
      <c r="CZ3" s="20"/>
      <c r="DA3" s="20"/>
      <c r="DB3" s="20"/>
      <c r="DC3" s="21" t="s">
        <v>23</v>
      </c>
      <c r="DD3" s="20">
        <v>2025</v>
      </c>
      <c r="DE3" s="20"/>
      <c r="DF3" s="20"/>
      <c r="DG3" s="20"/>
      <c r="DH3" s="21" t="s">
        <v>22</v>
      </c>
    </row>
    <row r="4" spans="1:112" x14ac:dyDescent="0.2">
      <c r="A4" s="24"/>
      <c r="B4" s="27"/>
      <c r="C4" s="3" t="s">
        <v>11</v>
      </c>
      <c r="D4" s="3" t="s">
        <v>12</v>
      </c>
      <c r="E4" s="3" t="s">
        <v>13</v>
      </c>
      <c r="F4" s="15" t="s">
        <v>14</v>
      </c>
      <c r="G4" s="22"/>
      <c r="H4" s="14" t="s">
        <v>11</v>
      </c>
      <c r="I4" s="3" t="s">
        <v>12</v>
      </c>
      <c r="J4" s="3" t="s">
        <v>13</v>
      </c>
      <c r="K4" s="3" t="s">
        <v>14</v>
      </c>
      <c r="L4" s="22"/>
      <c r="M4" s="3" t="s">
        <v>11</v>
      </c>
      <c r="N4" s="3" t="s">
        <v>12</v>
      </c>
      <c r="O4" s="3" t="s">
        <v>13</v>
      </c>
      <c r="P4" s="3" t="s">
        <v>14</v>
      </c>
      <c r="Q4" s="22"/>
      <c r="R4" s="3" t="s">
        <v>11</v>
      </c>
      <c r="S4" s="3" t="s">
        <v>12</v>
      </c>
      <c r="T4" s="3" t="s">
        <v>13</v>
      </c>
      <c r="U4" s="3" t="s">
        <v>14</v>
      </c>
      <c r="V4" s="22"/>
      <c r="W4" s="3" t="s">
        <v>11</v>
      </c>
      <c r="X4" s="3" t="s">
        <v>12</v>
      </c>
      <c r="Y4" s="3" t="s">
        <v>13</v>
      </c>
      <c r="Z4" s="3" t="s">
        <v>14</v>
      </c>
      <c r="AA4" s="22"/>
      <c r="AB4" s="3" t="s">
        <v>11</v>
      </c>
      <c r="AC4" s="3" t="s">
        <v>12</v>
      </c>
      <c r="AD4" s="3" t="s">
        <v>13</v>
      </c>
      <c r="AE4" s="3" t="s">
        <v>14</v>
      </c>
      <c r="AF4" s="22"/>
      <c r="AG4" s="3" t="s">
        <v>11</v>
      </c>
      <c r="AH4" s="3" t="s">
        <v>12</v>
      </c>
      <c r="AI4" s="3" t="s">
        <v>13</v>
      </c>
      <c r="AJ4" s="3" t="s">
        <v>14</v>
      </c>
      <c r="AK4" s="22"/>
      <c r="AL4" s="3" t="s">
        <v>11</v>
      </c>
      <c r="AM4" s="3" t="s">
        <v>12</v>
      </c>
      <c r="AN4" s="3" t="s">
        <v>13</v>
      </c>
      <c r="AO4" s="3" t="s">
        <v>14</v>
      </c>
      <c r="AP4" s="22"/>
      <c r="AQ4" s="3" t="s">
        <v>11</v>
      </c>
      <c r="AR4" s="3" t="s">
        <v>12</v>
      </c>
      <c r="AS4" s="3" t="s">
        <v>13</v>
      </c>
      <c r="AT4" s="3" t="s">
        <v>14</v>
      </c>
      <c r="AU4" s="22"/>
      <c r="AV4" s="3" t="s">
        <v>11</v>
      </c>
      <c r="AW4" s="3" t="s">
        <v>12</v>
      </c>
      <c r="AX4" s="3" t="s">
        <v>13</v>
      </c>
      <c r="AY4" s="3" t="s">
        <v>14</v>
      </c>
      <c r="AZ4" s="22"/>
      <c r="BA4" s="3" t="s">
        <v>11</v>
      </c>
      <c r="BB4" s="3" t="s">
        <v>12</v>
      </c>
      <c r="BC4" s="3" t="s">
        <v>13</v>
      </c>
      <c r="BD4" s="3" t="s">
        <v>14</v>
      </c>
      <c r="BE4" s="22"/>
      <c r="BF4" s="3" t="s">
        <v>11</v>
      </c>
      <c r="BG4" s="3" t="s">
        <v>12</v>
      </c>
      <c r="BH4" s="3" t="s">
        <v>13</v>
      </c>
      <c r="BI4" s="3" t="s">
        <v>14</v>
      </c>
      <c r="BJ4" s="22"/>
      <c r="BK4" s="3" t="s">
        <v>11</v>
      </c>
      <c r="BL4" s="3" t="s">
        <v>12</v>
      </c>
      <c r="BM4" s="3" t="s">
        <v>13</v>
      </c>
      <c r="BN4" s="3" t="s">
        <v>14</v>
      </c>
      <c r="BO4" s="22"/>
      <c r="BP4" s="3" t="s">
        <v>11</v>
      </c>
      <c r="BQ4" s="3" t="s">
        <v>12</v>
      </c>
      <c r="BR4" s="3" t="s">
        <v>13</v>
      </c>
      <c r="BS4" s="3" t="s">
        <v>14</v>
      </c>
      <c r="BT4" s="22"/>
      <c r="BU4" s="3" t="s">
        <v>11</v>
      </c>
      <c r="BV4" s="3" t="s">
        <v>12</v>
      </c>
      <c r="BW4" s="3" t="s">
        <v>13</v>
      </c>
      <c r="BX4" s="3" t="s">
        <v>14</v>
      </c>
      <c r="BY4" s="22"/>
      <c r="BZ4" s="3" t="s">
        <v>11</v>
      </c>
      <c r="CA4" s="3" t="s">
        <v>12</v>
      </c>
      <c r="CB4" s="3" t="s">
        <v>13</v>
      </c>
      <c r="CC4" s="3" t="s">
        <v>14</v>
      </c>
      <c r="CD4" s="22"/>
      <c r="CE4" s="3" t="s">
        <v>11</v>
      </c>
      <c r="CF4" s="3" t="s">
        <v>12</v>
      </c>
      <c r="CG4" s="3" t="s">
        <v>13</v>
      </c>
      <c r="CH4" s="3" t="s">
        <v>14</v>
      </c>
      <c r="CI4" s="22"/>
      <c r="CJ4" s="3" t="s">
        <v>11</v>
      </c>
      <c r="CK4" s="3" t="s">
        <v>12</v>
      </c>
      <c r="CL4" s="3" t="s">
        <v>13</v>
      </c>
      <c r="CM4" s="3" t="s">
        <v>14</v>
      </c>
      <c r="CN4" s="22"/>
      <c r="CO4" s="3" t="s">
        <v>11</v>
      </c>
      <c r="CP4" s="3" t="s">
        <v>12</v>
      </c>
      <c r="CQ4" s="3" t="s">
        <v>13</v>
      </c>
      <c r="CR4" s="3" t="s">
        <v>14</v>
      </c>
      <c r="CS4" s="22"/>
      <c r="CT4" s="3" t="s">
        <v>11</v>
      </c>
      <c r="CU4" s="3" t="s">
        <v>12</v>
      </c>
      <c r="CV4" s="3" t="s">
        <v>13</v>
      </c>
      <c r="CW4" s="3" t="s">
        <v>14</v>
      </c>
      <c r="CX4" s="22"/>
      <c r="CY4" s="3" t="s">
        <v>11</v>
      </c>
      <c r="CZ4" s="3" t="s">
        <v>12</v>
      </c>
      <c r="DA4" s="3" t="s">
        <v>13</v>
      </c>
      <c r="DB4" s="3" t="s">
        <v>14</v>
      </c>
      <c r="DC4" s="22"/>
      <c r="DD4" s="3" t="s">
        <v>11</v>
      </c>
      <c r="DE4" s="3" t="s">
        <v>12</v>
      </c>
      <c r="DF4" s="3" t="s">
        <v>13</v>
      </c>
      <c r="DG4" s="3" t="s">
        <v>14</v>
      </c>
      <c r="DH4" s="22"/>
    </row>
    <row r="5" spans="1:112" ht="12.75" thickBot="1" x14ac:dyDescent="0.25">
      <c r="A5" s="25"/>
      <c r="B5" s="4" t="s">
        <v>1</v>
      </c>
      <c r="C5" s="5">
        <f t="shared" ref="C5:U5" si="0">SUM(C6:C12)</f>
        <v>214376.55377275959</v>
      </c>
      <c r="D5" s="5">
        <f t="shared" si="0"/>
        <v>238625.68158114527</v>
      </c>
      <c r="E5" s="5">
        <f t="shared" si="0"/>
        <v>313223.52606579656</v>
      </c>
      <c r="F5" s="5">
        <f t="shared" si="0"/>
        <v>352085.92760795308</v>
      </c>
      <c r="G5" s="16">
        <f>SUM(G6:G12)</f>
        <v>1118311.6890276545</v>
      </c>
      <c r="H5" s="5">
        <f t="shared" si="0"/>
        <v>388798.73787744821</v>
      </c>
      <c r="I5" s="5">
        <f t="shared" si="0"/>
        <v>449531.01910942222</v>
      </c>
      <c r="J5" s="5">
        <f t="shared" si="0"/>
        <v>619928.03753936384</v>
      </c>
      <c r="K5" s="5">
        <f t="shared" si="0"/>
        <v>603694.57898877724</v>
      </c>
      <c r="L5" s="16">
        <f>SUM(L6:L12)</f>
        <v>2061952.373515012</v>
      </c>
      <c r="M5" s="5">
        <f t="shared" si="0"/>
        <v>597988.55151630542</v>
      </c>
      <c r="N5" s="5">
        <f t="shared" si="0"/>
        <v>658116.64441164897</v>
      </c>
      <c r="O5" s="5">
        <f t="shared" si="0"/>
        <v>694656.50258002128</v>
      </c>
      <c r="P5" s="5">
        <f t="shared" si="0"/>
        <v>607718.52747305832</v>
      </c>
      <c r="Q5" s="16">
        <f>SUM(Q6:Q12)</f>
        <v>2558480.2259810334</v>
      </c>
      <c r="R5" s="5">
        <f t="shared" si="0"/>
        <v>659786.51465731533</v>
      </c>
      <c r="S5" s="5">
        <f t="shared" si="0"/>
        <v>798538.61442083714</v>
      </c>
      <c r="T5" s="5">
        <f t="shared" si="0"/>
        <v>848466.64447476447</v>
      </c>
      <c r="U5" s="5">
        <f t="shared" si="0"/>
        <v>1093826.8399060986</v>
      </c>
      <c r="V5" s="16">
        <f>SUM(V6:V12)</f>
        <v>3400618.6134590153</v>
      </c>
      <c r="W5" s="5">
        <f t="shared" ref="W5:DE5" si="1">SUM(W6:W12)</f>
        <v>1200055.1438285955</v>
      </c>
      <c r="X5" s="5">
        <f t="shared" si="1"/>
        <v>1603893.6640609254</v>
      </c>
      <c r="Y5" s="5">
        <f t="shared" si="1"/>
        <v>1412315.3446540765</v>
      </c>
      <c r="Z5" s="5">
        <f t="shared" si="1"/>
        <v>674713.59286491084</v>
      </c>
      <c r="AA5" s="16">
        <f>SUM(AA6:AA12)</f>
        <v>4890977.745408508</v>
      </c>
      <c r="AB5" s="5">
        <f t="shared" si="1"/>
        <v>500697.98400400393</v>
      </c>
      <c r="AC5" s="5">
        <f t="shared" si="1"/>
        <v>737092.09093346866</v>
      </c>
      <c r="AD5" s="5">
        <f t="shared" si="1"/>
        <v>917866.2607337028</v>
      </c>
      <c r="AE5" s="5">
        <f t="shared" si="1"/>
        <v>1136475.2606559102</v>
      </c>
      <c r="AF5" s="16">
        <f>SUM(AF6:AF12)</f>
        <v>3292131.596327085</v>
      </c>
      <c r="AG5" s="5">
        <f t="shared" si="1"/>
        <v>1167493.1180414131</v>
      </c>
      <c r="AH5" s="5">
        <f t="shared" si="1"/>
        <v>1282224.6363262555</v>
      </c>
      <c r="AI5" s="5">
        <f t="shared" si="1"/>
        <v>1247910.3901544849</v>
      </c>
      <c r="AJ5" s="5">
        <f t="shared" si="1"/>
        <v>1184979.8858359912</v>
      </c>
      <c r="AK5" s="16">
        <f>SUM(AK6:AK12)</f>
        <v>4882608.0303581441</v>
      </c>
      <c r="AL5" s="5">
        <f t="shared" si="1"/>
        <v>1473795.8812280968</v>
      </c>
      <c r="AM5" s="5">
        <f t="shared" si="1"/>
        <v>1515690.8249650162</v>
      </c>
      <c r="AN5" s="5">
        <f t="shared" si="1"/>
        <v>1633742.232663274</v>
      </c>
      <c r="AO5" s="5">
        <f t="shared" si="1"/>
        <v>1665769.7309400346</v>
      </c>
      <c r="AP5" s="16">
        <f>SUM(AP6:AP12)</f>
        <v>6288998.6697964212</v>
      </c>
      <c r="AQ5" s="5">
        <f t="shared" si="1"/>
        <v>1862322.8405544194</v>
      </c>
      <c r="AR5" s="5">
        <f t="shared" si="1"/>
        <v>1625722.4056354186</v>
      </c>
      <c r="AS5" s="5">
        <f t="shared" si="1"/>
        <v>1615566.2424999317</v>
      </c>
      <c r="AT5" s="5">
        <f t="shared" si="1"/>
        <v>1714702.4632976146</v>
      </c>
      <c r="AU5" s="16">
        <f>SUM(AU6:AU12)</f>
        <v>6818313.9519873839</v>
      </c>
      <c r="AV5" s="5">
        <f t="shared" si="1"/>
        <v>1677684.5639684938</v>
      </c>
      <c r="AW5" s="5">
        <f t="shared" si="1"/>
        <v>1579291.8171784463</v>
      </c>
      <c r="AX5" s="5">
        <f t="shared" si="1"/>
        <v>1708127.2047060723</v>
      </c>
      <c r="AY5" s="5">
        <f t="shared" si="1"/>
        <v>1626273.6544165795</v>
      </c>
      <c r="AZ5" s="16">
        <f>SUM(AZ6:AZ12)</f>
        <v>6591377.2402695911</v>
      </c>
      <c r="BA5" s="5">
        <f t="shared" si="1"/>
        <v>1520814.7902675553</v>
      </c>
      <c r="BB5" s="5">
        <f t="shared" si="1"/>
        <v>1572718.9012179221</v>
      </c>
      <c r="BC5" s="5">
        <f t="shared" si="1"/>
        <v>1534750.1190740962</v>
      </c>
      <c r="BD5" s="5">
        <f t="shared" si="1"/>
        <v>1178197.2532693041</v>
      </c>
      <c r="BE5" s="16">
        <f>SUM(BE6:BE12)</f>
        <v>5806481.0638288772</v>
      </c>
      <c r="BF5" s="5">
        <f t="shared" si="1"/>
        <v>890113.37147204869</v>
      </c>
      <c r="BG5" s="5">
        <f t="shared" si="1"/>
        <v>1159614.4571674264</v>
      </c>
      <c r="BH5" s="5">
        <f t="shared" si="1"/>
        <v>1063141.0846580353</v>
      </c>
      <c r="BI5" s="5">
        <f t="shared" si="1"/>
        <v>923533.40316833474</v>
      </c>
      <c r="BJ5" s="16">
        <f>SUM(BJ6:BJ12)</f>
        <v>4036402.3164658444</v>
      </c>
      <c r="BK5" s="5">
        <f t="shared" si="1"/>
        <v>881993.1228004247</v>
      </c>
      <c r="BL5" s="5">
        <f t="shared" si="1"/>
        <v>1226646.4269138812</v>
      </c>
      <c r="BM5" s="5">
        <f t="shared" si="1"/>
        <v>1239504.2866879201</v>
      </c>
      <c r="BN5" s="5">
        <f t="shared" si="1"/>
        <v>1290190.5891560821</v>
      </c>
      <c r="BO5" s="16">
        <f>SUM(BO6:BO12)</f>
        <v>4638334.4255583072</v>
      </c>
      <c r="BP5" s="5">
        <f t="shared" si="1"/>
        <v>1374618.5938873044</v>
      </c>
      <c r="BQ5" s="5">
        <f t="shared" si="1"/>
        <v>1340528.396075571</v>
      </c>
      <c r="BR5" s="5">
        <f t="shared" si="1"/>
        <v>1399894.5419480267</v>
      </c>
      <c r="BS5" s="5">
        <f t="shared" si="1"/>
        <v>1723042.3190638339</v>
      </c>
      <c r="BT5" s="16">
        <f>SUM(BT6:BT12)</f>
        <v>5838083.8509747367</v>
      </c>
      <c r="BU5" s="5">
        <f t="shared" si="1"/>
        <v>1987637.7356404122</v>
      </c>
      <c r="BV5" s="5">
        <f t="shared" si="1"/>
        <v>2361201.4313992718</v>
      </c>
      <c r="BW5" s="5">
        <f t="shared" si="1"/>
        <v>2936452.7028510734</v>
      </c>
      <c r="BX5" s="5">
        <f t="shared" si="1"/>
        <v>2997285.6563151232</v>
      </c>
      <c r="BY5" s="16">
        <f>SUM(BY6:BY12)</f>
        <v>10282577.526205881</v>
      </c>
      <c r="BZ5" s="5">
        <f t="shared" si="1"/>
        <v>2775785.1824062322</v>
      </c>
      <c r="CA5" s="5">
        <f t="shared" si="1"/>
        <v>2992065.4774655169</v>
      </c>
      <c r="CB5" s="5">
        <f t="shared" si="1"/>
        <v>2965618.9583931188</v>
      </c>
      <c r="CC5" s="5">
        <f t="shared" si="1"/>
        <v>4062380.9291314422</v>
      </c>
      <c r="CD5" s="16">
        <f>SUM(CD6:CD12)</f>
        <v>12795850.54739631</v>
      </c>
      <c r="CE5" s="5">
        <f t="shared" si="1"/>
        <v>3287387.8228766099</v>
      </c>
      <c r="CF5" s="5">
        <f t="shared" si="1"/>
        <v>2049354.3116959797</v>
      </c>
      <c r="CG5" s="5">
        <f t="shared" si="1"/>
        <v>3146400.694164387</v>
      </c>
      <c r="CH5" s="5">
        <f t="shared" si="1"/>
        <v>3756631.9031940461</v>
      </c>
      <c r="CI5" s="16">
        <f>SUM(CI6:CI12)</f>
        <v>12239774.731931023</v>
      </c>
      <c r="CJ5" s="5">
        <f t="shared" si="1"/>
        <v>4468598.9939836236</v>
      </c>
      <c r="CK5" s="5">
        <f t="shared" si="1"/>
        <v>5040209.0169188967</v>
      </c>
      <c r="CL5" s="5">
        <f t="shared" si="1"/>
        <v>5570114.0017643999</v>
      </c>
      <c r="CM5" s="5">
        <f t="shared" si="1"/>
        <v>5923062.3389092283</v>
      </c>
      <c r="CN5" s="16">
        <f>SUM(CN6:CN12)</f>
        <v>21001984.351576146</v>
      </c>
      <c r="CO5" s="5">
        <f t="shared" si="1"/>
        <v>6441581.7679575905</v>
      </c>
      <c r="CP5" s="5">
        <f t="shared" si="1"/>
        <v>5876023.6035121903</v>
      </c>
      <c r="CQ5" s="5">
        <f t="shared" si="1"/>
        <v>5721368.9948324226</v>
      </c>
      <c r="CR5" s="5">
        <f t="shared" si="1"/>
        <v>5045607.5404485147</v>
      </c>
      <c r="CS5" s="16">
        <f>SUM(CS6:CS12)</f>
        <v>23084581.906750716</v>
      </c>
      <c r="CT5" s="5">
        <f t="shared" si="1"/>
        <v>4356308.3436253639</v>
      </c>
      <c r="CU5" s="5">
        <f t="shared" si="1"/>
        <v>4829582.0255954135</v>
      </c>
      <c r="CV5" s="5">
        <f t="shared" si="1"/>
        <v>8058128.6978950398</v>
      </c>
      <c r="CW5" s="5">
        <f t="shared" si="1"/>
        <v>8299747.8185071303</v>
      </c>
      <c r="CX5" s="16">
        <f>SUM(CX6:CX12)</f>
        <v>25543766.885622945</v>
      </c>
      <c r="CY5" s="5">
        <f t="shared" si="1"/>
        <v>7444263.0646464154</v>
      </c>
      <c r="CZ5" s="5">
        <f t="shared" si="1"/>
        <v>7756312.1944190403</v>
      </c>
      <c r="DA5" s="5">
        <f t="shared" si="1"/>
        <v>8479183.8659381401</v>
      </c>
      <c r="DB5" s="5">
        <f t="shared" si="1"/>
        <v>8021001.4608847201</v>
      </c>
      <c r="DC5" s="16">
        <f>SUM(DC6:DC12)</f>
        <v>31700760.585888319</v>
      </c>
      <c r="DD5" s="5">
        <f t="shared" si="1"/>
        <v>7085645.4499400882</v>
      </c>
      <c r="DE5" s="5">
        <f t="shared" si="1"/>
        <v>6395030.492750898</v>
      </c>
      <c r="DF5" s="5">
        <f>SUM(DF6:DF12)</f>
        <v>7241563.63335637</v>
      </c>
      <c r="DG5" s="5">
        <f>SUM(DG6:DG12)</f>
        <v>6830787.8837757641</v>
      </c>
      <c r="DH5" s="16">
        <f>SUM(DH6:DH12)</f>
        <v>27553027.45982312</v>
      </c>
    </row>
    <row r="6" spans="1:112" x14ac:dyDescent="0.2">
      <c r="A6" s="1">
        <v>1</v>
      </c>
      <c r="B6" s="1" t="s">
        <v>3</v>
      </c>
      <c r="C6" s="12">
        <v>987.52567996970481</v>
      </c>
      <c r="D6" s="12">
        <v>798.99875559356019</v>
      </c>
      <c r="E6" s="12">
        <v>932.98386743308231</v>
      </c>
      <c r="F6" s="12">
        <v>181.70352409716548</v>
      </c>
      <c r="G6" s="17">
        <f>SUM(C6:F6)</f>
        <v>2901.2118270935125</v>
      </c>
      <c r="H6" s="12">
        <v>1404.3726930687669</v>
      </c>
      <c r="I6" s="12">
        <v>1598.8304460375523</v>
      </c>
      <c r="J6" s="12">
        <v>866.3587005039202</v>
      </c>
      <c r="K6" s="12">
        <v>1247.7272631949897</v>
      </c>
      <c r="L6" s="17">
        <f>SUM(H6:K6)</f>
        <v>5117.289102805229</v>
      </c>
      <c r="M6" s="12">
        <v>798.13929430867927</v>
      </c>
      <c r="N6" s="12">
        <v>779.40582728008894</v>
      </c>
      <c r="O6" s="12">
        <v>2.5814543322049999</v>
      </c>
      <c r="P6" s="12">
        <v>12.823517307334003</v>
      </c>
      <c r="Q6" s="17">
        <f>SUM(M6:P6)</f>
        <v>1592.9500932283074</v>
      </c>
      <c r="R6" s="12">
        <v>449.77393723148106</v>
      </c>
      <c r="S6" s="12">
        <v>987.32510765439986</v>
      </c>
      <c r="T6" s="12">
        <v>749.42893947651942</v>
      </c>
      <c r="U6" s="12">
        <v>1137.61774998551</v>
      </c>
      <c r="V6" s="17">
        <f>SUM(R6:U6)</f>
        <v>3324.1457343479105</v>
      </c>
      <c r="W6" s="12">
        <v>1299.5532301225487</v>
      </c>
      <c r="X6" s="12">
        <v>930.94579072657916</v>
      </c>
      <c r="Y6" s="12">
        <v>414.37722505663072</v>
      </c>
      <c r="Z6" s="12">
        <v>838.98130744753007</v>
      </c>
      <c r="AA6" s="17">
        <f>SUM(W6:Z6)</f>
        <v>3483.8575533532889</v>
      </c>
      <c r="AB6" s="12">
        <v>122.12880643155995</v>
      </c>
      <c r="AC6" s="12">
        <v>147.53047870580005</v>
      </c>
      <c r="AD6" s="12">
        <v>1865.8215567955554</v>
      </c>
      <c r="AE6" s="12">
        <v>507.01426792213999</v>
      </c>
      <c r="AF6" s="17">
        <f>SUM(AB6:AE6)</f>
        <v>2642.4951098550555</v>
      </c>
      <c r="AG6" s="12">
        <v>391.29130132933932</v>
      </c>
      <c r="AH6" s="12">
        <v>680.47324828673982</v>
      </c>
      <c r="AI6" s="12">
        <v>283.94747199815993</v>
      </c>
      <c r="AJ6" s="12">
        <v>1359.5275307376928</v>
      </c>
      <c r="AK6" s="17">
        <f>SUM(AG6:AJ6)</f>
        <v>2715.2395523519317</v>
      </c>
      <c r="AL6" s="12">
        <v>507.16325132347202</v>
      </c>
      <c r="AM6" s="12">
        <v>340.60045072314983</v>
      </c>
      <c r="AN6" s="12">
        <v>638.17777514886905</v>
      </c>
      <c r="AO6" s="12">
        <v>1185.6217727939197</v>
      </c>
      <c r="AP6" s="17">
        <f>SUM(AL6:AO6)</f>
        <v>2671.5632499894105</v>
      </c>
      <c r="AQ6" s="12">
        <v>363.46250153648003</v>
      </c>
      <c r="AR6" s="12">
        <v>2310.4512940829536</v>
      </c>
      <c r="AS6" s="12">
        <v>790.38092995675061</v>
      </c>
      <c r="AT6" s="12">
        <v>1058.8015752370504</v>
      </c>
      <c r="AU6" s="17">
        <f>SUM(AQ6:AT6)</f>
        <v>4523.0963008132348</v>
      </c>
      <c r="AV6" s="12">
        <v>445.03269919260015</v>
      </c>
      <c r="AW6" s="12">
        <v>1764.4606616603789</v>
      </c>
      <c r="AX6" s="12">
        <v>1745.6837667217892</v>
      </c>
      <c r="AY6" s="12">
        <v>1216.8200586467503</v>
      </c>
      <c r="AZ6" s="17">
        <f>SUM(AV6:AY6)</f>
        <v>5171.9971862215189</v>
      </c>
      <c r="BA6" s="12">
        <v>566.09868786696973</v>
      </c>
      <c r="BB6" s="12">
        <v>2118.0745885247125</v>
      </c>
      <c r="BC6" s="12">
        <v>1968.0373719884192</v>
      </c>
      <c r="BD6" s="12">
        <v>2253.8815443011704</v>
      </c>
      <c r="BE6" s="17">
        <f>SUM(BA6:BD6)</f>
        <v>6906.0921926812716</v>
      </c>
      <c r="BF6" s="12">
        <v>1558.808200098423</v>
      </c>
      <c r="BG6" s="12">
        <v>3385.2758979360447</v>
      </c>
      <c r="BH6" s="12">
        <v>3456.4607523122613</v>
      </c>
      <c r="BI6" s="12">
        <v>3279.1678772876621</v>
      </c>
      <c r="BJ6" s="17">
        <f>SUM(BF6:BI6)</f>
        <v>11679.712727634391</v>
      </c>
      <c r="BK6" s="12">
        <v>7674.9997440902762</v>
      </c>
      <c r="BL6" s="12">
        <v>3566.5587923823482</v>
      </c>
      <c r="BM6" s="12">
        <v>5778.6300818799264</v>
      </c>
      <c r="BN6" s="12">
        <v>9496.6672635683117</v>
      </c>
      <c r="BO6" s="17">
        <f>SUM(BK6:BN6)</f>
        <v>26516.855881920863</v>
      </c>
      <c r="BP6" s="12">
        <v>6046.7465026183045</v>
      </c>
      <c r="BQ6" s="12">
        <v>5170.6185550031159</v>
      </c>
      <c r="BR6" s="12">
        <v>5031.8485007280406</v>
      </c>
      <c r="BS6" s="12">
        <v>7171.8411490787621</v>
      </c>
      <c r="BT6" s="17">
        <f>SUM(BP6:BS6)</f>
        <v>23421.054707428222</v>
      </c>
      <c r="BU6" s="12">
        <v>4308.4222890007686</v>
      </c>
      <c r="BV6" s="12">
        <v>7059.0253143255941</v>
      </c>
      <c r="BW6" s="12">
        <v>8589.1105706107373</v>
      </c>
      <c r="BX6" s="12">
        <v>14861.72029777641</v>
      </c>
      <c r="BY6" s="17">
        <f>SUM(BU6:BX6)</f>
        <v>34818.278471713507</v>
      </c>
      <c r="BZ6" s="12">
        <v>11512.945029240738</v>
      </c>
      <c r="CA6" s="12">
        <v>9559.3217390000009</v>
      </c>
      <c r="CB6" s="12">
        <v>14337.747711838299</v>
      </c>
      <c r="CC6" s="12">
        <v>18439.191587300949</v>
      </c>
      <c r="CD6" s="17">
        <f>SUM(BZ6:CC6)</f>
        <v>53849.206067379993</v>
      </c>
      <c r="CE6" s="12">
        <v>11851.02884876879</v>
      </c>
      <c r="CF6" s="12">
        <v>25632.921416651479</v>
      </c>
      <c r="CG6" s="12">
        <v>12800.568454653214</v>
      </c>
      <c r="CH6" s="12">
        <v>16387.938227634677</v>
      </c>
      <c r="CI6" s="17">
        <f>SUM(CE6:CH6)</f>
        <v>66672.456947708153</v>
      </c>
      <c r="CJ6" s="12">
        <v>16219.602971505956</v>
      </c>
      <c r="CK6" s="12">
        <v>16308.481401341425</v>
      </c>
      <c r="CL6" s="12">
        <v>11249.93063563324</v>
      </c>
      <c r="CM6" s="12">
        <v>13029.13438531572</v>
      </c>
      <c r="CN6" s="17">
        <f>SUM(CJ6:CM6)</f>
        <v>56807.149393796339</v>
      </c>
      <c r="CO6" s="12">
        <v>12851.6405830802</v>
      </c>
      <c r="CP6" s="12">
        <v>13068.4486040642</v>
      </c>
      <c r="CQ6" s="12">
        <v>14396.77223903035</v>
      </c>
      <c r="CR6" s="12">
        <v>14383.814487409436</v>
      </c>
      <c r="CS6" s="17">
        <f>SUM(CO6:CR6)</f>
        <v>54700.675913584186</v>
      </c>
      <c r="CT6" s="12">
        <v>20321.08769271144</v>
      </c>
      <c r="CU6" s="12">
        <v>23670.516666381958</v>
      </c>
      <c r="CV6" s="12">
        <v>35183.518021657888</v>
      </c>
      <c r="CW6" s="12">
        <v>35601.408421150954</v>
      </c>
      <c r="CX6" s="17">
        <f t="shared" ref="CX6:CX12" si="2">SUM(CT6:CW6)</f>
        <v>114776.53080190223</v>
      </c>
      <c r="CY6" s="12">
        <v>33692.969569789995</v>
      </c>
      <c r="CZ6" s="12">
        <v>33132.753339000003</v>
      </c>
      <c r="DA6" s="12">
        <v>35762.614268999998</v>
      </c>
      <c r="DB6" s="12">
        <v>25175.152260999999</v>
      </c>
      <c r="DC6" s="17">
        <f t="shared" ref="DC6:DC12" si="3">SUM(CY6:DB6)</f>
        <v>127763.48943878998</v>
      </c>
      <c r="DD6" s="6">
        <v>28678.027103</v>
      </c>
      <c r="DE6" s="6">
        <v>31598.130924000001</v>
      </c>
      <c r="DF6" s="6">
        <v>38534.604992</v>
      </c>
      <c r="DG6" s="6">
        <v>46777.645937000001</v>
      </c>
      <c r="DH6" s="17">
        <f t="shared" ref="DH6:DH12" si="4">SUM(DD6:DG6)</f>
        <v>145588.408956</v>
      </c>
    </row>
    <row r="7" spans="1:112" x14ac:dyDescent="0.2">
      <c r="A7" s="1">
        <v>2</v>
      </c>
      <c r="B7" s="1" t="s">
        <v>4</v>
      </c>
      <c r="C7" s="6">
        <v>12510.576475058917</v>
      </c>
      <c r="D7" s="6">
        <v>14992.651612081299</v>
      </c>
      <c r="E7" s="6">
        <v>20798.917431706039</v>
      </c>
      <c r="F7" s="6">
        <v>18585.872309439877</v>
      </c>
      <c r="G7" s="18">
        <f t="shared" ref="G7:G12" si="5">SUM(C7:F7)</f>
        <v>66888.017828286131</v>
      </c>
      <c r="H7" s="6">
        <v>19931.2211331943</v>
      </c>
      <c r="I7" s="6">
        <v>17780.259520930809</v>
      </c>
      <c r="J7" s="6">
        <v>21016.117168520286</v>
      </c>
      <c r="K7" s="6">
        <v>29523.638587746631</v>
      </c>
      <c r="L7" s="18">
        <f t="shared" ref="L7:L11" si="6">SUM(H7:K7)</f>
        <v>88251.236410392026</v>
      </c>
      <c r="M7" s="6">
        <v>24338.325632429223</v>
      </c>
      <c r="N7" s="6">
        <v>23444.295945554608</v>
      </c>
      <c r="O7" s="6">
        <v>27223.941659720836</v>
      </c>
      <c r="P7" s="6">
        <v>24084.675791016565</v>
      </c>
      <c r="Q7" s="18">
        <f t="shared" ref="Q7:Q11" si="7">SUM(M7:P7)</f>
        <v>99091.239028721233</v>
      </c>
      <c r="R7" s="6">
        <v>20334.948584781705</v>
      </c>
      <c r="S7" s="6">
        <v>19623.173434640412</v>
      </c>
      <c r="T7" s="6">
        <v>23275.322985891016</v>
      </c>
      <c r="U7" s="6">
        <v>30406.26784166459</v>
      </c>
      <c r="V7" s="18">
        <f t="shared" ref="V7:V12" si="8">SUM(R7:U7)</f>
        <v>93639.712846977724</v>
      </c>
      <c r="W7" s="6">
        <v>30153.97805395531</v>
      </c>
      <c r="X7" s="6">
        <v>26797.426164364624</v>
      </c>
      <c r="Y7" s="6">
        <v>26072.270475818183</v>
      </c>
      <c r="Z7" s="6">
        <v>13342.945925877439</v>
      </c>
      <c r="AA7" s="18">
        <f t="shared" ref="AA7:AA12" si="9">SUM(W7:Z7)</f>
        <v>96366.620620015558</v>
      </c>
      <c r="AB7" s="6">
        <v>12263.777785759441</v>
      </c>
      <c r="AC7" s="6">
        <v>17803.061716659715</v>
      </c>
      <c r="AD7" s="6">
        <v>19503.871266056318</v>
      </c>
      <c r="AE7" s="6">
        <v>22488.445777126497</v>
      </c>
      <c r="AF7" s="18">
        <f t="shared" ref="AF7:AF12" si="10">SUM(AB7:AE7)</f>
        <v>72059.156545601974</v>
      </c>
      <c r="AG7" s="6">
        <v>20931.037999764812</v>
      </c>
      <c r="AH7" s="6">
        <v>24198.843784904071</v>
      </c>
      <c r="AI7" s="6">
        <v>35779.64042808568</v>
      </c>
      <c r="AJ7" s="6">
        <v>25016.675825182519</v>
      </c>
      <c r="AK7" s="18">
        <f t="shared" ref="AK7:AK12" si="11">SUM(AG7:AJ7)</f>
        <v>105926.19803793708</v>
      </c>
      <c r="AL7" s="6">
        <v>27390.619720119172</v>
      </c>
      <c r="AM7" s="6">
        <v>30861.031390900058</v>
      </c>
      <c r="AN7" s="6">
        <v>30190.761956816768</v>
      </c>
      <c r="AO7" s="6">
        <v>33226.567366078772</v>
      </c>
      <c r="AP7" s="18">
        <f t="shared" ref="AP7:AP12" si="12">SUM(AL7:AO7)</f>
        <v>121668.98043391477</v>
      </c>
      <c r="AQ7" s="6">
        <v>33419.897945731936</v>
      </c>
      <c r="AR7" s="6">
        <v>30914.390430488504</v>
      </c>
      <c r="AS7" s="6">
        <v>28119.549430626543</v>
      </c>
      <c r="AT7" s="6">
        <v>32213.932399550784</v>
      </c>
      <c r="AU7" s="18">
        <f t="shared" ref="AU7:AU12" si="13">SUM(AQ7:AT7)</f>
        <v>124667.77020639778</v>
      </c>
      <c r="AV7" s="6">
        <v>33433.624877896713</v>
      </c>
      <c r="AW7" s="6">
        <v>33268.902873238963</v>
      </c>
      <c r="AX7" s="6">
        <v>30895.484128587483</v>
      </c>
      <c r="AY7" s="6">
        <v>31303.922307825633</v>
      </c>
      <c r="AZ7" s="18">
        <f t="shared" ref="AZ7:AZ12" si="14">SUM(AV7:AY7)</f>
        <v>128901.93418754879</v>
      </c>
      <c r="BA7" s="6">
        <v>32832.278153152554</v>
      </c>
      <c r="BB7" s="6">
        <v>28939.507089129671</v>
      </c>
      <c r="BC7" s="6">
        <v>34346.290432304369</v>
      </c>
      <c r="BD7" s="6">
        <v>35157.609464466077</v>
      </c>
      <c r="BE7" s="18">
        <f t="shared" ref="BE7:BE12" si="15">SUM(BA7:BD7)</f>
        <v>131275.68513905269</v>
      </c>
      <c r="BF7" s="6">
        <v>31501.927490330199</v>
      </c>
      <c r="BG7" s="6">
        <v>32553.190884812462</v>
      </c>
      <c r="BH7" s="6">
        <v>43299.901179821718</v>
      </c>
      <c r="BI7" s="6">
        <v>30304.027582309391</v>
      </c>
      <c r="BJ7" s="18">
        <f t="shared" ref="BJ7:BJ11" si="16">SUM(BF7:BI7)</f>
        <v>137659.04713727377</v>
      </c>
      <c r="BK7" s="6">
        <v>54292.301562126697</v>
      </c>
      <c r="BL7" s="6">
        <v>62585.743015082931</v>
      </c>
      <c r="BM7" s="6">
        <v>59983.389656719897</v>
      </c>
      <c r="BN7" s="6">
        <v>56127.02124340734</v>
      </c>
      <c r="BO7" s="18">
        <f>SUM(BK7:BN7)</f>
        <v>232988.45547733686</v>
      </c>
      <c r="BP7" s="6">
        <v>48015.186866193115</v>
      </c>
      <c r="BQ7" s="6">
        <v>58795.023753613554</v>
      </c>
      <c r="BR7" s="6">
        <v>49801.113457649219</v>
      </c>
      <c r="BS7" s="6">
        <v>68214.031679301421</v>
      </c>
      <c r="BT7" s="18">
        <f t="shared" ref="BT7:BT11" si="17">SUM(BP7:BS7)</f>
        <v>224825.35575675732</v>
      </c>
      <c r="BU7" s="6">
        <v>64892.253746253853</v>
      </c>
      <c r="BV7" s="6">
        <v>88556.830340023123</v>
      </c>
      <c r="BW7" s="6">
        <v>81178.483216471373</v>
      </c>
      <c r="BX7" s="6">
        <v>162432.91424880692</v>
      </c>
      <c r="BY7" s="18">
        <f t="shared" ref="BY7:BY11" si="18">SUM(BU7:BX7)</f>
        <v>397060.48155155522</v>
      </c>
      <c r="BZ7" s="6">
        <v>145197.6128981385</v>
      </c>
      <c r="CA7" s="6">
        <v>78959.613997731271</v>
      </c>
      <c r="CB7" s="6">
        <v>123929.07720376151</v>
      </c>
      <c r="CC7" s="6">
        <v>190192.08334752164</v>
      </c>
      <c r="CD7" s="18">
        <f>SUM(BZ7:CC7)</f>
        <v>538278.38744715287</v>
      </c>
      <c r="CE7" s="6">
        <v>170393.33258761585</v>
      </c>
      <c r="CF7" s="6">
        <v>93126.037849039581</v>
      </c>
      <c r="CG7" s="6">
        <v>93889.585217584783</v>
      </c>
      <c r="CH7" s="6">
        <v>411922.95369228959</v>
      </c>
      <c r="CI7" s="18">
        <f t="shared" ref="CI7:CI11" si="19">SUM(CE7:CH7)</f>
        <v>769331.90934652975</v>
      </c>
      <c r="CJ7" s="6">
        <v>226774.9992713237</v>
      </c>
      <c r="CK7" s="6">
        <v>273622.26228497137</v>
      </c>
      <c r="CL7" s="6">
        <v>378780.77528448298</v>
      </c>
      <c r="CM7" s="6">
        <v>276959.63672037079</v>
      </c>
      <c r="CN7" s="18">
        <f t="shared" ref="CN7:CN12" si="20">SUM(CJ7:CM7)</f>
        <v>1156137.6735611488</v>
      </c>
      <c r="CO7" s="6">
        <v>314461.37778142956</v>
      </c>
      <c r="CP7" s="6">
        <v>299598.58731324272</v>
      </c>
      <c r="CQ7" s="6">
        <v>260352.10978301184</v>
      </c>
      <c r="CR7" s="6">
        <v>269160.38717762649</v>
      </c>
      <c r="CS7" s="18">
        <f t="shared" ref="CS7:CS12" si="21">SUM(CO7:CR7)</f>
        <v>1143572.4620553106</v>
      </c>
      <c r="CT7" s="6">
        <v>258379.89181486375</v>
      </c>
      <c r="CU7" s="6">
        <v>197260.90666876672</v>
      </c>
      <c r="CV7" s="6">
        <v>313114.68440245913</v>
      </c>
      <c r="CW7" s="6">
        <v>500991.38286650804</v>
      </c>
      <c r="CX7" s="18">
        <f t="shared" si="2"/>
        <v>1269746.8657525976</v>
      </c>
      <c r="CY7" s="6">
        <v>381121.52479403332</v>
      </c>
      <c r="CZ7" s="6">
        <v>301332.83598023641</v>
      </c>
      <c r="DA7" s="6">
        <v>388754.41026144853</v>
      </c>
      <c r="DB7" s="6">
        <v>451348.07933089952</v>
      </c>
      <c r="DC7" s="18">
        <f t="shared" si="3"/>
        <v>1522556.8503666178</v>
      </c>
      <c r="DD7" s="6">
        <v>435773.86123323289</v>
      </c>
      <c r="DE7" s="6">
        <v>621182.00500375009</v>
      </c>
      <c r="DF7" s="6">
        <v>518291.48429221765</v>
      </c>
      <c r="DG7" s="6">
        <v>544857.48673348501</v>
      </c>
      <c r="DH7" s="18">
        <f t="shared" si="4"/>
        <v>2120104.8372626854</v>
      </c>
    </row>
    <row r="8" spans="1:112" x14ac:dyDescent="0.2">
      <c r="A8" s="1">
        <v>3</v>
      </c>
      <c r="B8" s="1" t="s">
        <v>5</v>
      </c>
      <c r="C8" s="6">
        <v>200246.25485401895</v>
      </c>
      <c r="D8" s="6">
        <v>222046.51826109688</v>
      </c>
      <c r="E8" s="6">
        <v>289999.98355767113</v>
      </c>
      <c r="F8" s="6">
        <v>331664.38041785883</v>
      </c>
      <c r="G8" s="18">
        <f t="shared" si="5"/>
        <v>1043957.1370906458</v>
      </c>
      <c r="H8" s="6">
        <v>366184.0535831147</v>
      </c>
      <c r="I8" s="6">
        <v>428404.21476105484</v>
      </c>
      <c r="J8" s="6">
        <v>596592.53733146598</v>
      </c>
      <c r="K8" s="6">
        <v>571639.61737445637</v>
      </c>
      <c r="L8" s="18">
        <f t="shared" si="6"/>
        <v>1962820.4230500921</v>
      </c>
      <c r="M8" s="6">
        <v>571271.48645555961</v>
      </c>
      <c r="N8" s="6">
        <v>632016.54778045765</v>
      </c>
      <c r="O8" s="6">
        <v>665753.97919245251</v>
      </c>
      <c r="P8" s="6">
        <v>580982.5871561215</v>
      </c>
      <c r="Q8" s="18">
        <f t="shared" si="7"/>
        <v>2450024.6005845913</v>
      </c>
      <c r="R8" s="6">
        <v>637530.48240940634</v>
      </c>
      <c r="S8" s="6">
        <v>776263.93850368494</v>
      </c>
      <c r="T8" s="6">
        <v>821838.078889339</v>
      </c>
      <c r="U8" s="6">
        <v>1059837.5109269107</v>
      </c>
      <c r="V8" s="18">
        <f t="shared" si="8"/>
        <v>3295470.0107293408</v>
      </c>
      <c r="W8" s="6">
        <v>1166632.5924152869</v>
      </c>
      <c r="X8" s="6">
        <v>1572882.1020971956</v>
      </c>
      <c r="Y8" s="6">
        <v>1382144.7947791424</v>
      </c>
      <c r="Z8" s="6">
        <v>656628.61474478245</v>
      </c>
      <c r="AA8" s="18">
        <f t="shared" si="9"/>
        <v>4778288.1040364075</v>
      </c>
      <c r="AB8" s="6">
        <v>484651.13653244654</v>
      </c>
      <c r="AC8" s="6">
        <v>713237.80551269429</v>
      </c>
      <c r="AD8" s="6">
        <v>891012.38105140906</v>
      </c>
      <c r="AE8" s="6">
        <v>1108512.9138090345</v>
      </c>
      <c r="AF8" s="18">
        <f t="shared" si="10"/>
        <v>3197414.2369055841</v>
      </c>
      <c r="AG8" s="6">
        <v>1141372.8948725071</v>
      </c>
      <c r="AH8" s="6">
        <v>1251923.1439726565</v>
      </c>
      <c r="AI8" s="6">
        <v>1206309.3785958018</v>
      </c>
      <c r="AJ8" s="6">
        <v>1150281.40365576</v>
      </c>
      <c r="AK8" s="18">
        <f t="shared" si="11"/>
        <v>4749886.8210967258</v>
      </c>
      <c r="AL8" s="6">
        <v>1438612.5882011596</v>
      </c>
      <c r="AM8" s="6">
        <v>1476482.9969127381</v>
      </c>
      <c r="AN8" s="6">
        <v>1594941.5424655396</v>
      </c>
      <c r="AO8" s="6">
        <v>1622148.4428708414</v>
      </c>
      <c r="AP8" s="18">
        <f t="shared" si="12"/>
        <v>6132185.5704502789</v>
      </c>
      <c r="AQ8" s="6">
        <v>1824440.4758712898</v>
      </c>
      <c r="AR8" s="6">
        <v>1586535.9914660861</v>
      </c>
      <c r="AS8" s="6">
        <v>1580298.9498730989</v>
      </c>
      <c r="AT8" s="6">
        <v>1675661.7124827888</v>
      </c>
      <c r="AU8" s="18">
        <f t="shared" si="13"/>
        <v>6666937.1296932632</v>
      </c>
      <c r="AV8" s="6">
        <v>1637239.6769799627</v>
      </c>
      <c r="AW8" s="6">
        <v>1536885.7491226436</v>
      </c>
      <c r="AX8" s="6">
        <v>1671271.3117893422</v>
      </c>
      <c r="AY8" s="6">
        <v>1588107.3088439642</v>
      </c>
      <c r="AZ8" s="18">
        <f t="shared" si="14"/>
        <v>6433504.0467359126</v>
      </c>
      <c r="BA8" s="6">
        <v>1480523.1967991111</v>
      </c>
      <c r="BB8" s="6">
        <v>1536686.6419834581</v>
      </c>
      <c r="BC8" s="6">
        <v>1490512.9149875597</v>
      </c>
      <c r="BD8" s="6">
        <v>1129690.4095131238</v>
      </c>
      <c r="BE8" s="18">
        <f t="shared" si="15"/>
        <v>5637413.1632832531</v>
      </c>
      <c r="BF8" s="6">
        <v>848166.45102602697</v>
      </c>
      <c r="BG8" s="6">
        <v>1086983.186648743</v>
      </c>
      <c r="BH8" s="6">
        <v>999751.48569065903</v>
      </c>
      <c r="BI8" s="6">
        <v>871209.98696174251</v>
      </c>
      <c r="BJ8" s="18">
        <f t="shared" si="16"/>
        <v>3806111.1103271712</v>
      </c>
      <c r="BK8" s="6">
        <v>800789.00286504882</v>
      </c>
      <c r="BL8" s="6">
        <v>1120815.5324893193</v>
      </c>
      <c r="BM8" s="6">
        <v>1148083.5111985304</v>
      </c>
      <c r="BN8" s="6">
        <v>1205514.2941838778</v>
      </c>
      <c r="BO8" s="18">
        <f t="shared" ref="BO8:BO11" si="22">SUM(BK8:BN8)</f>
        <v>4275202.3407367766</v>
      </c>
      <c r="BP8" s="6">
        <v>1307332.8348835851</v>
      </c>
      <c r="BQ8" s="6">
        <v>1263882.3475161213</v>
      </c>
      <c r="BR8" s="6">
        <v>1325611.3198122929</v>
      </c>
      <c r="BS8" s="6">
        <v>1622013.4342270172</v>
      </c>
      <c r="BT8" s="18">
        <f t="shared" si="17"/>
        <v>5518839.9364390168</v>
      </c>
      <c r="BU8" s="6">
        <v>1907823.6304741094</v>
      </c>
      <c r="BV8" s="6">
        <v>2251280.8032421204</v>
      </c>
      <c r="BW8" s="6">
        <v>2833492.9353685803</v>
      </c>
      <c r="BX8" s="6">
        <v>2809210.2904481594</v>
      </c>
      <c r="BY8" s="18">
        <f t="shared" si="18"/>
        <v>9801807.6595329698</v>
      </c>
      <c r="BZ8" s="6">
        <v>2595658.6543691689</v>
      </c>
      <c r="CA8" s="6">
        <v>2888239.9627330913</v>
      </c>
      <c r="CB8" s="6">
        <v>2809836.7716587791</v>
      </c>
      <c r="CC8" s="6">
        <v>3835449.7119085151</v>
      </c>
      <c r="CD8" s="18">
        <f t="shared" ref="CD8:CD11" si="23">SUM(BZ8:CC8)</f>
        <v>12129185.100669554</v>
      </c>
      <c r="CE8" s="6">
        <v>3084948.1063027252</v>
      </c>
      <c r="CF8" s="6">
        <v>1917294.0010672887</v>
      </c>
      <c r="CG8" s="6">
        <v>3015782.0606451491</v>
      </c>
      <c r="CH8" s="6">
        <v>3310373.6053491216</v>
      </c>
      <c r="CI8" s="18">
        <f t="shared" si="19"/>
        <v>11328397.773364283</v>
      </c>
      <c r="CJ8" s="6">
        <v>4210415.468783794</v>
      </c>
      <c r="CK8" s="6">
        <v>4717035.6453985833</v>
      </c>
      <c r="CL8" s="6">
        <v>5160547.515683284</v>
      </c>
      <c r="CM8" s="6">
        <v>5613876.5279935421</v>
      </c>
      <c r="CN8" s="18">
        <f t="shared" si="20"/>
        <v>19701875.157859202</v>
      </c>
      <c r="CO8" s="6">
        <v>6092845.5111770807</v>
      </c>
      <c r="CP8" s="6">
        <v>5543901.2250118842</v>
      </c>
      <c r="CQ8" s="6">
        <v>5430651.7920283806</v>
      </c>
      <c r="CR8" s="6">
        <v>4736051.6033374788</v>
      </c>
      <c r="CS8" s="18">
        <f t="shared" si="21"/>
        <v>21803450.131554823</v>
      </c>
      <c r="CT8" s="6">
        <v>4055779.1175014791</v>
      </c>
      <c r="CU8" s="6">
        <v>4588430.5505822646</v>
      </c>
      <c r="CV8" s="6">
        <v>7656578.4609289235</v>
      </c>
      <c r="CW8" s="6">
        <v>7717669.8877054714</v>
      </c>
      <c r="CX8" s="18">
        <f t="shared" si="2"/>
        <v>24018458.016718138</v>
      </c>
      <c r="CY8" s="6">
        <v>6991117.2872626819</v>
      </c>
      <c r="CZ8" s="6">
        <v>7377054.277660924</v>
      </c>
      <c r="DA8" s="6">
        <v>8006262.1008557025</v>
      </c>
      <c r="DB8" s="6">
        <v>7495301.8444079496</v>
      </c>
      <c r="DC8" s="18">
        <f t="shared" si="3"/>
        <v>29869735.510187257</v>
      </c>
      <c r="DD8" s="6">
        <v>6579677.1358438544</v>
      </c>
      <c r="DE8" s="6">
        <v>5685693.2223626589</v>
      </c>
      <c r="DF8" s="6">
        <v>6632685.1654762225</v>
      </c>
      <c r="DG8" s="6">
        <v>6172175.4664790882</v>
      </c>
      <c r="DH8" s="18">
        <f t="shared" si="4"/>
        <v>25070230.990161825</v>
      </c>
    </row>
    <row r="9" spans="1:112" x14ac:dyDescent="0.2">
      <c r="A9" s="1">
        <v>4</v>
      </c>
      <c r="B9" s="1" t="s">
        <v>6</v>
      </c>
      <c r="C9" s="6">
        <v>501.55473731294995</v>
      </c>
      <c r="D9" s="6">
        <v>669.26606143776303</v>
      </c>
      <c r="E9" s="6">
        <v>1088.4168112934626</v>
      </c>
      <c r="F9" s="6">
        <v>1371.2198709178622</v>
      </c>
      <c r="G9" s="18">
        <f t="shared" si="5"/>
        <v>3630.4574809620381</v>
      </c>
      <c r="H9" s="6">
        <v>1100.4898626824317</v>
      </c>
      <c r="I9" s="6">
        <v>1341.1092212422175</v>
      </c>
      <c r="J9" s="6">
        <v>1207.7235781457384</v>
      </c>
      <c r="K9" s="6">
        <v>1023.6230024189679</v>
      </c>
      <c r="L9" s="18">
        <f t="shared" si="6"/>
        <v>4672.9456644893553</v>
      </c>
      <c r="M9" s="6">
        <v>1299.8730998474844</v>
      </c>
      <c r="N9" s="6">
        <v>1679.4952250811878</v>
      </c>
      <c r="O9" s="6">
        <v>1358.2164769531685</v>
      </c>
      <c r="P9" s="6">
        <v>2123.4309071809066</v>
      </c>
      <c r="Q9" s="18">
        <f t="shared" si="7"/>
        <v>6461.0157090627472</v>
      </c>
      <c r="R9" s="6">
        <v>1224.4286825434763</v>
      </c>
      <c r="S9" s="6">
        <v>1313.1855362279794</v>
      </c>
      <c r="T9" s="6">
        <v>1967.4372800368199</v>
      </c>
      <c r="U9" s="6">
        <v>1982.255982478571</v>
      </c>
      <c r="V9" s="18">
        <f t="shared" si="8"/>
        <v>6487.3074812868472</v>
      </c>
      <c r="W9" s="6">
        <v>1677.4829326590193</v>
      </c>
      <c r="X9" s="6">
        <v>2678.180321299395</v>
      </c>
      <c r="Y9" s="6">
        <v>2850.0693838389475</v>
      </c>
      <c r="Z9" s="6">
        <v>3140.3085513759274</v>
      </c>
      <c r="AA9" s="18">
        <f t="shared" si="9"/>
        <v>10346.041189173289</v>
      </c>
      <c r="AB9" s="6">
        <v>2530.6689735766217</v>
      </c>
      <c r="AC9" s="6">
        <v>4880.0459415582645</v>
      </c>
      <c r="AD9" s="6">
        <v>4626.6204387933522</v>
      </c>
      <c r="AE9" s="6">
        <v>3655.77182957268</v>
      </c>
      <c r="AF9" s="18">
        <f t="shared" si="10"/>
        <v>15693.107183500917</v>
      </c>
      <c r="AG9" s="6">
        <v>3516.9354604877385</v>
      </c>
      <c r="AH9" s="6">
        <v>3796.2484177508468</v>
      </c>
      <c r="AI9" s="6">
        <v>4510.6446542894973</v>
      </c>
      <c r="AJ9" s="6">
        <v>6668.7232180908313</v>
      </c>
      <c r="AK9" s="18">
        <f t="shared" si="11"/>
        <v>18492.551750618914</v>
      </c>
      <c r="AL9" s="6">
        <v>4241.8221081321972</v>
      </c>
      <c r="AM9" s="6">
        <v>4682.2903931792825</v>
      </c>
      <c r="AN9" s="6">
        <v>4277.9546531157512</v>
      </c>
      <c r="AO9" s="6">
        <v>7204.5494041127558</v>
      </c>
      <c r="AP9" s="18">
        <f t="shared" si="12"/>
        <v>20406.616558539987</v>
      </c>
      <c r="AQ9" s="6">
        <v>2895.3602617670599</v>
      </c>
      <c r="AR9" s="6">
        <v>4638.8608111903231</v>
      </c>
      <c r="AS9" s="6">
        <v>5111.115413468201</v>
      </c>
      <c r="AT9" s="6">
        <v>4391.4057879654201</v>
      </c>
      <c r="AU9" s="18">
        <f t="shared" si="13"/>
        <v>17036.742274391007</v>
      </c>
      <c r="AV9" s="6">
        <v>5147.8663252862298</v>
      </c>
      <c r="AW9" s="6">
        <v>6129.0642280359561</v>
      </c>
      <c r="AX9" s="6">
        <v>2944.4409250219283</v>
      </c>
      <c r="AY9" s="6">
        <v>3436.3029517453188</v>
      </c>
      <c r="AZ9" s="18">
        <f t="shared" si="14"/>
        <v>17657.674430089432</v>
      </c>
      <c r="BA9" s="6">
        <v>5132.9353805969822</v>
      </c>
      <c r="BB9" s="6">
        <v>3592.0744111756453</v>
      </c>
      <c r="BC9" s="6">
        <v>6075.9547756360771</v>
      </c>
      <c r="BD9" s="6">
        <v>9221.8353654431248</v>
      </c>
      <c r="BE9" s="18">
        <f t="shared" si="15"/>
        <v>24022.799932851827</v>
      </c>
      <c r="BF9" s="6">
        <v>6889.5850978455146</v>
      </c>
      <c r="BG9" s="6">
        <v>34319.291867518368</v>
      </c>
      <c r="BH9" s="6">
        <v>12966.213731118101</v>
      </c>
      <c r="BI9" s="6">
        <v>14807.52528543874</v>
      </c>
      <c r="BJ9" s="18">
        <f t="shared" si="16"/>
        <v>68982.615981920724</v>
      </c>
      <c r="BK9" s="6">
        <v>13971.449310723985</v>
      </c>
      <c r="BL9" s="6">
        <v>32865.734087878525</v>
      </c>
      <c r="BM9" s="6">
        <v>16825.396701046306</v>
      </c>
      <c r="BN9" s="6">
        <v>14025.488137275843</v>
      </c>
      <c r="BO9" s="18">
        <f t="shared" si="22"/>
        <v>77688.06823692465</v>
      </c>
      <c r="BP9" s="6">
        <v>9244.2159250888672</v>
      </c>
      <c r="BQ9" s="6">
        <v>7653.8090542471637</v>
      </c>
      <c r="BR9" s="6">
        <v>12310.403011742501</v>
      </c>
      <c r="BS9" s="6">
        <v>21669.446938855857</v>
      </c>
      <c r="BT9" s="18">
        <f t="shared" si="17"/>
        <v>50877.874929934391</v>
      </c>
      <c r="BU9" s="6">
        <v>7583.3895515158438</v>
      </c>
      <c r="BV9" s="6">
        <v>7247.7457072388825</v>
      </c>
      <c r="BW9" s="6">
        <v>7240.3894391020258</v>
      </c>
      <c r="BX9" s="6">
        <v>4992.836565456867</v>
      </c>
      <c r="BY9" s="18">
        <f t="shared" si="18"/>
        <v>27064.361263313618</v>
      </c>
      <c r="BZ9" s="6">
        <v>12922.240345308372</v>
      </c>
      <c r="CA9" s="6">
        <v>7731.9369333281793</v>
      </c>
      <c r="CB9" s="6">
        <v>7051.7338368089813</v>
      </c>
      <c r="CC9" s="6">
        <v>9553.7957016153996</v>
      </c>
      <c r="CD9" s="18">
        <f t="shared" si="23"/>
        <v>37259.706817060927</v>
      </c>
      <c r="CE9" s="6">
        <v>6374.0208670000002</v>
      </c>
      <c r="CF9" s="6">
        <v>6560.0393309999999</v>
      </c>
      <c r="CG9" s="6">
        <v>8218.6340049999999</v>
      </c>
      <c r="CH9" s="6">
        <v>7715.9340819999998</v>
      </c>
      <c r="CI9" s="18">
        <f t="shared" si="19"/>
        <v>28868.628284999999</v>
      </c>
      <c r="CJ9" s="6">
        <v>8667.9099929999993</v>
      </c>
      <c r="CK9" s="6">
        <v>21924.104283000001</v>
      </c>
      <c r="CL9" s="6">
        <v>10475.154861999999</v>
      </c>
      <c r="CM9" s="6">
        <v>11791.072278</v>
      </c>
      <c r="CN9" s="18">
        <f t="shared" si="20"/>
        <v>52858.241415999997</v>
      </c>
      <c r="CO9" s="6">
        <v>12134.144929</v>
      </c>
      <c r="CP9" s="6">
        <v>10799.962067</v>
      </c>
      <c r="CQ9" s="6">
        <v>7318.5493919999999</v>
      </c>
      <c r="CR9" s="6">
        <v>13144.666874</v>
      </c>
      <c r="CS9" s="18">
        <f t="shared" si="21"/>
        <v>43397.323262000005</v>
      </c>
      <c r="CT9" s="6">
        <v>11768.956873309999</v>
      </c>
      <c r="CU9" s="6">
        <v>11287.219072</v>
      </c>
      <c r="CV9" s="6">
        <v>30000.854028000002</v>
      </c>
      <c r="CW9" s="6">
        <v>27796.946957</v>
      </c>
      <c r="CX9" s="18">
        <f t="shared" si="2"/>
        <v>80853.976930309989</v>
      </c>
      <c r="CY9" s="6">
        <v>22771.225996999998</v>
      </c>
      <c r="CZ9" s="6">
        <v>28856.678799000001</v>
      </c>
      <c r="DA9" s="6">
        <v>22711.363594579998</v>
      </c>
      <c r="DB9" s="6">
        <v>40286.478011850013</v>
      </c>
      <c r="DC9" s="18">
        <f t="shared" si="3"/>
        <v>114625.74640243</v>
      </c>
      <c r="DD9" s="6">
        <v>27258.947239000001</v>
      </c>
      <c r="DE9" s="6">
        <v>35713.200672489998</v>
      </c>
      <c r="DF9" s="6">
        <v>33577.394097930002</v>
      </c>
      <c r="DG9" s="6">
        <v>41150.299615000004</v>
      </c>
      <c r="DH9" s="18">
        <f t="shared" si="4"/>
        <v>137699.84162441999</v>
      </c>
    </row>
    <row r="10" spans="1:112" x14ac:dyDescent="0.2">
      <c r="A10" s="1">
        <v>5</v>
      </c>
      <c r="B10" s="1" t="s">
        <v>7</v>
      </c>
      <c r="C10" s="6">
        <v>81.35036902223905</v>
      </c>
      <c r="D10" s="6">
        <v>49.590093789361994</v>
      </c>
      <c r="E10" s="6">
        <v>248.73656086280397</v>
      </c>
      <c r="F10" s="6">
        <v>190.9856709113229</v>
      </c>
      <c r="G10" s="18">
        <f t="shared" si="5"/>
        <v>570.66269458572788</v>
      </c>
      <c r="H10" s="6">
        <v>117.53010987920798</v>
      </c>
      <c r="I10" s="6">
        <v>275.77774849213097</v>
      </c>
      <c r="J10" s="6">
        <v>172.44129509975204</v>
      </c>
      <c r="K10" s="6">
        <v>117.51761848011999</v>
      </c>
      <c r="L10" s="18">
        <f t="shared" si="6"/>
        <v>683.2667719512109</v>
      </c>
      <c r="M10" s="6">
        <v>220.98800485995704</v>
      </c>
      <c r="N10" s="6">
        <v>162.34516142652603</v>
      </c>
      <c r="O10" s="6">
        <v>234.42916418846701</v>
      </c>
      <c r="P10" s="6">
        <v>481.34427854499228</v>
      </c>
      <c r="Q10" s="18">
        <f t="shared" si="7"/>
        <v>1099.1066090199424</v>
      </c>
      <c r="R10" s="6">
        <v>210.55231400102315</v>
      </c>
      <c r="S10" s="6">
        <v>288.27347896314194</v>
      </c>
      <c r="T10" s="6">
        <v>465.61142727666987</v>
      </c>
      <c r="U10" s="6">
        <v>323.55866693010995</v>
      </c>
      <c r="V10" s="18">
        <f t="shared" si="8"/>
        <v>1287.9958871709448</v>
      </c>
      <c r="W10" s="6">
        <v>185.50115549834996</v>
      </c>
      <c r="X10" s="6">
        <v>512.1194238351701</v>
      </c>
      <c r="Y10" s="6">
        <v>596.64656673411992</v>
      </c>
      <c r="Z10" s="6">
        <v>577.78836683595989</v>
      </c>
      <c r="AA10" s="18">
        <f t="shared" si="9"/>
        <v>1872.0555129035997</v>
      </c>
      <c r="AB10" s="6">
        <v>1018.2418590480102</v>
      </c>
      <c r="AC10" s="6">
        <v>806.05842703392022</v>
      </c>
      <c r="AD10" s="6">
        <v>645.41114421470013</v>
      </c>
      <c r="AE10" s="6">
        <v>1119.1894785484706</v>
      </c>
      <c r="AF10" s="18">
        <f t="shared" si="10"/>
        <v>3588.9009088451012</v>
      </c>
      <c r="AG10" s="6">
        <v>1119.6880685695298</v>
      </c>
      <c r="AH10" s="6">
        <v>1314.2994539777696</v>
      </c>
      <c r="AI10" s="6">
        <v>725.03431947744036</v>
      </c>
      <c r="AJ10" s="6">
        <v>1465.6183995676099</v>
      </c>
      <c r="AK10" s="18">
        <f t="shared" si="11"/>
        <v>4624.6402415923503</v>
      </c>
      <c r="AL10" s="6">
        <v>1177.2780813114098</v>
      </c>
      <c r="AM10" s="6">
        <v>3124.6096946921498</v>
      </c>
      <c r="AN10" s="6">
        <v>3477.5411334966607</v>
      </c>
      <c r="AO10" s="6">
        <v>1834.9852581100201</v>
      </c>
      <c r="AP10" s="18">
        <f t="shared" si="12"/>
        <v>9614.4141676102408</v>
      </c>
      <c r="AQ10" s="6">
        <v>1094.2665185244502</v>
      </c>
      <c r="AR10" s="6">
        <v>1032.13682517557</v>
      </c>
      <c r="AS10" s="6">
        <v>958.72626003610992</v>
      </c>
      <c r="AT10" s="6">
        <v>1211.349454347461</v>
      </c>
      <c r="AU10" s="18">
        <f t="shared" si="13"/>
        <v>4296.4790580835916</v>
      </c>
      <c r="AV10" s="6">
        <v>1280.5744759211505</v>
      </c>
      <c r="AW10" s="6">
        <v>1090.0045087937103</v>
      </c>
      <c r="AX10" s="6">
        <v>1008.9535590319402</v>
      </c>
      <c r="AY10" s="6">
        <v>2046.6874993814286</v>
      </c>
      <c r="AZ10" s="18">
        <f t="shared" si="14"/>
        <v>5426.220043128229</v>
      </c>
      <c r="BA10" s="6">
        <v>1602.7583441381198</v>
      </c>
      <c r="BB10" s="6">
        <v>1200.4868004234791</v>
      </c>
      <c r="BC10" s="6">
        <v>1370.9954481786099</v>
      </c>
      <c r="BD10" s="6">
        <v>1380.86213152552</v>
      </c>
      <c r="BE10" s="18">
        <f t="shared" si="15"/>
        <v>5555.1027242657292</v>
      </c>
      <c r="BF10" s="6">
        <v>1563.1922140139691</v>
      </c>
      <c r="BG10" s="6">
        <v>1716.2143463414695</v>
      </c>
      <c r="BH10" s="6">
        <v>2710.0197893049699</v>
      </c>
      <c r="BI10" s="6">
        <v>2642.5195588739325</v>
      </c>
      <c r="BJ10" s="18">
        <f t="shared" si="16"/>
        <v>8631.9459085343406</v>
      </c>
      <c r="BK10" s="6">
        <v>3848.7964162167259</v>
      </c>
      <c r="BL10" s="6">
        <v>4941.687227726914</v>
      </c>
      <c r="BM10" s="6">
        <v>6187.5630782042535</v>
      </c>
      <c r="BN10" s="6">
        <v>2846.1737689812981</v>
      </c>
      <c r="BO10" s="18">
        <f t="shared" si="22"/>
        <v>17824.220491129192</v>
      </c>
      <c r="BP10" s="6">
        <v>2087.7783532769599</v>
      </c>
      <c r="BQ10" s="6">
        <v>3109.6704197135687</v>
      </c>
      <c r="BR10" s="6">
        <v>2695.0676961835316</v>
      </c>
      <c r="BS10" s="6">
        <v>2285.014730253441</v>
      </c>
      <c r="BT10" s="18">
        <f t="shared" si="17"/>
        <v>10177.531199427502</v>
      </c>
      <c r="BU10" s="6">
        <v>1220.9646830571003</v>
      </c>
      <c r="BV10" s="6">
        <v>4986.6025952776909</v>
      </c>
      <c r="BW10" s="6">
        <v>3258.9086812976602</v>
      </c>
      <c r="BX10" s="6">
        <v>4138.2414258811596</v>
      </c>
      <c r="BY10" s="18">
        <f t="shared" si="18"/>
        <v>13604.71738551361</v>
      </c>
      <c r="BZ10" s="6">
        <v>7925.118487596681</v>
      </c>
      <c r="CA10" s="6">
        <v>5178.1438011200999</v>
      </c>
      <c r="CB10" s="6">
        <v>7302.7950859302809</v>
      </c>
      <c r="CC10" s="6">
        <v>6213.9580190304005</v>
      </c>
      <c r="CD10" s="18">
        <f t="shared" si="23"/>
        <v>26620.015393677462</v>
      </c>
      <c r="CE10" s="6">
        <v>11489.496123499999</v>
      </c>
      <c r="CF10" s="6">
        <v>5475.9804670000003</v>
      </c>
      <c r="CG10" s="6">
        <v>12962.152131000001</v>
      </c>
      <c r="CH10" s="6">
        <v>7191.179572</v>
      </c>
      <c r="CI10" s="18">
        <f t="shared" si="19"/>
        <v>37118.808293499998</v>
      </c>
      <c r="CJ10" s="6">
        <v>3145.9175749999999</v>
      </c>
      <c r="CK10" s="6">
        <v>8111.6313579999996</v>
      </c>
      <c r="CL10" s="6">
        <v>6385.9020840000003</v>
      </c>
      <c r="CM10" s="6">
        <v>4616.557914</v>
      </c>
      <c r="CN10" s="18">
        <f t="shared" si="20"/>
        <v>22260.008931</v>
      </c>
      <c r="CO10" s="6">
        <v>7000.4915730000002</v>
      </c>
      <c r="CP10" s="6">
        <v>7079.2801870000003</v>
      </c>
      <c r="CQ10" s="6">
        <v>6300.6496260000004</v>
      </c>
      <c r="CR10" s="6">
        <v>9996.265969</v>
      </c>
      <c r="CS10" s="18">
        <f t="shared" si="21"/>
        <v>30376.687355000002</v>
      </c>
      <c r="CT10" s="6">
        <v>8086.9929840000004</v>
      </c>
      <c r="CU10" s="6">
        <v>6574.6127800000004</v>
      </c>
      <c r="CV10" s="6">
        <v>19657.332353999998</v>
      </c>
      <c r="CW10" s="6">
        <v>13228.976618000001</v>
      </c>
      <c r="CX10" s="18">
        <f t="shared" si="2"/>
        <v>47547.914735999999</v>
      </c>
      <c r="CY10" s="6">
        <v>8220.4956230000007</v>
      </c>
      <c r="CZ10" s="6">
        <v>9117.4745998800008</v>
      </c>
      <c r="DA10" s="6">
        <v>14603.134916409999</v>
      </c>
      <c r="DB10" s="6">
        <v>6345.3326391399996</v>
      </c>
      <c r="DC10" s="18">
        <f t="shared" si="3"/>
        <v>38286.437778430001</v>
      </c>
      <c r="DD10" s="6">
        <v>11954.406918000001</v>
      </c>
      <c r="DE10" s="6">
        <v>16064.381223</v>
      </c>
      <c r="DF10" s="6">
        <v>11359.689839000001</v>
      </c>
      <c r="DG10" s="6">
        <v>18418.464378000001</v>
      </c>
      <c r="DH10" s="18">
        <f t="shared" si="4"/>
        <v>57796.942358</v>
      </c>
    </row>
    <row r="11" spans="1:112" x14ac:dyDescent="0.2">
      <c r="A11" s="1">
        <v>6</v>
      </c>
      <c r="B11" s="1" t="s">
        <v>8</v>
      </c>
      <c r="C11" s="6">
        <v>49.291657376858005</v>
      </c>
      <c r="D11" s="6">
        <v>68.656797146430009</v>
      </c>
      <c r="E11" s="6">
        <v>154.33819328006712</v>
      </c>
      <c r="F11" s="6">
        <v>91.765814728019109</v>
      </c>
      <c r="G11" s="18">
        <f t="shared" si="5"/>
        <v>364.0524625313742</v>
      </c>
      <c r="H11" s="6">
        <v>61.070495508826973</v>
      </c>
      <c r="I11" s="6">
        <v>103.70797115069193</v>
      </c>
      <c r="J11" s="6">
        <v>26.745787423726991</v>
      </c>
      <c r="K11" s="6">
        <v>49.58284500199801</v>
      </c>
      <c r="L11" s="18">
        <f t="shared" si="6"/>
        <v>241.1070990852439</v>
      </c>
      <c r="M11" s="6">
        <v>22.657134144883987</v>
      </c>
      <c r="N11" s="6">
        <v>31.425152460870002</v>
      </c>
      <c r="O11" s="6">
        <v>24.341308997851993</v>
      </c>
      <c r="P11" s="6">
        <v>22.195442045596003</v>
      </c>
      <c r="Q11" s="18">
        <f t="shared" si="7"/>
        <v>100.619037649202</v>
      </c>
      <c r="R11" s="6">
        <v>25.606463515366997</v>
      </c>
      <c r="S11" s="6">
        <v>59.08593697997204</v>
      </c>
      <c r="T11" s="6">
        <v>148.0854386643401</v>
      </c>
      <c r="U11" s="6">
        <v>91.806338295829946</v>
      </c>
      <c r="V11" s="18">
        <f t="shared" si="8"/>
        <v>324.58417745550906</v>
      </c>
      <c r="W11" s="6">
        <v>16.498139148169997</v>
      </c>
      <c r="X11" s="6">
        <v>47.749602367110043</v>
      </c>
      <c r="Y11" s="6">
        <v>132.74591793214987</v>
      </c>
      <c r="Z11" s="6">
        <v>117.48052559841005</v>
      </c>
      <c r="AA11" s="18">
        <f t="shared" si="9"/>
        <v>314.47418504583993</v>
      </c>
      <c r="AB11" s="6">
        <v>38.109294133760017</v>
      </c>
      <c r="AC11" s="6">
        <v>63.066265753880103</v>
      </c>
      <c r="AD11" s="6">
        <v>76.748197036790032</v>
      </c>
      <c r="AE11" s="6">
        <v>85.972474808780063</v>
      </c>
      <c r="AF11" s="18">
        <f t="shared" si="10"/>
        <v>263.89623173321024</v>
      </c>
      <c r="AG11" s="6">
        <v>65.426138590869996</v>
      </c>
      <c r="AH11" s="6">
        <v>82.345466180849954</v>
      </c>
      <c r="AI11" s="6">
        <v>59.305302140670022</v>
      </c>
      <c r="AJ11" s="6">
        <v>94.263528987320129</v>
      </c>
      <c r="AK11" s="18">
        <f t="shared" si="11"/>
        <v>301.34043589971009</v>
      </c>
      <c r="AL11" s="6">
        <v>172.51196929996996</v>
      </c>
      <c r="AM11" s="6">
        <v>101.42755615733006</v>
      </c>
      <c r="AN11" s="6">
        <v>50.878111636130065</v>
      </c>
      <c r="AO11" s="6">
        <v>90.386570084580015</v>
      </c>
      <c r="AP11" s="18">
        <f t="shared" si="12"/>
        <v>415.20420717801011</v>
      </c>
      <c r="AQ11" s="6">
        <v>41.930421008089958</v>
      </c>
      <c r="AR11" s="6">
        <v>55.608621085980054</v>
      </c>
      <c r="AS11" s="6">
        <v>113.81896691219013</v>
      </c>
      <c r="AT11" s="6">
        <v>94.162716818819987</v>
      </c>
      <c r="AU11" s="18">
        <f t="shared" si="13"/>
        <v>305.52072582508015</v>
      </c>
      <c r="AV11" s="6">
        <v>86.1487543883201</v>
      </c>
      <c r="AW11" s="6">
        <v>99.817348558609993</v>
      </c>
      <c r="AX11" s="6">
        <v>147.97475504267004</v>
      </c>
      <c r="AY11" s="6">
        <v>114.80760445644989</v>
      </c>
      <c r="AZ11" s="18">
        <f t="shared" si="14"/>
        <v>448.74846244605004</v>
      </c>
      <c r="BA11" s="6">
        <v>112.55074179118006</v>
      </c>
      <c r="BB11" s="6">
        <v>157.45638467548994</v>
      </c>
      <c r="BC11" s="6">
        <v>303.90430747530019</v>
      </c>
      <c r="BD11" s="6">
        <v>433.66442489078963</v>
      </c>
      <c r="BE11" s="18">
        <f t="shared" si="15"/>
        <v>1007.5758588327599</v>
      </c>
      <c r="BF11" s="6">
        <v>353.27556690962041</v>
      </c>
      <c r="BG11" s="6">
        <v>349.83331070573013</v>
      </c>
      <c r="BH11" s="6">
        <v>718.93406227278933</v>
      </c>
      <c r="BI11" s="6">
        <v>706.7445781261498</v>
      </c>
      <c r="BJ11" s="18">
        <f t="shared" si="16"/>
        <v>2128.7875180142896</v>
      </c>
      <c r="BK11" s="6">
        <v>1079.9363856909176</v>
      </c>
      <c r="BL11" s="6">
        <v>1762.1263917104595</v>
      </c>
      <c r="BM11" s="6">
        <v>2627.7499536477635</v>
      </c>
      <c r="BN11" s="6">
        <v>2173.6358595276779</v>
      </c>
      <c r="BO11" s="18">
        <f t="shared" si="22"/>
        <v>7643.4485905768188</v>
      </c>
      <c r="BP11" s="6">
        <v>1887.7339615262194</v>
      </c>
      <c r="BQ11" s="6">
        <v>1783.3355870076937</v>
      </c>
      <c r="BR11" s="6">
        <v>2344.9599462151432</v>
      </c>
      <c r="BS11" s="6">
        <v>1534.8356236991633</v>
      </c>
      <c r="BT11" s="18">
        <f t="shared" si="17"/>
        <v>7550.8651184482196</v>
      </c>
      <c r="BU11" s="6">
        <v>1776.6507211702947</v>
      </c>
      <c r="BV11" s="6">
        <v>1972.8538887846983</v>
      </c>
      <c r="BW11" s="6">
        <v>2684.5286162667894</v>
      </c>
      <c r="BX11" s="6">
        <v>1649.5351283953514</v>
      </c>
      <c r="BY11" s="18">
        <f t="shared" si="18"/>
        <v>8083.5683546171331</v>
      </c>
      <c r="BZ11" s="6">
        <v>2504.1434897791196</v>
      </c>
      <c r="CA11" s="6">
        <v>2383.0993322460004</v>
      </c>
      <c r="CB11" s="6">
        <v>3160.4686849999998</v>
      </c>
      <c r="CC11" s="6">
        <v>2532.1885674586697</v>
      </c>
      <c r="CD11" s="18">
        <f t="shared" si="23"/>
        <v>10579.90007448379</v>
      </c>
      <c r="CE11" s="6">
        <v>2331.8381469999999</v>
      </c>
      <c r="CF11" s="6">
        <v>1265.331565</v>
      </c>
      <c r="CG11" s="6">
        <v>2747.6937109999999</v>
      </c>
      <c r="CH11" s="6">
        <v>3040.2643539999999</v>
      </c>
      <c r="CI11" s="18">
        <f t="shared" si="19"/>
        <v>9385.1277769999997</v>
      </c>
      <c r="CJ11" s="6">
        <v>3375.0705939999998</v>
      </c>
      <c r="CK11" s="6">
        <v>2722.2190289999999</v>
      </c>
      <c r="CL11" s="6">
        <v>2674.7161420000002</v>
      </c>
      <c r="CM11" s="6">
        <v>2789.4096180000001</v>
      </c>
      <c r="CN11" s="18">
        <f t="shared" si="20"/>
        <v>11561.415383</v>
      </c>
      <c r="CO11" s="6">
        <v>2288.6019139999999</v>
      </c>
      <c r="CP11" s="6">
        <v>1576.1003290000001</v>
      </c>
      <c r="CQ11" s="6">
        <v>2247.6127000000001</v>
      </c>
      <c r="CR11" s="6">
        <v>2870.3110529999999</v>
      </c>
      <c r="CS11" s="18">
        <f t="shared" si="21"/>
        <v>8982.6259959999988</v>
      </c>
      <c r="CT11" s="6">
        <v>1972.2967590000001</v>
      </c>
      <c r="CU11" s="6">
        <v>2357.6971450000001</v>
      </c>
      <c r="CV11" s="6">
        <v>3593.84816</v>
      </c>
      <c r="CW11" s="6">
        <v>4458.2727839999998</v>
      </c>
      <c r="CX11" s="18">
        <f t="shared" si="2"/>
        <v>12382.114848000001</v>
      </c>
      <c r="CY11" s="6">
        <v>7130.235403910001</v>
      </c>
      <c r="CZ11" s="6">
        <v>6698.7107109999997</v>
      </c>
      <c r="DA11" s="6">
        <v>10284.646930000001</v>
      </c>
      <c r="DB11" s="6">
        <v>2264.7419278800003</v>
      </c>
      <c r="DC11" s="18">
        <f t="shared" si="3"/>
        <v>26378.334972790002</v>
      </c>
      <c r="DD11" s="6">
        <v>2090.0849469999998</v>
      </c>
      <c r="DE11" s="6">
        <v>4582.414162</v>
      </c>
      <c r="DF11" s="6">
        <v>6048.3999030000004</v>
      </c>
      <c r="DG11" s="6">
        <v>6183.999990190001</v>
      </c>
      <c r="DH11" s="18">
        <f t="shared" si="4"/>
        <v>18904.899002190003</v>
      </c>
    </row>
    <row r="12" spans="1:112" ht="12.75" thickBot="1" x14ac:dyDescent="0.25">
      <c r="A12" s="7">
        <v>7</v>
      </c>
      <c r="B12" s="7" t="s">
        <v>9</v>
      </c>
      <c r="C12" s="8">
        <v>0</v>
      </c>
      <c r="D12" s="8">
        <v>0</v>
      </c>
      <c r="E12" s="8">
        <v>0.14964354999999999</v>
      </c>
      <c r="F12" s="8">
        <v>0</v>
      </c>
      <c r="G12" s="19">
        <f t="shared" si="5"/>
        <v>0.14964354999999999</v>
      </c>
      <c r="H12" s="8">
        <v>0</v>
      </c>
      <c r="I12" s="8">
        <v>27.119440514000001</v>
      </c>
      <c r="J12" s="8">
        <v>46.113678204466012</v>
      </c>
      <c r="K12" s="8">
        <v>92.872297478128004</v>
      </c>
      <c r="L12" s="19">
        <f>SUM(H12:K12)</f>
        <v>166.10541619659404</v>
      </c>
      <c r="M12" s="8">
        <v>37.081895155428995</v>
      </c>
      <c r="N12" s="8">
        <v>3.1293193879249999</v>
      </c>
      <c r="O12" s="8">
        <v>59.013323376355991</v>
      </c>
      <c r="P12" s="8">
        <v>11.470380841459997</v>
      </c>
      <c r="Q12" s="19">
        <f>SUM(M12:P12)</f>
        <v>110.69491876116999</v>
      </c>
      <c r="R12" s="8">
        <v>10.722265835958</v>
      </c>
      <c r="S12" s="8">
        <v>3.6324226862080002</v>
      </c>
      <c r="T12" s="8">
        <v>22.679514080119997</v>
      </c>
      <c r="U12" s="8">
        <v>47.822399833180008</v>
      </c>
      <c r="V12" s="19">
        <f t="shared" si="8"/>
        <v>84.856602435466016</v>
      </c>
      <c r="W12" s="8">
        <v>89.537901925210008</v>
      </c>
      <c r="X12" s="8">
        <v>45.140661136910005</v>
      </c>
      <c r="Y12" s="8">
        <v>104.44030555416001</v>
      </c>
      <c r="Z12" s="8">
        <v>67.47344299320001</v>
      </c>
      <c r="AA12" s="19">
        <f t="shared" si="9"/>
        <v>306.59231160948002</v>
      </c>
      <c r="AB12" s="8">
        <v>73.920752607949979</v>
      </c>
      <c r="AC12" s="8">
        <v>154.52259106276006</v>
      </c>
      <c r="AD12" s="8">
        <v>135.40707939710998</v>
      </c>
      <c r="AE12" s="8">
        <v>105.95301889693997</v>
      </c>
      <c r="AF12" s="19">
        <f t="shared" si="10"/>
        <v>469.80344196475994</v>
      </c>
      <c r="AG12" s="8">
        <v>95.84420016363002</v>
      </c>
      <c r="AH12" s="8">
        <v>229.28198249862993</v>
      </c>
      <c r="AI12" s="8">
        <v>242.43938269156001</v>
      </c>
      <c r="AJ12" s="8">
        <v>93.673677665079992</v>
      </c>
      <c r="AK12" s="19">
        <f t="shared" si="11"/>
        <v>661.23924301889997</v>
      </c>
      <c r="AL12" s="8">
        <v>1693.8978967507501</v>
      </c>
      <c r="AM12" s="8">
        <v>97.868566626290018</v>
      </c>
      <c r="AN12" s="8">
        <v>165.37656752038009</v>
      </c>
      <c r="AO12" s="8">
        <v>79.177698012809927</v>
      </c>
      <c r="AP12" s="19">
        <f t="shared" si="12"/>
        <v>2036.3207289102302</v>
      </c>
      <c r="AQ12" s="8">
        <v>67.447034561460015</v>
      </c>
      <c r="AR12" s="8">
        <v>234.96618730927003</v>
      </c>
      <c r="AS12" s="8">
        <v>173.70162583336003</v>
      </c>
      <c r="AT12" s="8">
        <v>71.098880906139996</v>
      </c>
      <c r="AU12" s="19">
        <f t="shared" si="13"/>
        <v>547.21372861023008</v>
      </c>
      <c r="AV12" s="8">
        <v>51.639855846150006</v>
      </c>
      <c r="AW12" s="8">
        <v>53.818435514750007</v>
      </c>
      <c r="AX12" s="8">
        <v>113.35578232434</v>
      </c>
      <c r="AY12" s="8">
        <v>47.805150559730002</v>
      </c>
      <c r="AZ12" s="19">
        <f t="shared" si="14"/>
        <v>266.61922424496998</v>
      </c>
      <c r="BA12" s="8">
        <v>44.972160898339993</v>
      </c>
      <c r="BB12" s="8">
        <v>24.659960534929997</v>
      </c>
      <c r="BC12" s="8">
        <v>172.02175095364004</v>
      </c>
      <c r="BD12" s="8">
        <v>58.990825553699992</v>
      </c>
      <c r="BE12" s="19">
        <f t="shared" si="15"/>
        <v>300.64469794061</v>
      </c>
      <c r="BF12" s="8">
        <v>80.131876823900001</v>
      </c>
      <c r="BG12" s="8">
        <v>307.46421136926</v>
      </c>
      <c r="BH12" s="8">
        <v>238.06945254621004</v>
      </c>
      <c r="BI12" s="8">
        <v>583.43132455635998</v>
      </c>
      <c r="BJ12" s="19">
        <f>SUM(BF12:BI12)</f>
        <v>1209.0968652957299</v>
      </c>
      <c r="BK12" s="8">
        <v>336.63651652715004</v>
      </c>
      <c r="BL12" s="8">
        <v>109.04490978071</v>
      </c>
      <c r="BM12" s="8">
        <v>18.046017891390001</v>
      </c>
      <c r="BN12" s="8">
        <v>7.308699443660001</v>
      </c>
      <c r="BO12" s="19">
        <f>SUM(BK12:BN12)</f>
        <v>471.03614364291002</v>
      </c>
      <c r="BP12" s="8">
        <v>4.0973950158200001</v>
      </c>
      <c r="BQ12" s="8">
        <v>133.59118986456002</v>
      </c>
      <c r="BR12" s="8">
        <v>2099.8295232156497</v>
      </c>
      <c r="BS12" s="8">
        <v>153.71471562802</v>
      </c>
      <c r="BT12" s="19">
        <f>SUM(BP12:BS12)</f>
        <v>2391.2328237240495</v>
      </c>
      <c r="BU12" s="8">
        <v>32.424175304809999</v>
      </c>
      <c r="BV12" s="8">
        <v>97.57031150152001</v>
      </c>
      <c r="BW12" s="8">
        <v>8.3469587450000002</v>
      </c>
      <c r="BX12" s="8">
        <v>0.11820064650000001</v>
      </c>
      <c r="BY12" s="19">
        <f>SUM(BU12:BX12)</f>
        <v>138.45964619782998</v>
      </c>
      <c r="BZ12" s="8">
        <v>64.467787000000001</v>
      </c>
      <c r="CA12" s="8">
        <v>13.398929000000001</v>
      </c>
      <c r="CB12" s="8">
        <v>0.36421100000000001</v>
      </c>
      <c r="CC12" s="8">
        <v>0</v>
      </c>
      <c r="CD12" s="19">
        <f>SUM(BZ12:CC12)</f>
        <v>78.230926999999994</v>
      </c>
      <c r="CE12" s="8">
        <v>0</v>
      </c>
      <c r="CF12" s="8">
        <v>0</v>
      </c>
      <c r="CG12" s="8">
        <v>0</v>
      </c>
      <c r="CH12" s="8">
        <v>2.7917000000000001E-2</v>
      </c>
      <c r="CI12" s="19">
        <f>SUM(CE12:CH12)</f>
        <v>2.7917000000000001E-2</v>
      </c>
      <c r="CJ12" s="8">
        <v>2.4795000000000001E-2</v>
      </c>
      <c r="CK12" s="8">
        <v>484.67316399999999</v>
      </c>
      <c r="CL12" s="8">
        <v>7.0730000000000003E-3</v>
      </c>
      <c r="CM12" s="8">
        <v>0</v>
      </c>
      <c r="CN12" s="19">
        <f t="shared" si="20"/>
        <v>484.70503199999996</v>
      </c>
      <c r="CO12" s="8">
        <v>0</v>
      </c>
      <c r="CP12" s="8">
        <v>0</v>
      </c>
      <c r="CQ12" s="8">
        <v>101.509064</v>
      </c>
      <c r="CR12" s="8">
        <v>0.49154999999999999</v>
      </c>
      <c r="CS12" s="19">
        <f t="shared" si="21"/>
        <v>102.000614</v>
      </c>
      <c r="CT12" s="8">
        <v>0</v>
      </c>
      <c r="CU12" s="8">
        <v>0.52268099999999995</v>
      </c>
      <c r="CV12" s="8">
        <v>0</v>
      </c>
      <c r="CW12" s="8">
        <v>0.94315499999999997</v>
      </c>
      <c r="CX12" s="19">
        <f t="shared" si="2"/>
        <v>1.4658359999999999</v>
      </c>
      <c r="CY12" s="8">
        <v>209.325996</v>
      </c>
      <c r="CZ12" s="8">
        <v>119.463329</v>
      </c>
      <c r="DA12" s="8">
        <v>805.59511099999997</v>
      </c>
      <c r="DB12" s="8">
        <v>279.83230600000002</v>
      </c>
      <c r="DC12" s="19">
        <f t="shared" si="3"/>
        <v>1414.2167420000001</v>
      </c>
      <c r="DD12" s="8">
        <v>212.98665600000001</v>
      </c>
      <c r="DE12" s="8">
        <v>197.13840300000001</v>
      </c>
      <c r="DF12" s="8">
        <v>1066.8947559999999</v>
      </c>
      <c r="DG12" s="8">
        <v>1224.5206430000001</v>
      </c>
      <c r="DH12" s="19">
        <f t="shared" si="4"/>
        <v>2701.5404579999999</v>
      </c>
    </row>
    <row r="13" spans="1:112" x14ac:dyDescent="0.2">
      <c r="A13" s="1" t="s">
        <v>10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</row>
    <row r="15" spans="1:112" x14ac:dyDescent="0.2">
      <c r="DG15" s="9"/>
    </row>
    <row r="16" spans="1:112" x14ac:dyDescent="0.2">
      <c r="DG16" s="9"/>
    </row>
  </sheetData>
  <mergeCells count="46">
    <mergeCell ref="DH3:DH4"/>
    <mergeCell ref="BO3:BO4"/>
    <mergeCell ref="BT3:BT4"/>
    <mergeCell ref="BY3:BY4"/>
    <mergeCell ref="CD3:CD4"/>
    <mergeCell ref="CI3:CI4"/>
    <mergeCell ref="CY3:DB3"/>
    <mergeCell ref="DD3:DG3"/>
    <mergeCell ref="CX3:CX4"/>
    <mergeCell ref="DC3:DC4"/>
    <mergeCell ref="AK3:AK4"/>
    <mergeCell ref="AP3:AP4"/>
    <mergeCell ref="AU3:AU4"/>
    <mergeCell ref="AZ3:AZ4"/>
    <mergeCell ref="BE3:BE4"/>
    <mergeCell ref="AQ3:AT3"/>
    <mergeCell ref="AV3:AY3"/>
    <mergeCell ref="BA3:BD3"/>
    <mergeCell ref="A3:A5"/>
    <mergeCell ref="W3:Z3"/>
    <mergeCell ref="AB3:AE3"/>
    <mergeCell ref="AG3:AJ3"/>
    <mergeCell ref="AL3:AO3"/>
    <mergeCell ref="B3:B4"/>
    <mergeCell ref="C3:F3"/>
    <mergeCell ref="H3:K3"/>
    <mergeCell ref="M3:P3"/>
    <mergeCell ref="R3:U3"/>
    <mergeCell ref="G3:G4"/>
    <mergeCell ref="L3:L4"/>
    <mergeCell ref="Q3:Q4"/>
    <mergeCell ref="V3:V4"/>
    <mergeCell ref="AA3:AA4"/>
    <mergeCell ref="AF3:AF4"/>
    <mergeCell ref="BF3:BI3"/>
    <mergeCell ref="BK3:BN3"/>
    <mergeCell ref="BJ3:BJ4"/>
    <mergeCell ref="CO3:CR3"/>
    <mergeCell ref="CT3:CW3"/>
    <mergeCell ref="BP3:BS3"/>
    <mergeCell ref="BU3:BX3"/>
    <mergeCell ref="BZ3:CC3"/>
    <mergeCell ref="CE3:CH3"/>
    <mergeCell ref="CJ3:CM3"/>
    <mergeCell ref="CN3:CN4"/>
    <mergeCell ref="CS3:CS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1D0E-8CED-49E0-A994-627819E8173E}">
  <dimension ref="A1:DH15"/>
  <sheetViews>
    <sheetView showGridLines="0" tabSelected="1" zoomScaleNormal="100" workbookViewId="0">
      <pane xSplit="2" topLeftCell="CS1" activePane="topRight" state="frozen"/>
      <selection activeCell="D7" sqref="D7"/>
      <selection pane="topRight" activeCell="DE20" sqref="DE20"/>
    </sheetView>
  </sheetViews>
  <sheetFormatPr defaultRowHeight="12" x14ac:dyDescent="0.2"/>
  <cols>
    <col min="1" max="1" width="7.85546875" style="1" customWidth="1"/>
    <col min="2" max="2" width="26.7109375" style="1" customWidth="1"/>
    <col min="3" max="3" width="12" style="1" bestFit="1" customWidth="1"/>
    <col min="4" max="4" width="11.140625" style="1" bestFit="1" customWidth="1"/>
    <col min="5" max="6" width="12" style="1" bestFit="1" customWidth="1"/>
    <col min="7" max="7" width="12" style="1" customWidth="1"/>
    <col min="8" max="11" width="12" style="1" bestFit="1" customWidth="1"/>
    <col min="12" max="12" width="12" style="1" customWidth="1"/>
    <col min="13" max="16" width="12" style="1" bestFit="1" customWidth="1"/>
    <col min="17" max="17" width="12" style="1" customWidth="1"/>
    <col min="18" max="21" width="12" style="1" bestFit="1" customWidth="1"/>
    <col min="22" max="26" width="13.42578125" style="1" bestFit="1" customWidth="1"/>
    <col min="27" max="27" width="13.42578125" style="1" customWidth="1"/>
    <col min="28" max="31" width="13.42578125" style="1" bestFit="1" customWidth="1"/>
    <col min="32" max="32" width="13.42578125" style="1" customWidth="1"/>
    <col min="33" max="36" width="13.42578125" style="1" bestFit="1" customWidth="1"/>
    <col min="37" max="37" width="13.42578125" style="1" customWidth="1"/>
    <col min="38" max="40" width="13.42578125" style="1" bestFit="1" customWidth="1"/>
    <col min="41" max="41" width="14.28515625" style="1" bestFit="1" customWidth="1"/>
    <col min="42" max="42" width="14.28515625" style="1" customWidth="1"/>
    <col min="43" max="43" width="14.28515625" style="1" bestFit="1" customWidth="1"/>
    <col min="44" max="110" width="14.28515625" style="1" customWidth="1"/>
    <col min="111" max="111" width="13.42578125" style="1" bestFit="1" customWidth="1"/>
    <col min="112" max="112" width="14.28515625" style="1" bestFit="1" customWidth="1"/>
    <col min="113" max="16384" width="9.140625" style="1"/>
  </cols>
  <sheetData>
    <row r="1" spans="1:112" x14ac:dyDescent="0.2">
      <c r="A1" s="2" t="s">
        <v>16</v>
      </c>
    </row>
    <row r="2" spans="1:112" x14ac:dyDescent="0.2">
      <c r="A2" s="1" t="s">
        <v>15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</row>
    <row r="3" spans="1:112" ht="12" customHeight="1" x14ac:dyDescent="0.2">
      <c r="A3" s="23" t="s">
        <v>2</v>
      </c>
      <c r="B3" s="30" t="s">
        <v>0</v>
      </c>
      <c r="C3" s="28">
        <v>2004</v>
      </c>
      <c r="D3" s="32"/>
      <c r="E3" s="32"/>
      <c r="F3" s="29"/>
      <c r="G3" s="21" t="s">
        <v>18</v>
      </c>
      <c r="H3" s="28">
        <v>2005</v>
      </c>
      <c r="I3" s="32"/>
      <c r="J3" s="32"/>
      <c r="K3" s="29"/>
      <c r="L3" s="21" t="s">
        <v>19</v>
      </c>
      <c r="M3" s="28">
        <v>2006</v>
      </c>
      <c r="N3" s="32"/>
      <c r="O3" s="32"/>
      <c r="P3" s="29"/>
      <c r="Q3" s="21" t="s">
        <v>20</v>
      </c>
      <c r="R3" s="28">
        <v>2007</v>
      </c>
      <c r="S3" s="32"/>
      <c r="T3" s="32"/>
      <c r="U3" s="29"/>
      <c r="V3" s="21" t="s">
        <v>21</v>
      </c>
      <c r="W3" s="28">
        <v>2008</v>
      </c>
      <c r="X3" s="32"/>
      <c r="Y3" s="32"/>
      <c r="Z3" s="29"/>
      <c r="AA3" s="21" t="s">
        <v>25</v>
      </c>
      <c r="AB3" s="28">
        <v>2009</v>
      </c>
      <c r="AC3" s="32"/>
      <c r="AD3" s="32"/>
      <c r="AE3" s="29"/>
      <c r="AF3" s="21" t="s">
        <v>26</v>
      </c>
      <c r="AG3" s="28">
        <v>2010</v>
      </c>
      <c r="AH3" s="32"/>
      <c r="AI3" s="32"/>
      <c r="AJ3" s="29"/>
      <c r="AK3" s="21" t="s">
        <v>27</v>
      </c>
      <c r="AL3" s="28">
        <v>2011</v>
      </c>
      <c r="AM3" s="32"/>
      <c r="AN3" s="32"/>
      <c r="AO3" s="29"/>
      <c r="AP3" s="21" t="s">
        <v>28</v>
      </c>
      <c r="AQ3" s="28">
        <v>2012</v>
      </c>
      <c r="AR3" s="32"/>
      <c r="AS3" s="32"/>
      <c r="AT3" s="29"/>
      <c r="AU3" s="21" t="s">
        <v>29</v>
      </c>
      <c r="AV3" s="28">
        <v>2013</v>
      </c>
      <c r="AW3" s="32"/>
      <c r="AX3" s="32"/>
      <c r="AY3" s="29"/>
      <c r="AZ3" s="21" t="s">
        <v>30</v>
      </c>
      <c r="BA3" s="28">
        <v>2014</v>
      </c>
      <c r="BB3" s="32"/>
      <c r="BC3" s="32"/>
      <c r="BD3" s="29"/>
      <c r="BE3" s="21" t="s">
        <v>31</v>
      </c>
      <c r="BF3" s="28">
        <v>2015</v>
      </c>
      <c r="BG3" s="32"/>
      <c r="BH3" s="32"/>
      <c r="BI3" s="29"/>
      <c r="BJ3" s="21" t="s">
        <v>32</v>
      </c>
      <c r="BK3" s="28">
        <v>2016</v>
      </c>
      <c r="BL3" s="32"/>
      <c r="BM3" s="32"/>
      <c r="BN3" s="29"/>
      <c r="BO3" s="21" t="s">
        <v>33</v>
      </c>
      <c r="BP3" s="28">
        <v>2017</v>
      </c>
      <c r="BQ3" s="32"/>
      <c r="BR3" s="32"/>
      <c r="BS3" s="29"/>
      <c r="BT3" s="21" t="s">
        <v>34</v>
      </c>
      <c r="BU3" s="28">
        <v>2018</v>
      </c>
      <c r="BV3" s="32"/>
      <c r="BW3" s="32"/>
      <c r="BX3" s="29"/>
      <c r="BY3" s="21" t="s">
        <v>35</v>
      </c>
      <c r="BZ3" s="28">
        <v>2019</v>
      </c>
      <c r="CA3" s="32"/>
      <c r="CB3" s="32"/>
      <c r="CC3" s="29"/>
      <c r="CD3" s="21" t="s">
        <v>36</v>
      </c>
      <c r="CE3" s="28">
        <v>2020</v>
      </c>
      <c r="CF3" s="32"/>
      <c r="CG3" s="32"/>
      <c r="CH3" s="29"/>
      <c r="CI3" s="21" t="s">
        <v>37</v>
      </c>
      <c r="CJ3" s="28">
        <v>2021</v>
      </c>
      <c r="CK3" s="32"/>
      <c r="CL3" s="32"/>
      <c r="CM3" s="29"/>
      <c r="CN3" s="21" t="s">
        <v>38</v>
      </c>
      <c r="CO3" s="28">
        <v>2022</v>
      </c>
      <c r="CP3" s="32"/>
      <c r="CQ3" s="32"/>
      <c r="CR3" s="29"/>
      <c r="CS3" s="21" t="s">
        <v>39</v>
      </c>
      <c r="CT3" s="28">
        <v>2023</v>
      </c>
      <c r="CU3" s="32"/>
      <c r="CV3" s="32"/>
      <c r="CW3" s="29"/>
      <c r="CX3" s="21" t="s">
        <v>24</v>
      </c>
      <c r="CY3" s="28">
        <v>2024</v>
      </c>
      <c r="CZ3" s="32"/>
      <c r="DA3" s="32"/>
      <c r="DB3" s="29"/>
      <c r="DC3" s="21" t="s">
        <v>23</v>
      </c>
      <c r="DD3" s="28">
        <v>2025</v>
      </c>
      <c r="DE3" s="32"/>
      <c r="DF3" s="32"/>
      <c r="DG3" s="29"/>
      <c r="DH3" s="21" t="s">
        <v>22</v>
      </c>
    </row>
    <row r="4" spans="1:112" x14ac:dyDescent="0.2">
      <c r="A4" s="24"/>
      <c r="B4" s="31"/>
      <c r="C4" s="14" t="s">
        <v>11</v>
      </c>
      <c r="D4" s="14" t="s">
        <v>12</v>
      </c>
      <c r="E4" s="14" t="s">
        <v>13</v>
      </c>
      <c r="F4" s="14" t="s">
        <v>14</v>
      </c>
      <c r="G4" s="22"/>
      <c r="H4" s="14" t="s">
        <v>11</v>
      </c>
      <c r="I4" s="14" t="s">
        <v>12</v>
      </c>
      <c r="J4" s="14" t="s">
        <v>13</v>
      </c>
      <c r="K4" s="14" t="s">
        <v>14</v>
      </c>
      <c r="L4" s="22"/>
      <c r="M4" s="14" t="s">
        <v>11</v>
      </c>
      <c r="N4" s="14" t="s">
        <v>12</v>
      </c>
      <c r="O4" s="14" t="s">
        <v>13</v>
      </c>
      <c r="P4" s="14" t="s">
        <v>14</v>
      </c>
      <c r="Q4" s="22"/>
      <c r="R4" s="14" t="s">
        <v>11</v>
      </c>
      <c r="S4" s="14" t="s">
        <v>12</v>
      </c>
      <c r="T4" s="14" t="s">
        <v>13</v>
      </c>
      <c r="U4" s="14" t="s">
        <v>14</v>
      </c>
      <c r="V4" s="22"/>
      <c r="W4" s="14" t="s">
        <v>11</v>
      </c>
      <c r="X4" s="14" t="s">
        <v>12</v>
      </c>
      <c r="Y4" s="14" t="s">
        <v>13</v>
      </c>
      <c r="Z4" s="14" t="s">
        <v>14</v>
      </c>
      <c r="AA4" s="22"/>
      <c r="AB4" s="14" t="s">
        <v>11</v>
      </c>
      <c r="AC4" s="14" t="s">
        <v>12</v>
      </c>
      <c r="AD4" s="14" t="s">
        <v>13</v>
      </c>
      <c r="AE4" s="14" t="s">
        <v>14</v>
      </c>
      <c r="AF4" s="22"/>
      <c r="AG4" s="14" t="s">
        <v>11</v>
      </c>
      <c r="AH4" s="14" t="s">
        <v>12</v>
      </c>
      <c r="AI4" s="14" t="s">
        <v>13</v>
      </c>
      <c r="AJ4" s="14" t="s">
        <v>14</v>
      </c>
      <c r="AK4" s="22"/>
      <c r="AL4" s="14" t="s">
        <v>11</v>
      </c>
      <c r="AM4" s="14" t="s">
        <v>12</v>
      </c>
      <c r="AN4" s="14" t="s">
        <v>13</v>
      </c>
      <c r="AO4" s="14" t="s">
        <v>14</v>
      </c>
      <c r="AP4" s="22"/>
      <c r="AQ4" s="14" t="s">
        <v>11</v>
      </c>
      <c r="AR4" s="14" t="s">
        <v>12</v>
      </c>
      <c r="AS4" s="14" t="s">
        <v>13</v>
      </c>
      <c r="AT4" s="14" t="s">
        <v>14</v>
      </c>
      <c r="AU4" s="22"/>
      <c r="AV4" s="14" t="s">
        <v>11</v>
      </c>
      <c r="AW4" s="14" t="s">
        <v>12</v>
      </c>
      <c r="AX4" s="14" t="s">
        <v>13</v>
      </c>
      <c r="AY4" s="14" t="s">
        <v>14</v>
      </c>
      <c r="AZ4" s="22"/>
      <c r="BA4" s="14" t="s">
        <v>11</v>
      </c>
      <c r="BB4" s="14" t="s">
        <v>12</v>
      </c>
      <c r="BC4" s="14" t="s">
        <v>13</v>
      </c>
      <c r="BD4" s="14" t="s">
        <v>14</v>
      </c>
      <c r="BE4" s="22"/>
      <c r="BF4" s="14" t="s">
        <v>11</v>
      </c>
      <c r="BG4" s="14" t="s">
        <v>12</v>
      </c>
      <c r="BH4" s="14" t="s">
        <v>13</v>
      </c>
      <c r="BI4" s="14" t="s">
        <v>14</v>
      </c>
      <c r="BJ4" s="22"/>
      <c r="BK4" s="14" t="s">
        <v>11</v>
      </c>
      <c r="BL4" s="14" t="s">
        <v>12</v>
      </c>
      <c r="BM4" s="14" t="s">
        <v>13</v>
      </c>
      <c r="BN4" s="14" t="s">
        <v>14</v>
      </c>
      <c r="BO4" s="22"/>
      <c r="BP4" s="14" t="s">
        <v>11</v>
      </c>
      <c r="BQ4" s="14" t="s">
        <v>12</v>
      </c>
      <c r="BR4" s="14" t="s">
        <v>13</v>
      </c>
      <c r="BS4" s="14" t="s">
        <v>14</v>
      </c>
      <c r="BT4" s="22"/>
      <c r="BU4" s="14" t="s">
        <v>11</v>
      </c>
      <c r="BV4" s="14" t="s">
        <v>12</v>
      </c>
      <c r="BW4" s="14" t="s">
        <v>13</v>
      </c>
      <c r="BX4" s="14" t="s">
        <v>14</v>
      </c>
      <c r="BY4" s="22"/>
      <c r="BZ4" s="14" t="s">
        <v>11</v>
      </c>
      <c r="CA4" s="14" t="s">
        <v>12</v>
      </c>
      <c r="CB4" s="14" t="s">
        <v>13</v>
      </c>
      <c r="CC4" s="14" t="s">
        <v>14</v>
      </c>
      <c r="CD4" s="22"/>
      <c r="CE4" s="14" t="s">
        <v>11</v>
      </c>
      <c r="CF4" s="14" t="s">
        <v>12</v>
      </c>
      <c r="CG4" s="14" t="s">
        <v>13</v>
      </c>
      <c r="CH4" s="14" t="s">
        <v>14</v>
      </c>
      <c r="CI4" s="22"/>
      <c r="CJ4" s="14" t="s">
        <v>11</v>
      </c>
      <c r="CK4" s="14" t="s">
        <v>12</v>
      </c>
      <c r="CL4" s="14" t="s">
        <v>13</v>
      </c>
      <c r="CM4" s="14" t="s">
        <v>14</v>
      </c>
      <c r="CN4" s="22"/>
      <c r="CO4" s="14" t="s">
        <v>11</v>
      </c>
      <c r="CP4" s="14" t="s">
        <v>12</v>
      </c>
      <c r="CQ4" s="14" t="s">
        <v>13</v>
      </c>
      <c r="CR4" s="14" t="s">
        <v>14</v>
      </c>
      <c r="CS4" s="22"/>
      <c r="CT4" s="14" t="s">
        <v>11</v>
      </c>
      <c r="CU4" s="14" t="s">
        <v>12</v>
      </c>
      <c r="CV4" s="14" t="s">
        <v>13</v>
      </c>
      <c r="CW4" s="14" t="s">
        <v>14</v>
      </c>
      <c r="CX4" s="22"/>
      <c r="CY4" s="14" t="s">
        <v>11</v>
      </c>
      <c r="CZ4" s="14" t="s">
        <v>12</v>
      </c>
      <c r="DA4" s="14" t="s">
        <v>13</v>
      </c>
      <c r="DB4" s="14" t="s">
        <v>14</v>
      </c>
      <c r="DC4" s="22"/>
      <c r="DD4" s="14" t="s">
        <v>11</v>
      </c>
      <c r="DE4" s="14" t="s">
        <v>12</v>
      </c>
      <c r="DF4" s="14" t="s">
        <v>13</v>
      </c>
      <c r="DG4" s="14" t="s">
        <v>14</v>
      </c>
      <c r="DH4" s="22"/>
    </row>
    <row r="5" spans="1:112" ht="12.75" thickBot="1" x14ac:dyDescent="0.25">
      <c r="A5" s="25"/>
      <c r="B5" s="4" t="s">
        <v>1</v>
      </c>
      <c r="C5" s="11">
        <f t="shared" ref="C5:U5" si="0">SUM(C6:C12)</f>
        <v>115083.30504964477</v>
      </c>
      <c r="D5" s="11">
        <f t="shared" si="0"/>
        <v>90693.848950633779</v>
      </c>
      <c r="E5" s="11">
        <f t="shared" si="0"/>
        <v>101501.33996828599</v>
      </c>
      <c r="F5" s="11">
        <f t="shared" si="0"/>
        <v>132743.49356897001</v>
      </c>
      <c r="G5" s="16">
        <f>SUM(G6:G12)</f>
        <v>440021.98753753456</v>
      </c>
      <c r="H5" s="11">
        <f t="shared" si="0"/>
        <v>174586.10273377033</v>
      </c>
      <c r="I5" s="11">
        <f t="shared" si="0"/>
        <v>205526.07245760859</v>
      </c>
      <c r="J5" s="11">
        <f t="shared" si="0"/>
        <v>146251.4671896605</v>
      </c>
      <c r="K5" s="11">
        <f t="shared" si="0"/>
        <v>162894.09485410308</v>
      </c>
      <c r="L5" s="16">
        <f>SUM(L6:L12)</f>
        <v>689257.7372351425</v>
      </c>
      <c r="M5" s="11">
        <f t="shared" si="0"/>
        <v>181068.97078719965</v>
      </c>
      <c r="N5" s="11">
        <f t="shared" si="0"/>
        <v>178552.49790879487</v>
      </c>
      <c r="O5" s="11">
        <f t="shared" si="0"/>
        <v>214208.57371511674</v>
      </c>
      <c r="P5" s="11">
        <f t="shared" si="0"/>
        <v>277544.79070549714</v>
      </c>
      <c r="Q5" s="16">
        <f>SUM(Q6:Q12)</f>
        <v>851374.83311660856</v>
      </c>
      <c r="R5" s="11">
        <f t="shared" si="0"/>
        <v>300038.29211506038</v>
      </c>
      <c r="S5" s="11">
        <f t="shared" si="0"/>
        <v>239322.63165498126</v>
      </c>
      <c r="T5" s="11">
        <f t="shared" si="0"/>
        <v>278022.56614459283</v>
      </c>
      <c r="U5" s="11">
        <f t="shared" si="0"/>
        <v>327682.76143652154</v>
      </c>
      <c r="V5" s="16">
        <f>SUM(V6:V12)</f>
        <v>1145066.251351156</v>
      </c>
      <c r="W5" s="11">
        <f t="shared" ref="W5:DE5" si="1">SUM(W6:W12)</f>
        <v>339300.14997156279</v>
      </c>
      <c r="X5" s="11">
        <f t="shared" si="1"/>
        <v>375785.24206731649</v>
      </c>
      <c r="Y5" s="11">
        <f t="shared" si="1"/>
        <v>486469.37048579933</v>
      </c>
      <c r="Z5" s="11">
        <f t="shared" si="1"/>
        <v>593378.33927696617</v>
      </c>
      <c r="AA5" s="16">
        <f>SUM(AA6:AA12)</f>
        <v>1794933.1018016448</v>
      </c>
      <c r="AB5" s="11">
        <f t="shared" si="1"/>
        <v>410493.56304349727</v>
      </c>
      <c r="AC5" s="11">
        <f t="shared" si="1"/>
        <v>386644.5124912695</v>
      </c>
      <c r="AD5" s="11">
        <f t="shared" si="1"/>
        <v>456139.41805004398</v>
      </c>
      <c r="AE5" s="11">
        <f t="shared" si="1"/>
        <v>448649.22322338086</v>
      </c>
      <c r="AF5" s="16">
        <f>SUM(AF6:AF12)</f>
        <v>1701926.7168081917</v>
      </c>
      <c r="AG5" s="11">
        <f t="shared" si="1"/>
        <v>418999.46914891625</v>
      </c>
      <c r="AH5" s="11">
        <f t="shared" si="1"/>
        <v>425182.80544232164</v>
      </c>
      <c r="AI5" s="11">
        <f t="shared" si="1"/>
        <v>434902.66797465511</v>
      </c>
      <c r="AJ5" s="11">
        <f t="shared" si="1"/>
        <v>471930.94493282202</v>
      </c>
      <c r="AK5" s="16">
        <f>SUM(AK6:AK12)</f>
        <v>1751015.8874987154</v>
      </c>
      <c r="AL5" s="11">
        <f t="shared" si="1"/>
        <v>463165.15230027545</v>
      </c>
      <c r="AM5" s="11">
        <f t="shared" si="1"/>
        <v>634988.23905856919</v>
      </c>
      <c r="AN5" s="11">
        <f t="shared" si="1"/>
        <v>481098.3994672065</v>
      </c>
      <c r="AO5" s="11">
        <f t="shared" si="1"/>
        <v>544098.81528879527</v>
      </c>
      <c r="AP5" s="16">
        <f>SUM(AP6:AP12)</f>
        <v>2123350.6061148462</v>
      </c>
      <c r="AQ5" s="11">
        <f t="shared" si="1"/>
        <v>683079.96648368658</v>
      </c>
      <c r="AR5" s="11">
        <f t="shared" si="1"/>
        <v>597701.04512358166</v>
      </c>
      <c r="AS5" s="11">
        <f t="shared" si="1"/>
        <v>640052.50337431487</v>
      </c>
      <c r="AT5" s="11">
        <f t="shared" si="1"/>
        <v>713737.42325763684</v>
      </c>
      <c r="AU5" s="16">
        <f>SUM(AU6:AU12)</f>
        <v>2634570.9382392201</v>
      </c>
      <c r="AV5" s="11">
        <f t="shared" si="1"/>
        <v>638338.84563617979</v>
      </c>
      <c r="AW5" s="11">
        <f t="shared" si="1"/>
        <v>598681.51639526198</v>
      </c>
      <c r="AX5" s="11">
        <f t="shared" si="1"/>
        <v>689076.36197140918</v>
      </c>
      <c r="AY5" s="11">
        <f t="shared" si="1"/>
        <v>1004885.3484670728</v>
      </c>
      <c r="AZ5" s="16">
        <f>SUM(AZ6:AZ12)</f>
        <v>2930982.0724699241</v>
      </c>
      <c r="BA5" s="11">
        <f t="shared" si="1"/>
        <v>723360.85226464737</v>
      </c>
      <c r="BB5" s="11">
        <f t="shared" si="1"/>
        <v>773424.72698985611</v>
      </c>
      <c r="BC5" s="11">
        <f t="shared" si="1"/>
        <v>860274.36248320702</v>
      </c>
      <c r="BD5" s="11">
        <f t="shared" si="1"/>
        <v>863951.02339447755</v>
      </c>
      <c r="BE5" s="16">
        <f>SUM(BE6:BE12)</f>
        <v>3221010.9651321885</v>
      </c>
      <c r="BF5" s="11">
        <f t="shared" si="1"/>
        <v>839860.56752870954</v>
      </c>
      <c r="BG5" s="11">
        <f t="shared" si="1"/>
        <v>617405.57735156524</v>
      </c>
      <c r="BH5" s="11">
        <f t="shared" si="1"/>
        <v>630719.65349735157</v>
      </c>
      <c r="BI5" s="11">
        <f t="shared" si="1"/>
        <v>643579.38184595737</v>
      </c>
      <c r="BJ5" s="16">
        <f>SUM(BJ6:BJ12)</f>
        <v>2731565.1802235837</v>
      </c>
      <c r="BK5" s="11">
        <f t="shared" si="1"/>
        <v>587159.44364993135</v>
      </c>
      <c r="BL5" s="11">
        <f t="shared" si="1"/>
        <v>597753.34679248801</v>
      </c>
      <c r="BM5" s="11">
        <f t="shared" si="1"/>
        <v>587087.72461352125</v>
      </c>
      <c r="BN5" s="11">
        <f t="shared" si="1"/>
        <v>684225.58303853672</v>
      </c>
      <c r="BO5" s="16">
        <f>SUM(BO6:BO12)</f>
        <v>2456226.0980944778</v>
      </c>
      <c r="BP5" s="11">
        <f t="shared" si="1"/>
        <v>623327.61427733395</v>
      </c>
      <c r="BQ5" s="11">
        <f t="shared" si="1"/>
        <v>678029.70131917275</v>
      </c>
      <c r="BR5" s="11">
        <f t="shared" si="1"/>
        <v>717948.14880091802</v>
      </c>
      <c r="BS5" s="11">
        <f t="shared" si="1"/>
        <v>681688.96397563594</v>
      </c>
      <c r="BT5" s="16">
        <f>SUM(BT6:BT12)</f>
        <v>2700994.4283730607</v>
      </c>
      <c r="BU5" s="11">
        <f t="shared" si="1"/>
        <v>750703.6549568004</v>
      </c>
      <c r="BV5" s="11">
        <f t="shared" si="1"/>
        <v>1186127.3038302006</v>
      </c>
      <c r="BW5" s="11">
        <f t="shared" si="1"/>
        <v>1018015.32017934</v>
      </c>
      <c r="BX5" s="11">
        <f t="shared" si="1"/>
        <v>1147647.3452960332</v>
      </c>
      <c r="BY5" s="16">
        <f>SUM(BY6:BY12)</f>
        <v>4102493.6242623739</v>
      </c>
      <c r="BZ5" s="11">
        <f t="shared" si="1"/>
        <v>1480236.3162330266</v>
      </c>
      <c r="CA5" s="11">
        <f t="shared" si="1"/>
        <v>1032983.9216376599</v>
      </c>
      <c r="CB5" s="11">
        <f t="shared" si="1"/>
        <v>1155787.5615427257</v>
      </c>
      <c r="CC5" s="11">
        <f t="shared" si="1"/>
        <v>1401311.2460124607</v>
      </c>
      <c r="CD5" s="16">
        <f>SUM(CD6:CD12)</f>
        <v>5070319.0454258723</v>
      </c>
      <c r="CE5" s="11">
        <f t="shared" si="1"/>
        <v>1200938.6037075201</v>
      </c>
      <c r="CF5" s="11">
        <f t="shared" si="1"/>
        <v>1168780.51685416</v>
      </c>
      <c r="CG5" s="11">
        <f t="shared" si="1"/>
        <v>1350627.9554103899</v>
      </c>
      <c r="CH5" s="11">
        <f t="shared" si="1"/>
        <v>1670734.5181576102</v>
      </c>
      <c r="CI5" s="16">
        <f>SUM(CI6:CI12)</f>
        <v>5391081.5941296797</v>
      </c>
      <c r="CJ5" s="11">
        <f t="shared" si="1"/>
        <v>1580158.0171417301</v>
      </c>
      <c r="CK5" s="11">
        <f t="shared" si="1"/>
        <v>1867823.5706616095</v>
      </c>
      <c r="CL5" s="11">
        <f t="shared" si="1"/>
        <v>1962746.8321012901</v>
      </c>
      <c r="CM5" s="11">
        <f t="shared" si="1"/>
        <v>1807723.81792575</v>
      </c>
      <c r="CN5" s="16">
        <f>SUM(CN6:CN12)</f>
        <v>7218452.2378303809</v>
      </c>
      <c r="CO5" s="11">
        <f t="shared" si="1"/>
        <v>1865134.0856576902</v>
      </c>
      <c r="CP5" s="11">
        <f t="shared" si="1"/>
        <v>1866406.94102674</v>
      </c>
      <c r="CQ5" s="11">
        <f t="shared" si="1"/>
        <v>2101033.14057608</v>
      </c>
      <c r="CR5" s="11">
        <f t="shared" si="1"/>
        <v>2369261.88449546</v>
      </c>
      <c r="CS5" s="16">
        <f>SUM(CS6:CS12)</f>
        <v>8201836.0517559703</v>
      </c>
      <c r="CT5" s="11">
        <f t="shared" si="1"/>
        <v>2079538.9439539902</v>
      </c>
      <c r="CU5" s="11">
        <f t="shared" si="1"/>
        <v>2323097.8161860504</v>
      </c>
      <c r="CV5" s="11">
        <f t="shared" si="1"/>
        <v>3105847.2760517406</v>
      </c>
      <c r="CW5" s="11">
        <f t="shared" si="1"/>
        <v>3232448.9106800603</v>
      </c>
      <c r="CX5" s="16">
        <f>SUM(CX6:CX12)</f>
        <v>10740932.946871839</v>
      </c>
      <c r="CY5" s="11">
        <f t="shared" si="1"/>
        <v>2790788.2911832607</v>
      </c>
      <c r="CZ5" s="11">
        <f t="shared" si="1"/>
        <v>2858380.2701398698</v>
      </c>
      <c r="DA5" s="11">
        <f t="shared" si="1"/>
        <v>3460960.4763475601</v>
      </c>
      <c r="DB5" s="11">
        <f t="shared" si="1"/>
        <v>3960581.2843361599</v>
      </c>
      <c r="DC5" s="16">
        <f>SUM(DC6:DC12)</f>
        <v>13070710.322006851</v>
      </c>
      <c r="DD5" s="11">
        <f t="shared" si="1"/>
        <v>3759592.8191252286</v>
      </c>
      <c r="DE5" s="11">
        <f t="shared" si="1"/>
        <v>3401563.5820118808</v>
      </c>
      <c r="DF5" s="11">
        <f>SUM(DF6:DF12)</f>
        <v>3736304.2543691504</v>
      </c>
      <c r="DG5" s="11">
        <f>SUM(DG6:DG12)</f>
        <v>4448901.121047521</v>
      </c>
      <c r="DH5" s="16">
        <f>SUM(DH6:DH12)</f>
        <v>15346361.776553778</v>
      </c>
    </row>
    <row r="6" spans="1:112" x14ac:dyDescent="0.2">
      <c r="A6" s="1">
        <v>1</v>
      </c>
      <c r="B6" s="1" t="s">
        <v>3</v>
      </c>
      <c r="C6" s="6">
        <v>28648.337140348976</v>
      </c>
      <c r="D6" s="6">
        <v>24329.057056534948</v>
      </c>
      <c r="E6" s="6">
        <v>22455.180746728849</v>
      </c>
      <c r="F6" s="6">
        <v>34259.042002314731</v>
      </c>
      <c r="G6" s="17">
        <f t="shared" ref="G6:G12" si="2">SUM(C6:F6)</f>
        <v>109691.6169459275</v>
      </c>
      <c r="H6" s="6">
        <v>29004.671577857571</v>
      </c>
      <c r="I6" s="6">
        <v>29502.722494532605</v>
      </c>
      <c r="J6" s="6">
        <v>24362.841349623926</v>
      </c>
      <c r="K6" s="6">
        <v>32632.905475181185</v>
      </c>
      <c r="L6" s="17">
        <f t="shared" ref="L6:L12" si="3">SUM(H6:K6)</f>
        <v>115503.14089719529</v>
      </c>
      <c r="M6" s="6">
        <v>32456.544314659772</v>
      </c>
      <c r="N6" s="6">
        <v>32208.926110248351</v>
      </c>
      <c r="O6" s="6">
        <v>34587.280871905001</v>
      </c>
      <c r="P6" s="6">
        <v>43063.683155732979</v>
      </c>
      <c r="Q6" s="17">
        <f t="shared" ref="Q6:Q12" si="4">SUM(M6:P6)</f>
        <v>142316.43445254612</v>
      </c>
      <c r="R6" s="6">
        <v>32185.511308713361</v>
      </c>
      <c r="S6" s="6">
        <v>38178.337512606151</v>
      </c>
      <c r="T6" s="6">
        <v>42351.138481305825</v>
      </c>
      <c r="U6" s="6">
        <v>47679.691232437377</v>
      </c>
      <c r="V6" s="17">
        <f t="shared" ref="V6:V12" si="5">SUM(R6:U6)</f>
        <v>160394.6785350627</v>
      </c>
      <c r="W6" s="6">
        <v>48686.196890806998</v>
      </c>
      <c r="X6" s="6">
        <v>51520.83847647615</v>
      </c>
      <c r="Y6" s="6">
        <v>68719.347552520616</v>
      </c>
      <c r="Z6" s="6">
        <v>72133.400103936583</v>
      </c>
      <c r="AA6" s="17">
        <f t="shared" ref="AA6:AA12" si="6">SUM(W6:Z6)</f>
        <v>241059.78302374037</v>
      </c>
      <c r="AB6" s="6">
        <v>56696.732939567519</v>
      </c>
      <c r="AC6" s="6">
        <v>49744.915611721568</v>
      </c>
      <c r="AD6" s="6">
        <v>60285.646295236409</v>
      </c>
      <c r="AE6" s="6">
        <v>60727.054866664781</v>
      </c>
      <c r="AF6" s="17">
        <f t="shared" ref="AF6:AF12" si="7">SUM(AB6:AE6)</f>
        <v>227454.34971319025</v>
      </c>
      <c r="AG6" s="6">
        <v>52211.985123075312</v>
      </c>
      <c r="AH6" s="6">
        <v>60179.837530562239</v>
      </c>
      <c r="AI6" s="6">
        <v>63583.659614694967</v>
      </c>
      <c r="AJ6" s="6">
        <v>84960.790661430292</v>
      </c>
      <c r="AK6" s="17">
        <f t="shared" ref="AK6:AK12" si="8">SUM(AG6:AJ6)</f>
        <v>260936.27292976284</v>
      </c>
      <c r="AL6" s="6">
        <v>77484.708945284699</v>
      </c>
      <c r="AM6" s="6">
        <v>71225.394893332603</v>
      </c>
      <c r="AN6" s="6">
        <v>85495.870430161158</v>
      </c>
      <c r="AO6" s="6">
        <v>123430.26129447202</v>
      </c>
      <c r="AP6" s="17">
        <f t="shared" ref="AP6:AP12" si="9">SUM(AL6:AO6)</f>
        <v>357636.23556325049</v>
      </c>
      <c r="AQ6" s="6">
        <v>102811.97458935234</v>
      </c>
      <c r="AR6" s="6">
        <v>88346.131430965776</v>
      </c>
      <c r="AS6" s="6">
        <v>100299.71668051959</v>
      </c>
      <c r="AT6" s="6">
        <v>122340.7452762967</v>
      </c>
      <c r="AU6" s="17">
        <f t="shared" ref="AU6:AU12" si="10">SUM(AQ6:AT6)</f>
        <v>413798.56797713437</v>
      </c>
      <c r="AV6" s="6">
        <v>119649.73429575319</v>
      </c>
      <c r="AW6" s="6">
        <v>121479.73199943459</v>
      </c>
      <c r="AX6" s="6">
        <v>118074.08790053141</v>
      </c>
      <c r="AY6" s="6">
        <v>141538.22530098096</v>
      </c>
      <c r="AZ6" s="17">
        <f t="shared" ref="AZ6:AZ12" si="11">SUM(AV6:AY6)</f>
        <v>500741.77949670015</v>
      </c>
      <c r="BA6" s="6">
        <v>127080.6459427627</v>
      </c>
      <c r="BB6" s="6">
        <v>128962.17067949458</v>
      </c>
      <c r="BC6" s="6">
        <v>149886.38860577077</v>
      </c>
      <c r="BD6" s="6">
        <v>186154.31743875245</v>
      </c>
      <c r="BE6" s="17">
        <f t="shared" ref="BE6:BE12" si="12">SUM(BA6:BD6)</f>
        <v>592083.52266678051</v>
      </c>
      <c r="BF6" s="6">
        <v>130914.08971641517</v>
      </c>
      <c r="BG6" s="6">
        <v>117914.78068030269</v>
      </c>
      <c r="BH6" s="6">
        <v>130857.59971647071</v>
      </c>
      <c r="BI6" s="6">
        <v>165295.53837194381</v>
      </c>
      <c r="BJ6" s="17">
        <f t="shared" ref="BJ6:BJ12" si="13">SUM(BF6:BI6)</f>
        <v>544982.00848513236</v>
      </c>
      <c r="BK6" s="6">
        <v>112016.31395140689</v>
      </c>
      <c r="BL6" s="6">
        <v>90293.508597365799</v>
      </c>
      <c r="BM6" s="6">
        <v>124227.34931685946</v>
      </c>
      <c r="BN6" s="6">
        <v>185610.4856800402</v>
      </c>
      <c r="BO6" s="17">
        <f t="shared" ref="BO6:BO12" si="14">SUM(BK6:BN6)</f>
        <v>512147.65754567232</v>
      </c>
      <c r="BP6" s="6">
        <v>182691.72289074911</v>
      </c>
      <c r="BQ6" s="6">
        <v>167684.69279267843</v>
      </c>
      <c r="BR6" s="6">
        <v>173829.55647770216</v>
      </c>
      <c r="BS6" s="6">
        <v>193935.39235401843</v>
      </c>
      <c r="BT6" s="17">
        <f t="shared" ref="BT6:BT12" si="15">SUM(BP6:BS6)</f>
        <v>718141.3645151481</v>
      </c>
      <c r="BU6" s="6">
        <v>182971.5488841061</v>
      </c>
      <c r="BV6" s="6">
        <v>192609.51350096773</v>
      </c>
      <c r="BW6" s="6">
        <v>246326.41325678182</v>
      </c>
      <c r="BX6" s="6">
        <v>263130.36349869898</v>
      </c>
      <c r="BY6" s="17">
        <f t="shared" ref="BY6:BY12" si="16">SUM(BU6:BX6)</f>
        <v>885037.83914055466</v>
      </c>
      <c r="BZ6" s="6">
        <v>192295.76367223362</v>
      </c>
      <c r="CA6" s="6">
        <v>232469.28493015023</v>
      </c>
      <c r="CB6" s="6">
        <v>229135.91038933001</v>
      </c>
      <c r="CC6" s="6">
        <v>323195.50403686007</v>
      </c>
      <c r="CD6" s="17">
        <f t="shared" ref="CD6:CD12" si="17">SUM(BZ6:CC6)</f>
        <v>977096.4630285739</v>
      </c>
      <c r="CE6" s="6">
        <v>252931.64141564007</v>
      </c>
      <c r="CF6" s="6">
        <v>300380.37781246001</v>
      </c>
      <c r="CG6" s="6">
        <v>317064.31402602</v>
      </c>
      <c r="CH6" s="6">
        <v>318030.94904479</v>
      </c>
      <c r="CI6" s="17">
        <f t="shared" ref="CI6:CI12" si="18">SUM(CE6:CH6)</f>
        <v>1188407.28229891</v>
      </c>
      <c r="CJ6" s="6">
        <v>260191.93837600001</v>
      </c>
      <c r="CK6" s="6">
        <v>326138.61114706</v>
      </c>
      <c r="CL6" s="6">
        <v>309442.02229184995</v>
      </c>
      <c r="CM6" s="6">
        <v>357671.61368114006</v>
      </c>
      <c r="CN6" s="17">
        <f t="shared" ref="CN6:CN12" si="19">SUM(CJ6:CM6)</f>
        <v>1253444.1854960499</v>
      </c>
      <c r="CO6" s="6">
        <v>330695.37141604011</v>
      </c>
      <c r="CP6" s="6">
        <v>284782.18134974001</v>
      </c>
      <c r="CQ6" s="6">
        <v>313831.01520600996</v>
      </c>
      <c r="CR6" s="6">
        <v>479343.66689325013</v>
      </c>
      <c r="CS6" s="17">
        <f t="shared" ref="CS6:CS12" si="20">SUM(CO6:CR6)</f>
        <v>1408652.2348650403</v>
      </c>
      <c r="CT6" s="6">
        <v>301022.06330798019</v>
      </c>
      <c r="CU6" s="6">
        <v>325831.38351077004</v>
      </c>
      <c r="CV6" s="6">
        <v>451165.04043386993</v>
      </c>
      <c r="CW6" s="6">
        <v>413345.116385</v>
      </c>
      <c r="CX6" s="17">
        <f t="shared" ref="CX6:CX12" si="21">SUM(CT6:CW6)</f>
        <v>1491363.6036376201</v>
      </c>
      <c r="CY6" s="6">
        <v>481336.07346300001</v>
      </c>
      <c r="CZ6" s="6">
        <v>429890.76113759994</v>
      </c>
      <c r="DA6" s="6">
        <v>456650.08306555008</v>
      </c>
      <c r="DB6" s="6">
        <v>664178.92864722002</v>
      </c>
      <c r="DC6" s="17">
        <f t="shared" ref="DC6:DC12" si="22">SUM(CY6:DB6)</f>
        <v>2032055.8463133699</v>
      </c>
      <c r="DD6" s="6">
        <v>578384.80339520995</v>
      </c>
      <c r="DE6" s="6">
        <v>490156.74673982</v>
      </c>
      <c r="DF6" s="6">
        <v>468805.16417863982</v>
      </c>
      <c r="DG6" s="6">
        <v>668631.95738078014</v>
      </c>
      <c r="DH6" s="17">
        <f t="shared" ref="DH6:DH12" si="23">SUM(DD6:DG6)</f>
        <v>2205978.6716944501</v>
      </c>
    </row>
    <row r="7" spans="1:112" x14ac:dyDescent="0.2">
      <c r="A7" s="1">
        <v>2</v>
      </c>
      <c r="B7" s="1" t="s">
        <v>4</v>
      </c>
      <c r="C7" s="6">
        <v>14039.17368559171</v>
      </c>
      <c r="D7" s="6">
        <v>14820.861336793634</v>
      </c>
      <c r="E7" s="6">
        <v>23865.310050330212</v>
      </c>
      <c r="F7" s="6">
        <v>24812.105997996761</v>
      </c>
      <c r="G7" s="18">
        <f t="shared" si="2"/>
        <v>77537.451070712326</v>
      </c>
      <c r="H7" s="6">
        <v>24679.604407262395</v>
      </c>
      <c r="I7" s="6">
        <v>26063.268014231344</v>
      </c>
      <c r="J7" s="6">
        <v>37394.224453786112</v>
      </c>
      <c r="K7" s="6">
        <v>39773.286518418696</v>
      </c>
      <c r="L7" s="18">
        <f t="shared" si="3"/>
        <v>127910.38339369855</v>
      </c>
      <c r="M7" s="6">
        <v>41364.816248779833</v>
      </c>
      <c r="N7" s="6">
        <v>43423.840700473702</v>
      </c>
      <c r="O7" s="6">
        <v>49663.146848513148</v>
      </c>
      <c r="P7" s="6">
        <v>51027.631972897834</v>
      </c>
      <c r="Q7" s="18">
        <f t="shared" si="4"/>
        <v>185479.43577066451</v>
      </c>
      <c r="R7" s="6">
        <v>48389.562271624811</v>
      </c>
      <c r="S7" s="6">
        <v>57414.4212318633</v>
      </c>
      <c r="T7" s="6">
        <v>57746.177878302537</v>
      </c>
      <c r="U7" s="6">
        <v>72901.118847501391</v>
      </c>
      <c r="V7" s="18">
        <f t="shared" si="5"/>
        <v>236451.28022929205</v>
      </c>
      <c r="W7" s="6">
        <v>77810.306992490834</v>
      </c>
      <c r="X7" s="6">
        <v>81955.621813634498</v>
      </c>
      <c r="Y7" s="6">
        <v>99522.600916951531</v>
      </c>
      <c r="Z7" s="6">
        <v>111762.090751802</v>
      </c>
      <c r="AA7" s="18">
        <f t="shared" si="6"/>
        <v>371050.62047487882</v>
      </c>
      <c r="AB7" s="6">
        <v>100579.61746914123</v>
      </c>
      <c r="AC7" s="6">
        <v>101020.53506799047</v>
      </c>
      <c r="AD7" s="6">
        <v>104522.6864750438</v>
      </c>
      <c r="AE7" s="6">
        <v>104100.83646269183</v>
      </c>
      <c r="AF7" s="18">
        <f t="shared" si="7"/>
        <v>410223.67547486728</v>
      </c>
      <c r="AG7" s="6">
        <v>92359.674455330111</v>
      </c>
      <c r="AH7" s="6">
        <v>101621.94736383788</v>
      </c>
      <c r="AI7" s="6">
        <v>97072.899594976378</v>
      </c>
      <c r="AJ7" s="6">
        <v>109277.19282565371</v>
      </c>
      <c r="AK7" s="18">
        <f t="shared" si="8"/>
        <v>400331.71423979808</v>
      </c>
      <c r="AL7" s="6">
        <v>106257.0668102562</v>
      </c>
      <c r="AM7" s="6">
        <v>90634.084313478175</v>
      </c>
      <c r="AN7" s="6">
        <v>100072.57695365939</v>
      </c>
      <c r="AO7" s="6">
        <v>119462.77307676042</v>
      </c>
      <c r="AP7" s="18">
        <f t="shared" si="9"/>
        <v>416426.50115415413</v>
      </c>
      <c r="AQ7" s="6">
        <v>119391.89580173801</v>
      </c>
      <c r="AR7" s="6">
        <v>128615.43395850771</v>
      </c>
      <c r="AS7" s="6">
        <v>133969.17409200466</v>
      </c>
      <c r="AT7" s="6">
        <v>127116.06246017764</v>
      </c>
      <c r="AU7" s="18">
        <f t="shared" si="10"/>
        <v>509092.56631242804</v>
      </c>
      <c r="AV7" s="6">
        <v>130937.67713424997</v>
      </c>
      <c r="AW7" s="6">
        <v>126222.52104908522</v>
      </c>
      <c r="AX7" s="6">
        <v>154157.01797094179</v>
      </c>
      <c r="AY7" s="6">
        <v>164692.52498253924</v>
      </c>
      <c r="AZ7" s="18">
        <f t="shared" si="11"/>
        <v>576009.74113681621</v>
      </c>
      <c r="BA7" s="6">
        <v>154604.3300793074</v>
      </c>
      <c r="BB7" s="6">
        <v>155948.79277292374</v>
      </c>
      <c r="BC7" s="6">
        <v>175827.45369909095</v>
      </c>
      <c r="BD7" s="6">
        <v>175592.61629241466</v>
      </c>
      <c r="BE7" s="18">
        <f t="shared" si="12"/>
        <v>661973.19284373685</v>
      </c>
      <c r="BF7" s="6">
        <v>169558.96802075228</v>
      </c>
      <c r="BG7" s="6">
        <v>161845.69484608344</v>
      </c>
      <c r="BH7" s="6">
        <v>139656.36974029872</v>
      </c>
      <c r="BI7" s="6">
        <v>145724.41514236637</v>
      </c>
      <c r="BJ7" s="18">
        <f t="shared" si="13"/>
        <v>616785.44774950086</v>
      </c>
      <c r="BK7" s="6">
        <v>131987.82937280368</v>
      </c>
      <c r="BL7" s="6">
        <v>107467.51932392624</v>
      </c>
      <c r="BM7" s="6">
        <v>123265.68713713707</v>
      </c>
      <c r="BN7" s="6">
        <v>141281.56766595479</v>
      </c>
      <c r="BO7" s="18">
        <f t="shared" si="14"/>
        <v>504002.60349982174</v>
      </c>
      <c r="BP7" s="6">
        <v>120192.65748361945</v>
      </c>
      <c r="BQ7" s="6">
        <v>135616.23015786125</v>
      </c>
      <c r="BR7" s="6">
        <v>144320.51526116513</v>
      </c>
      <c r="BS7" s="6">
        <v>121513.01746926604</v>
      </c>
      <c r="BT7" s="18">
        <f t="shared" si="15"/>
        <v>521642.4203719119</v>
      </c>
      <c r="BU7" s="6">
        <v>134346.58492875236</v>
      </c>
      <c r="BV7" s="6">
        <v>179879.67356155111</v>
      </c>
      <c r="BW7" s="6">
        <v>227265.00985962729</v>
      </c>
      <c r="BX7" s="6">
        <v>247825.06135662261</v>
      </c>
      <c r="BY7" s="18">
        <f t="shared" si="16"/>
        <v>789316.32970655337</v>
      </c>
      <c r="BZ7" s="6">
        <v>256452.49231190441</v>
      </c>
      <c r="CA7" s="6">
        <v>238662.66224839937</v>
      </c>
      <c r="CB7" s="6">
        <v>263497.95907100663</v>
      </c>
      <c r="CC7" s="6">
        <v>343935.77260357141</v>
      </c>
      <c r="CD7" s="18">
        <f t="shared" si="17"/>
        <v>1102548.8862348818</v>
      </c>
      <c r="CE7" s="6">
        <v>300849.71471419005</v>
      </c>
      <c r="CF7" s="6">
        <v>284654.26161506004</v>
      </c>
      <c r="CG7" s="6">
        <v>314186.03070216998</v>
      </c>
      <c r="CH7" s="6">
        <v>396351.33348383009</v>
      </c>
      <c r="CI7" s="18">
        <f t="shared" si="18"/>
        <v>1296041.3405152501</v>
      </c>
      <c r="CJ7" s="6">
        <v>407360.67910346994</v>
      </c>
      <c r="CK7" s="6">
        <v>453768.09089763986</v>
      </c>
      <c r="CL7" s="6">
        <v>465376.33887839015</v>
      </c>
      <c r="CM7" s="6">
        <v>392400.33769791003</v>
      </c>
      <c r="CN7" s="18">
        <f t="shared" si="19"/>
        <v>1718905.4465774102</v>
      </c>
      <c r="CO7" s="6">
        <v>491884.66305315011</v>
      </c>
      <c r="CP7" s="6">
        <v>408287.68556165008</v>
      </c>
      <c r="CQ7" s="6">
        <v>492801.16826137982</v>
      </c>
      <c r="CR7" s="6">
        <v>541260.58029536007</v>
      </c>
      <c r="CS7" s="18">
        <f t="shared" si="20"/>
        <v>1934234.0971715404</v>
      </c>
      <c r="CT7" s="6">
        <v>452038.17806982982</v>
      </c>
      <c r="CU7" s="6">
        <v>506678.97688830027</v>
      </c>
      <c r="CV7" s="6">
        <v>659125.61300200014</v>
      </c>
      <c r="CW7" s="6">
        <v>650967.14633323997</v>
      </c>
      <c r="CX7" s="18">
        <f t="shared" si="21"/>
        <v>2268809.9142933702</v>
      </c>
      <c r="CY7" s="6">
        <v>661310.06225905009</v>
      </c>
      <c r="CZ7" s="6">
        <v>687726.52957120002</v>
      </c>
      <c r="DA7" s="6">
        <v>865239.35691714042</v>
      </c>
      <c r="DB7" s="6">
        <v>1102821.3290085306</v>
      </c>
      <c r="DC7" s="18">
        <f t="shared" si="22"/>
        <v>3317097.2777559208</v>
      </c>
      <c r="DD7" s="6">
        <v>1053383.1286817598</v>
      </c>
      <c r="DE7" s="6">
        <v>948568.52665452112</v>
      </c>
      <c r="DF7" s="6">
        <v>1049243.2248025099</v>
      </c>
      <c r="DG7" s="6">
        <v>1047125.8572323995</v>
      </c>
      <c r="DH7" s="18">
        <f t="shared" si="23"/>
        <v>4098320.7373711905</v>
      </c>
    </row>
    <row r="8" spans="1:112" x14ac:dyDescent="0.2">
      <c r="A8" s="1">
        <v>3</v>
      </c>
      <c r="B8" s="1" t="s">
        <v>5</v>
      </c>
      <c r="C8" s="6">
        <v>4299.5228792120097</v>
      </c>
      <c r="D8" s="6">
        <v>5415.7363240806217</v>
      </c>
      <c r="E8" s="6">
        <v>2755.2761324832795</v>
      </c>
      <c r="F8" s="6">
        <v>9203.6395412456022</v>
      </c>
      <c r="G8" s="18">
        <f t="shared" si="2"/>
        <v>21674.174877021513</v>
      </c>
      <c r="H8" s="6">
        <v>6801.9397518739297</v>
      </c>
      <c r="I8" s="6">
        <v>9513.6751535769636</v>
      </c>
      <c r="J8" s="6">
        <v>7948.2836596168499</v>
      </c>
      <c r="K8" s="6">
        <v>11743.401897574824</v>
      </c>
      <c r="L8" s="18">
        <f t="shared" si="3"/>
        <v>36007.300462642568</v>
      </c>
      <c r="M8" s="6">
        <v>14998.799184949235</v>
      </c>
      <c r="N8" s="6">
        <v>9989.2988974330783</v>
      </c>
      <c r="O8" s="6">
        <v>16343.759379611292</v>
      </c>
      <c r="P8" s="6">
        <v>13032.000482288146</v>
      </c>
      <c r="Q8" s="18">
        <f t="shared" si="4"/>
        <v>54363.85794428175</v>
      </c>
      <c r="R8" s="6">
        <v>19240.281760584538</v>
      </c>
      <c r="S8" s="6">
        <v>13859.320281603872</v>
      </c>
      <c r="T8" s="6">
        <v>20325.004597389761</v>
      </c>
      <c r="U8" s="6">
        <v>42084.758022244823</v>
      </c>
      <c r="V8" s="18">
        <f t="shared" si="5"/>
        <v>95509.364661822998</v>
      </c>
      <c r="W8" s="6">
        <v>31181.857857091542</v>
      </c>
      <c r="X8" s="6">
        <v>48221.907676476301</v>
      </c>
      <c r="Y8" s="6">
        <v>79417.23444615466</v>
      </c>
      <c r="Z8" s="6">
        <v>66554.983453037043</v>
      </c>
      <c r="AA8" s="18">
        <f t="shared" si="6"/>
        <v>225375.98343275953</v>
      </c>
      <c r="AB8" s="6">
        <v>24987.975751844275</v>
      </c>
      <c r="AC8" s="6">
        <v>16578.0707703837</v>
      </c>
      <c r="AD8" s="6">
        <v>51885.672763662136</v>
      </c>
      <c r="AE8" s="6">
        <v>41192.1349355977</v>
      </c>
      <c r="AF8" s="18">
        <f t="shared" si="7"/>
        <v>134643.85422148783</v>
      </c>
      <c r="AG8" s="6">
        <v>45537.217465372065</v>
      </c>
      <c r="AH8" s="6">
        <v>69391.071867980863</v>
      </c>
      <c r="AI8" s="6">
        <v>70125.844078830254</v>
      </c>
      <c r="AJ8" s="6">
        <v>50937.626968612036</v>
      </c>
      <c r="AK8" s="18">
        <f t="shared" si="8"/>
        <v>235991.76038079523</v>
      </c>
      <c r="AL8" s="6">
        <v>85318.441295167067</v>
      </c>
      <c r="AM8" s="6">
        <v>87041.609129986784</v>
      </c>
      <c r="AN8" s="6">
        <v>90179.548268166967</v>
      </c>
      <c r="AO8" s="6">
        <v>74839.771345020868</v>
      </c>
      <c r="AP8" s="18">
        <f t="shared" si="9"/>
        <v>337379.37003834167</v>
      </c>
      <c r="AQ8" s="6">
        <v>94631.597871271704</v>
      </c>
      <c r="AR8" s="6">
        <v>136311.50896371237</v>
      </c>
      <c r="AS8" s="6">
        <v>113672.31959718408</v>
      </c>
      <c r="AT8" s="6">
        <v>169824.04135661121</v>
      </c>
      <c r="AU8" s="18">
        <f t="shared" si="10"/>
        <v>514439.46778877941</v>
      </c>
      <c r="AV8" s="6">
        <v>118551.96656602707</v>
      </c>
      <c r="AW8" s="6">
        <v>89089.177819965611</v>
      </c>
      <c r="AX8" s="6">
        <v>125232.45673167263</v>
      </c>
      <c r="AY8" s="6">
        <v>201165.28667717395</v>
      </c>
      <c r="AZ8" s="18">
        <f t="shared" si="11"/>
        <v>534038.88779483922</v>
      </c>
      <c r="BA8" s="6">
        <v>110293.58628122797</v>
      </c>
      <c r="BB8" s="6">
        <v>132287.62159652662</v>
      </c>
      <c r="BC8" s="6">
        <v>153307.76049571729</v>
      </c>
      <c r="BD8" s="6">
        <v>125777.45699813112</v>
      </c>
      <c r="BE8" s="18">
        <f t="shared" si="12"/>
        <v>521666.42537160299</v>
      </c>
      <c r="BF8" s="6">
        <v>100165.83935462103</v>
      </c>
      <c r="BG8" s="6">
        <v>103907.97233515448</v>
      </c>
      <c r="BH8" s="6">
        <v>88472.856694725851</v>
      </c>
      <c r="BI8" s="6">
        <v>82879.356500415946</v>
      </c>
      <c r="BJ8" s="18">
        <f t="shared" si="13"/>
        <v>375426.02488491731</v>
      </c>
      <c r="BK8" s="6">
        <v>68195.094953669221</v>
      </c>
      <c r="BL8" s="6">
        <v>78873.470892186291</v>
      </c>
      <c r="BM8" s="6">
        <v>65871.248913550007</v>
      </c>
      <c r="BN8" s="6">
        <v>88967.951088228321</v>
      </c>
      <c r="BO8" s="18">
        <f t="shared" si="14"/>
        <v>301907.76584763383</v>
      </c>
      <c r="BP8" s="6">
        <v>61233.404462288534</v>
      </c>
      <c r="BQ8" s="6">
        <v>81396.363430636367</v>
      </c>
      <c r="BR8" s="6">
        <v>88191.706224771406</v>
      </c>
      <c r="BS8" s="6">
        <v>85998.516125099108</v>
      </c>
      <c r="BT8" s="18">
        <f t="shared" si="15"/>
        <v>316819.99024279538</v>
      </c>
      <c r="BU8" s="6">
        <v>92389.458786914882</v>
      </c>
      <c r="BV8" s="6">
        <v>162224.93767992788</v>
      </c>
      <c r="BW8" s="6">
        <v>148886.69970837462</v>
      </c>
      <c r="BX8" s="6">
        <v>225859.2557697912</v>
      </c>
      <c r="BY8" s="18">
        <f t="shared" si="16"/>
        <v>629360.35194500862</v>
      </c>
      <c r="BZ8" s="6">
        <v>126493.14901653425</v>
      </c>
      <c r="CA8" s="6">
        <v>204222.53073200001</v>
      </c>
      <c r="CB8" s="6">
        <v>217043.21321854999</v>
      </c>
      <c r="CC8" s="6">
        <v>173225.62777053</v>
      </c>
      <c r="CD8" s="18">
        <f t="shared" si="17"/>
        <v>720984.52073761425</v>
      </c>
      <c r="CE8" s="6">
        <v>130808.83625246001</v>
      </c>
      <c r="CF8" s="6">
        <v>91067.905509060001</v>
      </c>
      <c r="CG8" s="6">
        <v>128256.43453699999</v>
      </c>
      <c r="CH8" s="6">
        <v>184490.52063273999</v>
      </c>
      <c r="CI8" s="18">
        <f t="shared" si="18"/>
        <v>534623.69693125994</v>
      </c>
      <c r="CJ8" s="6">
        <v>235704.18962720002</v>
      </c>
      <c r="CK8" s="6">
        <v>284316.33969210996</v>
      </c>
      <c r="CL8" s="6">
        <v>341425.75830088003</v>
      </c>
      <c r="CM8" s="6">
        <v>326395.71421499999</v>
      </c>
      <c r="CN8" s="18">
        <f t="shared" si="19"/>
        <v>1187842.00183519</v>
      </c>
      <c r="CO8" s="6">
        <v>368961.09769467998</v>
      </c>
      <c r="CP8" s="6">
        <v>515804.53379876004</v>
      </c>
      <c r="CQ8" s="6">
        <v>460478.63908699999</v>
      </c>
      <c r="CR8" s="6">
        <v>479756.69611856993</v>
      </c>
      <c r="CS8" s="18">
        <f t="shared" si="20"/>
        <v>1825000.96669901</v>
      </c>
      <c r="CT8" s="6">
        <v>407602.29491451994</v>
      </c>
      <c r="CU8" s="6">
        <v>406094.65307855001</v>
      </c>
      <c r="CV8" s="6">
        <v>610741.55102997995</v>
      </c>
      <c r="CW8" s="6">
        <v>939314.48557819996</v>
      </c>
      <c r="CX8" s="18">
        <f t="shared" si="21"/>
        <v>2363752.9846012499</v>
      </c>
      <c r="CY8" s="6">
        <v>596661.63382392004</v>
      </c>
      <c r="CZ8" s="6">
        <v>583197.97639184992</v>
      </c>
      <c r="DA8" s="6">
        <v>625806.86173771997</v>
      </c>
      <c r="DB8" s="6">
        <v>689795.62369071005</v>
      </c>
      <c r="DC8" s="18">
        <f t="shared" si="22"/>
        <v>2495462.0956442002</v>
      </c>
      <c r="DD8" s="6">
        <v>630089.9656037899</v>
      </c>
      <c r="DE8" s="6">
        <v>410565.19750667998</v>
      </c>
      <c r="DF8" s="6">
        <v>576548.67728536995</v>
      </c>
      <c r="DG8" s="6">
        <v>907801.53956023999</v>
      </c>
      <c r="DH8" s="18">
        <f t="shared" si="23"/>
        <v>2525005.3799560796</v>
      </c>
    </row>
    <row r="9" spans="1:112" x14ac:dyDescent="0.2">
      <c r="A9" s="1">
        <v>4</v>
      </c>
      <c r="B9" s="1" t="s">
        <v>6</v>
      </c>
      <c r="C9" s="6">
        <v>46554.319561931858</v>
      </c>
      <c r="D9" s="6">
        <v>19478.225634797865</v>
      </c>
      <c r="E9" s="6">
        <v>26842.173189550911</v>
      </c>
      <c r="F9" s="6">
        <v>32803.74926768391</v>
      </c>
      <c r="G9" s="18">
        <f t="shared" si="2"/>
        <v>125678.46765396456</v>
      </c>
      <c r="H9" s="6">
        <v>85560.209043046343</v>
      </c>
      <c r="I9" s="6">
        <v>107015.97927537571</v>
      </c>
      <c r="J9" s="6">
        <v>38159.798993146447</v>
      </c>
      <c r="K9" s="6">
        <v>39492.975430864331</v>
      </c>
      <c r="L9" s="18">
        <f t="shared" si="3"/>
        <v>270228.96274243284</v>
      </c>
      <c r="M9" s="6">
        <v>52041.913049510462</v>
      </c>
      <c r="N9" s="6">
        <v>48894.361283270853</v>
      </c>
      <c r="O9" s="6">
        <v>60159.369490672238</v>
      </c>
      <c r="P9" s="6">
        <v>58823.431126793235</v>
      </c>
      <c r="Q9" s="18">
        <f t="shared" si="4"/>
        <v>219919.07495024681</v>
      </c>
      <c r="R9" s="6">
        <v>137445.55068799891</v>
      </c>
      <c r="S9" s="6">
        <v>64893.49632391773</v>
      </c>
      <c r="T9" s="6">
        <v>77289.860513276028</v>
      </c>
      <c r="U9" s="6">
        <v>85807.219302162324</v>
      </c>
      <c r="V9" s="18">
        <f t="shared" si="5"/>
        <v>365436.12682735501</v>
      </c>
      <c r="W9" s="6">
        <v>98657.59136554072</v>
      </c>
      <c r="X9" s="6">
        <v>94737.557214778601</v>
      </c>
      <c r="Y9" s="6">
        <v>120157.01678978278</v>
      </c>
      <c r="Z9" s="6">
        <v>205243.12548090689</v>
      </c>
      <c r="AA9" s="18">
        <f t="shared" si="6"/>
        <v>518795.29085100896</v>
      </c>
      <c r="AB9" s="6">
        <v>103821.58133698528</v>
      </c>
      <c r="AC9" s="6">
        <v>98326.055737861141</v>
      </c>
      <c r="AD9" s="6">
        <v>128482.39292177043</v>
      </c>
      <c r="AE9" s="6">
        <v>127552.00791143281</v>
      </c>
      <c r="AF9" s="18">
        <f t="shared" si="7"/>
        <v>458182.03790804971</v>
      </c>
      <c r="AG9" s="6">
        <v>132695.42450001292</v>
      </c>
      <c r="AH9" s="6">
        <v>108222.57042478572</v>
      </c>
      <c r="AI9" s="6">
        <v>113828.22806054357</v>
      </c>
      <c r="AJ9" s="6">
        <v>126657.41928186436</v>
      </c>
      <c r="AK9" s="18">
        <f t="shared" si="8"/>
        <v>481403.64226720657</v>
      </c>
      <c r="AL9" s="6">
        <v>107318.67231388339</v>
      </c>
      <c r="AM9" s="6">
        <v>286825.15506060864</v>
      </c>
      <c r="AN9" s="6">
        <v>92274.490121573486</v>
      </c>
      <c r="AO9" s="6">
        <v>109572.44411542857</v>
      </c>
      <c r="AP9" s="18">
        <f t="shared" si="9"/>
        <v>595990.76161149412</v>
      </c>
      <c r="AQ9" s="6">
        <v>116171.40346389054</v>
      </c>
      <c r="AR9" s="6">
        <v>117517.97259671103</v>
      </c>
      <c r="AS9" s="6">
        <v>139512.18780965928</v>
      </c>
      <c r="AT9" s="6">
        <v>149063.40977254885</v>
      </c>
      <c r="AU9" s="18">
        <f t="shared" si="10"/>
        <v>522264.97364280967</v>
      </c>
      <c r="AV9" s="6">
        <v>130336.21033736879</v>
      </c>
      <c r="AW9" s="6">
        <v>134293.65741219313</v>
      </c>
      <c r="AX9" s="6">
        <v>144541.85522218482</v>
      </c>
      <c r="AY9" s="6">
        <v>329962.89114366652</v>
      </c>
      <c r="AZ9" s="18">
        <f t="shared" si="11"/>
        <v>739134.61411541328</v>
      </c>
      <c r="BA9" s="6">
        <v>163386.71975727109</v>
      </c>
      <c r="BB9" s="6">
        <v>154211.97898163731</v>
      </c>
      <c r="BC9" s="6">
        <v>199561.25165104121</v>
      </c>
      <c r="BD9" s="6">
        <v>176554.85682495471</v>
      </c>
      <c r="BE9" s="18">
        <f t="shared" si="12"/>
        <v>693714.80721490434</v>
      </c>
      <c r="BF9" s="6">
        <v>291362.66775730485</v>
      </c>
      <c r="BG9" s="6">
        <v>132047.62489856442</v>
      </c>
      <c r="BH9" s="6">
        <v>135503.6229837611</v>
      </c>
      <c r="BI9" s="6">
        <v>131455.69523654954</v>
      </c>
      <c r="BJ9" s="18">
        <f t="shared" si="13"/>
        <v>690369.61087618</v>
      </c>
      <c r="BK9" s="6">
        <v>129512.99896165692</v>
      </c>
      <c r="BL9" s="6">
        <v>134841.57865707573</v>
      </c>
      <c r="BM9" s="6">
        <v>122492.59238758284</v>
      </c>
      <c r="BN9" s="6">
        <v>131400.85950707778</v>
      </c>
      <c r="BO9" s="18">
        <f t="shared" si="14"/>
        <v>518248.02951339324</v>
      </c>
      <c r="BP9" s="6">
        <v>150424.17045471899</v>
      </c>
      <c r="BQ9" s="6">
        <v>124457.77236046562</v>
      </c>
      <c r="BR9" s="6">
        <v>118162.48073798321</v>
      </c>
      <c r="BS9" s="6">
        <v>137215.34218076721</v>
      </c>
      <c r="BT9" s="18">
        <f t="shared" si="15"/>
        <v>530259.76573393494</v>
      </c>
      <c r="BU9" s="6">
        <v>136225.82202733619</v>
      </c>
      <c r="BV9" s="6">
        <v>506905.18811446847</v>
      </c>
      <c r="BW9" s="6">
        <v>218453.74466552894</v>
      </c>
      <c r="BX9" s="6">
        <v>217989.24247834645</v>
      </c>
      <c r="BY9" s="18">
        <f t="shared" si="16"/>
        <v>1079573.9972856801</v>
      </c>
      <c r="BZ9" s="6">
        <v>719437.23417620396</v>
      </c>
      <c r="CA9" s="6">
        <v>199927.10267491444</v>
      </c>
      <c r="CB9" s="6">
        <v>236886.08049619661</v>
      </c>
      <c r="CC9" s="6">
        <v>267443.29773415899</v>
      </c>
      <c r="CD9" s="18">
        <f t="shared" si="17"/>
        <v>1423693.715081474</v>
      </c>
      <c r="CE9" s="6">
        <v>271494.5126830599</v>
      </c>
      <c r="CF9" s="6">
        <v>264456.64789292007</v>
      </c>
      <c r="CG9" s="6">
        <v>324767.86410752009</v>
      </c>
      <c r="CH9" s="6">
        <v>349421.92506334017</v>
      </c>
      <c r="CI9" s="18">
        <f t="shared" si="18"/>
        <v>1210140.9497468402</v>
      </c>
      <c r="CJ9" s="6">
        <v>386766.52945575007</v>
      </c>
      <c r="CK9" s="6">
        <v>480857.18926164979</v>
      </c>
      <c r="CL9" s="6">
        <v>480438.97776129009</v>
      </c>
      <c r="CM9" s="6">
        <v>377449.0344867002</v>
      </c>
      <c r="CN9" s="18">
        <f t="shared" si="19"/>
        <v>1725511.7309653903</v>
      </c>
      <c r="CO9" s="6">
        <v>368578.14882269001</v>
      </c>
      <c r="CP9" s="6">
        <v>362336.89402789</v>
      </c>
      <c r="CQ9" s="6">
        <v>381295.94563111023</v>
      </c>
      <c r="CR9" s="6">
        <v>424121.8491746299</v>
      </c>
      <c r="CS9" s="18">
        <f t="shared" si="20"/>
        <v>1536332.8376563201</v>
      </c>
      <c r="CT9" s="6">
        <v>497308.20950792998</v>
      </c>
      <c r="CU9" s="6">
        <v>581873.74545548018</v>
      </c>
      <c r="CV9" s="6">
        <v>802960.58965884044</v>
      </c>
      <c r="CW9" s="6">
        <v>743229.13398666994</v>
      </c>
      <c r="CX9" s="18">
        <f t="shared" si="21"/>
        <v>2625371.6786089209</v>
      </c>
      <c r="CY9" s="6">
        <v>699894.6594407307</v>
      </c>
      <c r="CZ9" s="6">
        <v>722375.02283482009</v>
      </c>
      <c r="DA9" s="6">
        <v>945823.51771991944</v>
      </c>
      <c r="DB9" s="6">
        <v>949958.00178566983</v>
      </c>
      <c r="DC9" s="18">
        <f t="shared" si="22"/>
        <v>3318051.2017811402</v>
      </c>
      <c r="DD9" s="6">
        <v>988489.88893412903</v>
      </c>
      <c r="DE9" s="6">
        <v>932707.53416382975</v>
      </c>
      <c r="DF9" s="6">
        <v>902740.43099123996</v>
      </c>
      <c r="DG9" s="6">
        <v>1012937.4289249604</v>
      </c>
      <c r="DH9" s="18">
        <f t="shared" si="23"/>
        <v>3836875.2830141592</v>
      </c>
    </row>
    <row r="10" spans="1:112" x14ac:dyDescent="0.2">
      <c r="A10" s="1">
        <v>5</v>
      </c>
      <c r="B10" s="1" t="s">
        <v>7</v>
      </c>
      <c r="C10" s="6">
        <v>11839.294499604594</v>
      </c>
      <c r="D10" s="6">
        <v>14656.328914968835</v>
      </c>
      <c r="E10" s="6">
        <v>14429.937692295933</v>
      </c>
      <c r="F10" s="6">
        <v>16932.140936064701</v>
      </c>
      <c r="G10" s="18">
        <f t="shared" si="2"/>
        <v>57857.702042934063</v>
      </c>
      <c r="H10" s="6">
        <v>16583.877071380342</v>
      </c>
      <c r="I10" s="6">
        <v>17301.534209327005</v>
      </c>
      <c r="J10" s="6">
        <v>22031.640597742564</v>
      </c>
      <c r="K10" s="6">
        <v>21474.952317595173</v>
      </c>
      <c r="L10" s="18">
        <f t="shared" si="3"/>
        <v>77392.004196045091</v>
      </c>
      <c r="M10" s="6">
        <v>22461.712576682359</v>
      </c>
      <c r="N10" s="6">
        <v>26206.188642041139</v>
      </c>
      <c r="O10" s="6">
        <v>32409.571172547585</v>
      </c>
      <c r="P10" s="6">
        <v>83468.19678153751</v>
      </c>
      <c r="Q10" s="18">
        <f t="shared" si="4"/>
        <v>164545.66917280859</v>
      </c>
      <c r="R10" s="6">
        <v>42074.341979066885</v>
      </c>
      <c r="S10" s="6">
        <v>43175.274257720128</v>
      </c>
      <c r="T10" s="6">
        <v>53048.179035983812</v>
      </c>
      <c r="U10" s="6">
        <v>50560.015492621787</v>
      </c>
      <c r="V10" s="18">
        <f t="shared" si="5"/>
        <v>188857.81076539261</v>
      </c>
      <c r="W10" s="6">
        <v>52902.965796784141</v>
      </c>
      <c r="X10" s="6">
        <v>72024.394512716273</v>
      </c>
      <c r="Y10" s="6">
        <v>83257.491769516128</v>
      </c>
      <c r="Z10" s="6">
        <v>96584.107894920264</v>
      </c>
      <c r="AA10" s="18">
        <f t="shared" si="6"/>
        <v>304768.95997393684</v>
      </c>
      <c r="AB10" s="6">
        <v>86812.613014789604</v>
      </c>
      <c r="AC10" s="6">
        <v>88886.037551339599</v>
      </c>
      <c r="AD10" s="6">
        <v>73147.729987531347</v>
      </c>
      <c r="AE10" s="6">
        <v>72989.254611143813</v>
      </c>
      <c r="AF10" s="18">
        <f t="shared" si="7"/>
        <v>321835.63516480435</v>
      </c>
      <c r="AG10" s="6">
        <v>61291.98854729288</v>
      </c>
      <c r="AH10" s="6">
        <v>54453.858374887561</v>
      </c>
      <c r="AI10" s="6">
        <v>52436.546208001753</v>
      </c>
      <c r="AJ10" s="6">
        <v>56746.579571599614</v>
      </c>
      <c r="AK10" s="18">
        <f t="shared" si="8"/>
        <v>224928.97270178181</v>
      </c>
      <c r="AL10" s="6">
        <v>52646.273649787836</v>
      </c>
      <c r="AM10" s="6">
        <v>59652.515707754421</v>
      </c>
      <c r="AN10" s="6">
        <v>68574.522363125565</v>
      </c>
      <c r="AO10" s="6">
        <v>59556.545789076226</v>
      </c>
      <c r="AP10" s="18">
        <f t="shared" si="9"/>
        <v>240429.85750974403</v>
      </c>
      <c r="AQ10" s="6">
        <v>203758.38009453236</v>
      </c>
      <c r="AR10" s="6">
        <v>78828.813272379892</v>
      </c>
      <c r="AS10" s="6">
        <v>84309.224853652122</v>
      </c>
      <c r="AT10" s="6">
        <v>82554.030929780623</v>
      </c>
      <c r="AU10" s="18">
        <f t="shared" si="10"/>
        <v>449450.449150345</v>
      </c>
      <c r="AV10" s="6">
        <v>79598.704044897226</v>
      </c>
      <c r="AW10" s="6">
        <v>74685.931546349006</v>
      </c>
      <c r="AX10" s="6">
        <v>83876.570615911187</v>
      </c>
      <c r="AY10" s="6">
        <v>88491.639956520943</v>
      </c>
      <c r="AZ10" s="18">
        <f t="shared" si="11"/>
        <v>326652.84616367839</v>
      </c>
      <c r="BA10" s="6">
        <v>100982.50996111633</v>
      </c>
      <c r="BB10" s="6">
        <v>144930.80414550297</v>
      </c>
      <c r="BC10" s="6">
        <v>108013.76658557112</v>
      </c>
      <c r="BD10" s="6">
        <v>114491.15549170009</v>
      </c>
      <c r="BE10" s="18">
        <f t="shared" si="12"/>
        <v>468418.23618389055</v>
      </c>
      <c r="BF10" s="6">
        <v>84238.647446778064</v>
      </c>
      <c r="BG10" s="6">
        <v>43558.898830415492</v>
      </c>
      <c r="BH10" s="6">
        <v>45676.78798985912</v>
      </c>
      <c r="BI10" s="6">
        <v>38059.341146696686</v>
      </c>
      <c r="BJ10" s="18">
        <f t="shared" si="13"/>
        <v>211533.67541374936</v>
      </c>
      <c r="BK10" s="6">
        <v>66142.262311035462</v>
      </c>
      <c r="BL10" s="6">
        <v>121137.23311850382</v>
      </c>
      <c r="BM10" s="6">
        <v>87848.705129205817</v>
      </c>
      <c r="BN10" s="6">
        <v>35161.406421039304</v>
      </c>
      <c r="BO10" s="18">
        <f t="shared" si="14"/>
        <v>310289.60697978444</v>
      </c>
      <c r="BP10" s="6">
        <v>37963.635144578118</v>
      </c>
      <c r="BQ10" s="6">
        <v>68341.933464453192</v>
      </c>
      <c r="BR10" s="6">
        <v>79456.801198815578</v>
      </c>
      <c r="BS10" s="6">
        <v>57092.971947081503</v>
      </c>
      <c r="BT10" s="18">
        <f t="shared" si="15"/>
        <v>242855.34175492841</v>
      </c>
      <c r="BU10" s="6">
        <v>80736.134935084148</v>
      </c>
      <c r="BV10" s="6">
        <v>61670.444936455824</v>
      </c>
      <c r="BW10" s="6">
        <v>69993.353911540107</v>
      </c>
      <c r="BX10" s="6">
        <v>78857.115887694759</v>
      </c>
      <c r="BY10" s="18">
        <f t="shared" si="16"/>
        <v>291257.04967077484</v>
      </c>
      <c r="BZ10" s="6">
        <v>81573.721723111128</v>
      </c>
      <c r="CA10" s="6">
        <v>74759.727217655629</v>
      </c>
      <c r="CB10" s="6">
        <v>103018.40012335255</v>
      </c>
      <c r="CC10" s="6">
        <v>150849.33574276007</v>
      </c>
      <c r="CD10" s="18">
        <f t="shared" si="17"/>
        <v>410201.18480687938</v>
      </c>
      <c r="CE10" s="6">
        <v>116292.08511390002</v>
      </c>
      <c r="CF10" s="6">
        <v>139442.20350149</v>
      </c>
      <c r="CG10" s="6">
        <v>132107.66659451</v>
      </c>
      <c r="CH10" s="6">
        <v>260414.55210409997</v>
      </c>
      <c r="CI10" s="18">
        <f t="shared" si="18"/>
        <v>648256.50731400005</v>
      </c>
      <c r="CJ10" s="6">
        <v>163165.81353228007</v>
      </c>
      <c r="CK10" s="6">
        <v>160880.25549384</v>
      </c>
      <c r="CL10" s="6">
        <v>194010.13143550002</v>
      </c>
      <c r="CM10" s="6">
        <v>169567.74539567999</v>
      </c>
      <c r="CN10" s="18">
        <f t="shared" si="19"/>
        <v>687623.94585730007</v>
      </c>
      <c r="CO10" s="6">
        <v>177759.28300307001</v>
      </c>
      <c r="CP10" s="6">
        <v>166575.20455303002</v>
      </c>
      <c r="CQ10" s="6">
        <v>285628.16117047996</v>
      </c>
      <c r="CR10" s="6">
        <v>249178.53297551</v>
      </c>
      <c r="CS10" s="18">
        <f t="shared" si="20"/>
        <v>879141.18170208996</v>
      </c>
      <c r="CT10" s="6">
        <v>256033.08987937003</v>
      </c>
      <c r="CU10" s="6">
        <v>298349.04175323987</v>
      </c>
      <c r="CV10" s="6">
        <v>356054.29106571001</v>
      </c>
      <c r="CW10" s="6">
        <v>310630.90321652003</v>
      </c>
      <c r="CX10" s="18">
        <f t="shared" si="21"/>
        <v>1221067.32591484</v>
      </c>
      <c r="CY10" s="6">
        <v>207866.60524763999</v>
      </c>
      <c r="CZ10" s="6">
        <v>261929.00514810998</v>
      </c>
      <c r="DA10" s="6">
        <v>307198.75577602</v>
      </c>
      <c r="DB10" s="6">
        <v>310622.20442850998</v>
      </c>
      <c r="DC10" s="18">
        <f t="shared" si="22"/>
        <v>1087616.5706002801</v>
      </c>
      <c r="DD10" s="6">
        <v>278034.75928583997</v>
      </c>
      <c r="DE10" s="6">
        <v>364972.52223650011</v>
      </c>
      <c r="DF10" s="6">
        <v>387602.47739098023</v>
      </c>
      <c r="DG10" s="6">
        <v>520340.98473221989</v>
      </c>
      <c r="DH10" s="18">
        <f t="shared" si="23"/>
        <v>1550950.7436455402</v>
      </c>
    </row>
    <row r="11" spans="1:112" x14ac:dyDescent="0.2">
      <c r="A11" s="1">
        <v>6</v>
      </c>
      <c r="B11" s="1" t="s">
        <v>8</v>
      </c>
      <c r="C11" s="6">
        <v>9701.4230614826447</v>
      </c>
      <c r="D11" s="6">
        <v>11963.715693861461</v>
      </c>
      <c r="E11" s="6">
        <v>11147.922084170239</v>
      </c>
      <c r="F11" s="6">
        <v>14722.302413065077</v>
      </c>
      <c r="G11" s="18">
        <f t="shared" si="2"/>
        <v>47535.363252579424</v>
      </c>
      <c r="H11" s="6">
        <v>11875.978714590708</v>
      </c>
      <c r="I11" s="6">
        <v>15665.116436996241</v>
      </c>
      <c r="J11" s="6">
        <v>15943.510951612596</v>
      </c>
      <c r="K11" s="6">
        <v>17608.443346213451</v>
      </c>
      <c r="L11" s="18">
        <f t="shared" si="3"/>
        <v>61093.049449412996</v>
      </c>
      <c r="M11" s="6">
        <v>17544.775533232139</v>
      </c>
      <c r="N11" s="6">
        <v>17744.173771751608</v>
      </c>
      <c r="O11" s="6">
        <v>20787.823330916912</v>
      </c>
      <c r="P11" s="6">
        <v>27790.376511377832</v>
      </c>
      <c r="Q11" s="18">
        <f t="shared" si="4"/>
        <v>83867.149147278498</v>
      </c>
      <c r="R11" s="6">
        <v>20301.322576365794</v>
      </c>
      <c r="S11" s="6">
        <v>21311.489898113738</v>
      </c>
      <c r="T11" s="6">
        <v>26987.032273503079</v>
      </c>
      <c r="U11" s="6">
        <v>28428.363485204685</v>
      </c>
      <c r="V11" s="18">
        <f t="shared" si="5"/>
        <v>97028.208233187295</v>
      </c>
      <c r="W11" s="6">
        <v>29777.102937177133</v>
      </c>
      <c r="X11" s="6">
        <v>26672.842352720578</v>
      </c>
      <c r="Y11" s="6">
        <v>34631.907617896642</v>
      </c>
      <c r="Z11" s="6">
        <v>38484.074826711767</v>
      </c>
      <c r="AA11" s="18">
        <f t="shared" si="6"/>
        <v>129565.92773450611</v>
      </c>
      <c r="AB11" s="6">
        <v>34487.065399425112</v>
      </c>
      <c r="AC11" s="6">
        <v>30257.408318261801</v>
      </c>
      <c r="AD11" s="6">
        <v>34692.388896862867</v>
      </c>
      <c r="AE11" s="6">
        <v>36991.000221817631</v>
      </c>
      <c r="AF11" s="18">
        <f t="shared" si="7"/>
        <v>136427.86283636742</v>
      </c>
      <c r="AG11" s="6">
        <v>31732.297694199657</v>
      </c>
      <c r="AH11" s="6">
        <v>28750.859748841569</v>
      </c>
      <c r="AI11" s="6">
        <v>35837.63947496537</v>
      </c>
      <c r="AJ11" s="6">
        <v>41471.715770890951</v>
      </c>
      <c r="AK11" s="18">
        <f t="shared" si="8"/>
        <v>137792.51268889755</v>
      </c>
      <c r="AL11" s="6">
        <v>31216.000503169576</v>
      </c>
      <c r="AM11" s="6">
        <v>35366.211818146679</v>
      </c>
      <c r="AN11" s="6">
        <v>40930.213964182265</v>
      </c>
      <c r="AO11" s="6">
        <v>52647.745725376808</v>
      </c>
      <c r="AP11" s="18">
        <f t="shared" si="9"/>
        <v>160160.17201087531</v>
      </c>
      <c r="AQ11" s="6">
        <v>42345.484219023856</v>
      </c>
      <c r="AR11" s="6">
        <v>44540.638753447267</v>
      </c>
      <c r="AS11" s="6">
        <v>50389.232584175013</v>
      </c>
      <c r="AT11" s="6">
        <v>56648.772501285086</v>
      </c>
      <c r="AU11" s="18">
        <f t="shared" si="10"/>
        <v>193924.1280579312</v>
      </c>
      <c r="AV11" s="6">
        <v>54858.21173107667</v>
      </c>
      <c r="AW11" s="6">
        <v>48947.119384716199</v>
      </c>
      <c r="AX11" s="6">
        <v>58584.2107919462</v>
      </c>
      <c r="AY11" s="6">
        <v>73220.978367796401</v>
      </c>
      <c r="AZ11" s="18">
        <f t="shared" si="11"/>
        <v>235610.52027553547</v>
      </c>
      <c r="BA11" s="6">
        <v>63463.807222470939</v>
      </c>
      <c r="BB11" s="6">
        <v>54603.295879822726</v>
      </c>
      <c r="BC11" s="6">
        <v>66114.039276622774</v>
      </c>
      <c r="BD11" s="6">
        <v>76938.257477202671</v>
      </c>
      <c r="BE11" s="18">
        <f t="shared" si="12"/>
        <v>261119.39985611913</v>
      </c>
      <c r="BF11" s="6">
        <v>54843.686454646115</v>
      </c>
      <c r="BG11" s="6">
        <v>41260.364326155446</v>
      </c>
      <c r="BH11" s="6">
        <v>47473.596127235796</v>
      </c>
      <c r="BI11" s="6">
        <v>54215.943755719869</v>
      </c>
      <c r="BJ11" s="18">
        <f t="shared" si="13"/>
        <v>197793.59066375723</v>
      </c>
      <c r="BK11" s="6">
        <v>37491.447026949871</v>
      </c>
      <c r="BL11" s="6">
        <v>33238.631896194187</v>
      </c>
      <c r="BM11" s="6">
        <v>40499.678946686552</v>
      </c>
      <c r="BN11" s="6">
        <v>55538.83451278045</v>
      </c>
      <c r="BO11" s="18">
        <f t="shared" si="14"/>
        <v>166768.59238261107</v>
      </c>
      <c r="BP11" s="6">
        <v>50386.773903501773</v>
      </c>
      <c r="BQ11" s="6">
        <v>62700.138493096958</v>
      </c>
      <c r="BR11" s="6">
        <v>73704.071467924179</v>
      </c>
      <c r="BS11" s="6">
        <v>67937.4826416672</v>
      </c>
      <c r="BT11" s="18">
        <f t="shared" si="15"/>
        <v>254728.46650619007</v>
      </c>
      <c r="BU11" s="6">
        <v>70735.462305153531</v>
      </c>
      <c r="BV11" s="6">
        <v>71103.715466182126</v>
      </c>
      <c r="BW11" s="6">
        <v>99908.118795387607</v>
      </c>
      <c r="BX11" s="6">
        <v>104685.72790083484</v>
      </c>
      <c r="BY11" s="18">
        <f t="shared" si="16"/>
        <v>346433.02446755813</v>
      </c>
      <c r="BZ11" s="6">
        <v>85886.928220039161</v>
      </c>
      <c r="CA11" s="6">
        <v>79110.502569540287</v>
      </c>
      <c r="CB11" s="6">
        <v>105602.09295728993</v>
      </c>
      <c r="CC11" s="6">
        <v>138983.99591158002</v>
      </c>
      <c r="CD11" s="18">
        <f t="shared" si="17"/>
        <v>409583.51965844946</v>
      </c>
      <c r="CE11" s="6">
        <v>125094.26015882017</v>
      </c>
      <c r="CF11" s="6">
        <v>87604.898603169961</v>
      </c>
      <c r="CG11" s="6">
        <v>131732.77280917004</v>
      </c>
      <c r="CH11" s="6">
        <v>151598.45655180994</v>
      </c>
      <c r="CI11" s="18">
        <f t="shared" si="18"/>
        <v>496030.38812297012</v>
      </c>
      <c r="CJ11" s="6">
        <v>126587.94184602999</v>
      </c>
      <c r="CK11" s="6">
        <v>160595.84109631</v>
      </c>
      <c r="CL11" s="6">
        <v>171769.67828137998</v>
      </c>
      <c r="CM11" s="6">
        <v>184211.84904532001</v>
      </c>
      <c r="CN11" s="18">
        <f t="shared" si="19"/>
        <v>643165.31026904006</v>
      </c>
      <c r="CO11" s="6">
        <v>127215.30376106001</v>
      </c>
      <c r="CP11" s="6">
        <v>127298.62453667002</v>
      </c>
      <c r="CQ11" s="6">
        <v>164797.85839503998</v>
      </c>
      <c r="CR11" s="6">
        <v>192279.44668113999</v>
      </c>
      <c r="CS11" s="18">
        <f t="shared" si="20"/>
        <v>611591.23337390996</v>
      </c>
      <c r="CT11" s="6">
        <v>155208.0075483601</v>
      </c>
      <c r="CU11" s="6">
        <v>201059.95401471001</v>
      </c>
      <c r="CV11" s="6">
        <v>205576.64614734013</v>
      </c>
      <c r="CW11" s="6">
        <v>174832.88555842999</v>
      </c>
      <c r="CX11" s="18">
        <f t="shared" si="21"/>
        <v>736677.49326884013</v>
      </c>
      <c r="CY11" s="6">
        <v>143002.87288591999</v>
      </c>
      <c r="CZ11" s="6">
        <v>164706.73447479002</v>
      </c>
      <c r="DA11" s="6">
        <v>213524.79288321003</v>
      </c>
      <c r="DB11" s="6">
        <v>231481.43643452006</v>
      </c>
      <c r="DC11" s="18">
        <f t="shared" si="22"/>
        <v>752715.8366784401</v>
      </c>
      <c r="DD11" s="6">
        <v>201454.42975857999</v>
      </c>
      <c r="DE11" s="6">
        <v>223035.70374453004</v>
      </c>
      <c r="DF11" s="6">
        <v>330785.71687241027</v>
      </c>
      <c r="DG11" s="6">
        <v>261561.76717818002</v>
      </c>
      <c r="DH11" s="18">
        <f t="shared" si="23"/>
        <v>1016837.6175537003</v>
      </c>
    </row>
    <row r="12" spans="1:112" ht="12.75" thickBot="1" x14ac:dyDescent="0.25">
      <c r="A12" s="7">
        <v>7</v>
      </c>
      <c r="B12" s="7" t="s">
        <v>9</v>
      </c>
      <c r="C12" s="8">
        <v>1.2342214729660002</v>
      </c>
      <c r="D12" s="8">
        <v>29.923989596405999</v>
      </c>
      <c r="E12" s="8">
        <v>5.5400727265700001</v>
      </c>
      <c r="F12" s="8">
        <v>10.513410599238002</v>
      </c>
      <c r="G12" s="19">
        <f t="shared" si="2"/>
        <v>47.211694395179997</v>
      </c>
      <c r="H12" s="8">
        <v>79.822167759035011</v>
      </c>
      <c r="I12" s="8">
        <v>463.77687356871024</v>
      </c>
      <c r="J12" s="8">
        <v>411.16718413200789</v>
      </c>
      <c r="K12" s="8">
        <v>168.12986825541893</v>
      </c>
      <c r="L12" s="19">
        <f t="shared" si="3"/>
        <v>1122.8960937151719</v>
      </c>
      <c r="M12" s="8">
        <v>200.40987938584101</v>
      </c>
      <c r="N12" s="8">
        <v>85.708503576150974</v>
      </c>
      <c r="O12" s="8">
        <v>257.6226209505719</v>
      </c>
      <c r="P12" s="8">
        <v>339.47067486965403</v>
      </c>
      <c r="Q12" s="19">
        <f t="shared" si="4"/>
        <v>883.21167878221786</v>
      </c>
      <c r="R12" s="8">
        <v>401.72153070610489</v>
      </c>
      <c r="S12" s="8">
        <v>490.29214915636231</v>
      </c>
      <c r="T12" s="8">
        <v>275.17336483179014</v>
      </c>
      <c r="U12" s="8">
        <v>221.59505434915997</v>
      </c>
      <c r="V12" s="19">
        <f t="shared" si="5"/>
        <v>1388.7820990434172</v>
      </c>
      <c r="W12" s="8">
        <v>284.12813167144981</v>
      </c>
      <c r="X12" s="8">
        <v>652.08002051407027</v>
      </c>
      <c r="Y12" s="8">
        <v>763.77139297700944</v>
      </c>
      <c r="Z12" s="8">
        <v>2616.5567656515323</v>
      </c>
      <c r="AA12" s="19">
        <f t="shared" si="6"/>
        <v>4316.5363108140618</v>
      </c>
      <c r="AB12" s="8">
        <v>3107.9771317443283</v>
      </c>
      <c r="AC12" s="8">
        <v>1831.4894337112403</v>
      </c>
      <c r="AD12" s="8">
        <v>3122.9007099370779</v>
      </c>
      <c r="AE12" s="8">
        <v>5096.9342140322624</v>
      </c>
      <c r="AF12" s="19">
        <f t="shared" si="7"/>
        <v>13159.301489424908</v>
      </c>
      <c r="AG12" s="8">
        <v>3170.881363633338</v>
      </c>
      <c r="AH12" s="8">
        <v>2562.6601314258173</v>
      </c>
      <c r="AI12" s="8">
        <v>2017.8509426428188</v>
      </c>
      <c r="AJ12" s="8">
        <v>1879.6198527711013</v>
      </c>
      <c r="AK12" s="19">
        <f t="shared" si="8"/>
        <v>9631.0122904730742</v>
      </c>
      <c r="AL12" s="8">
        <v>2923.9887827267703</v>
      </c>
      <c r="AM12" s="8">
        <v>4243.268135261922</v>
      </c>
      <c r="AN12" s="8">
        <v>3571.177366337693</v>
      </c>
      <c r="AO12" s="8">
        <v>4589.2739426604403</v>
      </c>
      <c r="AP12" s="19">
        <f t="shared" si="9"/>
        <v>15327.708226986826</v>
      </c>
      <c r="AQ12" s="8">
        <v>3969.2304438777719</v>
      </c>
      <c r="AR12" s="8">
        <v>3540.5461478577008</v>
      </c>
      <c r="AS12" s="8">
        <v>17900.647757120249</v>
      </c>
      <c r="AT12" s="8">
        <v>6190.3609609367968</v>
      </c>
      <c r="AU12" s="19">
        <f t="shared" si="10"/>
        <v>31600.785309792518</v>
      </c>
      <c r="AV12" s="8">
        <v>4406.3415268067984</v>
      </c>
      <c r="AW12" s="8">
        <v>3963.3771835182201</v>
      </c>
      <c r="AX12" s="8">
        <v>4610.1627382212682</v>
      </c>
      <c r="AY12" s="8">
        <v>5813.8020383948551</v>
      </c>
      <c r="AZ12" s="19">
        <f t="shared" si="11"/>
        <v>18793.68348694114</v>
      </c>
      <c r="BA12" s="8">
        <v>3549.2530204908526</v>
      </c>
      <c r="BB12" s="8">
        <v>2480.0629339481907</v>
      </c>
      <c r="BC12" s="8">
        <v>7563.7021693928491</v>
      </c>
      <c r="BD12" s="8">
        <v>8442.3628713218404</v>
      </c>
      <c r="BE12" s="19">
        <f t="shared" si="12"/>
        <v>22035.380995153733</v>
      </c>
      <c r="BF12" s="8">
        <v>8776.66877819207</v>
      </c>
      <c r="BG12" s="8">
        <v>16870.241434889398</v>
      </c>
      <c r="BH12" s="8">
        <v>43078.820245000352</v>
      </c>
      <c r="BI12" s="8">
        <v>25949.091692265138</v>
      </c>
      <c r="BJ12" s="19">
        <f t="shared" si="13"/>
        <v>94674.822150346954</v>
      </c>
      <c r="BK12" s="8">
        <v>41813.497072409293</v>
      </c>
      <c r="BL12" s="8">
        <v>31901.404307236011</v>
      </c>
      <c r="BM12" s="8">
        <v>22882.462782499508</v>
      </c>
      <c r="BN12" s="8">
        <v>46264.478163415966</v>
      </c>
      <c r="BO12" s="19">
        <f t="shared" si="14"/>
        <v>142861.84232556078</v>
      </c>
      <c r="BP12" s="8">
        <v>20435.249937877852</v>
      </c>
      <c r="BQ12" s="8">
        <v>37832.570619981074</v>
      </c>
      <c r="BR12" s="8">
        <v>40283.017432556378</v>
      </c>
      <c r="BS12" s="8">
        <v>17996.241257736368</v>
      </c>
      <c r="BT12" s="19">
        <f t="shared" si="15"/>
        <v>116547.07924815168</v>
      </c>
      <c r="BU12" s="8">
        <v>53298.643089453195</v>
      </c>
      <c r="BV12" s="8">
        <v>11733.830570647187</v>
      </c>
      <c r="BW12" s="8">
        <v>7181.9799820997187</v>
      </c>
      <c r="BX12" s="8">
        <v>9300.5784040444796</v>
      </c>
      <c r="BY12" s="19">
        <f t="shared" si="16"/>
        <v>81515.032046244582</v>
      </c>
      <c r="BZ12" s="8">
        <v>18097.027113</v>
      </c>
      <c r="CA12" s="8">
        <v>3832.111265</v>
      </c>
      <c r="CB12" s="8">
        <v>603.90528700000004</v>
      </c>
      <c r="CC12" s="8">
        <v>3677.7122129999998</v>
      </c>
      <c r="CD12" s="19">
        <f t="shared" si="17"/>
        <v>26210.755878</v>
      </c>
      <c r="CE12" s="8">
        <v>3467.55336945</v>
      </c>
      <c r="CF12" s="8">
        <v>1174.22192</v>
      </c>
      <c r="CG12" s="8">
        <v>2512.8726339999998</v>
      </c>
      <c r="CH12" s="8">
        <v>10426.781277</v>
      </c>
      <c r="CI12" s="19">
        <f t="shared" si="18"/>
        <v>17581.429200450002</v>
      </c>
      <c r="CJ12" s="8">
        <v>380.92520100000002</v>
      </c>
      <c r="CK12" s="8">
        <v>1267.2430730000001</v>
      </c>
      <c r="CL12" s="8">
        <v>283.92515200000003</v>
      </c>
      <c r="CM12" s="8">
        <v>27.523403999999999</v>
      </c>
      <c r="CN12" s="19">
        <f t="shared" si="19"/>
        <v>1959.6168300000002</v>
      </c>
      <c r="CO12" s="8">
        <v>40.217906999999997</v>
      </c>
      <c r="CP12" s="8">
        <v>1321.8171990000001</v>
      </c>
      <c r="CQ12" s="8">
        <v>2200.3528250599998</v>
      </c>
      <c r="CR12" s="8">
        <v>3321.112357</v>
      </c>
      <c r="CS12" s="19">
        <f t="shared" si="20"/>
        <v>6883.5002880599995</v>
      </c>
      <c r="CT12" s="8">
        <v>10327.100726000001</v>
      </c>
      <c r="CU12" s="8">
        <v>3210.0614850000002</v>
      </c>
      <c r="CV12" s="8">
        <v>20223.544714</v>
      </c>
      <c r="CW12" s="8">
        <v>129.239622</v>
      </c>
      <c r="CX12" s="19">
        <f t="shared" si="21"/>
        <v>33889.946547</v>
      </c>
      <c r="CY12" s="8">
        <v>716.38406299999997</v>
      </c>
      <c r="CZ12" s="8">
        <v>8554.2405815000002</v>
      </c>
      <c r="DA12" s="8">
        <v>46717.108247999997</v>
      </c>
      <c r="DB12" s="8">
        <v>11723.760340999999</v>
      </c>
      <c r="DC12" s="19">
        <f t="shared" si="22"/>
        <v>67711.49323349999</v>
      </c>
      <c r="DD12" s="8">
        <v>29755.843465919999</v>
      </c>
      <c r="DE12" s="8">
        <v>31557.350966000002</v>
      </c>
      <c r="DF12" s="8">
        <v>20578.562848000001</v>
      </c>
      <c r="DG12" s="8">
        <v>30501.586038740003</v>
      </c>
      <c r="DH12" s="19">
        <f t="shared" si="23"/>
        <v>112393.34331866</v>
      </c>
    </row>
    <row r="13" spans="1:112" x14ac:dyDescent="0.2">
      <c r="A13" s="1" t="s">
        <v>10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5" spans="1:112" x14ac:dyDescent="0.2"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</row>
  </sheetData>
  <mergeCells count="46">
    <mergeCell ref="CS3:CS4"/>
    <mergeCell ref="CX3:CX4"/>
    <mergeCell ref="DC3:DC4"/>
    <mergeCell ref="DH3:DH4"/>
    <mergeCell ref="BT3:BT4"/>
    <mergeCell ref="BY3:BY4"/>
    <mergeCell ref="CD3:CD4"/>
    <mergeCell ref="CI3:CI4"/>
    <mergeCell ref="CN3:CN4"/>
    <mergeCell ref="DD3:DG3"/>
    <mergeCell ref="CE3:CH3"/>
    <mergeCell ref="CJ3:CM3"/>
    <mergeCell ref="CO3:CR3"/>
    <mergeCell ref="CT3:CW3"/>
    <mergeCell ref="CY3:DB3"/>
    <mergeCell ref="BZ3:CC3"/>
    <mergeCell ref="BJ3:BJ4"/>
    <mergeCell ref="BO3:BO4"/>
    <mergeCell ref="C3:F3"/>
    <mergeCell ref="BU3:BX3"/>
    <mergeCell ref="BK3:BN3"/>
    <mergeCell ref="BP3:BS3"/>
    <mergeCell ref="AF3:AF4"/>
    <mergeCell ref="AK3:AK4"/>
    <mergeCell ref="AP3:AP4"/>
    <mergeCell ref="AU3:AU4"/>
    <mergeCell ref="AZ3:AZ4"/>
    <mergeCell ref="G3:G4"/>
    <mergeCell ref="L3:L4"/>
    <mergeCell ref="Q3:Q4"/>
    <mergeCell ref="V3:V4"/>
    <mergeCell ref="AA3:AA4"/>
    <mergeCell ref="A3:A5"/>
    <mergeCell ref="B3:B4"/>
    <mergeCell ref="AV3:AY3"/>
    <mergeCell ref="BA3:BD3"/>
    <mergeCell ref="BF3:BI3"/>
    <mergeCell ref="W3:Z3"/>
    <mergeCell ref="AB3:AE3"/>
    <mergeCell ref="AG3:AJ3"/>
    <mergeCell ref="AL3:AO3"/>
    <mergeCell ref="AQ3:AT3"/>
    <mergeCell ref="H3:K3"/>
    <mergeCell ref="BE3:BE4"/>
    <mergeCell ref="M3:P3"/>
    <mergeCell ref="R3:U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 Categorias Económicas</vt:lpstr>
      <vt:lpstr>Import Categorias Económicas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2026-03-16T13:04:17Z</dcterms:modified>
</cp:coreProperties>
</file>