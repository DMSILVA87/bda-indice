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quitek\Desktop\PASTA QUE TEM TUDO GUARDADO  OLGA QUITEK\PASTA DADOS PORTAL\DADOS DO PORTAL FEVEREIRO 26\"/>
    </mc:Choice>
  </mc:AlternateContent>
  <xr:revisionPtr revIDLastSave="0" documentId="13_ncr:1_{E770E94D-6FA9-4A20-8D02-D17705DBD797}" xr6:coauthVersionLast="47" xr6:coauthVersionMax="47" xr10:uidLastSave="{00000000-0000-0000-0000-000000000000}"/>
  <bookViews>
    <workbookView xWindow="495" yWindow="405" windowWidth="13470" windowHeight="14610" xr2:uid="{00000000-000D-0000-FFFF-FFFF00000000}"/>
  </bookViews>
  <sheets>
    <sheet name="IPG_ GLOBAL " sheetId="30" r:id="rId1"/>
    <sheet name="IPG_IMPORT_2016_2025" sheetId="33" r:id="rId2"/>
    <sheet name="IPG_NAC_2016_2025" sheetId="32" r:id="rId3"/>
  </sheets>
  <externalReferences>
    <externalReference r:id="rId4"/>
  </externalReferences>
  <definedNames>
    <definedName name="Q_Indice_Global">[1]INDICES!$B$5:$P$8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4" i="30" l="1"/>
  <c r="F234" i="32"/>
  <c r="E234" i="32"/>
  <c r="F233" i="32"/>
  <c r="E233" i="32"/>
  <c r="F234" i="33"/>
  <c r="E234" i="33"/>
  <c r="E233" i="33"/>
  <c r="E232" i="33"/>
  <c r="F232" i="33"/>
  <c r="F233" i="33"/>
  <c r="F229" i="32" l="1"/>
  <c r="E229" i="32"/>
  <c r="E232" i="32"/>
  <c r="F232" i="32"/>
  <c r="E222" i="30"/>
  <c r="D213" i="30"/>
  <c r="D234" i="30"/>
  <c r="E234" i="30"/>
  <c r="F217" i="30"/>
  <c r="F208" i="30"/>
  <c r="F203" i="30"/>
  <c r="F193" i="30"/>
  <c r="F182" i="30"/>
  <c r="F166" i="30"/>
  <c r="F233" i="30"/>
  <c r="D233" i="30"/>
  <c r="E233" i="30"/>
  <c r="E232" i="30"/>
  <c r="F75" i="30" l="1"/>
  <c r="F60" i="30"/>
  <c r="F51" i="30"/>
  <c r="F50" i="30"/>
  <c r="F48" i="30"/>
  <c r="F47" i="30"/>
  <c r="E27" i="30"/>
  <c r="E26" i="30"/>
  <c r="E25" i="30"/>
  <c r="E24" i="30"/>
  <c r="E23" i="30"/>
  <c r="E22" i="30"/>
  <c r="E21" i="30"/>
  <c r="E20" i="30"/>
  <c r="E19" i="30"/>
  <c r="E18" i="30"/>
  <c r="E17" i="30"/>
  <c r="D17" i="30"/>
  <c r="F95" i="30"/>
  <c r="F59" i="30"/>
  <c r="F232" i="30"/>
  <c r="F231" i="30"/>
  <c r="F230" i="30"/>
  <c r="F229" i="30"/>
  <c r="F228" i="30"/>
  <c r="F227" i="30"/>
  <c r="F226" i="30"/>
  <c r="F225" i="30"/>
  <c r="F224" i="30"/>
  <c r="F223" i="30"/>
  <c r="F222" i="30"/>
  <c r="F221" i="30"/>
  <c r="F220" i="30"/>
  <c r="F219" i="30"/>
  <c r="F218" i="30"/>
  <c r="F216" i="30"/>
  <c r="F215" i="30"/>
  <c r="F214" i="30"/>
  <c r="F213" i="30"/>
  <c r="F212" i="30"/>
  <c r="F211" i="30"/>
  <c r="F210" i="30"/>
  <c r="F209" i="30"/>
  <c r="F207" i="30"/>
  <c r="F206" i="30"/>
  <c r="F205" i="30"/>
  <c r="F204" i="30"/>
  <c r="F202" i="30"/>
  <c r="F201" i="30"/>
  <c r="F200" i="30"/>
  <c r="F199" i="30"/>
  <c r="F198" i="30"/>
  <c r="F197" i="30"/>
  <c r="F196" i="30"/>
  <c r="F195" i="30"/>
  <c r="F194" i="30"/>
  <c r="F192" i="30"/>
  <c r="F191" i="30"/>
  <c r="F190" i="30"/>
  <c r="F189" i="30"/>
  <c r="F188" i="30"/>
  <c r="F187" i="30"/>
  <c r="F186" i="30"/>
  <c r="F185" i="30"/>
  <c r="F184" i="30"/>
  <c r="F183" i="30"/>
  <c r="F181" i="30"/>
  <c r="F180" i="30"/>
  <c r="F179" i="30"/>
  <c r="F178" i="30"/>
  <c r="F177" i="30"/>
  <c r="F176" i="30"/>
  <c r="F175" i="30"/>
  <c r="F174" i="30"/>
  <c r="F173" i="30"/>
  <c r="F172" i="30"/>
  <c r="F171" i="30"/>
  <c r="F170" i="30"/>
  <c r="F169" i="30"/>
  <c r="F168" i="30"/>
  <c r="F167" i="30"/>
  <c r="F165" i="30"/>
  <c r="F164" i="30"/>
  <c r="F163" i="30"/>
  <c r="F162" i="30"/>
  <c r="F161" i="30"/>
  <c r="F160" i="30"/>
  <c r="F159" i="30"/>
  <c r="F158" i="30"/>
  <c r="F157" i="30"/>
  <c r="F156" i="30"/>
  <c r="F155" i="30"/>
  <c r="F154" i="30"/>
  <c r="F153" i="30"/>
  <c r="F152" i="30"/>
  <c r="F151" i="30"/>
  <c r="F150" i="30"/>
  <c r="F149" i="30"/>
  <c r="F148" i="30"/>
  <c r="F147" i="30"/>
  <c r="F146" i="30"/>
  <c r="F145" i="30"/>
  <c r="F144" i="30"/>
  <c r="F143" i="30"/>
  <c r="F142" i="30"/>
  <c r="F141" i="30"/>
  <c r="F140" i="30"/>
  <c r="F139" i="30"/>
  <c r="F138" i="30"/>
  <c r="F137" i="30"/>
  <c r="F136" i="30"/>
  <c r="F135" i="30"/>
  <c r="F134" i="30"/>
  <c r="F133" i="30"/>
  <c r="F132" i="30"/>
  <c r="F131" i="30"/>
  <c r="F130" i="30"/>
  <c r="F129" i="30"/>
  <c r="F128" i="30"/>
  <c r="F127" i="30"/>
  <c r="F126" i="30"/>
  <c r="F125" i="30"/>
  <c r="F124" i="30"/>
  <c r="F123" i="30"/>
  <c r="F122" i="30"/>
  <c r="F121" i="30"/>
  <c r="F120" i="30"/>
  <c r="F119" i="30"/>
  <c r="F118" i="30"/>
  <c r="F117" i="30"/>
  <c r="F116" i="30"/>
  <c r="F115" i="30"/>
  <c r="F114" i="30"/>
  <c r="F113" i="30"/>
  <c r="F112" i="30"/>
  <c r="F111" i="30"/>
  <c r="F110" i="30"/>
  <c r="F109" i="30"/>
  <c r="F108" i="30"/>
  <c r="F107" i="30"/>
  <c r="F106" i="30"/>
  <c r="F105" i="30"/>
  <c r="F104" i="30"/>
  <c r="F103" i="30"/>
  <c r="F102" i="30"/>
  <c r="F101" i="30"/>
  <c r="F100" i="30"/>
  <c r="F99" i="30"/>
  <c r="F98" i="30"/>
  <c r="F97" i="30"/>
  <c r="F96" i="30"/>
  <c r="F94" i="30"/>
  <c r="F93" i="30"/>
  <c r="F92" i="30"/>
  <c r="F91" i="30"/>
  <c r="F90" i="30"/>
  <c r="F89" i="30"/>
  <c r="F88" i="30"/>
  <c r="F87" i="30"/>
  <c r="F86" i="30"/>
  <c r="F85" i="30"/>
  <c r="F84" i="30"/>
  <c r="F83" i="30"/>
  <c r="F82" i="30"/>
  <c r="F81" i="30"/>
  <c r="F80" i="30"/>
  <c r="F79" i="30"/>
  <c r="F78" i="30"/>
  <c r="F77" i="30"/>
  <c r="F76" i="30"/>
  <c r="F74" i="30"/>
  <c r="F73" i="30"/>
  <c r="F72" i="30"/>
  <c r="F71" i="30"/>
  <c r="F70" i="30"/>
  <c r="F69" i="30"/>
  <c r="F68" i="30"/>
  <c r="F67" i="30"/>
  <c r="F66" i="30"/>
  <c r="F65" i="30"/>
  <c r="F64" i="30"/>
  <c r="F63" i="30"/>
  <c r="F62" i="30"/>
  <c r="F61" i="30"/>
  <c r="F58" i="30"/>
  <c r="F57" i="30"/>
  <c r="F56" i="30"/>
  <c r="F55" i="30"/>
  <c r="F54" i="30"/>
  <c r="F53" i="30"/>
  <c r="F52" i="30"/>
  <c r="F49" i="30"/>
  <c r="F46" i="30"/>
  <c r="F45" i="30"/>
  <c r="F44" i="30"/>
  <c r="F43" i="30"/>
  <c r="F42" i="30"/>
  <c r="F41" i="30"/>
  <c r="F40" i="30"/>
  <c r="F39" i="30"/>
  <c r="F38" i="30"/>
  <c r="F37" i="30"/>
  <c r="F36" i="30"/>
  <c r="F35" i="30"/>
  <c r="F34" i="30"/>
  <c r="F33" i="30"/>
  <c r="F32" i="30"/>
  <c r="F31" i="30"/>
  <c r="F30" i="30"/>
  <c r="F29" i="30"/>
  <c r="F28" i="30"/>
  <c r="F27" i="30"/>
  <c r="F26" i="30"/>
  <c r="F25" i="30"/>
  <c r="F24" i="30"/>
  <c r="E28" i="30"/>
  <c r="D13" i="30"/>
  <c r="E231" i="30"/>
  <c r="F231" i="32" l="1"/>
  <c r="E231" i="32"/>
  <c r="E230" i="32"/>
  <c r="F231" i="33"/>
  <c r="E230" i="33"/>
  <c r="E231" i="33"/>
  <c r="E230" i="30"/>
  <c r="F230" i="32" l="1"/>
  <c r="D230" i="32"/>
  <c r="D229" i="32"/>
  <c r="F230" i="33"/>
  <c r="D230" i="33"/>
  <c r="F229" i="33"/>
  <c r="E229" i="33"/>
  <c r="D229" i="33"/>
  <c r="E229" i="30"/>
  <c r="D230" i="30"/>
  <c r="E228" i="30"/>
  <c r="D229" i="30"/>
  <c r="F228" i="32" l="1"/>
  <c r="E228" i="32"/>
  <c r="D228" i="32"/>
  <c r="D228" i="30" l="1"/>
  <c r="E223" i="33" l="1"/>
  <c r="E222" i="33"/>
  <c r="E112" i="30"/>
  <c r="E111" i="30"/>
  <c r="E109" i="30"/>
  <c r="E110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9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E73" i="30"/>
  <c r="E76" i="30"/>
  <c r="E75" i="30"/>
  <c r="E74" i="30"/>
  <c r="E72" i="30"/>
  <c r="E71" i="30"/>
  <c r="E70" i="30"/>
  <c r="E69" i="30"/>
  <c r="E68" i="30"/>
  <c r="E67" i="30"/>
  <c r="E66" i="30"/>
  <c r="E65" i="30"/>
  <c r="E62" i="30"/>
  <c r="E60" i="30"/>
  <c r="E59" i="30"/>
  <c r="E64" i="30"/>
  <c r="E63" i="30"/>
  <c r="E57" i="30"/>
  <c r="E56" i="30"/>
  <c r="E55" i="30"/>
  <c r="E54" i="30"/>
  <c r="E53" i="30"/>
  <c r="E58" i="30"/>
  <c r="E61" i="30"/>
  <c r="E52" i="30"/>
  <c r="E51" i="30"/>
  <c r="E50" i="30"/>
  <c r="E49" i="30"/>
  <c r="E48" i="30"/>
  <c r="E46" i="30"/>
  <c r="E45" i="30"/>
  <c r="E44" i="30"/>
  <c r="E43" i="30"/>
  <c r="E42" i="30"/>
  <c r="E41" i="30"/>
  <c r="E47" i="30"/>
  <c r="E40" i="30"/>
  <c r="E39" i="30"/>
  <c r="E38" i="30"/>
  <c r="E37" i="30"/>
  <c r="E36" i="30"/>
  <c r="E35" i="30"/>
  <c r="E34" i="30"/>
  <c r="E33" i="30"/>
  <c r="E32" i="30"/>
  <c r="E31" i="30"/>
  <c r="E30" i="30"/>
  <c r="E29" i="30"/>
  <c r="D41" i="30"/>
  <c r="D88" i="30"/>
  <c r="D87" i="30"/>
  <c r="D86" i="30"/>
  <c r="D85" i="30"/>
  <c r="D84" i="30"/>
  <c r="D83" i="30"/>
  <c r="D82" i="30"/>
  <c r="D81" i="30"/>
  <c r="D80" i="30"/>
  <c r="D79" i="30"/>
  <c r="D78" i="30"/>
  <c r="D77" i="30"/>
  <c r="D100" i="30"/>
  <c r="D99" i="30"/>
  <c r="D98" i="30"/>
  <c r="D97" i="30"/>
  <c r="D96" i="30"/>
  <c r="D95" i="30"/>
  <c r="D94" i="30"/>
  <c r="D93" i="30"/>
  <c r="D92" i="30"/>
  <c r="D91" i="30"/>
  <c r="D90" i="30"/>
  <c r="D89" i="30"/>
  <c r="D112" i="30"/>
  <c r="D111" i="30"/>
  <c r="D110" i="30"/>
  <c r="D109" i="30"/>
  <c r="D108" i="30"/>
  <c r="D107" i="30"/>
  <c r="D106" i="30"/>
  <c r="D105" i="30"/>
  <c r="D104" i="30"/>
  <c r="D103" i="30"/>
  <c r="D102" i="30"/>
  <c r="D101" i="30"/>
  <c r="D76" i="30"/>
  <c r="D75" i="30"/>
  <c r="D74" i="30"/>
  <c r="D73" i="30"/>
  <c r="D72" i="30"/>
  <c r="D71" i="30"/>
  <c r="D70" i="30"/>
  <c r="D69" i="30"/>
  <c r="D68" i="30"/>
  <c r="D67" i="30"/>
  <c r="D66" i="30"/>
  <c r="D65" i="30"/>
  <c r="D64" i="30"/>
  <c r="D63" i="30"/>
  <c r="D62" i="30"/>
  <c r="D61" i="30"/>
  <c r="D60" i="30"/>
  <c r="D59" i="30"/>
  <c r="D58" i="30"/>
  <c r="D57" i="30"/>
  <c r="D56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6" i="30"/>
  <c r="D15" i="30"/>
  <c r="D14" i="30"/>
  <c r="D112" i="33"/>
  <c r="F112" i="33"/>
  <c r="F111" i="33"/>
  <c r="F110" i="33"/>
  <c r="F109" i="33"/>
  <c r="F108" i="33"/>
  <c r="F107" i="33"/>
  <c r="F106" i="33"/>
  <c r="F105" i="33"/>
  <c r="F104" i="33"/>
  <c r="F103" i="33"/>
  <c r="F102" i="33"/>
  <c r="F101" i="33"/>
  <c r="E112" i="33"/>
  <c r="E111" i="33"/>
  <c r="E110" i="33"/>
  <c r="E109" i="33"/>
  <c r="E108" i="33"/>
  <c r="E107" i="33"/>
  <c r="E106" i="33"/>
  <c r="E105" i="33"/>
  <c r="E104" i="33"/>
  <c r="E103" i="33"/>
  <c r="E102" i="33"/>
  <c r="E101" i="33"/>
  <c r="F97" i="33"/>
  <c r="F90" i="33"/>
  <c r="F89" i="33"/>
  <c r="F100" i="33"/>
  <c r="F99" i="33"/>
  <c r="F98" i="33"/>
  <c r="F96" i="33"/>
  <c r="F95" i="33"/>
  <c r="F94" i="33"/>
  <c r="F93" i="33"/>
  <c r="F92" i="33"/>
  <c r="F91" i="33"/>
  <c r="E89" i="33"/>
  <c r="E90" i="33"/>
  <c r="E91" i="33"/>
  <c r="E92" i="33"/>
  <c r="E93" i="33"/>
  <c r="E94" i="33"/>
  <c r="E95" i="33"/>
  <c r="E96" i="33"/>
  <c r="E97" i="33"/>
  <c r="E98" i="33"/>
  <c r="E99" i="33"/>
  <c r="E100" i="33"/>
  <c r="D89" i="33"/>
  <c r="F24" i="33"/>
  <c r="E24" i="33"/>
  <c r="D28" i="33"/>
  <c r="D27" i="33"/>
  <c r="D14" i="33"/>
  <c r="D13" i="33"/>
  <c r="F87" i="33"/>
  <c r="F82" i="33"/>
  <c r="F41" i="33"/>
  <c r="F42" i="33"/>
  <c r="F43" i="33"/>
  <c r="F44" i="33"/>
  <c r="F45" i="33"/>
  <c r="F46" i="33"/>
  <c r="F47" i="33"/>
  <c r="F48" i="33"/>
  <c r="F49" i="33"/>
  <c r="F50" i="33"/>
  <c r="F51" i="33"/>
  <c r="F52" i="33"/>
  <c r="F53" i="33"/>
  <c r="F54" i="33"/>
  <c r="F55" i="33"/>
  <c r="F56" i="33"/>
  <c r="F57" i="33"/>
  <c r="F58" i="33"/>
  <c r="F59" i="33"/>
  <c r="F60" i="33"/>
  <c r="F61" i="33"/>
  <c r="F62" i="33"/>
  <c r="F63" i="33"/>
  <c r="F64" i="33"/>
  <c r="F65" i="33"/>
  <c r="F66" i="33"/>
  <c r="F67" i="33"/>
  <c r="F68" i="33"/>
  <c r="F69" i="33"/>
  <c r="F70" i="33"/>
  <c r="F71" i="33"/>
  <c r="F72" i="33"/>
  <c r="F73" i="33"/>
  <c r="F74" i="33"/>
  <c r="F75" i="33"/>
  <c r="F76" i="33"/>
  <c r="F77" i="33"/>
  <c r="F78" i="33"/>
  <c r="F79" i="33"/>
  <c r="F80" i="33"/>
  <c r="F81" i="33"/>
  <c r="F83" i="33"/>
  <c r="F84" i="33"/>
  <c r="F85" i="33"/>
  <c r="F86" i="33"/>
  <c r="F88" i="33"/>
  <c r="F36" i="33"/>
  <c r="F34" i="33"/>
  <c r="F30" i="33"/>
  <c r="F31" i="33"/>
  <c r="F32" i="33"/>
  <c r="F33" i="33"/>
  <c r="F35" i="33"/>
  <c r="F37" i="33"/>
  <c r="F38" i="33"/>
  <c r="F39" i="33"/>
  <c r="F40" i="33"/>
  <c r="F29" i="33"/>
  <c r="F28" i="33"/>
  <c r="F27" i="33"/>
  <c r="F26" i="33"/>
  <c r="F25" i="33"/>
  <c r="D88" i="33"/>
  <c r="D96" i="33"/>
  <c r="D94" i="33"/>
  <c r="D92" i="33"/>
  <c r="D90" i="33"/>
  <c r="E88" i="33"/>
  <c r="E87" i="33"/>
  <c r="E86" i="33"/>
  <c r="E85" i="33"/>
  <c r="E84" i="33"/>
  <c r="E83" i="33"/>
  <c r="E82" i="33"/>
  <c r="E81" i="33"/>
  <c r="E80" i="33"/>
  <c r="E79" i="33"/>
  <c r="E78" i="33"/>
  <c r="E77" i="33"/>
  <c r="E76" i="33"/>
  <c r="E75" i="33"/>
  <c r="E74" i="33"/>
  <c r="E73" i="33"/>
  <c r="E72" i="33"/>
  <c r="E71" i="33"/>
  <c r="E70" i="33"/>
  <c r="E69" i="33"/>
  <c r="E68" i="33"/>
  <c r="E67" i="33"/>
  <c r="E66" i="33"/>
  <c r="E65" i="33"/>
  <c r="E64" i="33"/>
  <c r="E63" i="33"/>
  <c r="E62" i="33"/>
  <c r="E61" i="33"/>
  <c r="E60" i="33"/>
  <c r="E59" i="33"/>
  <c r="E57" i="33"/>
  <c r="E56" i="33"/>
  <c r="E55" i="33"/>
  <c r="E54" i="33"/>
  <c r="E58" i="33"/>
  <c r="E53" i="33"/>
  <c r="E52" i="33"/>
  <c r="E51" i="33"/>
  <c r="E49" i="33"/>
  <c r="E40" i="33"/>
  <c r="E48" i="33"/>
  <c r="E47" i="33"/>
  <c r="E46" i="33"/>
  <c r="E45" i="33"/>
  <c r="E44" i="33"/>
  <c r="E43" i="33"/>
  <c r="E42" i="33"/>
  <c r="E50" i="33"/>
  <c r="E41" i="33"/>
  <c r="E38" i="33"/>
  <c r="E37" i="33"/>
  <c r="E36" i="33"/>
  <c r="E35" i="33"/>
  <c r="E39" i="33"/>
  <c r="E34" i="33"/>
  <c r="E33" i="33"/>
  <c r="E32" i="33"/>
  <c r="E31" i="33"/>
  <c r="E30" i="33"/>
  <c r="E29" i="33"/>
  <c r="E28" i="33"/>
  <c r="E27" i="33"/>
  <c r="E26" i="33"/>
  <c r="E25" i="33"/>
  <c r="E23" i="33"/>
  <c r="E22" i="33"/>
  <c r="E21" i="33"/>
  <c r="E20" i="33"/>
  <c r="E19" i="33"/>
  <c r="E18" i="33"/>
  <c r="E17" i="33"/>
  <c r="D65" i="33"/>
  <c r="D40" i="33"/>
  <c r="D30" i="33"/>
  <c r="D31" i="33"/>
  <c r="D32" i="33"/>
  <c r="D33" i="33"/>
  <c r="D34" i="33"/>
  <c r="D35" i="33"/>
  <c r="D36" i="33"/>
  <c r="D37" i="33"/>
  <c r="D38" i="33"/>
  <c r="D39" i="33"/>
  <c r="D41" i="33"/>
  <c r="D42" i="33"/>
  <c r="D43" i="33"/>
  <c r="D44" i="33"/>
  <c r="D45" i="33"/>
  <c r="D46" i="33"/>
  <c r="D47" i="33"/>
  <c r="D48" i="33"/>
  <c r="D49" i="33"/>
  <c r="D50" i="33"/>
  <c r="D51" i="33"/>
  <c r="D52" i="33"/>
  <c r="D53" i="33"/>
  <c r="D54" i="33"/>
  <c r="D55" i="33"/>
  <c r="D56" i="33"/>
  <c r="D57" i="33"/>
  <c r="D58" i="33"/>
  <c r="D59" i="33"/>
  <c r="D60" i="33"/>
  <c r="D61" i="33"/>
  <c r="D62" i="33"/>
  <c r="D63" i="33"/>
  <c r="D64" i="33"/>
  <c r="D66" i="33"/>
  <c r="D67" i="33"/>
  <c r="D68" i="33"/>
  <c r="D69" i="33"/>
  <c r="D70" i="33"/>
  <c r="D71" i="33"/>
  <c r="D72" i="33"/>
  <c r="D73" i="33"/>
  <c r="D74" i="33"/>
  <c r="D75" i="33"/>
  <c r="D76" i="33"/>
  <c r="D77" i="33"/>
  <c r="D78" i="33"/>
  <c r="D79" i="33"/>
  <c r="D80" i="33"/>
  <c r="D81" i="33"/>
  <c r="D82" i="33"/>
  <c r="D83" i="33"/>
  <c r="D84" i="33"/>
  <c r="D85" i="33"/>
  <c r="D86" i="33"/>
  <c r="D87" i="33"/>
  <c r="D91" i="33"/>
  <c r="D93" i="33"/>
  <c r="D95" i="33"/>
  <c r="D97" i="33"/>
  <c r="D98" i="33"/>
  <c r="D99" i="33"/>
  <c r="D100" i="33"/>
  <c r="D101" i="33"/>
  <c r="D102" i="33"/>
  <c r="D103" i="33"/>
  <c r="D104" i="33"/>
  <c r="D105" i="33"/>
  <c r="D106" i="33"/>
  <c r="D107" i="33"/>
  <c r="D108" i="33"/>
  <c r="D109" i="33"/>
  <c r="D110" i="33"/>
  <c r="D111" i="33"/>
  <c r="D20" i="33"/>
  <c r="D29" i="33" l="1"/>
  <c r="D26" i="33"/>
  <c r="D25" i="33"/>
  <c r="D24" i="33"/>
  <c r="D23" i="33"/>
  <c r="D22" i="33"/>
  <c r="D21" i="33"/>
  <c r="D19" i="33"/>
  <c r="D18" i="33"/>
  <c r="D17" i="33"/>
  <c r="D16" i="33"/>
  <c r="D15" i="33"/>
</calcChain>
</file>

<file path=xl/sharedStrings.xml><?xml version="1.0" encoding="utf-8"?>
<sst xmlns="http://schemas.openxmlformats.org/spreadsheetml/2006/main" count="27" uniqueCount="12">
  <si>
    <t>Mês</t>
  </si>
  <si>
    <t>Variação Percentual  Mensal</t>
  </si>
  <si>
    <t>(Base: Dezembro 2014 = 100)</t>
  </si>
  <si>
    <t>Indices</t>
  </si>
  <si>
    <t>Ano</t>
  </si>
  <si>
    <t>Mensal</t>
  </si>
  <si>
    <t>Acum</t>
  </si>
  <si>
    <t>Hom</t>
  </si>
  <si>
    <t>Índice de Preços por Grosso, Período  2007-  2025</t>
  </si>
  <si>
    <t>Índice de preços por Grosso dos Produtos Nacionais, Período  2007-  2025</t>
  </si>
  <si>
    <t>Índice de preços por Grosso  dos Produtos Importados, Período  2007 -  2025</t>
  </si>
  <si>
    <t>(Base: Dezembro 2025 =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</si>
</sst>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42">
    <xf numFmtId="0" fontId="0" fillId="0" borderId="0" xfId="0"/>
    <xf numFmtId="164" fontId="3" fillId="0" borderId="0" xfId="0" applyNumberFormat="1" applyFont="1"/>
    <xf numFmtId="2" fontId="3" fillId="0" borderId="0" xfId="0" applyNumberFormat="1" applyFont="1"/>
    <xf numFmtId="0" fontId="4" fillId="0" borderId="0" xfId="0" applyFont="1"/>
    <xf numFmtId="0" fontId="0" fillId="2" borderId="0" xfId="0" applyFill="1"/>
    <xf numFmtId="0" fontId="1" fillId="0" borderId="0" xfId="0" applyFont="1"/>
    <xf numFmtId="0" fontId="9" fillId="3" borderId="0" xfId="0" applyFont="1" applyFill="1" applyAlignment="1">
      <alignment horizontal="left" vertical="top"/>
    </xf>
    <xf numFmtId="0" fontId="2" fillId="0" borderId="0" xfId="0" applyFont="1" applyAlignment="1">
      <alignment horizontal="left"/>
    </xf>
    <xf numFmtId="0" fontId="11" fillId="0" borderId="0" xfId="0" applyFont="1"/>
    <xf numFmtId="0" fontId="8" fillId="2" borderId="0" xfId="1" applyFont="1" applyFill="1" applyAlignment="1">
      <alignment vertical="center" wrapText="1"/>
    </xf>
    <xf numFmtId="17" fontId="7" fillId="2" borderId="0" xfId="1" quotePrefix="1" applyNumberFormat="1" applyFont="1" applyFill="1" applyAlignment="1">
      <alignment horizontal="left" vertical="center"/>
    </xf>
    <xf numFmtId="2" fontId="12" fillId="2" borderId="0" xfId="1" quotePrefix="1" applyNumberFormat="1" applyFont="1" applyFill="1" applyAlignment="1">
      <alignment horizontal="left" vertical="center"/>
    </xf>
    <xf numFmtId="17" fontId="7" fillId="2" borderId="1" xfId="1" quotePrefix="1" applyNumberFormat="1" applyFont="1" applyFill="1" applyBorder="1" applyAlignment="1">
      <alignment horizontal="left" vertical="center"/>
    </xf>
    <xf numFmtId="2" fontId="12" fillId="2" borderId="1" xfId="1" quotePrefix="1" applyNumberFormat="1" applyFont="1" applyFill="1" applyBorder="1" applyAlignment="1">
      <alignment horizontal="left" vertical="center"/>
    </xf>
    <xf numFmtId="17" fontId="7" fillId="2" borderId="2" xfId="1" quotePrefix="1" applyNumberFormat="1" applyFont="1" applyFill="1" applyBorder="1" applyAlignment="1">
      <alignment horizontal="left" vertical="center"/>
    </xf>
    <xf numFmtId="2" fontId="12" fillId="2" borderId="2" xfId="1" quotePrefix="1" applyNumberFormat="1" applyFont="1" applyFill="1" applyBorder="1" applyAlignment="1">
      <alignment horizontal="left" vertical="center"/>
    </xf>
    <xf numFmtId="17" fontId="7" fillId="2" borderId="6" xfId="1" quotePrefix="1" applyNumberFormat="1" applyFont="1" applyFill="1" applyBorder="1" applyAlignment="1">
      <alignment horizontal="left" vertical="center"/>
    </xf>
    <xf numFmtId="17" fontId="7" fillId="2" borderId="10" xfId="1" quotePrefix="1" applyNumberFormat="1" applyFont="1" applyFill="1" applyBorder="1" applyAlignment="1">
      <alignment horizontal="left" vertical="center"/>
    </xf>
    <xf numFmtId="17" fontId="7" fillId="2" borderId="11" xfId="1" quotePrefix="1" applyNumberFormat="1" applyFont="1" applyFill="1" applyBorder="1" applyAlignment="1">
      <alignment horizontal="left" vertical="center"/>
    </xf>
    <xf numFmtId="0" fontId="10" fillId="0" borderId="0" xfId="0" applyFont="1"/>
    <xf numFmtId="0" fontId="8" fillId="2" borderId="12" xfId="1" applyFont="1" applyFill="1" applyBorder="1" applyAlignment="1">
      <alignment vertical="center" wrapText="1"/>
    </xf>
    <xf numFmtId="0" fontId="8" fillId="2" borderId="14" xfId="1" applyFont="1" applyFill="1" applyBorder="1" applyAlignment="1">
      <alignment vertical="center" wrapText="1"/>
    </xf>
    <xf numFmtId="164" fontId="13" fillId="2" borderId="0" xfId="0" applyNumberFormat="1" applyFont="1" applyFill="1" applyAlignment="1">
      <alignment horizontal="right" vertical="center"/>
    </xf>
    <xf numFmtId="2" fontId="0" fillId="0" borderId="0" xfId="0" applyNumberFormat="1"/>
    <xf numFmtId="2" fontId="7" fillId="2" borderId="1" xfId="1" quotePrefix="1" applyNumberFormat="1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9" xfId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2" borderId="0" xfId="1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9" fillId="3" borderId="0" xfId="0" applyFont="1" applyFill="1" applyAlignment="1">
      <alignment horizontal="left" vertical="top"/>
    </xf>
    <xf numFmtId="2" fontId="12" fillId="2" borderId="0" xfId="1" applyNumberFormat="1" applyFont="1" applyFill="1" applyAlignment="1">
      <alignment horizontal="left" vertical="center"/>
    </xf>
  </cellXfs>
  <cellStyles count="2">
    <cellStyle name="Normal" xfId="0" builtinId="0"/>
    <cellStyle name="Normal_Folha1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Quadro%20Apoio\2014\Quadro%20de%20apoio_IPG_DEZ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S"/>
      <sheetName val="VARIAÇÕES"/>
      <sheetName val="RecolhaDados"/>
      <sheetName val="PUBLICAÇÃO"/>
      <sheetName val="GRAFICOS"/>
      <sheetName val="QUADROS_PREÇOS MEDIOS"/>
      <sheetName val="QUADROS Maior Var Classe"/>
      <sheetName val="QUADROS contribuições seccções"/>
    </sheetNames>
    <sheetDataSet>
      <sheetData sheetId="0">
        <row r="5">
          <cell r="C5" t="str">
            <v>Ponderação</v>
          </cell>
          <cell r="D5" t="str">
            <v>DEZEMBRO2013</v>
          </cell>
          <cell r="E5" t="str">
            <v>JANEIRO</v>
          </cell>
          <cell r="F5" t="str">
            <v>FEVEREIRO</v>
          </cell>
          <cell r="G5" t="str">
            <v>MARÇO</v>
          </cell>
          <cell r="H5" t="str">
            <v>ABRIL</v>
          </cell>
          <cell r="I5" t="str">
            <v>MAIO</v>
          </cell>
          <cell r="J5" t="str">
            <v>JUNHO</v>
          </cell>
          <cell r="K5" t="str">
            <v>JULHO</v>
          </cell>
          <cell r="L5" t="str">
            <v>AGOSTO</v>
          </cell>
          <cell r="M5" t="str">
            <v>SETEMBRO</v>
          </cell>
          <cell r="N5" t="str">
            <v>OUTUBRO</v>
          </cell>
          <cell r="O5" t="str">
            <v>NOVEMBRO</v>
          </cell>
          <cell r="P5" t="str">
            <v>DEZEMBRO</v>
          </cell>
        </row>
        <row r="6">
          <cell r="B6" t="str">
            <v>ÍNDICE GLOBAL</v>
          </cell>
          <cell r="C6">
            <v>1</v>
          </cell>
          <cell r="D6">
            <v>177.65237679079627</v>
          </cell>
          <cell r="E6">
            <v>178.64991195757241</v>
          </cell>
          <cell r="F6">
            <v>179.27357215066075</v>
          </cell>
          <cell r="G6">
            <v>179.91140045048962</v>
          </cell>
          <cell r="H6">
            <v>180.90531280506224</v>
          </cell>
          <cell r="I6">
            <v>181.66479656797117</v>
          </cell>
          <cell r="J6">
            <v>182.15043706102176</v>
          </cell>
          <cell r="K6">
            <v>183.50230740631568</v>
          </cell>
          <cell r="L6">
            <v>184.04200075634083</v>
          </cell>
          <cell r="M6">
            <v>185.03867297146076</v>
          </cell>
          <cell r="N6">
            <v>186.27652900236365</v>
          </cell>
          <cell r="O6">
            <v>187.45765886455365</v>
          </cell>
          <cell r="P6">
            <v>188.40030528614309</v>
          </cell>
        </row>
        <row r="7">
          <cell r="B7" t="str">
            <v>Índice de Prod.Nacionais</v>
          </cell>
          <cell r="C7">
            <v>0.20370250000000001</v>
          </cell>
          <cell r="D7">
            <v>182.41542336754091</v>
          </cell>
          <cell r="E7"/>
          <cell r="F7"/>
          <cell r="G7"/>
          <cell r="H7">
            <v>187.13873963502698</v>
          </cell>
          <cell r="I7">
            <v>188.67967277013278</v>
          </cell>
          <cell r="J7">
            <v>189.32773084050351</v>
          </cell>
          <cell r="K7">
            <v>190.38339404691058</v>
          </cell>
          <cell r="L7">
            <v>191.0136439073797</v>
          </cell>
          <cell r="M7">
            <v>192.0002205252303</v>
          </cell>
          <cell r="N7">
            <v>192.93631140169586</v>
          </cell>
          <cell r="O7">
            <v>193.50802760802998</v>
          </cell>
          <cell r="P7">
            <v>194.23999088159439</v>
          </cell>
        </row>
        <row r="8">
          <cell r="B8" t="str">
            <v>Índice de Prod.Importados</v>
          </cell>
          <cell r="C8">
            <v>0.79629749999999999</v>
          </cell>
          <cell r="D8">
            <v>176.43393205713915</v>
          </cell>
          <cell r="E8"/>
          <cell r="F8"/>
          <cell r="G8"/>
          <cell r="H8">
            <v>179.31072707695071</v>
          </cell>
          <cell r="I8">
            <v>179.87030666994838</v>
          </cell>
          <cell r="J8">
            <v>180.31439878874932</v>
          </cell>
          <cell r="K8">
            <v>181.74204249099722</v>
          </cell>
          <cell r="L8">
            <v>182.2585703939769</v>
          </cell>
          <cell r="M8">
            <v>183.25782518458246</v>
          </cell>
          <cell r="N8">
            <v>184.57287637981997</v>
          </cell>
          <cell r="O8">
            <v>185.90990160176179</v>
          </cell>
          <cell r="P8">
            <v>186.90644331243678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66CB-D2A6-424F-9491-36471A6DCF42}">
  <dimension ref="A1:P244"/>
  <sheetViews>
    <sheetView showGridLines="0" tabSelected="1" workbookViewId="0">
      <pane xSplit="7" ySplit="4" topLeftCell="H212" activePane="bottomRight" state="frozen"/>
      <selection pane="topRight" activeCell="C1" sqref="C1"/>
      <selection pane="bottomLeft" activeCell="A4" sqref="A4"/>
      <selection pane="bottomRight" activeCell="F235" sqref="F235"/>
    </sheetView>
  </sheetViews>
  <sheetFormatPr defaultRowHeight="15.75" x14ac:dyDescent="0.25"/>
  <cols>
    <col min="1" max="1" width="7" customWidth="1"/>
    <col min="2" max="2" width="7.5" customWidth="1"/>
    <col min="3" max="6" width="6.625" style="4" customWidth="1"/>
  </cols>
  <sheetData>
    <row r="1" spans="1:16" x14ac:dyDescent="0.25">
      <c r="A1" s="19" t="s">
        <v>8</v>
      </c>
    </row>
    <row r="2" spans="1:16" x14ac:dyDescent="0.25">
      <c r="A2" s="6" t="s">
        <v>11</v>
      </c>
    </row>
    <row r="3" spans="1:16" x14ac:dyDescent="0.25">
      <c r="A3" s="28" t="s">
        <v>4</v>
      </c>
      <c r="B3" s="30" t="s">
        <v>0</v>
      </c>
      <c r="C3" s="30" t="s">
        <v>3</v>
      </c>
      <c r="D3" s="32" t="s">
        <v>1</v>
      </c>
      <c r="E3" s="33"/>
      <c r="F3" s="34"/>
      <c r="I3" s="38"/>
      <c r="J3" s="9"/>
      <c r="K3" s="9"/>
      <c r="L3" s="9"/>
      <c r="M3" s="9"/>
      <c r="N3" s="8"/>
      <c r="O3" s="8"/>
    </row>
    <row r="4" spans="1:16" x14ac:dyDescent="0.25">
      <c r="A4" s="29"/>
      <c r="B4" s="31"/>
      <c r="C4" s="31"/>
      <c r="D4" s="20" t="s">
        <v>5</v>
      </c>
      <c r="E4" s="21" t="s">
        <v>6</v>
      </c>
      <c r="F4" s="20" t="s">
        <v>7</v>
      </c>
      <c r="I4" s="38"/>
      <c r="J4" s="9"/>
      <c r="K4" s="9"/>
      <c r="L4" s="9"/>
      <c r="M4" s="9"/>
      <c r="N4" s="9"/>
      <c r="O4" s="9"/>
      <c r="P4" s="9"/>
    </row>
    <row r="5" spans="1:16" x14ac:dyDescent="0.25">
      <c r="A5" s="25">
        <v>2007</v>
      </c>
      <c r="B5" s="12">
        <v>39083</v>
      </c>
      <c r="C5" s="13"/>
      <c r="D5" s="13"/>
      <c r="E5" s="13"/>
      <c r="F5" s="13"/>
      <c r="I5" s="4"/>
      <c r="N5" s="9"/>
      <c r="O5" s="9"/>
      <c r="P5" s="9"/>
    </row>
    <row r="6" spans="1:16" x14ac:dyDescent="0.25">
      <c r="A6" s="26"/>
      <c r="B6" s="10">
        <v>39114</v>
      </c>
      <c r="C6" s="11"/>
      <c r="D6" s="11"/>
      <c r="E6" s="11"/>
      <c r="F6" s="11"/>
      <c r="I6" s="4"/>
    </row>
    <row r="7" spans="1:16" x14ac:dyDescent="0.25">
      <c r="A7" s="26"/>
      <c r="B7" s="10">
        <v>39142</v>
      </c>
      <c r="C7" s="11"/>
      <c r="D7" s="11"/>
      <c r="E7" s="11"/>
      <c r="F7" s="11"/>
      <c r="I7" s="4"/>
    </row>
    <row r="8" spans="1:16" x14ac:dyDescent="0.25">
      <c r="A8" s="26"/>
      <c r="B8" s="10">
        <v>39173</v>
      </c>
      <c r="C8" s="11"/>
      <c r="D8" s="11"/>
      <c r="E8" s="11"/>
      <c r="F8" s="11"/>
      <c r="I8" s="4"/>
    </row>
    <row r="9" spans="1:16" x14ac:dyDescent="0.25">
      <c r="A9" s="26"/>
      <c r="B9" s="10">
        <v>39203</v>
      </c>
      <c r="C9" s="11"/>
      <c r="D9" s="11"/>
      <c r="E9" s="11"/>
      <c r="F9" s="11"/>
      <c r="I9" s="4"/>
    </row>
    <row r="10" spans="1:16" x14ac:dyDescent="0.25">
      <c r="A10" s="26"/>
      <c r="B10" s="10">
        <v>39234</v>
      </c>
      <c r="C10" s="11"/>
      <c r="D10" s="11"/>
      <c r="E10" s="11"/>
      <c r="F10" s="11"/>
      <c r="I10" s="4"/>
    </row>
    <row r="11" spans="1:16" x14ac:dyDescent="0.25">
      <c r="A11" s="26"/>
      <c r="B11" s="10">
        <v>39264</v>
      </c>
      <c r="C11" s="11"/>
      <c r="D11" s="11"/>
      <c r="E11" s="11"/>
      <c r="F11" s="11"/>
      <c r="I11" s="4"/>
    </row>
    <row r="12" spans="1:16" x14ac:dyDescent="0.25">
      <c r="A12" s="26"/>
      <c r="B12" s="10">
        <v>39295</v>
      </c>
      <c r="C12" s="11">
        <v>6.055945834574687</v>
      </c>
      <c r="D12" s="11"/>
      <c r="E12" s="11"/>
      <c r="F12" s="11"/>
      <c r="I12" s="4"/>
    </row>
    <row r="13" spans="1:16" x14ac:dyDescent="0.25">
      <c r="A13" s="26"/>
      <c r="B13" s="10">
        <v>39326</v>
      </c>
      <c r="C13" s="11">
        <v>6.0666250086987201</v>
      </c>
      <c r="D13" s="11">
        <f>+C13/C12*100-100</f>
        <v>0.17634196896318599</v>
      </c>
      <c r="E13" s="11"/>
      <c r="F13" s="11"/>
      <c r="I13" s="4"/>
    </row>
    <row r="14" spans="1:16" x14ac:dyDescent="0.25">
      <c r="A14" s="26"/>
      <c r="B14" s="10">
        <v>39356</v>
      </c>
      <c r="C14" s="11">
        <v>6.1095926762940316</v>
      </c>
      <c r="D14" s="11">
        <f t="shared" ref="D14:D44" si="0">+C14/C13*100-100</f>
        <v>0.70826312049454998</v>
      </c>
      <c r="E14" s="11"/>
      <c r="F14" s="11"/>
      <c r="I14" s="4"/>
    </row>
    <row r="15" spans="1:16" x14ac:dyDescent="0.25">
      <c r="A15" s="26"/>
      <c r="B15" s="10">
        <v>39387</v>
      </c>
      <c r="C15" s="11">
        <v>6.1683526968340869</v>
      </c>
      <c r="D15" s="11">
        <f t="shared" si="0"/>
        <v>0.96176658008727145</v>
      </c>
      <c r="E15" s="11"/>
      <c r="F15" s="11"/>
      <c r="I15" s="4"/>
    </row>
    <row r="16" spans="1:16" ht="16.5" thickBot="1" x14ac:dyDescent="0.3">
      <c r="A16" s="27"/>
      <c r="B16" s="14">
        <v>39417</v>
      </c>
      <c r="C16" s="15">
        <v>6.2380584890304629</v>
      </c>
      <c r="D16" s="15">
        <f t="shared" si="0"/>
        <v>1.1300552290427959</v>
      </c>
      <c r="E16" s="15"/>
      <c r="F16" s="15"/>
      <c r="I16" s="4"/>
    </row>
    <row r="17" spans="1:16" x14ac:dyDescent="0.25">
      <c r="A17" s="25">
        <v>2008</v>
      </c>
      <c r="B17" s="12">
        <v>39448</v>
      </c>
      <c r="C17" s="13">
        <v>6.270663372238686</v>
      </c>
      <c r="D17" s="13">
        <f>+C17/C16*100-100</f>
        <v>0.52267677941073032</v>
      </c>
      <c r="E17" s="13">
        <f>+C17/C16*100-100</f>
        <v>0.52267677941073032</v>
      </c>
      <c r="I17" s="4"/>
    </row>
    <row r="18" spans="1:16" ht="23.25" customHeight="1" x14ac:dyDescent="0.25">
      <c r="A18" s="26"/>
      <c r="B18" s="10">
        <v>39479</v>
      </c>
      <c r="C18" s="11">
        <v>6.2931132217712102</v>
      </c>
      <c r="D18" s="11">
        <f t="shared" si="0"/>
        <v>0.35801394844305889</v>
      </c>
      <c r="E18" s="11">
        <f>+C18/C16*100-100</f>
        <v>0.88256198362937255</v>
      </c>
      <c r="F18" s="11"/>
      <c r="I18" s="4"/>
    </row>
    <row r="19" spans="1:16" x14ac:dyDescent="0.25">
      <c r="A19" s="26"/>
      <c r="B19" s="10">
        <v>39508</v>
      </c>
      <c r="C19" s="11">
        <v>6.3283421898955723</v>
      </c>
      <c r="D19" s="11">
        <f t="shared" si="0"/>
        <v>0.55980191175468974</v>
      </c>
      <c r="E19" s="11">
        <f>+C19/C16*100-100</f>
        <v>1.4473044942408251</v>
      </c>
      <c r="F19" s="11"/>
      <c r="I19" s="4"/>
    </row>
    <row r="20" spans="1:16" x14ac:dyDescent="0.25">
      <c r="A20" s="26"/>
      <c r="B20" s="10">
        <v>39539</v>
      </c>
      <c r="C20" s="11">
        <v>6.3636128778198033</v>
      </c>
      <c r="D20" s="11">
        <f t="shared" si="0"/>
        <v>0.55734482848521338</v>
      </c>
      <c r="E20" s="11">
        <f>+C20/C16*100-100</f>
        <v>2.012715799477121</v>
      </c>
      <c r="F20" s="11"/>
      <c r="I20" s="4"/>
    </row>
    <row r="21" spans="1:16" x14ac:dyDescent="0.25">
      <c r="A21" s="26"/>
      <c r="B21" s="10">
        <v>39569</v>
      </c>
      <c r="C21" s="11">
        <v>6.4067448750218068</v>
      </c>
      <c r="D21" s="11">
        <f t="shared" si="0"/>
        <v>0.67779102893481991</v>
      </c>
      <c r="E21" s="11">
        <f>+C21/C16*100-100</f>
        <v>2.70414883553876</v>
      </c>
      <c r="F21" s="11"/>
      <c r="I21" s="4"/>
    </row>
    <row r="22" spans="1:16" x14ac:dyDescent="0.25">
      <c r="A22" s="26"/>
      <c r="B22" s="10">
        <v>39600</v>
      </c>
      <c r="C22" s="11">
        <v>6.4626339424073613</v>
      </c>
      <c r="D22" s="11">
        <f t="shared" si="0"/>
        <v>0.87234732263885917</v>
      </c>
      <c r="E22" s="11">
        <f>+C22/C16*100-100</f>
        <v>3.6000857281446059</v>
      </c>
      <c r="F22" s="11"/>
      <c r="I22" s="4"/>
    </row>
    <row r="23" spans="1:16" x14ac:dyDescent="0.25">
      <c r="A23" s="26"/>
      <c r="B23" s="10">
        <v>39630</v>
      </c>
      <c r="C23" s="11">
        <v>6.5277434876270624</v>
      </c>
      <c r="D23" s="11">
        <f t="shared" si="0"/>
        <v>1.0074769173054534</v>
      </c>
      <c r="E23" s="11">
        <f>+C23/C16*100-100</f>
        <v>4.6438326781643013</v>
      </c>
      <c r="F23" s="11"/>
      <c r="I23" s="4"/>
    </row>
    <row r="24" spans="1:16" x14ac:dyDescent="0.25">
      <c r="A24" s="26"/>
      <c r="B24" s="10">
        <v>39661</v>
      </c>
      <c r="C24" s="11">
        <v>6.5899828925046977</v>
      </c>
      <c r="D24" s="11">
        <f t="shared" si="0"/>
        <v>0.95345972150416003</v>
      </c>
      <c r="E24" s="11">
        <f>+C24/C16*100-100</f>
        <v>5.6415694737888202</v>
      </c>
      <c r="F24" s="11">
        <f>+C24/C12*100-100</f>
        <v>8.8183922465270257</v>
      </c>
      <c r="I24" s="4"/>
    </row>
    <row r="25" spans="1:16" x14ac:dyDescent="0.25">
      <c r="A25" s="26"/>
      <c r="B25" s="10">
        <v>39692</v>
      </c>
      <c r="C25" s="11">
        <v>6.6404329236840631</v>
      </c>
      <c r="D25" s="11">
        <f t="shared" si="0"/>
        <v>0.76555632999814804</v>
      </c>
      <c r="E25" s="11">
        <f>+C25/C16*100-100</f>
        <v>6.4503151960048086</v>
      </c>
      <c r="F25" s="11">
        <f t="shared" ref="F25:F88" si="1">+C25/C13*100-100</f>
        <v>9.4584371732648691</v>
      </c>
      <c r="I25" s="4"/>
    </row>
    <row r="26" spans="1:16" x14ac:dyDescent="0.25">
      <c r="A26" s="26"/>
      <c r="B26" s="10">
        <v>39722</v>
      </c>
      <c r="C26" s="11">
        <v>6.7074102787672603</v>
      </c>
      <c r="D26" s="11">
        <f t="shared" si="0"/>
        <v>1.0086293446969847</v>
      </c>
      <c r="E26" s="11">
        <f>+C26/C24*100-100</f>
        <v>1.7819073004896779</v>
      </c>
      <c r="F26" s="11">
        <f t="shared" si="1"/>
        <v>9.7849011243062733</v>
      </c>
      <c r="I26" s="4"/>
    </row>
    <row r="27" spans="1:16" x14ac:dyDescent="0.25">
      <c r="A27" s="26"/>
      <c r="B27" s="10">
        <v>39753</v>
      </c>
      <c r="C27" s="11">
        <v>6.7724316182907849</v>
      </c>
      <c r="D27" s="11">
        <f t="shared" si="0"/>
        <v>0.96939559116211171</v>
      </c>
      <c r="E27" s="11">
        <f>+C27/C16*100-100</f>
        <v>8.566337269841398</v>
      </c>
      <c r="F27" s="11">
        <f t="shared" si="1"/>
        <v>9.7931968411394905</v>
      </c>
      <c r="I27" s="4"/>
    </row>
    <row r="28" spans="1:16" ht="16.5" thickBot="1" x14ac:dyDescent="0.3">
      <c r="A28" s="27"/>
      <c r="B28" s="14">
        <v>39783</v>
      </c>
      <c r="C28" s="15">
        <v>6.8378057602740041</v>
      </c>
      <c r="D28" s="15">
        <f t="shared" si="0"/>
        <v>0.96529792647383772</v>
      </c>
      <c r="E28" s="11">
        <f>+C28/C16*100-100</f>
        <v>9.6143258723557778</v>
      </c>
      <c r="F28" s="15">
        <f t="shared" si="1"/>
        <v>9.6143258723557778</v>
      </c>
      <c r="I28" s="4"/>
    </row>
    <row r="29" spans="1:16" x14ac:dyDescent="0.25">
      <c r="A29" s="25">
        <v>2009</v>
      </c>
      <c r="B29" s="12">
        <v>39814</v>
      </c>
      <c r="C29" s="13">
        <v>6.8920673737886577</v>
      </c>
      <c r="D29" s="13">
        <f t="shared" si="0"/>
        <v>0.79355301125838196</v>
      </c>
      <c r="E29" s="24">
        <f>+C29/C28*100-100</f>
        <v>0.79355301125838196</v>
      </c>
      <c r="F29" s="11">
        <f t="shared" si="1"/>
        <v>9.9097011697523811</v>
      </c>
      <c r="I29" s="4"/>
    </row>
    <row r="30" spans="1:16" x14ac:dyDescent="0.25">
      <c r="A30" s="26"/>
      <c r="B30" s="10">
        <v>39845</v>
      </c>
      <c r="C30" s="11">
        <v>6.9444215376806788</v>
      </c>
      <c r="D30" s="11">
        <f t="shared" si="0"/>
        <v>0.75962931080925955</v>
      </c>
      <c r="E30" s="11">
        <f>+C30/C28*100-100</f>
        <v>1.5592103833379696</v>
      </c>
      <c r="F30" s="11">
        <f t="shared" si="1"/>
        <v>10.349540727413725</v>
      </c>
      <c r="I30" s="4"/>
      <c r="J30" s="8"/>
      <c r="K30" s="8"/>
      <c r="L30" s="8"/>
      <c r="M30" s="8"/>
      <c r="N30" s="8"/>
      <c r="O30" s="8"/>
      <c r="P30" s="8"/>
    </row>
    <row r="31" spans="1:16" x14ac:dyDescent="0.25">
      <c r="A31" s="26"/>
      <c r="B31" s="10">
        <v>39873</v>
      </c>
      <c r="C31" s="11">
        <v>6.9949983196481282</v>
      </c>
      <c r="D31" s="11">
        <f t="shared" si="0"/>
        <v>0.72830806270928861</v>
      </c>
      <c r="E31" s="11">
        <f>+C31/C28*100-100</f>
        <v>2.2988743009837265</v>
      </c>
      <c r="F31" s="11">
        <f t="shared" si="1"/>
        <v>10.534451357845384</v>
      </c>
      <c r="I31" s="4"/>
    </row>
    <row r="32" spans="1:16" x14ac:dyDescent="0.25">
      <c r="A32" s="26"/>
      <c r="B32" s="10">
        <v>39904</v>
      </c>
      <c r="C32" s="11">
        <v>7.0479965669965772</v>
      </c>
      <c r="D32" s="11">
        <f t="shared" si="0"/>
        <v>0.75765918627290318</v>
      </c>
      <c r="E32" s="11">
        <f>+C32/C28*100-100</f>
        <v>3.0739511195788936</v>
      </c>
      <c r="F32" s="11">
        <f t="shared" si="1"/>
        <v>10.754640521301567</v>
      </c>
      <c r="I32" s="4"/>
    </row>
    <row r="33" spans="1:9" x14ac:dyDescent="0.25">
      <c r="A33" s="26"/>
      <c r="B33" s="10">
        <v>39934</v>
      </c>
      <c r="C33" s="11">
        <v>7.1064093473595271</v>
      </c>
      <c r="D33" s="11">
        <f t="shared" si="0"/>
        <v>0.82878559612922231</v>
      </c>
      <c r="E33" s="11">
        <f>+C33/C28*100-100</f>
        <v>3.9282131798192381</v>
      </c>
      <c r="F33" s="11">
        <f t="shared" si="1"/>
        <v>10.920748148806837</v>
      </c>
      <c r="I33" s="4"/>
    </row>
    <row r="34" spans="1:9" ht="24" customHeight="1" x14ac:dyDescent="0.25">
      <c r="A34" s="26"/>
      <c r="B34" s="10">
        <v>39965</v>
      </c>
      <c r="C34" s="11">
        <v>7.1727177303921525</v>
      </c>
      <c r="D34" s="11">
        <f t="shared" si="0"/>
        <v>0.93307857444580122</v>
      </c>
      <c r="E34" s="11">
        <f>+C34/C28*100-100</f>
        <v>4.8979450698044928</v>
      </c>
      <c r="F34" s="11">
        <f t="shared" si="1"/>
        <v>10.987529145435104</v>
      </c>
      <c r="I34" s="4"/>
    </row>
    <row r="35" spans="1:9" x14ac:dyDescent="0.25">
      <c r="A35" s="26"/>
      <c r="B35" s="10">
        <v>39995</v>
      </c>
      <c r="C35" s="11">
        <v>7.2320936179321267</v>
      </c>
      <c r="D35" s="11">
        <f t="shared" si="0"/>
        <v>0.82780181476245218</v>
      </c>
      <c r="E35" s="11">
        <f>+C35/C28*100-100</f>
        <v>5.7662921627408537</v>
      </c>
      <c r="F35" s="11">
        <f t="shared" si="1"/>
        <v>10.790101229316335</v>
      </c>
      <c r="I35" s="4"/>
    </row>
    <row r="36" spans="1:9" x14ac:dyDescent="0.25">
      <c r="A36" s="26"/>
      <c r="B36" s="10">
        <v>40026</v>
      </c>
      <c r="C36" s="11">
        <v>7.2997921180664411</v>
      </c>
      <c r="D36" s="11">
        <f t="shared" si="0"/>
        <v>0.93608439977124647</v>
      </c>
      <c r="E36" s="11">
        <f>+C36/C28*100-100</f>
        <v>6.7563539238927603</v>
      </c>
      <c r="F36" s="11">
        <f t="shared" si="1"/>
        <v>10.771032901603817</v>
      </c>
      <c r="I36" s="4"/>
    </row>
    <row r="37" spans="1:9" x14ac:dyDescent="0.25">
      <c r="A37" s="26"/>
      <c r="B37" s="10">
        <v>40057</v>
      </c>
      <c r="C37" s="11">
        <v>7.3501050842540172</v>
      </c>
      <c r="D37" s="11">
        <f t="shared" si="0"/>
        <v>0.68923834232286652</v>
      </c>
      <c r="E37" s="11">
        <f>+C37/C28*100-100</f>
        <v>7.4921596480021151</v>
      </c>
      <c r="F37" s="11">
        <f t="shared" si="1"/>
        <v>10.68713694914085</v>
      </c>
      <c r="I37" s="4"/>
    </row>
    <row r="38" spans="1:9" x14ac:dyDescent="0.25">
      <c r="A38" s="26"/>
      <c r="B38" s="10">
        <v>40087</v>
      </c>
      <c r="C38" s="11">
        <v>7.4074534832504852</v>
      </c>
      <c r="D38" s="11">
        <f t="shared" si="0"/>
        <v>0.78023917126471076</v>
      </c>
      <c r="E38" s="11">
        <f>+C38/C28*100-100</f>
        <v>8.3308555836142091</v>
      </c>
      <c r="F38" s="11">
        <f t="shared" si="1"/>
        <v>10.436862744169034</v>
      </c>
      <c r="I38" s="4"/>
    </row>
    <row r="39" spans="1:9" x14ac:dyDescent="0.25">
      <c r="A39" s="26"/>
      <c r="B39" s="10">
        <v>40118</v>
      </c>
      <c r="C39" s="11">
        <v>7.4929973469756366</v>
      </c>
      <c r="D39" s="11">
        <f t="shared" si="0"/>
        <v>1.1548349769401938</v>
      </c>
      <c r="E39" s="11">
        <f>+C39/C28*100-100</f>
        <v>9.5818981947123518</v>
      </c>
      <c r="F39" s="11">
        <f t="shared" si="1"/>
        <v>10.639689985776585</v>
      </c>
      <c r="I39" s="4"/>
    </row>
    <row r="40" spans="1:9" ht="16.5" thickBot="1" x14ac:dyDescent="0.3">
      <c r="A40" s="27"/>
      <c r="B40" s="14">
        <v>40148</v>
      </c>
      <c r="C40" s="15">
        <v>7.6320456809506778</v>
      </c>
      <c r="D40" s="15">
        <f t="shared" si="0"/>
        <v>1.8557104391764483</v>
      </c>
      <c r="E40" s="11">
        <f>+C40/C28*100-100</f>
        <v>11.615420918959359</v>
      </c>
      <c r="F40" s="11">
        <f t="shared" si="1"/>
        <v>11.615420918959359</v>
      </c>
      <c r="I40" s="4"/>
    </row>
    <row r="41" spans="1:9" x14ac:dyDescent="0.25">
      <c r="A41" s="25">
        <v>2010</v>
      </c>
      <c r="B41" s="12">
        <v>40179</v>
      </c>
      <c r="C41" s="13">
        <v>7.6928593311757858</v>
      </c>
      <c r="D41" s="13">
        <f t="shared" si="0"/>
        <v>0.79681978813226806</v>
      </c>
      <c r="E41" s="11">
        <f>+C41/C40*100-100</f>
        <v>0.79681978813226806</v>
      </c>
      <c r="F41" s="11">
        <f t="shared" si="1"/>
        <v>11.619038438780109</v>
      </c>
      <c r="I41" s="4"/>
    </row>
    <row r="42" spans="1:9" x14ac:dyDescent="0.25">
      <c r="A42" s="26"/>
      <c r="B42" s="10">
        <v>40210</v>
      </c>
      <c r="C42" s="11">
        <v>7.7593263579687575</v>
      </c>
      <c r="D42" s="11">
        <f t="shared" si="0"/>
        <v>0.86400938755775769</v>
      </c>
      <c r="E42" s="11">
        <f>+C42/C40*100-100</f>
        <v>1.6677137734614007</v>
      </c>
      <c r="F42" s="11">
        <f t="shared" si="1"/>
        <v>11.73466811981929</v>
      </c>
      <c r="I42" s="4"/>
    </row>
    <row r="43" spans="1:9" x14ac:dyDescent="0.25">
      <c r="A43" s="26"/>
      <c r="B43" s="10">
        <v>40238</v>
      </c>
      <c r="C43" s="11">
        <v>7.8387982303888197</v>
      </c>
      <c r="D43" s="11">
        <f t="shared" si="0"/>
        <v>1.0242109785528726</v>
      </c>
      <c r="E43" s="11">
        <f>+C43/C40*100-100</f>
        <v>2.7090056595728811</v>
      </c>
      <c r="F43" s="11">
        <f t="shared" si="1"/>
        <v>12.062903694637868</v>
      </c>
      <c r="I43" s="4"/>
    </row>
    <row r="44" spans="1:9" x14ac:dyDescent="0.25">
      <c r="A44" s="26"/>
      <c r="B44" s="10">
        <v>40269</v>
      </c>
      <c r="C44" s="11">
        <v>7.9110001760209725</v>
      </c>
      <c r="D44" s="11">
        <f t="shared" si="0"/>
        <v>0.92108437428899492</v>
      </c>
      <c r="E44" s="11">
        <f>+C44/C40*100-100</f>
        <v>3.6550422616907952</v>
      </c>
      <c r="F44" s="11">
        <f t="shared" si="1"/>
        <v>12.244665570150161</v>
      </c>
      <c r="I44" s="4"/>
    </row>
    <row r="45" spans="1:9" x14ac:dyDescent="0.25">
      <c r="A45" s="26"/>
      <c r="B45" s="10">
        <v>40299</v>
      </c>
      <c r="C45" s="11">
        <v>7.9931643623563682</v>
      </c>
      <c r="D45" s="11">
        <f t="shared" ref="D45:D76" si="2">+C45/C44*100-100</f>
        <v>1.0386068070690158</v>
      </c>
      <c r="E45" s="11">
        <f>+C45/C40*100-100</f>
        <v>4.7316105864909872</v>
      </c>
      <c r="F45" s="11">
        <f t="shared" si="1"/>
        <v>12.478242831963044</v>
      </c>
      <c r="I45" s="4"/>
    </row>
    <row r="46" spans="1:9" x14ac:dyDescent="0.25">
      <c r="A46" s="26"/>
      <c r="B46" s="10">
        <v>40330</v>
      </c>
      <c r="C46" s="11">
        <v>8.0731897826240928</v>
      </c>
      <c r="D46" s="11">
        <f t="shared" si="2"/>
        <v>1.001173210507261</v>
      </c>
      <c r="E46" s="11">
        <f>+C46/C40*100-100</f>
        <v>5.7801554146157201</v>
      </c>
      <c r="F46" s="11">
        <f t="shared" si="1"/>
        <v>12.554126428487081</v>
      </c>
      <c r="I46" s="4"/>
    </row>
    <row r="47" spans="1:9" x14ac:dyDescent="0.25">
      <c r="A47" s="26"/>
      <c r="B47" s="10">
        <v>40360</v>
      </c>
      <c r="C47" s="11">
        <v>8.1611024521169746</v>
      </c>
      <c r="D47" s="11">
        <f t="shared" si="2"/>
        <v>1.0889459044069127</v>
      </c>
      <c r="E47" s="11">
        <f t="shared" ref="E47" si="3">+C47/C46*100-100</f>
        <v>1.0889459044069127</v>
      </c>
      <c r="F47" s="11">
        <f>+C47/C35*100-100</f>
        <v>12.845641708527538</v>
      </c>
      <c r="I47" s="4"/>
    </row>
    <row r="48" spans="1:9" x14ac:dyDescent="0.25">
      <c r="A48" s="26"/>
      <c r="B48" s="10">
        <v>40391</v>
      </c>
      <c r="C48" s="11">
        <v>8.2450757140641944</v>
      </c>
      <c r="D48" s="11">
        <f t="shared" si="2"/>
        <v>1.0289450774562567</v>
      </c>
      <c r="E48" s="11">
        <f>+C48/C40*100-100</f>
        <v>8.0323160885110951</v>
      </c>
      <c r="F48" s="11">
        <f>+C48/C36*100-100</f>
        <v>12.949459117585647</v>
      </c>
      <c r="I48" s="4"/>
    </row>
    <row r="49" spans="1:9" x14ac:dyDescent="0.25">
      <c r="A49" s="26"/>
      <c r="B49" s="10">
        <v>40422</v>
      </c>
      <c r="C49" s="11">
        <v>8.3745042340725036</v>
      </c>
      <c r="D49" s="11">
        <f t="shared" si="2"/>
        <v>1.5697675133235407</v>
      </c>
      <c r="E49" s="11">
        <f>+C49/C40*100-100</f>
        <v>9.728172290359538</v>
      </c>
      <c r="F49" s="11">
        <f t="shared" si="1"/>
        <v>13.937204136210738</v>
      </c>
      <c r="I49" s="4"/>
    </row>
    <row r="50" spans="1:9" x14ac:dyDescent="0.25">
      <c r="A50" s="26"/>
      <c r="B50" s="10">
        <v>40452</v>
      </c>
      <c r="C50" s="11">
        <v>8.4519667070789684</v>
      </c>
      <c r="D50" s="11">
        <f t="shared" si="2"/>
        <v>0.92497980586480821</v>
      </c>
      <c r="E50" s="11">
        <f>+C50/C40*100-100</f>
        <v>10.743135725389919</v>
      </c>
      <c r="F50" s="11">
        <f>+C50/C38*100-100</f>
        <v>14.100840811087181</v>
      </c>
      <c r="I50" s="4"/>
    </row>
    <row r="51" spans="1:9" x14ac:dyDescent="0.25">
      <c r="A51" s="26"/>
      <c r="B51" s="10">
        <v>40483</v>
      </c>
      <c r="C51" s="11">
        <v>8.5229228816146261</v>
      </c>
      <c r="D51" s="11">
        <f t="shared" si="2"/>
        <v>0.83952264596864268</v>
      </c>
      <c r="E51" s="11">
        <f>+C51/C40*100-100</f>
        <v>11.672849428660356</v>
      </c>
      <c r="F51" s="11">
        <f>+C51/C39*100-100</f>
        <v>13.745174153233791</v>
      </c>
      <c r="I51" s="4"/>
    </row>
    <row r="52" spans="1:9" ht="16.5" thickBot="1" x14ac:dyDescent="0.3">
      <c r="A52" s="27"/>
      <c r="B52" s="14">
        <v>40513</v>
      </c>
      <c r="C52" s="15">
        <v>8.6047447059337916</v>
      </c>
      <c r="D52" s="15">
        <f t="shared" si="2"/>
        <v>0.96002070481793567</v>
      </c>
      <c r="E52" s="11">
        <f>+C52/C40*100-100</f>
        <v>12.744931904835653</v>
      </c>
      <c r="F52" s="11">
        <f t="shared" si="1"/>
        <v>12.744931904835653</v>
      </c>
      <c r="I52" s="4"/>
    </row>
    <row r="53" spans="1:9" x14ac:dyDescent="0.25">
      <c r="A53" s="25">
        <v>2011</v>
      </c>
      <c r="B53" s="12">
        <v>40544</v>
      </c>
      <c r="C53" s="13">
        <v>8.6439465092232499</v>
      </c>
      <c r="D53" s="13">
        <f t="shared" si="2"/>
        <v>0.45558357196146915</v>
      </c>
      <c r="E53" s="13">
        <f>+C53/C52*100-100</f>
        <v>0.45558357196146915</v>
      </c>
      <c r="F53" s="13">
        <f t="shared" si="1"/>
        <v>12.363246708452408</v>
      </c>
      <c r="I53" s="4"/>
    </row>
    <row r="54" spans="1:9" x14ac:dyDescent="0.25">
      <c r="A54" s="26"/>
      <c r="B54" s="10">
        <v>40575</v>
      </c>
      <c r="C54" s="11">
        <v>8.7805761496257144</v>
      </c>
      <c r="D54" s="11">
        <f t="shared" si="2"/>
        <v>1.580639586983537</v>
      </c>
      <c r="E54" s="11">
        <f>+C54/C52*100-100</f>
        <v>2.0434242932352333</v>
      </c>
      <c r="F54" s="11">
        <f t="shared" si="1"/>
        <v>13.161578010031022</v>
      </c>
      <c r="I54" s="4"/>
    </row>
    <row r="55" spans="1:9" x14ac:dyDescent="0.25">
      <c r="A55" s="26"/>
      <c r="B55" s="10">
        <v>40603</v>
      </c>
      <c r="C55" s="11">
        <v>8.8585354620070049</v>
      </c>
      <c r="D55" s="11">
        <f t="shared" si="2"/>
        <v>0.88786101336428658</v>
      </c>
      <c r="E55" s="11">
        <f>+C55/C52*100-100</f>
        <v>2.9494280742367778</v>
      </c>
      <c r="F55" s="11">
        <f t="shared" si="1"/>
        <v>13.00884653038969</v>
      </c>
      <c r="I55" s="4"/>
    </row>
    <row r="56" spans="1:9" x14ac:dyDescent="0.25">
      <c r="A56" s="26"/>
      <c r="B56" s="10">
        <v>40634</v>
      </c>
      <c r="C56" s="11">
        <v>8.9339317837246206</v>
      </c>
      <c r="D56" s="11">
        <f t="shared" si="2"/>
        <v>0.85111497313501161</v>
      </c>
      <c r="E56" s="11">
        <f>+C56/C52*100-100</f>
        <v>3.8256460713334377</v>
      </c>
      <c r="F56" s="11">
        <f t="shared" si="1"/>
        <v>12.93049658631351</v>
      </c>
      <c r="I56" s="4"/>
    </row>
    <row r="57" spans="1:9" x14ac:dyDescent="0.25">
      <c r="A57" s="26"/>
      <c r="B57" s="10">
        <v>40664</v>
      </c>
      <c r="C57" s="11">
        <v>9.0132048497924036</v>
      </c>
      <c r="D57" s="11">
        <f t="shared" si="2"/>
        <v>0.88732562534448789</v>
      </c>
      <c r="E57" s="11">
        <f>+C57/C52*100-100</f>
        <v>4.7469176346038466</v>
      </c>
      <c r="F57" s="11">
        <f t="shared" si="1"/>
        <v>12.761410139892689</v>
      </c>
      <c r="I57" s="4"/>
    </row>
    <row r="58" spans="1:9" x14ac:dyDescent="0.25">
      <c r="A58" s="26"/>
      <c r="B58" s="10">
        <v>40695</v>
      </c>
      <c r="C58" s="11">
        <v>9.0862046637235636</v>
      </c>
      <c r="D58" s="11">
        <f t="shared" si="2"/>
        <v>0.80992072351313027</v>
      </c>
      <c r="E58" s="11">
        <f t="shared" ref="E58" si="4">+C58/C55*100-100</f>
        <v>2.5700546404425353</v>
      </c>
      <c r="F58" s="11">
        <f t="shared" si="1"/>
        <v>12.547888856518412</v>
      </c>
      <c r="I58" s="4"/>
    </row>
    <row r="59" spans="1:9" x14ac:dyDescent="0.25">
      <c r="A59" s="26"/>
      <c r="B59" s="10">
        <v>40725</v>
      </c>
      <c r="C59" s="11">
        <v>9.1488166769291457</v>
      </c>
      <c r="D59" s="11">
        <f t="shared" si="2"/>
        <v>0.68908873971945184</v>
      </c>
      <c r="E59" s="11">
        <f>+C59/C52*100-100</f>
        <v>6.3229298438124033</v>
      </c>
      <c r="F59" s="11">
        <f>+C59/C47*100-100</f>
        <v>12.102705861215597</v>
      </c>
      <c r="I59" s="4"/>
    </row>
    <row r="60" spans="1:9" x14ac:dyDescent="0.25">
      <c r="A60" s="26"/>
      <c r="B60" s="10">
        <v>40756</v>
      </c>
      <c r="C60" s="11">
        <v>9.2180654112018026</v>
      </c>
      <c r="D60" s="11">
        <f t="shared" si="2"/>
        <v>0.75691465593888552</v>
      </c>
      <c r="E60" s="11">
        <f>+C60/C52*100-100</f>
        <v>7.1277036824238138</v>
      </c>
      <c r="F60" s="11">
        <f>+C60/C48*100-100</f>
        <v>11.800858244126402</v>
      </c>
      <c r="I60" s="4"/>
    </row>
    <row r="61" spans="1:9" x14ac:dyDescent="0.25">
      <c r="A61" s="26"/>
      <c r="B61" s="10">
        <v>40787</v>
      </c>
      <c r="C61" s="11">
        <v>9.2847241890360621</v>
      </c>
      <c r="D61" s="11">
        <f t="shared" si="2"/>
        <v>0.7231319681595636</v>
      </c>
      <c r="E61" s="11">
        <f t="shared" ref="E61" si="5">+C61/C58*100-100</f>
        <v>2.184845407511915</v>
      </c>
      <c r="F61" s="11">
        <f t="shared" si="1"/>
        <v>10.868941366824302</v>
      </c>
      <c r="I61" s="4"/>
    </row>
    <row r="62" spans="1:9" x14ac:dyDescent="0.25">
      <c r="A62" s="26"/>
      <c r="B62" s="10">
        <v>40817</v>
      </c>
      <c r="C62" s="11">
        <v>9.3468558329155051</v>
      </c>
      <c r="D62" s="11">
        <f t="shared" si="2"/>
        <v>0.66918136300495235</v>
      </c>
      <c r="E62" s="11">
        <f>+C62/C52*100-100</f>
        <v>8.6244409606941304</v>
      </c>
      <c r="F62" s="11">
        <f t="shared" si="1"/>
        <v>10.587939551241021</v>
      </c>
      <c r="I62" s="4"/>
    </row>
    <row r="63" spans="1:9" x14ac:dyDescent="0.25">
      <c r="A63" s="26"/>
      <c r="B63" s="10">
        <v>40848</v>
      </c>
      <c r="C63" s="11">
        <v>9.4053655918686285</v>
      </c>
      <c r="D63" s="11">
        <f t="shared" si="2"/>
        <v>0.62598332529188383</v>
      </c>
      <c r="E63" s="11">
        <f>+C63/C52*100-100</f>
        <v>9.3044118482995941</v>
      </c>
      <c r="F63" s="11">
        <f t="shared" si="1"/>
        <v>10.353756833322763</v>
      </c>
      <c r="I63" s="4"/>
    </row>
    <row r="64" spans="1:9" ht="16.5" thickBot="1" x14ac:dyDescent="0.3">
      <c r="A64" s="27"/>
      <c r="B64" s="14">
        <v>40878</v>
      </c>
      <c r="C64" s="15">
        <v>9.4712116795536048</v>
      </c>
      <c r="D64" s="15">
        <f t="shared" si="2"/>
        <v>0.70009067740974729</v>
      </c>
      <c r="E64" s="11">
        <f>+C64/C52*100-100</f>
        <v>10.069641845647112</v>
      </c>
      <c r="F64" s="11">
        <f t="shared" si="1"/>
        <v>10.069641845647112</v>
      </c>
      <c r="I64" s="4"/>
    </row>
    <row r="65" spans="1:9" x14ac:dyDescent="0.25">
      <c r="A65" s="25">
        <v>2012</v>
      </c>
      <c r="B65" s="12">
        <v>40909</v>
      </c>
      <c r="C65" s="13">
        <v>9.5344116765546687</v>
      </c>
      <c r="D65" s="13">
        <f t="shared" si="2"/>
        <v>0.66728523381543425</v>
      </c>
      <c r="E65" s="13">
        <f>+C65/C64*100-100</f>
        <v>0.66728523381543425</v>
      </c>
      <c r="F65" s="13">
        <f t="shared" si="1"/>
        <v>10.301604323687982</v>
      </c>
      <c r="I65" s="4"/>
    </row>
    <row r="66" spans="1:9" x14ac:dyDescent="0.25">
      <c r="A66" s="26"/>
      <c r="B66" s="10">
        <v>40940</v>
      </c>
      <c r="C66" s="11">
        <v>9.6251238187041661</v>
      </c>
      <c r="D66" s="11">
        <f t="shared" si="2"/>
        <v>0.95141834889047061</v>
      </c>
      <c r="E66" s="11">
        <f>+C66/C64*100-100</f>
        <v>1.625052256859874</v>
      </c>
      <c r="F66" s="11">
        <f t="shared" si="1"/>
        <v>9.6183627894901917</v>
      </c>
      <c r="I66" s="4"/>
    </row>
    <row r="67" spans="1:9" x14ac:dyDescent="0.25">
      <c r="A67" s="26"/>
      <c r="B67" s="10">
        <v>40969</v>
      </c>
      <c r="C67" s="11">
        <v>9.6795093579384393</v>
      </c>
      <c r="D67" s="11">
        <f t="shared" si="2"/>
        <v>0.56503729467445396</v>
      </c>
      <c r="E67" s="11">
        <f>+C67/C64*100-100</f>
        <v>2.1992717028435322</v>
      </c>
      <c r="F67" s="11">
        <f t="shared" si="1"/>
        <v>9.2676029740183878</v>
      </c>
      <c r="I67" s="4"/>
    </row>
    <row r="68" spans="1:9" x14ac:dyDescent="0.25">
      <c r="A68" s="26"/>
      <c r="B68" s="10">
        <v>41000</v>
      </c>
      <c r="C68" s="11">
        <v>9.7206504873009152</v>
      </c>
      <c r="D68" s="11">
        <f t="shared" si="2"/>
        <v>0.42503321027047036</v>
      </c>
      <c r="E68" s="11">
        <f>+C68/C64*100-100</f>
        <v>2.633652548235176</v>
      </c>
      <c r="F68" s="11">
        <f t="shared" si="1"/>
        <v>8.8059627342297091</v>
      </c>
      <c r="I68" s="4"/>
    </row>
    <row r="69" spans="1:9" x14ac:dyDescent="0.25">
      <c r="A69" s="26"/>
      <c r="B69" s="10">
        <v>41030</v>
      </c>
      <c r="C69" s="11">
        <v>9.7716537200326563</v>
      </c>
      <c r="D69" s="11">
        <f t="shared" si="2"/>
        <v>0.52468950301599193</v>
      </c>
      <c r="E69" s="11">
        <f>+C69/C64*100-100</f>
        <v>3.1721605497176739</v>
      </c>
      <c r="F69" s="11">
        <f t="shared" si="1"/>
        <v>8.4148633352954647</v>
      </c>
      <c r="I69" s="4"/>
    </row>
    <row r="70" spans="1:9" x14ac:dyDescent="0.25">
      <c r="A70" s="26"/>
      <c r="B70" s="10">
        <v>41061</v>
      </c>
      <c r="C70" s="11">
        <v>9.8268043189729024</v>
      </c>
      <c r="D70" s="11">
        <f t="shared" si="2"/>
        <v>0.56439370980965009</v>
      </c>
      <c r="E70" s="11">
        <f>+C70/C64*100-100</f>
        <v>3.7544577341350021</v>
      </c>
      <c r="F70" s="11">
        <f t="shared" si="1"/>
        <v>8.1508141480255603</v>
      </c>
      <c r="I70" s="4"/>
    </row>
    <row r="71" spans="1:9" x14ac:dyDescent="0.25">
      <c r="A71" s="26"/>
      <c r="B71" s="10">
        <v>41091</v>
      </c>
      <c r="C71" s="11">
        <v>9.8946632471675695</v>
      </c>
      <c r="D71" s="11">
        <f t="shared" si="2"/>
        <v>0.69054929753357897</v>
      </c>
      <c r="E71" s="11">
        <f>C71/C64*100-100</f>
        <v>4.470933413177832</v>
      </c>
      <c r="F71" s="11">
        <f t="shared" si="1"/>
        <v>8.1523829428044934</v>
      </c>
      <c r="I71" s="4"/>
    </row>
    <row r="72" spans="1:9" x14ac:dyDescent="0.25">
      <c r="A72" s="26"/>
      <c r="B72" s="10">
        <v>41122</v>
      </c>
      <c r="C72" s="11">
        <v>9.9615398230833936</v>
      </c>
      <c r="D72" s="11">
        <f t="shared" si="2"/>
        <v>0.675885315601505</v>
      </c>
      <c r="E72" s="11">
        <f>+C72/C64*100-100</f>
        <v>5.1770371111893354</v>
      </c>
      <c r="F72" s="11">
        <f t="shared" si="1"/>
        <v>8.065406120660839</v>
      </c>
      <c r="I72" s="4"/>
    </row>
    <row r="73" spans="1:9" x14ac:dyDescent="0.25">
      <c r="A73" s="26"/>
      <c r="B73" s="10">
        <v>41153</v>
      </c>
      <c r="C73" s="11">
        <v>10.026469994824639</v>
      </c>
      <c r="D73" s="11">
        <f t="shared" si="2"/>
        <v>0.65180858476101378</v>
      </c>
      <c r="E73" s="11">
        <f>+C73/C64*100-100</f>
        <v>5.8625900682773562</v>
      </c>
      <c r="F73" s="11">
        <f t="shared" si="1"/>
        <v>7.9888835757175656</v>
      </c>
      <c r="I73" s="4"/>
    </row>
    <row r="74" spans="1:9" x14ac:dyDescent="0.25">
      <c r="A74" s="26"/>
      <c r="B74" s="10">
        <v>41183</v>
      </c>
      <c r="C74" s="11">
        <v>10.086390354718745</v>
      </c>
      <c r="D74" s="11">
        <f t="shared" si="2"/>
        <v>0.59762169462467796</v>
      </c>
      <c r="E74" s="11">
        <f>+C74/C64*100-100</f>
        <v>6.4952478730169645</v>
      </c>
      <c r="F74" s="11">
        <f t="shared" si="1"/>
        <v>7.9121207711252453</v>
      </c>
      <c r="I74" s="4"/>
    </row>
    <row r="75" spans="1:9" ht="19.899999999999999" customHeight="1" x14ac:dyDescent="0.25">
      <c r="A75" s="26"/>
      <c r="B75" s="10">
        <v>41214</v>
      </c>
      <c r="C75" s="11">
        <v>10.133592490227901</v>
      </c>
      <c r="D75" s="11">
        <f t="shared" si="2"/>
        <v>0.46797847246784841</v>
      </c>
      <c r="E75" s="11">
        <f>+C75/C64*100-100</f>
        <v>6.9936227072639525</v>
      </c>
      <c r="F75" s="11">
        <f>+C75/C63*100-100</f>
        <v>7.7426750852604584</v>
      </c>
      <c r="I75" s="4"/>
    </row>
    <row r="76" spans="1:9" ht="16.5" thickBot="1" x14ac:dyDescent="0.3">
      <c r="A76" s="27"/>
      <c r="B76" s="14">
        <v>41244</v>
      </c>
      <c r="C76" s="15">
        <v>10.24635212076228</v>
      </c>
      <c r="D76" s="15">
        <f t="shared" si="2"/>
        <v>1.1127310540967272</v>
      </c>
      <c r="E76" s="11">
        <f>+C76/C64*100-100</f>
        <v>8.1841739730307523</v>
      </c>
      <c r="F76" s="11">
        <f t="shared" si="1"/>
        <v>8.1841739730307523</v>
      </c>
      <c r="I76" s="4"/>
    </row>
    <row r="77" spans="1:9" x14ac:dyDescent="0.25">
      <c r="A77" s="25">
        <v>2013</v>
      </c>
      <c r="B77" s="12">
        <v>41275</v>
      </c>
      <c r="C77" s="13">
        <v>10.334469108013126</v>
      </c>
      <c r="D77" s="13">
        <f t="shared" ref="D77:D108" si="6">+C77/C76*100-100</f>
        <v>0.85998398466409753</v>
      </c>
      <c r="E77" s="13">
        <f>+C77/C76*100-100</f>
        <v>0.85998398466409753</v>
      </c>
      <c r="F77" s="13">
        <f t="shared" si="1"/>
        <v>8.391261659340941</v>
      </c>
      <c r="I77" s="4"/>
    </row>
    <row r="78" spans="1:9" x14ac:dyDescent="0.25">
      <c r="A78" s="26"/>
      <c r="B78" s="10">
        <v>41306</v>
      </c>
      <c r="C78" s="11">
        <v>10.418998615141625</v>
      </c>
      <c r="D78" s="11">
        <f t="shared" si="6"/>
        <v>0.81793758581132181</v>
      </c>
      <c r="E78" s="11">
        <f>+C78/C76*100-100</f>
        <v>1.6849557027179429</v>
      </c>
      <c r="F78" s="11">
        <f t="shared" si="1"/>
        <v>8.247943729251034</v>
      </c>
      <c r="I78" s="4"/>
    </row>
    <row r="79" spans="1:9" x14ac:dyDescent="0.25">
      <c r="A79" s="26"/>
      <c r="B79" s="10">
        <v>41334</v>
      </c>
      <c r="C79" s="11">
        <v>10.493986419254909</v>
      </c>
      <c r="D79" s="11">
        <f t="shared" si="6"/>
        <v>0.71972179748931353</v>
      </c>
      <c r="E79" s="11">
        <f>+C79/C76*100-100</f>
        <v>2.4168044936777591</v>
      </c>
      <c r="F79" s="11">
        <f t="shared" si="1"/>
        <v>8.4144457244467219</v>
      </c>
      <c r="I79" s="4"/>
    </row>
    <row r="80" spans="1:9" x14ac:dyDescent="0.25">
      <c r="A80" s="26"/>
      <c r="B80" s="10">
        <v>41365</v>
      </c>
      <c r="C80" s="11">
        <v>10.560943934589368</v>
      </c>
      <c r="D80" s="11">
        <f t="shared" si="6"/>
        <v>0.63805605095505769</v>
      </c>
      <c r="E80" s="11">
        <f>+C80/C76*100-100</f>
        <v>3.0702811119444959</v>
      </c>
      <c r="F80" s="11">
        <f t="shared" si="1"/>
        <v>8.6444158072159354</v>
      </c>
      <c r="I80" s="4"/>
    </row>
    <row r="81" spans="1:9" x14ac:dyDescent="0.25">
      <c r="A81" s="26"/>
      <c r="B81" s="10">
        <v>41395</v>
      </c>
      <c r="C81" s="11">
        <v>10.614078010098849</v>
      </c>
      <c r="D81" s="11">
        <f t="shared" si="6"/>
        <v>0.50311862120067019</v>
      </c>
      <c r="E81" s="11">
        <f>+C81/C76*100-100</f>
        <v>3.5888468891425589</v>
      </c>
      <c r="F81" s="11">
        <f t="shared" si="1"/>
        <v>8.6211025707875422</v>
      </c>
      <c r="I81" s="4"/>
    </row>
    <row r="82" spans="1:9" x14ac:dyDescent="0.25">
      <c r="A82" s="26"/>
      <c r="B82" s="10">
        <v>41426</v>
      </c>
      <c r="C82" s="11">
        <v>10.65793013184051</v>
      </c>
      <c r="D82" s="11">
        <f t="shared" si="6"/>
        <v>0.41315055061718908</v>
      </c>
      <c r="E82" s="11">
        <f>+C82/C76*100-100</f>
        <v>4.016824780443045</v>
      </c>
      <c r="F82" s="11">
        <f t="shared" si="1"/>
        <v>8.4577425772377524</v>
      </c>
      <c r="I82" s="4"/>
    </row>
    <row r="83" spans="1:9" x14ac:dyDescent="0.25">
      <c r="A83" s="26"/>
      <c r="B83" s="10">
        <v>41456</v>
      </c>
      <c r="C83" s="11">
        <v>10.717478595925474</v>
      </c>
      <c r="D83" s="11">
        <f t="shared" si="6"/>
        <v>0.5587244741552837</v>
      </c>
      <c r="E83" s="11">
        <f>+C83/C76*100-100</f>
        <v>4.5979922377306082</v>
      </c>
      <c r="F83" s="11">
        <f t="shared" si="1"/>
        <v>8.3157488860820195</v>
      </c>
      <c r="I83" s="4"/>
    </row>
    <row r="84" spans="1:9" x14ac:dyDescent="0.25">
      <c r="A84" s="26"/>
      <c r="B84" s="10">
        <v>41487</v>
      </c>
      <c r="C84" s="11">
        <v>10.792191816783617</v>
      </c>
      <c r="D84" s="11">
        <f t="shared" si="6"/>
        <v>0.69711565261765429</v>
      </c>
      <c r="E84" s="11">
        <f>+C84/C76*100-100</f>
        <v>5.3271612139436115</v>
      </c>
      <c r="F84" s="11">
        <f t="shared" si="1"/>
        <v>8.3385903028304398</v>
      </c>
      <c r="I84" s="4"/>
    </row>
    <row r="85" spans="1:9" x14ac:dyDescent="0.25">
      <c r="A85" s="26"/>
      <c r="B85" s="10">
        <v>41518</v>
      </c>
      <c r="C85" s="11">
        <v>10.856662609234681</v>
      </c>
      <c r="D85" s="11">
        <f t="shared" si="6"/>
        <v>0.59738367836273198</v>
      </c>
      <c r="E85" s="11">
        <f>+C85/C76*100-100</f>
        <v>5.95636848391851</v>
      </c>
      <c r="F85" s="11">
        <f t="shared" si="1"/>
        <v>8.2800089646561759</v>
      </c>
      <c r="I85" s="4"/>
    </row>
    <row r="86" spans="1:9" x14ac:dyDescent="0.25">
      <c r="A86" s="26"/>
      <c r="B86" s="10">
        <v>41548</v>
      </c>
      <c r="C86" s="11">
        <v>10.908351839535451</v>
      </c>
      <c r="D86" s="11">
        <f t="shared" si="6"/>
        <v>0.47610607569956187</v>
      </c>
      <c r="E86" s="11">
        <f>+C86/C76*100-100</f>
        <v>6.4608331918610844</v>
      </c>
      <c r="F86" s="11">
        <f t="shared" si="1"/>
        <v>8.1492135036412208</v>
      </c>
      <c r="I86" s="4"/>
    </row>
    <row r="87" spans="1:9" x14ac:dyDescent="0.25">
      <c r="A87" s="26"/>
      <c r="B87" s="10">
        <v>41579</v>
      </c>
      <c r="C87" s="11">
        <v>11.005216998120815</v>
      </c>
      <c r="D87" s="11">
        <f t="shared" si="6"/>
        <v>0.88799078000300824</v>
      </c>
      <c r="E87" s="11">
        <f>+C87/C76*100-100</f>
        <v>7.4061955749191952</v>
      </c>
      <c r="F87" s="11">
        <f t="shared" si="1"/>
        <v>8.6013376671051844</v>
      </c>
      <c r="I87" s="4"/>
    </row>
    <row r="88" spans="1:9" ht="16.5" thickBot="1" x14ac:dyDescent="0.3">
      <c r="A88" s="27"/>
      <c r="B88" s="14">
        <v>41609</v>
      </c>
      <c r="C88" s="15">
        <v>11.082139585912842</v>
      </c>
      <c r="D88" s="15">
        <f t="shared" si="6"/>
        <v>0.69896475285457882</v>
      </c>
      <c r="E88" s="11">
        <f>+C88/C76*100-100</f>
        <v>8.156927024369935</v>
      </c>
      <c r="F88" s="11">
        <f t="shared" si="1"/>
        <v>8.156927024369935</v>
      </c>
      <c r="I88" s="4"/>
    </row>
    <row r="89" spans="1:9" x14ac:dyDescent="0.25">
      <c r="A89" s="25">
        <v>2014</v>
      </c>
      <c r="B89" s="12">
        <v>41640</v>
      </c>
      <c r="C89" s="13">
        <v>11.144285998514796</v>
      </c>
      <c r="D89" s="13">
        <f t="shared" si="6"/>
        <v>0.56077991185883036</v>
      </c>
      <c r="E89" s="13">
        <f>+C89/C88*100-100</f>
        <v>0.56077991185883036</v>
      </c>
      <c r="F89" s="13">
        <f t="shared" ref="F89:F152" si="7">+C89/C77*100-100</f>
        <v>7.8360763580371611</v>
      </c>
      <c r="I89" s="4"/>
    </row>
    <row r="90" spans="1:9" x14ac:dyDescent="0.25">
      <c r="A90" s="26"/>
      <c r="B90" s="10">
        <v>41671</v>
      </c>
      <c r="C90" s="11">
        <v>11.183190286132447</v>
      </c>
      <c r="D90" s="11">
        <f t="shared" si="6"/>
        <v>0.34909627788479725</v>
      </c>
      <c r="E90" s="11">
        <f>+C90/C88*100-100</f>
        <v>0.91183385154305086</v>
      </c>
      <c r="F90" s="11">
        <f t="shared" si="7"/>
        <v>7.334598066653399</v>
      </c>
      <c r="I90" s="4"/>
    </row>
    <row r="91" spans="1:9" x14ac:dyDescent="0.25">
      <c r="A91" s="26"/>
      <c r="B91" s="10">
        <v>41699</v>
      </c>
      <c r="C91" s="11">
        <v>11.22297838853536</v>
      </c>
      <c r="D91" s="11">
        <f t="shared" si="6"/>
        <v>0.35578490023773668</v>
      </c>
      <c r="E91" s="11">
        <f>+C91/C88*100-100</f>
        <v>1.2708629189398266</v>
      </c>
      <c r="F91" s="11">
        <f t="shared" si="7"/>
        <v>6.9467592214800078</v>
      </c>
      <c r="I91" s="4"/>
    </row>
    <row r="92" spans="1:9" x14ac:dyDescent="0.25">
      <c r="A92" s="26"/>
      <c r="B92" s="10">
        <v>41730</v>
      </c>
      <c r="C92" s="11">
        <v>11.284979222543294</v>
      </c>
      <c r="D92" s="11">
        <f t="shared" si="6"/>
        <v>0.55244545486490892</v>
      </c>
      <c r="E92" s="11">
        <f>+C92/C88*100-100</f>
        <v>1.8303291982379761</v>
      </c>
      <c r="F92" s="11">
        <f t="shared" si="7"/>
        <v>6.8557819494008925</v>
      </c>
      <c r="I92" s="4"/>
    </row>
    <row r="93" spans="1:9" x14ac:dyDescent="0.25">
      <c r="A93" s="26"/>
      <c r="B93" s="10">
        <v>41760</v>
      </c>
      <c r="C93" s="11">
        <v>11.332356263888247</v>
      </c>
      <c r="D93" s="11">
        <f t="shared" si="6"/>
        <v>0.41982391292587806</v>
      </c>
      <c r="E93" s="11">
        <f>+C93/C88*100-100</f>
        <v>2.2578372708233161</v>
      </c>
      <c r="F93" s="11">
        <f t="shared" si="7"/>
        <v>6.767222297650207</v>
      </c>
      <c r="I93" s="4"/>
    </row>
    <row r="94" spans="1:9" x14ac:dyDescent="0.25">
      <c r="A94" s="26"/>
      <c r="B94" s="10">
        <v>41791</v>
      </c>
      <c r="C94" s="11">
        <v>11.36265080189116</v>
      </c>
      <c r="D94" s="11">
        <f t="shared" si="6"/>
        <v>0.26732779395092621</v>
      </c>
      <c r="E94" s="11">
        <f>+C94/C88*100-100</f>
        <v>2.5312008913413564</v>
      </c>
      <c r="F94" s="11">
        <f t="shared" si="7"/>
        <v>6.6121719821121729</v>
      </c>
      <c r="I94" s="4"/>
    </row>
    <row r="95" spans="1:9" x14ac:dyDescent="0.25">
      <c r="A95" s="26"/>
      <c r="B95" s="10">
        <v>41821</v>
      </c>
      <c r="C95" s="11">
        <v>11.446981264726453</v>
      </c>
      <c r="D95" s="11">
        <f t="shared" si="6"/>
        <v>0.74217244114602465</v>
      </c>
      <c r="E95" s="11">
        <f>+C95/C88*100-100</f>
        <v>3.2921592079329542</v>
      </c>
      <c r="F95" s="11">
        <f>+C95/C83*100-100</f>
        <v>6.8066631742872659</v>
      </c>
      <c r="I95" s="4"/>
    </row>
    <row r="96" spans="1:9" x14ac:dyDescent="0.25">
      <c r="A96" s="26"/>
      <c r="B96" s="10">
        <v>41852</v>
      </c>
      <c r="C96" s="11">
        <v>11.480647651562428</v>
      </c>
      <c r="D96" s="11">
        <f t="shared" si="6"/>
        <v>0.29410711922554356</v>
      </c>
      <c r="E96" s="11">
        <f>+C96/C88*100-100</f>
        <v>3.5959488017652603</v>
      </c>
      <c r="F96" s="11">
        <f t="shared" si="7"/>
        <v>6.3792030985601116</v>
      </c>
      <c r="I96" s="4"/>
    </row>
    <row r="97" spans="1:9" x14ac:dyDescent="0.25">
      <c r="A97" s="26"/>
      <c r="B97" s="10">
        <v>41883</v>
      </c>
      <c r="C97" s="11">
        <v>11.542820647285525</v>
      </c>
      <c r="D97" s="11">
        <f t="shared" si="6"/>
        <v>0.54154606612839018</v>
      </c>
      <c r="E97" s="11">
        <f>+C97/C88*100-100</f>
        <v>4.1569685871696009</v>
      </c>
      <c r="F97" s="11">
        <f t="shared" si="7"/>
        <v>6.3201562280032419</v>
      </c>
      <c r="I97" s="4"/>
    </row>
    <row r="98" spans="1:9" x14ac:dyDescent="0.25">
      <c r="A98" s="26"/>
      <c r="B98" s="10">
        <v>41913</v>
      </c>
      <c r="C98" s="11">
        <v>11.620038830503239</v>
      </c>
      <c r="D98" s="11">
        <f t="shared" si="6"/>
        <v>0.66897152418177086</v>
      </c>
      <c r="E98" s="11">
        <f>+C98/C88*100-100</f>
        <v>4.8537490474687104</v>
      </c>
      <c r="F98" s="11">
        <f t="shared" si="7"/>
        <v>6.5242394216548973</v>
      </c>
      <c r="I98" s="4"/>
    </row>
    <row r="99" spans="1:9" x14ac:dyDescent="0.25">
      <c r="A99" s="26"/>
      <c r="B99" s="10">
        <v>41944</v>
      </c>
      <c r="C99" s="11">
        <v>11.693718402138055</v>
      </c>
      <c r="D99" s="11">
        <f t="shared" si="6"/>
        <v>0.63407336851064144</v>
      </c>
      <c r="E99" s="11">
        <f>+C99/C88*100-100</f>
        <v>5.5185987460636881</v>
      </c>
      <c r="F99" s="11">
        <f t="shared" si="7"/>
        <v>6.2561365590047444</v>
      </c>
      <c r="I99" s="4"/>
    </row>
    <row r="100" spans="1:9" ht="16.5" thickBot="1" x14ac:dyDescent="0.3">
      <c r="A100" s="27"/>
      <c r="B100" s="14">
        <v>41974</v>
      </c>
      <c r="C100" s="15">
        <v>11.752521237261558</v>
      </c>
      <c r="D100" s="15">
        <f t="shared" si="6"/>
        <v>0.50285831333813746</v>
      </c>
      <c r="E100" s="11">
        <f>+C100/C88*100-100</f>
        <v>6.0492077919761726</v>
      </c>
      <c r="F100" s="11">
        <f t="shared" si="7"/>
        <v>6.0492077919761726</v>
      </c>
      <c r="I100" s="4"/>
    </row>
    <row r="101" spans="1:9" x14ac:dyDescent="0.25">
      <c r="A101" s="25">
        <v>2015</v>
      </c>
      <c r="B101" s="12">
        <v>42005</v>
      </c>
      <c r="C101" s="13">
        <v>11.820574745415097</v>
      </c>
      <c r="D101" s="13">
        <f t="shared" si="6"/>
        <v>0.57905454310326832</v>
      </c>
      <c r="E101" s="13">
        <f>+C101/C100*100-100</f>
        <v>0.57905454310326832</v>
      </c>
      <c r="F101" s="13">
        <f t="shared" si="7"/>
        <v>6.0684798199761758</v>
      </c>
      <c r="I101" s="4"/>
    </row>
    <row r="102" spans="1:9" x14ac:dyDescent="0.25">
      <c r="A102" s="26"/>
      <c r="B102" s="10">
        <v>42036</v>
      </c>
      <c r="C102" s="11">
        <v>11.885323622078323</v>
      </c>
      <c r="D102" s="11">
        <f t="shared" si="6"/>
        <v>0.54776419977666535</v>
      </c>
      <c r="E102" s="11">
        <f>+C102/C100*100-100</f>
        <v>1.1299905963642232</v>
      </c>
      <c r="F102" s="11">
        <f t="shared" si="7"/>
        <v>6.2784707939428159</v>
      </c>
      <c r="I102" s="4"/>
    </row>
    <row r="103" spans="1:9" x14ac:dyDescent="0.25">
      <c r="A103" s="26"/>
      <c r="B103" s="10">
        <v>42064</v>
      </c>
      <c r="C103" s="11">
        <v>11.953364017440999</v>
      </c>
      <c r="D103" s="11">
        <f t="shared" si="6"/>
        <v>0.57247406571481463</v>
      </c>
      <c r="E103" s="11">
        <f>+C103/C100*100-100</f>
        <v>1.7089335651882607</v>
      </c>
      <c r="F103" s="11">
        <f t="shared" si="7"/>
        <v>6.5079482791462198</v>
      </c>
      <c r="I103" s="4"/>
    </row>
    <row r="104" spans="1:9" x14ac:dyDescent="0.25">
      <c r="A104" s="26"/>
      <c r="B104" s="10">
        <v>42095</v>
      </c>
      <c r="C104" s="11">
        <v>12.040385374090132</v>
      </c>
      <c r="D104" s="11">
        <f t="shared" si="6"/>
        <v>0.72800724986007026</v>
      </c>
      <c r="E104" s="11">
        <f>+C104/C100*100-100</f>
        <v>2.4493819752981807</v>
      </c>
      <c r="F104" s="11">
        <f t="shared" si="7"/>
        <v>6.6939082177290175</v>
      </c>
      <c r="I104" s="4"/>
    </row>
    <row r="105" spans="1:9" x14ac:dyDescent="0.25">
      <c r="A105" s="26"/>
      <c r="B105" s="10">
        <v>42125</v>
      </c>
      <c r="C105" s="11">
        <v>12.278021417635077</v>
      </c>
      <c r="D105" s="11">
        <f t="shared" si="6"/>
        <v>1.9736581194179905</v>
      </c>
      <c r="E105" s="11">
        <f>+C105/C100*100-100</f>
        <v>4.4713825209471878</v>
      </c>
      <c r="F105" s="11">
        <f t="shared" si="7"/>
        <v>8.3448237217911299</v>
      </c>
      <c r="I105" s="4"/>
    </row>
    <row r="106" spans="1:9" x14ac:dyDescent="0.25">
      <c r="A106" s="26"/>
      <c r="B106" s="10">
        <v>42156</v>
      </c>
      <c r="C106" s="11">
        <v>12.486069714692183</v>
      </c>
      <c r="D106" s="11">
        <f t="shared" si="6"/>
        <v>1.6944773915957114</v>
      </c>
      <c r="E106" s="11">
        <f>+C106/C100*100-100</f>
        <v>6.2416264784521189</v>
      </c>
      <c r="F106" s="11">
        <f t="shared" si="7"/>
        <v>9.8869439216951633</v>
      </c>
    </row>
    <row r="107" spans="1:9" x14ac:dyDescent="0.25">
      <c r="A107" s="26"/>
      <c r="B107" s="10">
        <v>42186</v>
      </c>
      <c r="C107" s="11">
        <v>12.613901668058613</v>
      </c>
      <c r="D107" s="11">
        <f t="shared" si="6"/>
        <v>1.0237965691959374</v>
      </c>
      <c r="E107" s="11">
        <f>+C107/C100*100-100</f>
        <v>7.3293246053964651</v>
      </c>
      <c r="F107" s="11">
        <f t="shared" si="7"/>
        <v>10.194132202592073</v>
      </c>
    </row>
    <row r="108" spans="1:9" x14ac:dyDescent="0.25">
      <c r="A108" s="26"/>
      <c r="B108" s="10">
        <v>42217</v>
      </c>
      <c r="C108" s="11">
        <v>12.705248417001473</v>
      </c>
      <c r="D108" s="11">
        <f t="shared" si="6"/>
        <v>0.72417521038848065</v>
      </c>
      <c r="E108" s="11">
        <f>+C108/C100*100-100</f>
        <v>8.106576967666129</v>
      </c>
      <c r="F108" s="11">
        <f t="shared" si="7"/>
        <v>10.666652288317422</v>
      </c>
    </row>
    <row r="109" spans="1:9" x14ac:dyDescent="0.25">
      <c r="A109" s="26"/>
      <c r="B109" s="10">
        <v>42248</v>
      </c>
      <c r="C109" s="11">
        <v>12.802580749249953</v>
      </c>
      <c r="D109" s="11">
        <f t="shared" ref="D109:D112" si="8">+C109/C108*100-100</f>
        <v>0.7660797259047456</v>
      </c>
      <c r="E109" s="11">
        <f>+C109/C100*100-100</f>
        <v>8.9347595361850125</v>
      </c>
      <c r="F109" s="11">
        <f t="shared" si="7"/>
        <v>10.913797766239071</v>
      </c>
    </row>
    <row r="110" spans="1:9" x14ac:dyDescent="0.25">
      <c r="A110" s="26"/>
      <c r="B110" s="10">
        <v>42278</v>
      </c>
      <c r="C110" s="11">
        <v>12.906506963881478</v>
      </c>
      <c r="D110" s="11">
        <f t="shared" si="8"/>
        <v>0.81175988394068099</v>
      </c>
      <c r="E110" s="11">
        <f>+C110/C100*100-100</f>
        <v>9.8190482137670188</v>
      </c>
      <c r="F110" s="11">
        <f t="shared" si="7"/>
        <v>11.071117335694169</v>
      </c>
    </row>
    <row r="111" spans="1:9" x14ac:dyDescent="0.25">
      <c r="A111" s="26"/>
      <c r="B111" s="10">
        <v>42309</v>
      </c>
      <c r="C111" s="11">
        <v>13.015163500835957</v>
      </c>
      <c r="D111" s="11">
        <f t="shared" si="8"/>
        <v>0.84187408148889631</v>
      </c>
      <c r="E111" s="11">
        <f>+C111/C100*100-100</f>
        <v>10.743586317216526</v>
      </c>
      <c r="F111" s="11">
        <f t="shared" si="7"/>
        <v>11.300469647501444</v>
      </c>
    </row>
    <row r="112" spans="1:9" ht="16.5" thickBot="1" x14ac:dyDescent="0.3">
      <c r="A112" s="27"/>
      <c r="B112" s="14">
        <v>42339</v>
      </c>
      <c r="C112" s="15">
        <v>13.130136735394208</v>
      </c>
      <c r="D112" s="15">
        <f t="shared" si="8"/>
        <v>0.88337910277398635</v>
      </c>
      <c r="E112" s="11">
        <f>+C112/C100*100-100</f>
        <v>11.721872016405285</v>
      </c>
      <c r="F112" s="11">
        <f t="shared" si="7"/>
        <v>11.721872016405285</v>
      </c>
    </row>
    <row r="113" spans="1:9" x14ac:dyDescent="0.25">
      <c r="A113" s="35">
        <v>2016</v>
      </c>
      <c r="B113" s="12">
        <v>42370</v>
      </c>
      <c r="C113" s="13">
        <v>13.38151445821347</v>
      </c>
      <c r="D113" s="13">
        <v>1.914509558317377</v>
      </c>
      <c r="E113" s="13">
        <v>1.914509558317377</v>
      </c>
      <c r="F113" s="13">
        <f t="shared" si="7"/>
        <v>13.205277631731249</v>
      </c>
      <c r="I113" s="4"/>
    </row>
    <row r="114" spans="1:9" x14ac:dyDescent="0.25">
      <c r="A114" s="36"/>
      <c r="B114" s="10">
        <v>42401</v>
      </c>
      <c r="C114" s="11">
        <v>13.559613521773221</v>
      </c>
      <c r="D114" s="11">
        <v>1.3309335360799395</v>
      </c>
      <c r="E114" s="11">
        <v>3.2709239441604154</v>
      </c>
      <c r="F114" s="11">
        <f t="shared" si="7"/>
        <v>14.08703669275539</v>
      </c>
      <c r="I114" s="4"/>
    </row>
    <row r="115" spans="1:9" x14ac:dyDescent="0.25">
      <c r="A115" s="36"/>
      <c r="B115" s="10">
        <v>42430</v>
      </c>
      <c r="C115" s="11">
        <v>13.710750537521937</v>
      </c>
      <c r="D115" s="11">
        <v>1.1146115300855115</v>
      </c>
      <c r="E115" s="11">
        <v>4.4219935696678618</v>
      </c>
      <c r="F115" s="11">
        <f t="shared" si="7"/>
        <v>14.702024614299035</v>
      </c>
      <c r="I115" s="4"/>
    </row>
    <row r="116" spans="1:9" x14ac:dyDescent="0.25">
      <c r="A116" s="36"/>
      <c r="B116" s="10">
        <v>42461</v>
      </c>
      <c r="C116" s="11">
        <v>13.870982697138917</v>
      </c>
      <c r="D116" s="11">
        <v>1.1686607467510584</v>
      </c>
      <c r="E116" s="11">
        <v>5.6423324194915097</v>
      </c>
      <c r="F116" s="11">
        <f t="shared" si="7"/>
        <v>15.20381006232634</v>
      </c>
      <c r="I116" s="4"/>
    </row>
    <row r="117" spans="1:9" x14ac:dyDescent="0.25">
      <c r="A117" s="36"/>
      <c r="B117" s="10">
        <v>42491</v>
      </c>
      <c r="C117" s="11">
        <v>14.037596906458901</v>
      </c>
      <c r="D117" s="11">
        <v>1.2011709116640361</v>
      </c>
      <c r="E117" s="11">
        <v>6.9112773869178596</v>
      </c>
      <c r="F117" s="11">
        <f t="shared" si="7"/>
        <v>14.331099685952026</v>
      </c>
      <c r="I117" s="4"/>
    </row>
    <row r="118" spans="1:9" x14ac:dyDescent="0.25">
      <c r="A118" s="36"/>
      <c r="B118" s="10">
        <v>42522</v>
      </c>
      <c r="C118" s="11">
        <v>14.41900867985823</v>
      </c>
      <c r="D118" s="11">
        <v>2.717073128263408</v>
      </c>
      <c r="E118" s="11">
        <v>9.8161349758809422</v>
      </c>
      <c r="F118" s="11">
        <f t="shared" si="7"/>
        <v>15.480763837891971</v>
      </c>
    </row>
    <row r="119" spans="1:9" x14ac:dyDescent="0.25">
      <c r="A119" s="36"/>
      <c r="B119" s="10">
        <v>42552</v>
      </c>
      <c r="C119" s="11">
        <v>15.058996934605817</v>
      </c>
      <c r="D119" s="11">
        <v>4.4385038455631047</v>
      </c>
      <c r="E119" s="11">
        <v>14.690328349834189</v>
      </c>
      <c r="F119" s="11">
        <f t="shared" si="7"/>
        <v>19.38413134089005</v>
      </c>
    </row>
    <row r="120" spans="1:9" x14ac:dyDescent="0.25">
      <c r="A120" s="36"/>
      <c r="B120" s="10">
        <v>42583</v>
      </c>
      <c r="C120" s="11">
        <v>15.6382449298157</v>
      </c>
      <c r="D120" s="11">
        <v>3.8465244247361596</v>
      </c>
      <c r="E120" s="11">
        <v>19.10191984262066</v>
      </c>
      <c r="F120" s="11">
        <f t="shared" si="7"/>
        <v>23.084920629253119</v>
      </c>
    </row>
    <row r="121" spans="1:9" x14ac:dyDescent="0.25">
      <c r="A121" s="36"/>
      <c r="B121" s="10">
        <v>42614</v>
      </c>
      <c r="C121" s="11">
        <v>16.085584403185791</v>
      </c>
      <c r="D121" s="11">
        <v>2.8605478132472513</v>
      </c>
      <c r="E121" s="11">
        <v>22.50888720621424</v>
      </c>
      <c r="F121" s="11">
        <f t="shared" si="7"/>
        <v>25.64329581852607</v>
      </c>
    </row>
    <row r="122" spans="1:9" x14ac:dyDescent="0.25">
      <c r="A122" s="36"/>
      <c r="B122" s="10">
        <v>42644</v>
      </c>
      <c r="C122" s="11">
        <v>16.502235002116294</v>
      </c>
      <c r="D122" s="11">
        <v>2.5902111386639177</v>
      </c>
      <c r="E122" s="11">
        <v>25.682126048482814</v>
      </c>
      <c r="F122" s="11">
        <f t="shared" si="7"/>
        <v>27.859807834120943</v>
      </c>
    </row>
    <row r="123" spans="1:9" x14ac:dyDescent="0.25">
      <c r="A123" s="36"/>
      <c r="B123" s="10">
        <v>42675</v>
      </c>
      <c r="C123" s="11">
        <v>16.838413090008427</v>
      </c>
      <c r="D123" s="11">
        <v>2.0371670131289505</v>
      </c>
      <c r="E123" s="11">
        <v>28.242480861741626</v>
      </c>
      <c r="F123" s="11">
        <f t="shared" si="7"/>
        <v>29.375348138553193</v>
      </c>
    </row>
    <row r="124" spans="1:9" ht="16.5" thickBot="1" x14ac:dyDescent="0.3">
      <c r="A124" s="37"/>
      <c r="B124" s="14">
        <v>42705</v>
      </c>
      <c r="C124" s="15">
        <v>17.049470101425069</v>
      </c>
      <c r="D124" s="15">
        <v>1.2534257847723183</v>
      </c>
      <c r="E124" s="15">
        <v>29.849905183894407</v>
      </c>
      <c r="F124" s="15">
        <f t="shared" si="7"/>
        <v>29.849905183894407</v>
      </c>
    </row>
    <row r="125" spans="1:9" x14ac:dyDescent="0.25">
      <c r="A125" s="35">
        <v>2017</v>
      </c>
      <c r="B125" s="12">
        <v>42736</v>
      </c>
      <c r="C125" s="13">
        <v>17.253818047975457</v>
      </c>
      <c r="D125" s="13">
        <v>1.1985589307746949</v>
      </c>
      <c r="E125" s="13">
        <v>1.1985589307746949</v>
      </c>
      <c r="F125" s="13">
        <f t="shared" si="7"/>
        <v>28.9377080737315</v>
      </c>
    </row>
    <row r="126" spans="1:9" x14ac:dyDescent="0.25">
      <c r="A126" s="36"/>
      <c r="B126" s="10">
        <v>42767</v>
      </c>
      <c r="C126" s="11">
        <v>17.467238165599166</v>
      </c>
      <c r="D126" s="11">
        <v>1.2369442927372916</v>
      </c>
      <c r="E126" s="11">
        <v>2.450328729801285</v>
      </c>
      <c r="F126" s="11">
        <f t="shared" si="7"/>
        <v>28.818112238607057</v>
      </c>
    </row>
    <row r="127" spans="1:9" x14ac:dyDescent="0.25">
      <c r="A127" s="36"/>
      <c r="B127" s="10">
        <v>42795</v>
      </c>
      <c r="C127" s="11">
        <v>17.694382287664855</v>
      </c>
      <c r="D127" s="11">
        <v>1.3004008985979141</v>
      </c>
      <c r="E127" s="11">
        <v>3.7825937252201385</v>
      </c>
      <c r="F127" s="11">
        <f t="shared" si="7"/>
        <v>29.054804397767953</v>
      </c>
    </row>
    <row r="128" spans="1:9" x14ac:dyDescent="0.25">
      <c r="A128" s="36"/>
      <c r="B128" s="10">
        <v>42826</v>
      </c>
      <c r="C128" s="11">
        <v>17.92739308174308</v>
      </c>
      <c r="D128" s="11">
        <v>1.3168631167229847</v>
      </c>
      <c r="E128" s="11">
        <v>5.1492684235660278</v>
      </c>
      <c r="F128" s="11">
        <f t="shared" si="7"/>
        <v>29.243857289511681</v>
      </c>
    </row>
    <row r="129" spans="1:6" x14ac:dyDescent="0.25">
      <c r="A129" s="36"/>
      <c r="B129" s="10">
        <v>42856</v>
      </c>
      <c r="C129" s="11">
        <v>18.156346640008771</v>
      </c>
      <c r="D129" s="11">
        <v>1.2771157369157606</v>
      </c>
      <c r="E129" s="11">
        <v>6.4921462778551984</v>
      </c>
      <c r="F129" s="11">
        <f t="shared" si="7"/>
        <v>29.340846307210711</v>
      </c>
    </row>
    <row r="130" spans="1:6" x14ac:dyDescent="0.25">
      <c r="A130" s="36"/>
      <c r="B130" s="10">
        <v>42887</v>
      </c>
      <c r="C130" s="11">
        <v>18.368117566833373</v>
      </c>
      <c r="D130" s="11">
        <v>1.1663741116175572</v>
      </c>
      <c r="E130" s="11">
        <v>7.7342431029459675</v>
      </c>
      <c r="F130" s="11">
        <f t="shared" si="7"/>
        <v>27.388213535730884</v>
      </c>
    </row>
    <row r="131" spans="1:6" x14ac:dyDescent="0.25">
      <c r="A131" s="36"/>
      <c r="B131" s="10">
        <v>42917</v>
      </c>
      <c r="C131" s="11">
        <v>18.575822307666414</v>
      </c>
      <c r="D131" s="11">
        <v>1.1307894784388992</v>
      </c>
      <c r="E131" s="11">
        <v>8.9524905886298853</v>
      </c>
      <c r="F131" s="11">
        <f t="shared" si="7"/>
        <v>23.353649571299641</v>
      </c>
    </row>
    <row r="132" spans="1:6" x14ac:dyDescent="0.25">
      <c r="A132" s="36"/>
      <c r="B132" s="10">
        <v>42948</v>
      </c>
      <c r="C132" s="11">
        <v>18.791464127052045</v>
      </c>
      <c r="D132" s="11">
        <v>1.1608736120211063</v>
      </c>
      <c r="E132" s="11">
        <v>10.2172913015131</v>
      </c>
      <c r="F132" s="11">
        <f t="shared" si="7"/>
        <v>20.163510748092023</v>
      </c>
    </row>
    <row r="133" spans="1:6" x14ac:dyDescent="0.25">
      <c r="A133" s="36"/>
      <c r="B133" s="10">
        <v>42979</v>
      </c>
      <c r="C133" s="11">
        <v>19.013843829774249</v>
      </c>
      <c r="D133" s="11">
        <v>1.183408068784118</v>
      </c>
      <c r="E133" s="11">
        <v>11.521611619970471</v>
      </c>
      <c r="F133" s="11">
        <f t="shared" si="7"/>
        <v>18.204246443222232</v>
      </c>
    </row>
    <row r="134" spans="1:6" x14ac:dyDescent="0.25">
      <c r="A134" s="36"/>
      <c r="B134" s="10">
        <v>43009</v>
      </c>
      <c r="C134" s="11">
        <v>19.238051192057238</v>
      </c>
      <c r="D134" s="11">
        <v>1.179179571949021</v>
      </c>
      <c r="E134" s="11">
        <v>12.836651682501483</v>
      </c>
      <c r="F134" s="11">
        <f t="shared" si="7"/>
        <v>16.578458551766445</v>
      </c>
    </row>
    <row r="135" spans="1:6" x14ac:dyDescent="0.25">
      <c r="A135" s="36"/>
      <c r="B135" s="10">
        <v>43040</v>
      </c>
      <c r="C135" s="11">
        <v>19.45359196430822</v>
      </c>
      <c r="D135" s="11">
        <v>1.120387767446914</v>
      </c>
      <c r="E135" s="11">
        <v>14.100859725148922</v>
      </c>
      <c r="F135" s="11">
        <f t="shared" si="7"/>
        <v>15.531029321590808</v>
      </c>
    </row>
    <row r="136" spans="1:6" ht="16.5" thickBot="1" x14ac:dyDescent="0.3">
      <c r="A136" s="37"/>
      <c r="B136" s="14">
        <v>43070</v>
      </c>
      <c r="C136" s="15">
        <v>19.686759937317621</v>
      </c>
      <c r="D136" s="15">
        <v>1.1985857081673998</v>
      </c>
      <c r="E136" s="15">
        <v>15.468456322710679</v>
      </c>
      <c r="F136" s="15">
        <f t="shared" si="7"/>
        <v>15.468456322710679</v>
      </c>
    </row>
    <row r="137" spans="1:6" x14ac:dyDescent="0.25">
      <c r="A137" s="35">
        <v>2018</v>
      </c>
      <c r="B137" s="12">
        <v>43101</v>
      </c>
      <c r="C137" s="13">
        <v>19.9297361158368</v>
      </c>
      <c r="D137" s="13">
        <v>1.2342111108829386</v>
      </c>
      <c r="E137" s="13">
        <v>1.2342111108829386</v>
      </c>
      <c r="F137" s="13">
        <f t="shared" si="7"/>
        <v>15.509135777488581</v>
      </c>
    </row>
    <row r="138" spans="1:6" x14ac:dyDescent="0.25">
      <c r="A138" s="36"/>
      <c r="B138" s="10">
        <v>43132</v>
      </c>
      <c r="C138" s="11">
        <v>20.181762436873839</v>
      </c>
      <c r="D138" s="11">
        <v>1.2645743002925371</v>
      </c>
      <c r="E138" s="11">
        <v>2.5143929276950701</v>
      </c>
      <c r="F138" s="11">
        <f t="shared" si="7"/>
        <v>15.540661010856255</v>
      </c>
    </row>
    <row r="139" spans="1:6" x14ac:dyDescent="0.25">
      <c r="A139" s="36"/>
      <c r="B139" s="10">
        <v>43160</v>
      </c>
      <c r="C139" s="11">
        <v>20.441821447334636</v>
      </c>
      <c r="D139" s="11">
        <v>1.288584241709458</v>
      </c>
      <c r="E139" s="11">
        <v>3.8353772404454674</v>
      </c>
      <c r="F139" s="11">
        <f t="shared" si="7"/>
        <v>15.527183232528444</v>
      </c>
    </row>
    <row r="140" spans="1:6" x14ac:dyDescent="0.25">
      <c r="A140" s="36"/>
      <c r="B140" s="10">
        <v>43191</v>
      </c>
      <c r="C140" s="11">
        <v>20.717884523682734</v>
      </c>
      <c r="D140" s="11">
        <v>1.3504817907706155</v>
      </c>
      <c r="E140" s="11">
        <v>5.2376551024556619</v>
      </c>
      <c r="F140" s="11">
        <f t="shared" si="7"/>
        <v>15.565517134677194</v>
      </c>
    </row>
    <row r="141" spans="1:6" x14ac:dyDescent="0.25">
      <c r="A141" s="36"/>
      <c r="B141" s="10">
        <v>43221</v>
      </c>
      <c r="C141" s="11">
        <v>21.011504188843606</v>
      </c>
      <c r="D141" s="11">
        <v>1.4172280226064373</v>
      </c>
      <c r="E141" s="11">
        <v>6.729112640901576</v>
      </c>
      <c r="F141" s="11">
        <f t="shared" si="7"/>
        <v>15.725396774168757</v>
      </c>
    </row>
    <row r="142" spans="1:6" x14ac:dyDescent="0.25">
      <c r="A142" s="36"/>
      <c r="B142" s="10">
        <v>43252</v>
      </c>
      <c r="C142" s="11">
        <v>21.297847430528954</v>
      </c>
      <c r="D142" s="11">
        <v>1.3627926830549768</v>
      </c>
      <c r="E142" s="11">
        <v>8.1836091786612712</v>
      </c>
      <c r="F142" s="11">
        <f t="shared" si="7"/>
        <v>15.950082271825636</v>
      </c>
    </row>
    <row r="143" spans="1:6" x14ac:dyDescent="0.25">
      <c r="A143" s="36"/>
      <c r="B143" s="10">
        <v>43282</v>
      </c>
      <c r="C143" s="11">
        <v>21.582421978687563</v>
      </c>
      <c r="D143" s="11">
        <v>1.336165774906874</v>
      </c>
      <c r="E143" s="11">
        <v>9.629121538565542</v>
      </c>
      <c r="F143" s="11">
        <f t="shared" si="7"/>
        <v>16.185553571861504</v>
      </c>
    </row>
    <row r="144" spans="1:6" x14ac:dyDescent="0.25">
      <c r="A144" s="36"/>
      <c r="B144" s="10">
        <v>43313</v>
      </c>
      <c r="C144" s="11">
        <v>21.852804414633205</v>
      </c>
      <c r="D144" s="11">
        <v>1.2527900539273986</v>
      </c>
      <c r="E144" s="11">
        <v>11.002544269408673</v>
      </c>
      <c r="F144" s="11">
        <f t="shared" si="7"/>
        <v>16.291121686330328</v>
      </c>
    </row>
    <row r="145" spans="1:6" x14ac:dyDescent="0.25">
      <c r="A145" s="36"/>
      <c r="B145" s="10">
        <v>43344</v>
      </c>
      <c r="C145" s="11">
        <v>22.137620834438401</v>
      </c>
      <c r="D145" s="11">
        <v>1.3033403603542837</v>
      </c>
      <c r="E145" s="11">
        <v>12.449285229892013</v>
      </c>
      <c r="F145" s="11">
        <f t="shared" si="7"/>
        <v>16.428961090826633</v>
      </c>
    </row>
    <row r="146" spans="1:6" x14ac:dyDescent="0.25">
      <c r="A146" s="36"/>
      <c r="B146" s="10">
        <v>43374</v>
      </c>
      <c r="C146" s="11">
        <v>22.422571749150418</v>
      </c>
      <c r="D146" s="11">
        <v>1.2871794889030497</v>
      </c>
      <c r="E146" s="11">
        <v>13.89670936478926</v>
      </c>
      <c r="F146" s="11">
        <f t="shared" si="7"/>
        <v>16.553238814584105</v>
      </c>
    </row>
    <row r="147" spans="1:6" x14ac:dyDescent="0.25">
      <c r="A147" s="36"/>
      <c r="B147" s="10">
        <v>43405</v>
      </c>
      <c r="C147" s="11">
        <v>22.709327418503161</v>
      </c>
      <c r="D147" s="11">
        <v>1.2788705620424992</v>
      </c>
      <c r="E147" s="11">
        <v>15.353300851990653</v>
      </c>
      <c r="F147" s="11">
        <f t="shared" si="7"/>
        <v>16.735909029901961</v>
      </c>
    </row>
    <row r="148" spans="1:6" ht="16.5" thickBot="1" x14ac:dyDescent="0.3">
      <c r="A148" s="37"/>
      <c r="B148" s="14">
        <v>43435</v>
      </c>
      <c r="C148" s="15">
        <v>23.005538492125009</v>
      </c>
      <c r="D148" s="15">
        <v>1.3043586371496758</v>
      </c>
      <c r="E148" s="15">
        <v>16.857921594890854</v>
      </c>
      <c r="F148" s="15">
        <f t="shared" si="7"/>
        <v>16.857921594890854</v>
      </c>
    </row>
    <row r="149" spans="1:6" x14ac:dyDescent="0.25">
      <c r="A149" s="35">
        <v>2019</v>
      </c>
      <c r="B149" s="12">
        <v>43466</v>
      </c>
      <c r="C149" s="13">
        <v>23.31579269485168</v>
      </c>
      <c r="D149" s="13">
        <v>1.3486065663399955</v>
      </c>
      <c r="E149" s="13">
        <v>1.3486065663399955</v>
      </c>
      <c r="F149" s="13">
        <f t="shared" si="7"/>
        <v>16.989971966182793</v>
      </c>
    </row>
    <row r="150" spans="1:6" x14ac:dyDescent="0.25">
      <c r="A150" s="36"/>
      <c r="B150" s="10">
        <v>43497</v>
      </c>
      <c r="C150" s="11">
        <v>23.624073697872522</v>
      </c>
      <c r="D150" s="11">
        <v>1.3221982501538889</v>
      </c>
      <c r="E150" s="11">
        <v>2.6886360689154998</v>
      </c>
      <c r="F150" s="11">
        <f t="shared" si="7"/>
        <v>17.056544351692878</v>
      </c>
    </row>
    <row r="151" spans="1:6" x14ac:dyDescent="0.25">
      <c r="A151" s="36"/>
      <c r="B151" s="10">
        <v>43525</v>
      </c>
      <c r="C151" s="11">
        <v>23.942577447816362</v>
      </c>
      <c r="D151" s="11">
        <v>1.3482168825629941</v>
      </c>
      <c r="E151" s="11">
        <v>4.0731015968702877</v>
      </c>
      <c r="F151" s="11">
        <f t="shared" si="7"/>
        <v>17.125460221345307</v>
      </c>
    </row>
    <row r="152" spans="1:6" x14ac:dyDescent="0.25">
      <c r="A152" s="36"/>
      <c r="B152" s="10">
        <v>43556</v>
      </c>
      <c r="C152" s="11">
        <v>24.274726966413464</v>
      </c>
      <c r="D152" s="11">
        <v>1.3872755317218264</v>
      </c>
      <c r="E152" s="11">
        <v>5.5168822704276579</v>
      </c>
      <c r="F152" s="11">
        <f t="shared" si="7"/>
        <v>17.167980826733938</v>
      </c>
    </row>
    <row r="153" spans="1:6" x14ac:dyDescent="0.25">
      <c r="A153" s="36"/>
      <c r="B153" s="10">
        <v>43586</v>
      </c>
      <c r="C153" s="11">
        <v>24.603152894820752</v>
      </c>
      <c r="D153" s="11">
        <v>1.3529541603565747</v>
      </c>
      <c r="E153" s="11">
        <v>6.9444773189839282</v>
      </c>
      <c r="F153" s="11">
        <f t="shared" ref="F153:F216" si="9">+C153/C141*100-100</f>
        <v>17.093724817113241</v>
      </c>
    </row>
    <row r="154" spans="1:6" x14ac:dyDescent="0.25">
      <c r="A154" s="36"/>
      <c r="B154" s="10">
        <v>43617</v>
      </c>
      <c r="C154" s="11">
        <v>24.936771692803848</v>
      </c>
      <c r="D154" s="11">
        <v>1.3560001818032248</v>
      </c>
      <c r="E154" s="11">
        <v>8.3946446258578789</v>
      </c>
      <c r="F154" s="11">
        <f t="shared" si="9"/>
        <v>17.085878158084441</v>
      </c>
    </row>
    <row r="155" spans="1:6" x14ac:dyDescent="0.25">
      <c r="A155" s="36"/>
      <c r="B155" s="10">
        <v>43647</v>
      </c>
      <c r="C155" s="11">
        <v>25.304013525264011</v>
      </c>
      <c r="D155" s="11">
        <v>1.4726919626334194</v>
      </c>
      <c r="E155" s="11">
        <v>9.9909638451879346</v>
      </c>
      <c r="F155" s="11">
        <f t="shared" si="9"/>
        <v>17.243623307205681</v>
      </c>
    </row>
    <row r="156" spans="1:6" x14ac:dyDescent="0.25">
      <c r="A156" s="36"/>
      <c r="B156" s="10">
        <v>43678</v>
      </c>
      <c r="C156" s="11">
        <v>25.679899693357438</v>
      </c>
      <c r="D156" s="11">
        <v>1.4854804267241377</v>
      </c>
      <c r="E156" s="11">
        <v>11.624858084273427</v>
      </c>
      <c r="F156" s="11">
        <f t="shared" si="9"/>
        <v>17.513062424891828</v>
      </c>
    </row>
    <row r="157" spans="1:6" x14ac:dyDescent="0.25">
      <c r="A157" s="36"/>
      <c r="B157" s="10">
        <v>43709</v>
      </c>
      <c r="C157" s="11">
        <v>26.068300347940482</v>
      </c>
      <c r="D157" s="11">
        <v>1.5124695159285011</v>
      </c>
      <c r="E157" s="11">
        <v>13.313150034996497</v>
      </c>
      <c r="F157" s="11">
        <f t="shared" si="9"/>
        <v>17.755654697036434</v>
      </c>
    </row>
    <row r="158" spans="1:6" x14ac:dyDescent="0.25">
      <c r="A158" s="36"/>
      <c r="B158" s="10">
        <v>43739</v>
      </c>
      <c r="C158" s="11">
        <v>26.480826024879338</v>
      </c>
      <c r="D158" s="11">
        <v>1.5824801442087448</v>
      </c>
      <c r="E158" s="11">
        <v>15.106308135077782</v>
      </c>
      <c r="F158" s="11">
        <f t="shared" si="9"/>
        <v>18.098968847686649</v>
      </c>
    </row>
    <row r="159" spans="1:6" x14ac:dyDescent="0.25">
      <c r="A159" s="36"/>
      <c r="B159" s="10">
        <v>43770</v>
      </c>
      <c r="C159" s="11">
        <v>26.911611692432313</v>
      </c>
      <c r="D159" s="11">
        <v>1.6267833456110452</v>
      </c>
      <c r="E159" s="11">
        <v>16.978838385566945</v>
      </c>
      <c r="F159" s="11">
        <f t="shared" si="9"/>
        <v>18.504661967686474</v>
      </c>
    </row>
    <row r="160" spans="1:6" ht="16.5" thickBot="1" x14ac:dyDescent="0.3">
      <c r="A160" s="37"/>
      <c r="B160" s="14">
        <v>43800</v>
      </c>
      <c r="C160" s="15">
        <v>27.358809240121378</v>
      </c>
      <c r="D160" s="15">
        <v>1.6617271117018504</v>
      </c>
      <c r="E160" s="15">
        <v>18.9227074579738</v>
      </c>
      <c r="F160" s="15">
        <f t="shared" si="9"/>
        <v>18.922707457973772</v>
      </c>
    </row>
    <row r="161" spans="1:6" x14ac:dyDescent="0.25">
      <c r="A161" s="35">
        <v>2020</v>
      </c>
      <c r="B161" s="12">
        <v>43831</v>
      </c>
      <c r="C161" s="13">
        <v>27.828024438378872</v>
      </c>
      <c r="D161" s="13">
        <v>1.7150424718389843</v>
      </c>
      <c r="E161" s="13">
        <v>1.7150424718389843</v>
      </c>
      <c r="F161" s="13">
        <f t="shared" si="9"/>
        <v>19.352684262472138</v>
      </c>
    </row>
    <row r="162" spans="1:6" x14ac:dyDescent="0.25">
      <c r="A162" s="36"/>
      <c r="B162" s="10">
        <v>43862</v>
      </c>
      <c r="C162" s="11">
        <v>28.311925282472146</v>
      </c>
      <c r="D162" s="11">
        <v>1.7388975820572767</v>
      </c>
      <c r="E162" s="11">
        <v>3.4837628859703216</v>
      </c>
      <c r="F162" s="11">
        <f t="shared" si="9"/>
        <v>19.843536066439668</v>
      </c>
    </row>
    <row r="163" spans="1:6" x14ac:dyDescent="0.25">
      <c r="A163" s="36"/>
      <c r="B163" s="10">
        <v>43891</v>
      </c>
      <c r="C163" s="11">
        <v>28.847042920124693</v>
      </c>
      <c r="D163" s="11">
        <v>1.8900785881341449</v>
      </c>
      <c r="E163" s="11">
        <v>5.4396873304735465</v>
      </c>
      <c r="F163" s="11">
        <f t="shared" si="9"/>
        <v>20.484283628184045</v>
      </c>
    </row>
    <row r="164" spans="1:6" x14ac:dyDescent="0.25">
      <c r="A164" s="36"/>
      <c r="B164" s="10">
        <v>43922</v>
      </c>
      <c r="C164" s="11">
        <v>29.410333300995706</v>
      </c>
      <c r="D164" s="11">
        <v>1.9526798030242531</v>
      </c>
      <c r="E164" s="11">
        <v>7.4985868093476284</v>
      </c>
      <c r="F164" s="11">
        <f t="shared" si="9"/>
        <v>21.15618577991782</v>
      </c>
    </row>
    <row r="165" spans="1:6" x14ac:dyDescent="0.25">
      <c r="A165" s="36"/>
      <c r="B165" s="10">
        <v>43952</v>
      </c>
      <c r="C165" s="11">
        <v>29.993934876238125</v>
      </c>
      <c r="D165" s="11">
        <v>1.984341929313203</v>
      </c>
      <c r="E165" s="11">
        <v>9.6317263408246703</v>
      </c>
      <c r="F165" s="11">
        <f t="shared" si="9"/>
        <v>21.91093964445588</v>
      </c>
    </row>
    <row r="166" spans="1:6" x14ac:dyDescent="0.25">
      <c r="A166" s="36"/>
      <c r="B166" s="10">
        <v>43983</v>
      </c>
      <c r="C166" s="11">
        <v>30.596746921225549</v>
      </c>
      <c r="D166" s="11">
        <v>2.0097798020658644</v>
      </c>
      <c r="E166" s="11">
        <v>11.835082633478706</v>
      </c>
      <c r="F166" s="11">
        <f>+C166/C154*100-100</f>
        <v>22.697305401625158</v>
      </c>
    </row>
    <row r="167" spans="1:6" x14ac:dyDescent="0.25">
      <c r="A167" s="36"/>
      <c r="B167" s="10">
        <v>44013</v>
      </c>
      <c r="C167" s="11">
        <v>31.22057266678533</v>
      </c>
      <c r="D167" s="11">
        <v>2.0388629783613368</v>
      </c>
      <c r="E167" s="11">
        <v>14.115246730112489</v>
      </c>
      <c r="F167" s="11">
        <f t="shared" si="9"/>
        <v>23.381900012083506</v>
      </c>
    </row>
    <row r="168" spans="1:6" x14ac:dyDescent="0.25">
      <c r="A168" s="36"/>
      <c r="B168" s="10">
        <v>44044</v>
      </c>
      <c r="C168" s="11">
        <v>31.869311839082172</v>
      </c>
      <c r="D168" s="11">
        <v>2.0779220779220964</v>
      </c>
      <c r="E168" s="11">
        <v>16.486472636192758</v>
      </c>
      <c r="F168" s="11">
        <f t="shared" si="9"/>
        <v>24.102166362144061</v>
      </c>
    </row>
    <row r="169" spans="1:6" x14ac:dyDescent="0.25">
      <c r="A169" s="36"/>
      <c r="B169" s="10">
        <v>44075</v>
      </c>
      <c r="C169" s="11">
        <v>32.538030297482351</v>
      </c>
      <c r="D169" s="11">
        <v>2.0983147103293049</v>
      </c>
      <c r="E169" s="11">
        <v>18.930725427061731</v>
      </c>
      <c r="F169" s="11">
        <f t="shared" si="9"/>
        <v>24.818380420620741</v>
      </c>
    </row>
    <row r="170" spans="1:6" x14ac:dyDescent="0.25">
      <c r="A170" s="36"/>
      <c r="B170" s="10">
        <v>44105</v>
      </c>
      <c r="C170" s="11">
        <v>33.237358540633252</v>
      </c>
      <c r="D170" s="11">
        <v>2.1492642202285026</v>
      </c>
      <c r="E170" s="11">
        <v>21.486860955523767</v>
      </c>
      <c r="F170" s="11">
        <f t="shared" si="9"/>
        <v>25.514810260850624</v>
      </c>
    </row>
    <row r="171" spans="1:6" x14ac:dyDescent="0.25">
      <c r="A171" s="36"/>
      <c r="B171" s="10">
        <v>44136</v>
      </c>
      <c r="C171" s="11">
        <v>33.958974008344789</v>
      </c>
      <c r="D171" s="11">
        <v>2.1710975221732838</v>
      </c>
      <c r="E171" s="11">
        <v>24.124459183495233</v>
      </c>
      <c r="F171" s="11">
        <f t="shared" si="9"/>
        <v>26.187068974000667</v>
      </c>
    </row>
    <row r="172" spans="1:6" ht="16.5" thickBot="1" x14ac:dyDescent="0.3">
      <c r="A172" s="37"/>
      <c r="B172" s="14">
        <v>44166</v>
      </c>
      <c r="C172" s="15">
        <v>34.704512699730707</v>
      </c>
      <c r="D172" s="15">
        <v>2.1954099414273003</v>
      </c>
      <c r="E172" s="15">
        <v>26.84949990015258</v>
      </c>
      <c r="F172" s="15">
        <f t="shared" si="9"/>
        <v>26.849499900152594</v>
      </c>
    </row>
    <row r="173" spans="1:6" x14ac:dyDescent="0.25">
      <c r="A173" s="35">
        <v>2021</v>
      </c>
      <c r="B173" s="12">
        <v>44197</v>
      </c>
      <c r="C173" s="13">
        <v>35.473231086580306</v>
      </c>
      <c r="D173" s="13">
        <v>2.2150386997238201</v>
      </c>
      <c r="E173" s="13">
        <v>2.2150386997238201</v>
      </c>
      <c r="F173" s="13">
        <f t="shared" si="9"/>
        <v>27.473048491568775</v>
      </c>
    </row>
    <row r="174" spans="1:6" x14ac:dyDescent="0.25">
      <c r="A174" s="36"/>
      <c r="B174" s="10">
        <v>44228</v>
      </c>
      <c r="C174" s="11">
        <v>36.264373545837294</v>
      </c>
      <c r="D174" s="11">
        <v>2.2302520380114856</v>
      </c>
      <c r="E174" s="11">
        <v>4.4946916834786492</v>
      </c>
      <c r="F174" s="11">
        <f t="shared" si="9"/>
        <v>28.088687660844073</v>
      </c>
    </row>
    <row r="175" spans="1:6" x14ac:dyDescent="0.25">
      <c r="A175" s="36"/>
      <c r="B175" s="10">
        <v>44256</v>
      </c>
      <c r="C175" s="11">
        <v>37.081555007807665</v>
      </c>
      <c r="D175" s="11">
        <v>2.2534001888588477</v>
      </c>
      <c r="E175" s="11">
        <v>6.8493752632216172</v>
      </c>
      <c r="F175" s="11">
        <f t="shared" si="9"/>
        <v>28.545428765380649</v>
      </c>
    </row>
    <row r="176" spans="1:6" x14ac:dyDescent="0.25">
      <c r="A176" s="36"/>
      <c r="B176" s="10">
        <v>44287</v>
      </c>
      <c r="C176" s="11">
        <v>37.923846486431181</v>
      </c>
      <c r="D176" s="11">
        <v>2.271456734881184</v>
      </c>
      <c r="E176" s="11">
        <v>9.2764125938165591</v>
      </c>
      <c r="F176" s="11">
        <f t="shared" si="9"/>
        <v>28.947353633517793</v>
      </c>
    </row>
    <row r="177" spans="1:6" x14ac:dyDescent="0.25">
      <c r="A177" s="36"/>
      <c r="B177" s="10">
        <v>44317</v>
      </c>
      <c r="C177" s="11">
        <v>38.792239176451723</v>
      </c>
      <c r="D177" s="11">
        <v>2.2898328373184285</v>
      </c>
      <c r="E177" s="11">
        <v>11.778659772833322</v>
      </c>
      <c r="F177" s="11">
        <f t="shared" si="9"/>
        <v>29.333611400162823</v>
      </c>
    </row>
    <row r="178" spans="1:6" x14ac:dyDescent="0.25">
      <c r="A178" s="36"/>
      <c r="B178" s="10">
        <v>44348</v>
      </c>
      <c r="C178" s="11">
        <v>39.692433628962469</v>
      </c>
      <c r="D178" s="11">
        <v>2.3205529549766197</v>
      </c>
      <c r="E178" s="11">
        <v>14.372542765225077</v>
      </c>
      <c r="F178" s="11">
        <f t="shared" si="9"/>
        <v>29.727626702128475</v>
      </c>
    </row>
    <row r="179" spans="1:6" x14ac:dyDescent="0.25">
      <c r="A179" s="36"/>
      <c r="B179" s="10">
        <v>44378</v>
      </c>
      <c r="C179" s="11">
        <v>40.620901007815412</v>
      </c>
      <c r="D179" s="11">
        <v>2.3391545792633508</v>
      </c>
      <c r="E179" s="11">
        <v>17.047893336737772</v>
      </c>
      <c r="F179" s="11">
        <f t="shared" si="9"/>
        <v>30.109403954113958</v>
      </c>
    </row>
    <row r="180" spans="1:6" x14ac:dyDescent="0.25">
      <c r="A180" s="36"/>
      <c r="B180" s="10">
        <v>44409</v>
      </c>
      <c r="C180" s="11">
        <v>41.576025671999197</v>
      </c>
      <c r="D180" s="11">
        <v>2.3513133398986383</v>
      </c>
      <c r="E180" s="11">
        <v>19.800056066834841</v>
      </c>
      <c r="F180" s="11">
        <f t="shared" si="9"/>
        <v>30.457870825479915</v>
      </c>
    </row>
    <row r="181" spans="1:6" x14ac:dyDescent="0.25">
      <c r="A181" s="36"/>
      <c r="B181" s="10">
        <v>44440</v>
      </c>
      <c r="C181" s="11">
        <v>42.566308351693387</v>
      </c>
      <c r="D181" s="11">
        <v>2.3818598908580384</v>
      </c>
      <c r="E181" s="11">
        <v>22.653525551516225</v>
      </c>
      <c r="F181" s="11">
        <f t="shared" si="9"/>
        <v>30.820175537752135</v>
      </c>
    </row>
    <row r="182" spans="1:6" x14ac:dyDescent="0.25">
      <c r="A182" s="36"/>
      <c r="B182" s="10">
        <v>44470</v>
      </c>
      <c r="C182" s="11">
        <v>43.520491408623776</v>
      </c>
      <c r="D182" s="11">
        <v>2.241639206873856</v>
      </c>
      <c r="E182" s="11">
        <v>25.402975068892061</v>
      </c>
      <c r="F182" s="11">
        <f>+C182/C170*100-100</f>
        <v>30.938478024417037</v>
      </c>
    </row>
    <row r="183" spans="1:6" x14ac:dyDescent="0.25">
      <c r="A183" s="36"/>
      <c r="B183" s="10">
        <v>44501</v>
      </c>
      <c r="C183" s="11">
        <v>44.502467477331741</v>
      </c>
      <c r="D183" s="11">
        <v>2.2563533566015508</v>
      </c>
      <c r="E183" s="11">
        <v>28.232509306137217</v>
      </c>
      <c r="F183" s="11">
        <f t="shared" si="9"/>
        <v>31.047738563585824</v>
      </c>
    </row>
    <row r="184" spans="1:6" ht="16.5" thickBot="1" x14ac:dyDescent="0.3">
      <c r="A184" s="37"/>
      <c r="B184" s="14">
        <v>44531</v>
      </c>
      <c r="C184" s="15">
        <v>45.511452651449694</v>
      </c>
      <c r="D184" s="15">
        <v>2.2672566967930692</v>
      </c>
      <c r="E184" s="15">
        <v>31.13986946084637</v>
      </c>
      <c r="F184" s="15">
        <f t="shared" si="9"/>
        <v>31.139869460846342</v>
      </c>
    </row>
    <row r="185" spans="1:6" x14ac:dyDescent="0.25">
      <c r="A185" s="35">
        <v>2022</v>
      </c>
      <c r="B185" s="12">
        <v>44562</v>
      </c>
      <c r="C185" s="13">
        <v>46.540219428126875</v>
      </c>
      <c r="D185" s="13">
        <v>2.2604569108263917</v>
      </c>
      <c r="E185" s="13">
        <v>2.2604569108263917</v>
      </c>
      <c r="F185" s="13">
        <f t="shared" si="9"/>
        <v>31.198140125818043</v>
      </c>
    </row>
    <row r="186" spans="1:6" x14ac:dyDescent="0.25">
      <c r="A186" s="36"/>
      <c r="B186" s="10">
        <v>44593</v>
      </c>
      <c r="C186" s="11">
        <v>47.573307223542102</v>
      </c>
      <c r="D186" s="11">
        <v>2.2197742256257555</v>
      </c>
      <c r="E186" s="11">
        <v>4.5304081763400461</v>
      </c>
      <c r="F186" s="11">
        <f t="shared" si="9"/>
        <v>31.184693328317337</v>
      </c>
    </row>
    <row r="187" spans="1:6" x14ac:dyDescent="0.25">
      <c r="A187" s="36"/>
      <c r="B187" s="10">
        <v>44621</v>
      </c>
      <c r="C187" s="11">
        <v>48.616513404639228</v>
      </c>
      <c r="D187" s="11">
        <v>2.1928393083861124</v>
      </c>
      <c r="E187" s="11">
        <v>6.8225920560472986</v>
      </c>
      <c r="F187" s="11">
        <f t="shared" si="9"/>
        <v>31.106997520473016</v>
      </c>
    </row>
    <row r="188" spans="1:6" x14ac:dyDescent="0.25">
      <c r="A188" s="36"/>
      <c r="B188" s="10">
        <v>44652</v>
      </c>
      <c r="C188" s="11">
        <v>49.328918602196438</v>
      </c>
      <c r="D188" s="11">
        <v>1.4653564142450932</v>
      </c>
      <c r="E188" s="11">
        <v>8.3879237606034422</v>
      </c>
      <c r="F188" s="11">
        <f t="shared" si="9"/>
        <v>30.07361639818339</v>
      </c>
    </row>
    <row r="189" spans="1:6" x14ac:dyDescent="0.25">
      <c r="A189" s="36"/>
      <c r="B189" s="10">
        <v>44682</v>
      </c>
      <c r="C189" s="11">
        <v>49.923650632094599</v>
      </c>
      <c r="D189" s="11">
        <v>1.2056457890234071</v>
      </c>
      <c r="E189" s="11">
        <v>9.6946981992330734</v>
      </c>
      <c r="F189" s="11">
        <f t="shared" si="9"/>
        <v>28.694944380524561</v>
      </c>
    </row>
    <row r="190" spans="1:6" x14ac:dyDescent="0.25">
      <c r="A190" s="36"/>
      <c r="B190" s="10">
        <v>44713</v>
      </c>
      <c r="C190" s="11">
        <v>50.496981158454048</v>
      </c>
      <c r="D190" s="11">
        <v>1.1484146673978728</v>
      </c>
      <c r="E190" s="11">
        <v>10.954448202710893</v>
      </c>
      <c r="F190" s="11">
        <f t="shared" si="9"/>
        <v>27.220672913357973</v>
      </c>
    </row>
    <row r="191" spans="1:6" x14ac:dyDescent="0.25">
      <c r="A191" s="36"/>
      <c r="B191" s="10">
        <v>44743</v>
      </c>
      <c r="C191" s="11">
        <v>51.070029619542566</v>
      </c>
      <c r="D191" s="11">
        <v>1.1348172661853795</v>
      </c>
      <c r="E191" s="11">
        <v>12.213578438515981</v>
      </c>
      <c r="F191" s="11">
        <f t="shared" si="9"/>
        <v>25.723527426722399</v>
      </c>
    </row>
    <row r="192" spans="1:6" x14ac:dyDescent="0.25">
      <c r="A192" s="36"/>
      <c r="B192" s="10">
        <v>44774</v>
      </c>
      <c r="C192" s="11">
        <v>51.641054742996694</v>
      </c>
      <c r="D192" s="11">
        <v>1.1181217784836122</v>
      </c>
      <c r="E192" s="11">
        <v>13.468262897452803</v>
      </c>
      <c r="F192" s="11">
        <f t="shared" si="9"/>
        <v>24.208733057850054</v>
      </c>
    </row>
    <row r="193" spans="1:6" x14ac:dyDescent="0.25">
      <c r="A193" s="36"/>
      <c r="B193" s="10">
        <v>44805</v>
      </c>
      <c r="C193" s="11">
        <v>52.227409704645936</v>
      </c>
      <c r="D193" s="11">
        <v>1.1354434268768614</v>
      </c>
      <c r="E193" s="11">
        <v>14.756630830113266</v>
      </c>
      <c r="F193" s="11">
        <f>+C193/C181*100-100</f>
        <v>22.696592039718681</v>
      </c>
    </row>
    <row r="194" spans="1:6" x14ac:dyDescent="0.25">
      <c r="A194" s="36"/>
      <c r="B194" s="10">
        <v>44835</v>
      </c>
      <c r="C194" s="11">
        <v>52.810319536110839</v>
      </c>
      <c r="D194" s="11">
        <v>1.1160994480893436</v>
      </c>
      <c r="E194" s="11">
        <v>16.037428953454096</v>
      </c>
      <c r="F194" s="11">
        <f t="shared" si="9"/>
        <v>21.345871397137401</v>
      </c>
    </row>
    <row r="195" spans="1:6" x14ac:dyDescent="0.25">
      <c r="A195" s="36"/>
      <c r="B195" s="10">
        <v>44866</v>
      </c>
      <c r="C195" s="11">
        <v>53.424095331643564</v>
      </c>
      <c r="D195" s="11">
        <v>1.162227005865816</v>
      </c>
      <c r="E195" s="11">
        <v>17.386047289663509</v>
      </c>
      <c r="F195" s="11">
        <f t="shared" si="9"/>
        <v>20.047490307939086</v>
      </c>
    </row>
    <row r="196" spans="1:6" ht="16.5" thickBot="1" x14ac:dyDescent="0.3">
      <c r="A196" s="37"/>
      <c r="B196" s="14">
        <v>44896</v>
      </c>
      <c r="C196" s="15">
        <v>54.061317730038851</v>
      </c>
      <c r="D196" s="15">
        <v>1.1927621692788222</v>
      </c>
      <c r="E196" s="15">
        <v>18.786183653746363</v>
      </c>
      <c r="F196" s="15">
        <f t="shared" si="9"/>
        <v>18.786183653746363</v>
      </c>
    </row>
    <row r="197" spans="1:6" x14ac:dyDescent="0.25">
      <c r="A197" s="35">
        <v>2023</v>
      </c>
      <c r="B197" s="12">
        <v>44927</v>
      </c>
      <c r="C197" s="13">
        <v>54.684125232411731</v>
      </c>
      <c r="D197" s="13">
        <v>1.1520390706770058</v>
      </c>
      <c r="E197" s="13">
        <v>1.1520390706770058</v>
      </c>
      <c r="F197" s="13">
        <f t="shared" si="9"/>
        <v>17.498640754931699</v>
      </c>
    </row>
    <row r="198" spans="1:6" x14ac:dyDescent="0.25">
      <c r="A198" s="36"/>
      <c r="B198" s="10">
        <v>44958</v>
      </c>
      <c r="C198" s="11">
        <v>55.329741911794173</v>
      </c>
      <c r="D198" s="11">
        <v>1.1806290703902107</v>
      </c>
      <c r="E198" s="11">
        <v>2.3462694492378802</v>
      </c>
      <c r="F198" s="11">
        <f t="shared" si="9"/>
        <v>16.304173791839574</v>
      </c>
    </row>
    <row r="199" spans="1:6" x14ac:dyDescent="0.25">
      <c r="A199" s="36"/>
      <c r="B199" s="10">
        <v>44986</v>
      </c>
      <c r="C199" s="11">
        <v>55.998086298076188</v>
      </c>
      <c r="D199" s="11">
        <v>1.207929701438843</v>
      </c>
      <c r="E199" s="11">
        <v>3.5825404362298485</v>
      </c>
      <c r="F199" s="11">
        <f t="shared" si="9"/>
        <v>15.183262592279135</v>
      </c>
    </row>
    <row r="200" spans="1:6" x14ac:dyDescent="0.25">
      <c r="A200" s="36"/>
      <c r="B200" s="10">
        <v>45017</v>
      </c>
      <c r="C200" s="11">
        <v>56.693304947973424</v>
      </c>
      <c r="D200" s="11">
        <v>1.2415043010516342</v>
      </c>
      <c r="E200" s="11">
        <v>4.8685221308842017</v>
      </c>
      <c r="F200" s="11">
        <f t="shared" si="9"/>
        <v>14.929146136702627</v>
      </c>
    </row>
    <row r="201" spans="1:6" x14ac:dyDescent="0.25">
      <c r="A201" s="36"/>
      <c r="B201" s="10">
        <v>45047</v>
      </c>
      <c r="C201" s="11">
        <v>57.41031692569517</v>
      </c>
      <c r="D201" s="11">
        <v>1.2647207256302124</v>
      </c>
      <c r="E201" s="11">
        <v>6.1948160649355941</v>
      </c>
      <c r="F201" s="11">
        <f t="shared" si="9"/>
        <v>14.996231643339783</v>
      </c>
    </row>
    <row r="202" spans="1:6" x14ac:dyDescent="0.25">
      <c r="A202" s="36"/>
      <c r="B202" s="10">
        <v>45078</v>
      </c>
      <c r="C202" s="11">
        <v>58.364816430024078</v>
      </c>
      <c r="D202" s="11">
        <v>1.6625922925391308</v>
      </c>
      <c r="E202" s="11">
        <v>7.9604028919073357</v>
      </c>
      <c r="F202" s="11">
        <f t="shared" si="9"/>
        <v>15.580803230358683</v>
      </c>
    </row>
    <row r="203" spans="1:6" x14ac:dyDescent="0.25">
      <c r="A203" s="36"/>
      <c r="B203" s="10">
        <v>45108</v>
      </c>
      <c r="C203" s="11">
        <v>59.477397875171278</v>
      </c>
      <c r="D203" s="11">
        <v>1.906253652799748</v>
      </c>
      <c r="E203" s="11">
        <v>10.018402015611642</v>
      </c>
      <c r="F203" s="11">
        <f>+C203/C191*100-100</f>
        <v>16.462430741202326</v>
      </c>
    </row>
    <row r="204" spans="1:6" x14ac:dyDescent="0.25">
      <c r="A204" s="36"/>
      <c r="B204" s="10">
        <v>45139</v>
      </c>
      <c r="C204" s="11">
        <v>60.829532411286195</v>
      </c>
      <c r="D204" s="11">
        <v>2.2733585940540166</v>
      </c>
      <c r="E204" s="11">
        <v>12.519514812874462</v>
      </c>
      <c r="F204" s="11">
        <f t="shared" si="9"/>
        <v>17.792970561926012</v>
      </c>
    </row>
    <row r="205" spans="1:6" x14ac:dyDescent="0.25">
      <c r="A205" s="36"/>
      <c r="B205" s="10">
        <v>45170</v>
      </c>
      <c r="C205" s="11">
        <v>62.438862616061108</v>
      </c>
      <c r="D205" s="11">
        <v>2.6456396111904468</v>
      </c>
      <c r="E205" s="11">
        <v>15.496375667083171</v>
      </c>
      <c r="F205" s="11">
        <f t="shared" si="9"/>
        <v>19.551903816717143</v>
      </c>
    </row>
    <row r="206" spans="1:6" x14ac:dyDescent="0.25">
      <c r="A206" s="36"/>
      <c r="B206" s="10">
        <v>45200</v>
      </c>
      <c r="C206" s="11">
        <v>64.136738916096562</v>
      </c>
      <c r="D206" s="11">
        <v>2.7192620571514112</v>
      </c>
      <c r="E206" s="11">
        <v>18.637024787983208</v>
      </c>
      <c r="F206" s="11">
        <f t="shared" si="9"/>
        <v>21.447360060453533</v>
      </c>
    </row>
    <row r="207" spans="1:6" x14ac:dyDescent="0.25">
      <c r="A207" s="36"/>
      <c r="B207" s="10">
        <v>45231</v>
      </c>
      <c r="C207" s="11">
        <v>65.94750256405716</v>
      </c>
      <c r="D207" s="11">
        <v>2.8232861205017628</v>
      </c>
      <c r="E207" s="11">
        <v>21.986487442598573</v>
      </c>
      <c r="F207" s="11">
        <f t="shared" si="9"/>
        <v>23.441496116445933</v>
      </c>
    </row>
    <row r="208" spans="1:6" ht="16.5" thickBot="1" x14ac:dyDescent="0.3">
      <c r="A208" s="37"/>
      <c r="B208" s="14">
        <v>45261</v>
      </c>
      <c r="C208" s="15">
        <v>67.843892217398334</v>
      </c>
      <c r="D208" s="15">
        <v>2.8756049578968543</v>
      </c>
      <c r="E208" s="15">
        <v>25.494336923462143</v>
      </c>
      <c r="F208" s="15">
        <f>+C208/C196*100-100</f>
        <v>25.494336923462143</v>
      </c>
    </row>
    <row r="209" spans="1:6" x14ac:dyDescent="0.25">
      <c r="A209" s="35">
        <v>2024</v>
      </c>
      <c r="B209" s="12">
        <v>45292</v>
      </c>
      <c r="C209" s="13">
        <v>69.824925772713158</v>
      </c>
      <c r="D209" s="13">
        <v>2.9199880646098677</v>
      </c>
      <c r="E209" s="13">
        <v>2.9199880646098677</v>
      </c>
      <c r="F209" s="13">
        <f t="shared" si="9"/>
        <v>27.68774388536319</v>
      </c>
    </row>
    <row r="210" spans="1:6" x14ac:dyDescent="0.25">
      <c r="A210" s="36"/>
      <c r="B210" s="10">
        <v>45323</v>
      </c>
      <c r="C210" s="11">
        <v>71.897422800441888</v>
      </c>
      <c r="D210" s="11">
        <v>2.9681335207929891</v>
      </c>
      <c r="E210" s="11">
        <v>5.9747907299517067</v>
      </c>
      <c r="F210" s="11">
        <f t="shared" si="9"/>
        <v>29.94353545884897</v>
      </c>
    </row>
    <row r="211" spans="1:6" x14ac:dyDescent="0.25">
      <c r="A211" s="36"/>
      <c r="B211" s="10">
        <v>45352</v>
      </c>
      <c r="C211" s="11">
        <v>74.053394355390751</v>
      </c>
      <c r="D211" s="11">
        <v>2.9986771027008245</v>
      </c>
      <c r="E211" s="11">
        <v>9.1526325142059051</v>
      </c>
      <c r="F211" s="11">
        <f t="shared" si="9"/>
        <v>32.2427233695214</v>
      </c>
    </row>
    <row r="212" spans="1:6" x14ac:dyDescent="0.25">
      <c r="A212" s="36"/>
      <c r="B212" s="10">
        <v>45383</v>
      </c>
      <c r="C212" s="11">
        <v>76.293476800159382</v>
      </c>
      <c r="D212" s="11">
        <v>3.0249557961087277</v>
      </c>
      <c r="E212" s="11">
        <v>12.454451398049642</v>
      </c>
      <c r="F212" s="11">
        <f t="shared" si="9"/>
        <v>34.572286569239054</v>
      </c>
    </row>
    <row r="213" spans="1:6" x14ac:dyDescent="0.25">
      <c r="A213" s="36"/>
      <c r="B213" s="10">
        <v>45413</v>
      </c>
      <c r="C213" s="11">
        <v>77.953430125207674</v>
      </c>
      <c r="D213" s="11">
        <f>+C213/C212*100-100</f>
        <v>2.1757473832216618</v>
      </c>
      <c r="E213" s="11">
        <v>14.901176181658954</v>
      </c>
      <c r="F213" s="11">
        <f t="shared" si="9"/>
        <v>35.782964281665556</v>
      </c>
    </row>
    <row r="214" spans="1:6" x14ac:dyDescent="0.25">
      <c r="A214" s="36"/>
      <c r="B214" s="10">
        <v>45444</v>
      </c>
      <c r="C214" s="11">
        <v>79.61896960794202</v>
      </c>
      <c r="D214" s="11">
        <v>2.1365826751422929</v>
      </c>
      <c r="E214" s="11">
        <v>17.35613480549101</v>
      </c>
      <c r="F214" s="11">
        <f t="shared" si="9"/>
        <v>36.416037054447685</v>
      </c>
    </row>
    <row r="215" spans="1:6" x14ac:dyDescent="0.25">
      <c r="A215" s="36"/>
      <c r="B215" s="10">
        <v>45474</v>
      </c>
      <c r="C215" s="11">
        <v>81.284315545079252</v>
      </c>
      <c r="D215" s="11">
        <v>2.0916446737978589</v>
      </c>
      <c r="E215" s="11">
        <v>19.810808148525069</v>
      </c>
      <c r="F215" s="11">
        <f t="shared" si="9"/>
        <v>36.664209344994276</v>
      </c>
    </row>
    <row r="216" spans="1:6" x14ac:dyDescent="0.25">
      <c r="A216" s="36"/>
      <c r="B216" s="10">
        <v>45505</v>
      </c>
      <c r="C216" s="11">
        <v>82.914493283420228</v>
      </c>
      <c r="D216" s="11">
        <v>2.00552557699385</v>
      </c>
      <c r="E216" s="11">
        <v>22.213644549946792</v>
      </c>
      <c r="F216" s="11">
        <f t="shared" si="9"/>
        <v>36.306313720794634</v>
      </c>
    </row>
    <row r="217" spans="1:6" x14ac:dyDescent="0.25">
      <c r="A217" s="36"/>
      <c r="B217" s="10">
        <v>45536</v>
      </c>
      <c r="C217" s="11">
        <v>84.520612198969289</v>
      </c>
      <c r="D217" s="11">
        <v>1.9370786118887651</v>
      </c>
      <c r="E217" s="11">
        <v>24.581018919333559</v>
      </c>
      <c r="F217" s="11">
        <f>+C217/C205*100-100</f>
        <v>35.365393695092877</v>
      </c>
    </row>
    <row r="218" spans="1:6" x14ac:dyDescent="0.25">
      <c r="A218" s="36"/>
      <c r="B218" s="10">
        <v>45566</v>
      </c>
      <c r="C218" s="11">
        <v>85.986465891659961</v>
      </c>
      <c r="D218" s="11">
        <v>1.7343150440509305</v>
      </c>
      <c r="E218" s="11">
        <v>26.741646272483493</v>
      </c>
      <c r="F218" s="11">
        <f t="shared" ref="F218:F232" si="10">+C218/C206*100-100</f>
        <v>34.067411821712881</v>
      </c>
    </row>
    <row r="219" spans="1:6" x14ac:dyDescent="0.25">
      <c r="A219" s="36"/>
      <c r="B219" s="10">
        <v>45597</v>
      </c>
      <c r="C219" s="11">
        <v>87.507155266321547</v>
      </c>
      <c r="D219" s="11">
        <v>1.7685217771103794</v>
      </c>
      <c r="E219" s="11">
        <v>28.983099887480563</v>
      </c>
      <c r="F219" s="11">
        <f t="shared" si="10"/>
        <v>32.692144302693976</v>
      </c>
    </row>
    <row r="220" spans="1:6" ht="16.5" thickBot="1" x14ac:dyDescent="0.3">
      <c r="A220" s="37"/>
      <c r="B220" s="14">
        <v>45627</v>
      </c>
      <c r="C220" s="15">
        <v>89.127830960798178</v>
      </c>
      <c r="D220" s="15">
        <v>1.8520493433299663</v>
      </c>
      <c r="E220" s="15">
        <v>31.371930541953276</v>
      </c>
      <c r="F220" s="15">
        <f t="shared" si="10"/>
        <v>31.371930541953276</v>
      </c>
    </row>
    <row r="221" spans="1:6" x14ac:dyDescent="0.25">
      <c r="A221" s="35">
        <v>2025</v>
      </c>
      <c r="B221" s="12">
        <v>45658</v>
      </c>
      <c r="C221" s="13">
        <v>90.62200728693486</v>
      </c>
      <c r="D221" s="13">
        <v>1.6764419261968442</v>
      </c>
      <c r="E221" s="13">
        <v>1.6764419261968442</v>
      </c>
      <c r="F221" s="13">
        <f t="shared" si="10"/>
        <v>29.784609556074884</v>
      </c>
    </row>
    <row r="222" spans="1:6" x14ac:dyDescent="0.25">
      <c r="A222" s="36"/>
      <c r="B222" s="10">
        <v>45689</v>
      </c>
      <c r="C222" s="11">
        <v>92.035092488255074</v>
      </c>
      <c r="D222" s="11">
        <v>1.55931792246224</v>
      </c>
      <c r="E222" s="11">
        <f>+C222/C220*100-100</f>
        <v>3.2619009080739403</v>
      </c>
      <c r="F222" s="11">
        <f t="shared" si="10"/>
        <v>28.008889475367141</v>
      </c>
    </row>
    <row r="223" spans="1:6" x14ac:dyDescent="0.25">
      <c r="A223" s="36"/>
      <c r="B223" s="10">
        <v>45717</v>
      </c>
      <c r="C223" s="11">
        <v>93.183357814551698</v>
      </c>
      <c r="D223" s="11">
        <v>1.2476385857309396</v>
      </c>
      <c r="E223" s="11">
        <v>4.5502362281623334</v>
      </c>
      <c r="F223" s="11">
        <f t="shared" si="10"/>
        <v>25.832662534487014</v>
      </c>
    </row>
    <row r="224" spans="1:6" x14ac:dyDescent="0.25">
      <c r="A224" s="36"/>
      <c r="B224" s="10">
        <v>45748</v>
      </c>
      <c r="C224" s="11">
        <v>94.334835179633686</v>
      </c>
      <c r="D224" s="11">
        <v>1.2357113889087259</v>
      </c>
      <c r="E224" s="11">
        <v>5.8421754043647098</v>
      </c>
      <c r="F224" s="11">
        <f t="shared" si="10"/>
        <v>23.647314470582131</v>
      </c>
    </row>
    <row r="225" spans="1:6" x14ac:dyDescent="0.25">
      <c r="A225" s="36"/>
      <c r="B225" s="10">
        <v>45778</v>
      </c>
      <c r="C225" s="11">
        <v>95.368811947639529</v>
      </c>
      <c r="D225" s="11">
        <v>1.0960709965061426</v>
      </c>
      <c r="E225" s="11">
        <v>7.0022807910431197</v>
      </c>
      <c r="F225" s="11">
        <f t="shared" si="10"/>
        <v>22.340751131104213</v>
      </c>
    </row>
    <row r="226" spans="1:6" x14ac:dyDescent="0.25">
      <c r="A226" s="36"/>
      <c r="B226" s="10">
        <v>45809</v>
      </c>
      <c r="C226" s="11">
        <v>96.372458318031647</v>
      </c>
      <c r="D226" s="11">
        <v>1.0523842647249779</v>
      </c>
      <c r="E226" s="11">
        <v>8.1283559569848904</v>
      </c>
      <c r="F226" s="11">
        <f t="shared" si="10"/>
        <v>21.042081796067919</v>
      </c>
    </row>
    <row r="227" spans="1:6" ht="15" customHeight="1" x14ac:dyDescent="0.25">
      <c r="A227" s="36"/>
      <c r="B227" s="10">
        <v>45839</v>
      </c>
      <c r="C227" s="11">
        <v>97.479985796733231</v>
      </c>
      <c r="D227" s="11">
        <v>1.149215759389179</v>
      </c>
      <c r="E227" s="11">
        <v>9.3709840640109991</v>
      </c>
      <c r="F227" s="11">
        <f t="shared" si="10"/>
        <v>19.924717509212542</v>
      </c>
    </row>
    <row r="228" spans="1:6" x14ac:dyDescent="0.25">
      <c r="A228" s="36"/>
      <c r="B228" s="10">
        <v>45870</v>
      </c>
      <c r="C228" s="11">
        <v>98.008133852652406</v>
      </c>
      <c r="D228" s="11">
        <f>+C228/C227*100-100</f>
        <v>0.54180153146563725</v>
      </c>
      <c r="E228" s="11">
        <f>+C228/C220*100-100</f>
        <v>9.9635577306488301</v>
      </c>
      <c r="F228" s="11">
        <f t="shared" si="10"/>
        <v>18.203862764545576</v>
      </c>
    </row>
    <row r="229" spans="1:6" x14ac:dyDescent="0.25">
      <c r="A229" s="36"/>
      <c r="B229" s="10">
        <v>45901</v>
      </c>
      <c r="C229" s="11">
        <v>98.514286044682748</v>
      </c>
      <c r="D229" s="11">
        <f>+C229/C228*100-100</f>
        <v>0.51643896494479691</v>
      </c>
      <c r="E229" s="11">
        <f>+C229/C220*100-100</f>
        <v>10.531452390009449</v>
      </c>
      <c r="F229" s="11">
        <f t="shared" si="10"/>
        <v>16.556522109389206</v>
      </c>
    </row>
    <row r="230" spans="1:6" x14ac:dyDescent="0.25">
      <c r="A230" s="36"/>
      <c r="B230" s="10">
        <v>45931</v>
      </c>
      <c r="C230" s="11">
        <v>98.997884577970183</v>
      </c>
      <c r="D230" s="11">
        <f>+C230/C229*100-100</f>
        <v>0.49089178098300579</v>
      </c>
      <c r="E230" s="11">
        <f>+C230/C220*100-100</f>
        <v>11.074042205193166</v>
      </c>
      <c r="F230" s="11">
        <f t="shared" si="10"/>
        <v>15.131937975802103</v>
      </c>
    </row>
    <row r="231" spans="1:6" x14ac:dyDescent="0.25">
      <c r="A231" s="36"/>
      <c r="B231" s="10">
        <v>45962</v>
      </c>
      <c r="C231" s="11">
        <v>99.463755107118828</v>
      </c>
      <c r="D231" s="11">
        <v>0.47058634751100215</v>
      </c>
      <c r="E231" s="11">
        <f>+C231/C220*100-100</f>
        <v>11.59674148343943</v>
      </c>
      <c r="F231" s="11">
        <f t="shared" si="10"/>
        <v>13.663568201261086</v>
      </c>
    </row>
    <row r="232" spans="1:6" ht="16.5" thickBot="1" x14ac:dyDescent="0.3">
      <c r="A232" s="37"/>
      <c r="B232" s="14">
        <v>45992</v>
      </c>
      <c r="C232" s="15">
        <v>100</v>
      </c>
      <c r="D232" s="15">
        <v>0.53913598205062385</v>
      </c>
      <c r="E232" s="15">
        <f>+C232/C220*100-100</f>
        <v>12.198399671572631</v>
      </c>
      <c r="F232" s="15">
        <f t="shared" si="10"/>
        <v>12.198399671572631</v>
      </c>
    </row>
    <row r="233" spans="1:6" x14ac:dyDescent="0.25">
      <c r="A233" s="35">
        <v>2025</v>
      </c>
      <c r="B233" s="10">
        <v>46023</v>
      </c>
      <c r="C233" s="11">
        <v>100.37549624313679</v>
      </c>
      <c r="D233" s="11">
        <f>+C233/C232*100-100</f>
        <v>0.37549624313679431</v>
      </c>
      <c r="E233" s="11">
        <f>+C233/C232*100-100</f>
        <v>0.37549624313679431</v>
      </c>
      <c r="F233" s="11">
        <f>+C233/C221*100-100</f>
        <v>10.762825993601794</v>
      </c>
    </row>
    <row r="234" spans="1:6" x14ac:dyDescent="0.25">
      <c r="A234" s="36"/>
      <c r="B234" s="10">
        <v>46054</v>
      </c>
      <c r="C234" s="11">
        <v>101.14007861051078</v>
      </c>
      <c r="D234" s="11">
        <f>+C234/C233*100-100</f>
        <v>0.7617221293949541</v>
      </c>
      <c r="E234" s="11">
        <f>+C234/C232*100-100</f>
        <v>1.1400786105107699</v>
      </c>
      <c r="F234" s="11">
        <f>+C234/C222*100-100</f>
        <v>9.8929504780121107</v>
      </c>
    </row>
    <row r="235" spans="1:6" x14ac:dyDescent="0.25">
      <c r="A235" s="36"/>
      <c r="B235" s="10">
        <v>46082</v>
      </c>
    </row>
    <row r="236" spans="1:6" x14ac:dyDescent="0.25">
      <c r="A236" s="36"/>
      <c r="B236" s="10">
        <v>46113</v>
      </c>
    </row>
    <row r="237" spans="1:6" x14ac:dyDescent="0.25">
      <c r="A237" s="36"/>
      <c r="B237" s="10">
        <v>46143</v>
      </c>
    </row>
    <row r="238" spans="1:6" x14ac:dyDescent="0.25">
      <c r="A238" s="36"/>
      <c r="B238" s="10">
        <v>46174</v>
      </c>
    </row>
    <row r="239" spans="1:6" x14ac:dyDescent="0.25">
      <c r="A239" s="36"/>
      <c r="B239" s="10">
        <v>46204</v>
      </c>
    </row>
    <row r="240" spans="1:6" x14ac:dyDescent="0.25">
      <c r="A240" s="36"/>
      <c r="B240" s="10">
        <v>46235</v>
      </c>
    </row>
    <row r="241" spans="1:2" x14ac:dyDescent="0.25">
      <c r="A241" s="36"/>
      <c r="B241" s="10">
        <v>46266</v>
      </c>
    </row>
    <row r="242" spans="1:2" x14ac:dyDescent="0.25">
      <c r="A242" s="36"/>
      <c r="B242" s="10">
        <v>46296</v>
      </c>
    </row>
    <row r="243" spans="1:2" x14ac:dyDescent="0.25">
      <c r="A243" s="36"/>
      <c r="B243" s="10">
        <v>46327</v>
      </c>
    </row>
    <row r="244" spans="1:2" x14ac:dyDescent="0.25">
      <c r="A244" s="37"/>
      <c r="B244" s="10">
        <v>46357</v>
      </c>
    </row>
  </sheetData>
  <mergeCells count="25">
    <mergeCell ref="A185:A196"/>
    <mergeCell ref="A197:A208"/>
    <mergeCell ref="A209:A220"/>
    <mergeCell ref="A221:A232"/>
    <mergeCell ref="A125:A136"/>
    <mergeCell ref="A137:A148"/>
    <mergeCell ref="A149:A160"/>
    <mergeCell ref="A161:A172"/>
    <mergeCell ref="A173:A184"/>
    <mergeCell ref="A233:A244"/>
    <mergeCell ref="I3:I4"/>
    <mergeCell ref="C3:C4"/>
    <mergeCell ref="D3:F3"/>
    <mergeCell ref="A5:A16"/>
    <mergeCell ref="A17:A28"/>
    <mergeCell ref="B3:B4"/>
    <mergeCell ref="A29:A40"/>
    <mergeCell ref="A89:A100"/>
    <mergeCell ref="A101:A112"/>
    <mergeCell ref="A113:A124"/>
    <mergeCell ref="A3:A4"/>
    <mergeCell ref="A41:A52"/>
    <mergeCell ref="A53:A64"/>
    <mergeCell ref="A65:A76"/>
    <mergeCell ref="A77:A8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B32AA-81E7-4B05-8066-E85F7861139D}">
  <dimension ref="A1:K244"/>
  <sheetViews>
    <sheetView showGridLines="0" topLeftCell="A210" workbookViewId="0">
      <selection activeCell="H234" sqref="H234"/>
    </sheetView>
  </sheetViews>
  <sheetFormatPr defaultRowHeight="15.75" x14ac:dyDescent="0.25"/>
  <cols>
    <col min="1" max="1" width="6.625" style="4" customWidth="1"/>
    <col min="2" max="2" width="8" style="4" customWidth="1"/>
    <col min="3" max="3" width="7.625" style="4" customWidth="1"/>
    <col min="4" max="4" width="7.5" style="4" customWidth="1"/>
    <col min="5" max="6" width="7.75" customWidth="1"/>
    <col min="7" max="9" width="9.125" bestFit="1" customWidth="1"/>
    <col min="10" max="11" width="9.375" bestFit="1" customWidth="1"/>
  </cols>
  <sheetData>
    <row r="1" spans="1:8" x14ac:dyDescent="0.25">
      <c r="A1" s="19" t="s">
        <v>10</v>
      </c>
      <c r="B1" s="19"/>
      <c r="C1" s="19"/>
      <c r="D1" s="19"/>
      <c r="E1" s="19"/>
      <c r="F1" s="19"/>
    </row>
    <row r="2" spans="1:8" s="5" customFormat="1" x14ac:dyDescent="0.25">
      <c r="A2" s="6" t="s">
        <v>2</v>
      </c>
      <c r="B2"/>
      <c r="C2"/>
      <c r="D2"/>
      <c r="F2"/>
    </row>
    <row r="3" spans="1:8" ht="15.75" customHeight="1" x14ac:dyDescent="0.25">
      <c r="A3" s="28" t="s">
        <v>4</v>
      </c>
      <c r="B3" s="30" t="s">
        <v>0</v>
      </c>
      <c r="C3" s="30" t="s">
        <v>3</v>
      </c>
      <c r="D3" s="32" t="s">
        <v>1</v>
      </c>
      <c r="E3" s="33"/>
      <c r="F3" s="34"/>
    </row>
    <row r="4" spans="1:8" x14ac:dyDescent="0.25">
      <c r="A4" s="29"/>
      <c r="B4" s="31"/>
      <c r="C4" s="31"/>
      <c r="D4" s="20" t="s">
        <v>5</v>
      </c>
      <c r="E4" s="21" t="s">
        <v>6</v>
      </c>
      <c r="F4" s="20" t="s">
        <v>7</v>
      </c>
      <c r="H4" s="3"/>
    </row>
    <row r="5" spans="1:8" x14ac:dyDescent="0.25">
      <c r="A5" s="25">
        <v>2007</v>
      </c>
      <c r="B5" s="12"/>
      <c r="C5" s="13"/>
      <c r="D5" s="13"/>
      <c r="E5" s="13"/>
      <c r="F5" s="13"/>
    </row>
    <row r="6" spans="1:8" x14ac:dyDescent="0.25">
      <c r="A6" s="26"/>
      <c r="B6" s="10"/>
      <c r="C6" s="11"/>
      <c r="D6" s="11"/>
      <c r="E6" s="11"/>
      <c r="F6" s="11"/>
    </row>
    <row r="7" spans="1:8" x14ac:dyDescent="0.25">
      <c r="A7" s="26"/>
      <c r="B7" s="10"/>
      <c r="C7" s="11"/>
      <c r="D7" s="11"/>
      <c r="E7" s="11"/>
      <c r="F7" s="11"/>
    </row>
    <row r="8" spans="1:8" x14ac:dyDescent="0.25">
      <c r="A8" s="26"/>
      <c r="B8" s="10"/>
      <c r="C8" s="11"/>
      <c r="D8" s="11"/>
      <c r="E8" s="11"/>
      <c r="F8" s="11"/>
    </row>
    <row r="9" spans="1:8" x14ac:dyDescent="0.25">
      <c r="A9" s="26"/>
      <c r="B9" s="10"/>
      <c r="C9" s="11"/>
      <c r="D9" s="11"/>
      <c r="E9" s="11"/>
      <c r="F9" s="11"/>
    </row>
    <row r="10" spans="1:8" x14ac:dyDescent="0.25">
      <c r="A10" s="26"/>
      <c r="B10" s="10"/>
      <c r="C10" s="11"/>
      <c r="D10" s="11"/>
      <c r="E10" s="11"/>
      <c r="F10" s="11"/>
    </row>
    <row r="11" spans="1:8" x14ac:dyDescent="0.25">
      <c r="A11" s="26"/>
      <c r="B11" s="10"/>
      <c r="C11" s="11"/>
      <c r="D11" s="11"/>
      <c r="E11" s="11"/>
      <c r="F11" s="11"/>
    </row>
    <row r="12" spans="1:8" x14ac:dyDescent="0.25">
      <c r="A12" s="26"/>
      <c r="B12" s="10">
        <v>39295</v>
      </c>
      <c r="C12" s="11">
        <v>6.9131523020949892</v>
      </c>
      <c r="D12" s="11"/>
      <c r="E12" s="11"/>
      <c r="F12" s="11"/>
    </row>
    <row r="13" spans="1:8" x14ac:dyDescent="0.25">
      <c r="A13" s="26"/>
      <c r="B13" s="10">
        <v>39326</v>
      </c>
      <c r="C13" s="11">
        <v>6.9233045266967181</v>
      </c>
      <c r="D13" s="11">
        <f>+C13/C12*100-100</f>
        <v>0.14685376740004585</v>
      </c>
      <c r="E13" s="11"/>
      <c r="F13" s="11"/>
    </row>
    <row r="14" spans="1:8" x14ac:dyDescent="0.25">
      <c r="A14" s="26"/>
      <c r="B14" s="10">
        <v>39356</v>
      </c>
      <c r="C14" s="11">
        <v>6.9684119010273715</v>
      </c>
      <c r="D14" s="11">
        <f>+C14/C13*100-100</f>
        <v>0.65152954281755626</v>
      </c>
      <c r="E14" s="11"/>
      <c r="F14" s="11"/>
    </row>
    <row r="15" spans="1:8" x14ac:dyDescent="0.25">
      <c r="A15" s="26"/>
      <c r="B15" s="10">
        <v>39387</v>
      </c>
      <c r="C15" s="11">
        <v>7.0269710652527682</v>
      </c>
      <c r="D15" s="11">
        <f t="shared" ref="D15:D30" si="0">+C15/C14*100-100</f>
        <v>0.84035164765106174</v>
      </c>
      <c r="E15" s="11"/>
      <c r="F15" s="11"/>
    </row>
    <row r="16" spans="1:8" ht="16.5" thickBot="1" x14ac:dyDescent="0.3">
      <c r="A16" s="27"/>
      <c r="B16" s="18">
        <v>39417</v>
      </c>
      <c r="C16" s="15">
        <v>7.119117382624454</v>
      </c>
      <c r="D16" s="15">
        <f t="shared" si="0"/>
        <v>1.3113234210872804</v>
      </c>
      <c r="E16" s="15"/>
      <c r="F16" s="15"/>
    </row>
    <row r="17" spans="1:11" x14ac:dyDescent="0.25">
      <c r="A17" s="25">
        <v>2008</v>
      </c>
      <c r="B17" s="10">
        <v>39448</v>
      </c>
      <c r="C17" s="11">
        <v>7.1493876062229971</v>
      </c>
      <c r="D17" s="11">
        <f t="shared" si="0"/>
        <v>0.42519629852463936</v>
      </c>
      <c r="E17" s="11">
        <f>+C17/C16*100-100</f>
        <v>0.42519629852463936</v>
      </c>
      <c r="F17" s="11"/>
    </row>
    <row r="18" spans="1:11" x14ac:dyDescent="0.25">
      <c r="A18" s="26"/>
      <c r="B18" s="10">
        <v>39479</v>
      </c>
      <c r="C18" s="11">
        <v>7.1685716630529486</v>
      </c>
      <c r="D18" s="11">
        <f t="shared" si="0"/>
        <v>0.26833146958283294</v>
      </c>
      <c r="E18" s="11">
        <f>+C18/C16*100-100</f>
        <v>0.69466870358392896</v>
      </c>
      <c r="F18" s="11"/>
      <c r="H18" s="2"/>
      <c r="I18" s="2"/>
      <c r="J18" s="2"/>
      <c r="K18" s="2"/>
    </row>
    <row r="19" spans="1:11" x14ac:dyDescent="0.25">
      <c r="A19" s="26"/>
      <c r="B19" s="10">
        <v>39508</v>
      </c>
      <c r="C19" s="11">
        <v>7.2038493738232443</v>
      </c>
      <c r="D19" s="11">
        <f t="shared" si="0"/>
        <v>0.49211631589203364</v>
      </c>
      <c r="E19" s="11">
        <f>+C19/C16*100-100</f>
        <v>1.1902035975076757</v>
      </c>
      <c r="F19" s="11"/>
      <c r="J19" s="2"/>
      <c r="K19" s="2"/>
    </row>
    <row r="20" spans="1:11" x14ac:dyDescent="0.25">
      <c r="A20" s="26"/>
      <c r="B20" s="10">
        <v>39539</v>
      </c>
      <c r="C20" s="11">
        <v>7.2413575962986778</v>
      </c>
      <c r="D20" s="11">
        <f t="shared" si="0"/>
        <v>0.52066916628945137</v>
      </c>
      <c r="E20" s="11">
        <f>+C20/C16*100-100</f>
        <v>1.7170697869454159</v>
      </c>
      <c r="F20" s="11"/>
    </row>
    <row r="21" spans="1:11" x14ac:dyDescent="0.25">
      <c r="A21" s="26"/>
      <c r="B21" s="10">
        <v>39569</v>
      </c>
      <c r="C21" s="11">
        <v>7.289144988987867</v>
      </c>
      <c r="D21" s="11">
        <f t="shared" si="0"/>
        <v>0.65992311598608921</v>
      </c>
      <c r="E21" s="11">
        <f>+C21/C16*100-100</f>
        <v>2.3883242433731624</v>
      </c>
      <c r="F21" s="11"/>
    </row>
    <row r="22" spans="1:11" x14ac:dyDescent="0.25">
      <c r="A22" s="26"/>
      <c r="B22" s="10">
        <v>39600</v>
      </c>
      <c r="C22" s="11">
        <v>7.3517794226364064</v>
      </c>
      <c r="D22" s="11">
        <f t="shared" si="0"/>
        <v>0.85928368475541106</v>
      </c>
      <c r="E22" s="11">
        <f>+C22/C16*100-100</f>
        <v>3.2681304086909364</v>
      </c>
      <c r="F22" s="11"/>
    </row>
    <row r="23" spans="1:11" x14ac:dyDescent="0.25">
      <c r="A23" s="26"/>
      <c r="B23" s="10">
        <v>39630</v>
      </c>
      <c r="C23" s="11">
        <v>7.4180973147126368</v>
      </c>
      <c r="D23" s="11">
        <f t="shared" si="0"/>
        <v>0.90206585730842903</v>
      </c>
      <c r="E23" s="11">
        <f>+C23/C16*100-100</f>
        <v>4.1996769545884973</v>
      </c>
      <c r="F23" s="11"/>
    </row>
    <row r="24" spans="1:11" x14ac:dyDescent="0.25">
      <c r="A24" s="26"/>
      <c r="B24" s="10">
        <v>39661</v>
      </c>
      <c r="C24" s="11">
        <v>7.4885742260120391</v>
      </c>
      <c r="D24" s="11">
        <f t="shared" si="0"/>
        <v>0.95006722491524442</v>
      </c>
      <c r="E24" s="11">
        <f>+C24/C16*100-100</f>
        <v>5.1896439338015909</v>
      </c>
      <c r="F24" s="11">
        <f>+C24/C12*100-100</f>
        <v>8.3235823365654937</v>
      </c>
    </row>
    <row r="25" spans="1:11" x14ac:dyDescent="0.25">
      <c r="A25" s="26"/>
      <c r="B25" s="10">
        <v>39692</v>
      </c>
      <c r="C25" s="11">
        <v>7.5419158782081883</v>
      </c>
      <c r="D25" s="11">
        <f t="shared" si="0"/>
        <v>0.71230718406800975</v>
      </c>
      <c r="E25" s="11">
        <f>+C25/C16*100-100</f>
        <v>5.9389173244376252</v>
      </c>
      <c r="F25" s="11">
        <f t="shared" ref="F25:F29" si="1">+C25/C13*100-100</f>
        <v>8.9352035451577052</v>
      </c>
    </row>
    <row r="26" spans="1:11" x14ac:dyDescent="0.25">
      <c r="A26" s="26"/>
      <c r="B26" s="10">
        <v>39722</v>
      </c>
      <c r="C26" s="11">
        <v>7.6173491248918008</v>
      </c>
      <c r="D26" s="11">
        <f t="shared" si="0"/>
        <v>1.0001867947317038</v>
      </c>
      <c r="E26" s="11">
        <f>+C26/C16*100-100</f>
        <v>6.9985043859984017</v>
      </c>
      <c r="F26" s="11">
        <f t="shared" si="1"/>
        <v>9.3125554729156477</v>
      </c>
    </row>
    <row r="27" spans="1:11" x14ac:dyDescent="0.25">
      <c r="A27" s="26"/>
      <c r="B27" s="10">
        <v>39753</v>
      </c>
      <c r="C27" s="11">
        <v>7.6903765039897198</v>
      </c>
      <c r="D27" s="11">
        <f>+C27/C26*100-100</f>
        <v>0.9586980706881576</v>
      </c>
      <c r="E27" s="11">
        <f>+C27/C16*100-100</f>
        <v>8.0242969832121389</v>
      </c>
      <c r="F27" s="11">
        <f t="shared" si="1"/>
        <v>9.4408448900178854</v>
      </c>
    </row>
    <row r="28" spans="1:11" ht="16.5" thickBot="1" x14ac:dyDescent="0.3">
      <c r="A28" s="27"/>
      <c r="B28" s="18">
        <v>39783</v>
      </c>
      <c r="C28" s="15">
        <v>7.7633549971358375</v>
      </c>
      <c r="D28" s="15">
        <f>+C28/C27*100-100</f>
        <v>0.94895865122153111</v>
      </c>
      <c r="E28" s="15">
        <f>+C28/C16*100-100</f>
        <v>9.0494028948555609</v>
      </c>
      <c r="F28" s="15">
        <f t="shared" si="1"/>
        <v>9.0494028948555609</v>
      </c>
    </row>
    <row r="29" spans="1:11" x14ac:dyDescent="0.25">
      <c r="A29" s="25">
        <v>2009</v>
      </c>
      <c r="B29" s="10">
        <v>39814</v>
      </c>
      <c r="C29" s="11">
        <v>7.8230901267681761</v>
      </c>
      <c r="D29" s="11">
        <f t="shared" si="0"/>
        <v>0.76944993053102451</v>
      </c>
      <c r="E29" s="11">
        <f>+C29/C28*100-100</f>
        <v>0.76944993053102451</v>
      </c>
      <c r="F29" s="11">
        <f t="shared" si="1"/>
        <v>9.4232199686413907</v>
      </c>
    </row>
    <row r="30" spans="1:11" x14ac:dyDescent="0.25">
      <c r="A30" s="26"/>
      <c r="B30" s="10">
        <v>39845</v>
      </c>
      <c r="C30" s="11">
        <v>7.8814077188955531</v>
      </c>
      <c r="D30" s="11">
        <f t="shared" si="0"/>
        <v>0.74545468839521334</v>
      </c>
      <c r="E30" s="11">
        <f>+C30/C28*100-100</f>
        <v>1.5206405195082482</v>
      </c>
      <c r="F30" s="11">
        <f t="shared" ref="F30:F88" si="2">+C30/C18*100-100</f>
        <v>9.9439063923512805</v>
      </c>
    </row>
    <row r="31" spans="1:11" x14ac:dyDescent="0.25">
      <c r="A31" s="26"/>
      <c r="B31" s="10">
        <v>39873</v>
      </c>
      <c r="C31" s="11">
        <v>7.9370134027420551</v>
      </c>
      <c r="D31" s="11">
        <f t="shared" ref="D31:D93" si="3">+C31/C30*100-100</f>
        <v>0.70552984732903212</v>
      </c>
      <c r="E31" s="11">
        <f>+C31/C28*100-100</f>
        <v>2.236898939572967</v>
      </c>
      <c r="F31" s="11">
        <f t="shared" si="2"/>
        <v>10.177392542144517</v>
      </c>
    </row>
    <row r="32" spans="1:11" x14ac:dyDescent="0.25">
      <c r="A32" s="26"/>
      <c r="B32" s="10">
        <v>39904</v>
      </c>
      <c r="C32" s="11">
        <v>7.9961958527320114</v>
      </c>
      <c r="D32" s="11">
        <f t="shared" si="3"/>
        <v>0.7456513802724487</v>
      </c>
      <c r="E32" s="11">
        <f>+C32/C28*100-100</f>
        <v>2.9992297876636655</v>
      </c>
      <c r="F32" s="11">
        <f t="shared" si="2"/>
        <v>10.423988131992814</v>
      </c>
    </row>
    <row r="33" spans="1:6" x14ac:dyDescent="0.25">
      <c r="A33" s="26"/>
      <c r="B33" s="10">
        <v>39934</v>
      </c>
      <c r="C33" s="11">
        <v>8.0603127231309237</v>
      </c>
      <c r="D33" s="11">
        <f t="shared" si="3"/>
        <v>0.80184217069927399</v>
      </c>
      <c r="E33" s="11">
        <f>+C33/C28*100-100</f>
        <v>3.8251210475965962</v>
      </c>
      <c r="F33" s="11">
        <f t="shared" si="2"/>
        <v>10.57967340899522</v>
      </c>
    </row>
    <row r="34" spans="1:6" x14ac:dyDescent="0.25">
      <c r="A34" s="26"/>
      <c r="B34" s="10">
        <v>39965</v>
      </c>
      <c r="C34" s="11">
        <v>8.133553445132776</v>
      </c>
      <c r="D34" s="11">
        <f t="shared" si="3"/>
        <v>0.90865856595949879</v>
      </c>
      <c r="E34" s="11">
        <f>+C34/C28*100-100</f>
        <v>4.7685369036134091</v>
      </c>
      <c r="F34" s="11">
        <f>+C34/C22*100-100</f>
        <v>10.633806831707403</v>
      </c>
    </row>
    <row r="35" spans="1:6" x14ac:dyDescent="0.25">
      <c r="A35" s="26"/>
      <c r="B35" s="10">
        <v>39995</v>
      </c>
      <c r="C35" s="11">
        <v>8.1987153696485287</v>
      </c>
      <c r="D35" s="11">
        <f t="shared" si="3"/>
        <v>0.80114952161218866</v>
      </c>
      <c r="E35" s="11">
        <f>+C35/C28*100-100</f>
        <v>5.6078895358167955</v>
      </c>
      <c r="F35" s="11">
        <f t="shared" si="2"/>
        <v>10.523157378748024</v>
      </c>
    </row>
    <row r="36" spans="1:6" x14ac:dyDescent="0.25">
      <c r="A36" s="26"/>
      <c r="B36" s="10">
        <v>40026</v>
      </c>
      <c r="C36" s="11">
        <v>8.2740933951903646</v>
      </c>
      <c r="D36" s="11">
        <f t="shared" si="3"/>
        <v>0.91938824734523905</v>
      </c>
      <c r="E36" s="11">
        <f>+C36/C28*100-100</f>
        <v>6.5788360604784373</v>
      </c>
      <c r="F36" s="11">
        <f>+C36/C24*100-100</f>
        <v>10.4895691151698</v>
      </c>
    </row>
    <row r="37" spans="1:6" x14ac:dyDescent="0.25">
      <c r="A37" s="26"/>
      <c r="B37" s="10">
        <v>40057</v>
      </c>
      <c r="C37" s="11">
        <v>8.3263004702102066</v>
      </c>
      <c r="D37" s="11">
        <f t="shared" si="3"/>
        <v>0.63097033748967135</v>
      </c>
      <c r="E37" s="11">
        <f>+C37/C28*100-100</f>
        <v>7.2513169020617738</v>
      </c>
      <c r="F37" s="11">
        <f t="shared" si="2"/>
        <v>10.400335997759399</v>
      </c>
    </row>
    <row r="38" spans="1:6" x14ac:dyDescent="0.25">
      <c r="A38" s="26"/>
      <c r="B38" s="10">
        <v>40087</v>
      </c>
      <c r="C38" s="11">
        <v>8.3871278143956101</v>
      </c>
      <c r="D38" s="11">
        <f t="shared" si="3"/>
        <v>0.73054466870408419</v>
      </c>
      <c r="E38" s="11">
        <f>+C38/C28*100-100</f>
        <v>8.0348356798047149</v>
      </c>
      <c r="F38" s="11">
        <f t="shared" si="2"/>
        <v>10.105598114025582</v>
      </c>
    </row>
    <row r="39" spans="1:6" x14ac:dyDescent="0.25">
      <c r="A39" s="26"/>
      <c r="B39" s="10">
        <v>40118</v>
      </c>
      <c r="C39" s="11">
        <v>8.486853112157327</v>
      </c>
      <c r="D39" s="11">
        <f t="shared" si="3"/>
        <v>1.1890279958599166</v>
      </c>
      <c r="E39" s="11">
        <f>+C39/C28*100-100</f>
        <v>9.31940012131885</v>
      </c>
      <c r="F39" s="11">
        <f t="shared" si="2"/>
        <v>10.356796026233567</v>
      </c>
    </row>
    <row r="40" spans="1:6" ht="16.5" thickBot="1" x14ac:dyDescent="0.3">
      <c r="A40" s="27"/>
      <c r="B40" s="18">
        <v>40148</v>
      </c>
      <c r="C40" s="15">
        <v>8.632574594813077</v>
      </c>
      <c r="D40" s="15">
        <f>+C40/C39*100-100</f>
        <v>1.7170260958918391</v>
      </c>
      <c r="E40" s="15">
        <f>+C40/C28*100-100</f>
        <v>11.196442749274297</v>
      </c>
      <c r="F40" s="15">
        <f t="shared" si="2"/>
        <v>11.196442749274297</v>
      </c>
    </row>
    <row r="41" spans="1:6" x14ac:dyDescent="0.25">
      <c r="A41" s="25">
        <v>2010</v>
      </c>
      <c r="B41" s="10">
        <v>40179</v>
      </c>
      <c r="C41" s="11">
        <v>8.7034835981480274</v>
      </c>
      <c r="D41" s="11">
        <f t="shared" si="3"/>
        <v>0.82141199657348807</v>
      </c>
      <c r="E41" s="11">
        <f>+C41/C40*100-100</f>
        <v>0.82141199657348807</v>
      </c>
      <c r="F41" s="11">
        <f t="shared" si="2"/>
        <v>11.253781525121624</v>
      </c>
    </row>
    <row r="42" spans="1:6" x14ac:dyDescent="0.25">
      <c r="A42" s="26"/>
      <c r="B42" s="10">
        <v>40210</v>
      </c>
      <c r="C42" s="11">
        <v>8.7802826046765219</v>
      </c>
      <c r="D42" s="11">
        <f t="shared" si="3"/>
        <v>0.88239387898467214</v>
      </c>
      <c r="E42" s="11">
        <f>+C42/C40*100-100</f>
        <v>1.7110539647371894</v>
      </c>
      <c r="F42" s="11">
        <f t="shared" si="2"/>
        <v>11.405004256104263</v>
      </c>
    </row>
    <row r="43" spans="1:6" x14ac:dyDescent="0.25">
      <c r="A43" s="26"/>
      <c r="B43" s="10">
        <v>40238</v>
      </c>
      <c r="C43" s="11">
        <v>8.8714796551838049</v>
      </c>
      <c r="D43" s="11">
        <f t="shared" si="3"/>
        <v>1.0386573486678969</v>
      </c>
      <c r="E43" s="11">
        <f>+C43/C40*100-100</f>
        <v>2.7674833011495252</v>
      </c>
      <c r="F43" s="11">
        <f t="shared" si="2"/>
        <v>11.773524939732539</v>
      </c>
    </row>
    <row r="44" spans="1:6" x14ac:dyDescent="0.25">
      <c r="A44" s="26"/>
      <c r="B44" s="10">
        <v>40269</v>
      </c>
      <c r="C44" s="11">
        <v>8.9601390519004358</v>
      </c>
      <c r="D44" s="11">
        <f t="shared" si="3"/>
        <v>0.99937552880284386</v>
      </c>
      <c r="E44" s="11">
        <f>+C44/C40*100-100</f>
        <v>3.7945163808277727</v>
      </c>
      <c r="F44" s="11">
        <f t="shared" si="2"/>
        <v>12.055022374659316</v>
      </c>
    </row>
    <row r="45" spans="1:6" x14ac:dyDescent="0.25">
      <c r="A45" s="26"/>
      <c r="B45" s="10">
        <v>40299</v>
      </c>
      <c r="C45" s="11">
        <v>9.0590630257130602</v>
      </c>
      <c r="D45" s="11">
        <f t="shared" si="3"/>
        <v>1.104045073850088</v>
      </c>
      <c r="E45" s="11">
        <f>+C45/C40*100-100</f>
        <v>4.9404546258568161</v>
      </c>
      <c r="F45" s="11">
        <f t="shared" si="2"/>
        <v>12.390962198228266</v>
      </c>
    </row>
    <row r="46" spans="1:6" x14ac:dyDescent="0.25">
      <c r="A46" s="26"/>
      <c r="B46" s="10">
        <v>40330</v>
      </c>
      <c r="C46" s="11">
        <v>9.1524649770622126</v>
      </c>
      <c r="D46" s="11">
        <f t="shared" si="3"/>
        <v>1.0310332435489329</v>
      </c>
      <c r="E46" s="11">
        <f>+C46/C40*100-100</f>
        <v>6.0224255989808029</v>
      </c>
      <c r="F46" s="11">
        <f t="shared" si="2"/>
        <v>12.527261778050615</v>
      </c>
    </row>
    <row r="47" spans="1:6" x14ac:dyDescent="0.25">
      <c r="A47" s="26"/>
      <c r="B47" s="10">
        <v>40360</v>
      </c>
      <c r="C47" s="11">
        <v>9.2563158155662801</v>
      </c>
      <c r="D47" s="11">
        <f t="shared" si="3"/>
        <v>1.1346761639005081</v>
      </c>
      <c r="E47" s="11">
        <f>+C47/C40*100-100</f>
        <v>7.2254367906415808</v>
      </c>
      <c r="F47" s="11">
        <f t="shared" si="2"/>
        <v>12.899587291845322</v>
      </c>
    </row>
    <row r="48" spans="1:6" x14ac:dyDescent="0.25">
      <c r="A48" s="26"/>
      <c r="B48" s="10">
        <v>40391</v>
      </c>
      <c r="C48" s="11">
        <v>9.3496702906131279</v>
      </c>
      <c r="D48" s="11">
        <f t="shared" si="3"/>
        <v>1.0085489400637755</v>
      </c>
      <c r="E48" s="11">
        <f>+C48/C40*100-100</f>
        <v>8.3068577968723503</v>
      </c>
      <c r="F48" s="11">
        <f t="shared" si="2"/>
        <v>12.999332302049964</v>
      </c>
    </row>
    <row r="49" spans="1:6" x14ac:dyDescent="0.25">
      <c r="A49" s="26"/>
      <c r="B49" s="10">
        <v>40422</v>
      </c>
      <c r="C49" s="11">
        <v>9.4469450499470735</v>
      </c>
      <c r="D49" s="11">
        <f t="shared" si="3"/>
        <v>1.0404084455428091</v>
      </c>
      <c r="E49" s="11">
        <f>+C49/C40*100-100</f>
        <v>9.4336914924930397</v>
      </c>
      <c r="F49" s="11">
        <f t="shared" si="2"/>
        <v>13.459093672469578</v>
      </c>
    </row>
    <row r="50" spans="1:6" x14ac:dyDescent="0.25">
      <c r="A50" s="26"/>
      <c r="B50" s="10">
        <v>40452</v>
      </c>
      <c r="C50" s="11">
        <v>9.5310702603105515</v>
      </c>
      <c r="D50" s="11">
        <f t="shared" si="3"/>
        <v>0.89050174335405075</v>
      </c>
      <c r="E50" s="11">
        <f t="shared" ref="E50" si="4">+C50/C48*100-100</f>
        <v>1.940175044242423</v>
      </c>
      <c r="F50" s="11">
        <f t="shared" si="2"/>
        <v>13.639263300023714</v>
      </c>
    </row>
    <row r="51" spans="1:6" x14ac:dyDescent="0.25">
      <c r="A51" s="26"/>
      <c r="B51" s="10">
        <v>40483</v>
      </c>
      <c r="C51" s="11">
        <v>9.6098780760820404</v>
      </c>
      <c r="D51" s="11">
        <f t="shared" si="3"/>
        <v>0.82685169261276315</v>
      </c>
      <c r="E51" s="11">
        <f>+C51/C40*100-100</f>
        <v>11.321112497031649</v>
      </c>
      <c r="F51" s="11">
        <f t="shared" si="2"/>
        <v>13.232525048842803</v>
      </c>
    </row>
    <row r="52" spans="1:6" ht="16.5" thickBot="1" x14ac:dyDescent="0.3">
      <c r="A52" s="27"/>
      <c r="B52" s="18">
        <v>40513</v>
      </c>
      <c r="C52" s="15">
        <v>9.7039323480892783</v>
      </c>
      <c r="D52" s="15">
        <f t="shared" si="3"/>
        <v>0.97872492515101328</v>
      </c>
      <c r="E52" s="15">
        <f>+C52/C40*100-100</f>
        <v>12.410639971995522</v>
      </c>
      <c r="F52" s="15">
        <f t="shared" si="2"/>
        <v>12.410639971995522</v>
      </c>
    </row>
    <row r="53" spans="1:6" x14ac:dyDescent="0.25">
      <c r="A53" s="25">
        <v>2011</v>
      </c>
      <c r="B53" s="10">
        <v>40544</v>
      </c>
      <c r="C53" s="11">
        <v>9.733873946542392</v>
      </c>
      <c r="D53" s="11">
        <f t="shared" si="3"/>
        <v>0.30855118707633267</v>
      </c>
      <c r="E53" s="11">
        <f>+C53/C52*100-100</f>
        <v>0.30855118707633267</v>
      </c>
      <c r="F53" s="11">
        <f t="shared" si="2"/>
        <v>11.83882679590063</v>
      </c>
    </row>
    <row r="54" spans="1:6" x14ac:dyDescent="0.25">
      <c r="A54" s="26"/>
      <c r="B54" s="10">
        <v>40575</v>
      </c>
      <c r="C54" s="11">
        <v>9.908259055313966</v>
      </c>
      <c r="D54" s="11">
        <f t="shared" si="3"/>
        <v>1.7915283239672277</v>
      </c>
      <c r="E54" s="11">
        <f>+C54/C52*100-100</f>
        <v>2.1056072929539766</v>
      </c>
      <c r="F54" s="11">
        <f t="shared" si="2"/>
        <v>12.846698693236419</v>
      </c>
    </row>
    <row r="55" spans="1:6" x14ac:dyDescent="0.25">
      <c r="A55" s="26"/>
      <c r="B55" s="10">
        <v>40603</v>
      </c>
      <c r="C55" s="11">
        <v>9.997013286416113</v>
      </c>
      <c r="D55" s="11">
        <f t="shared" si="3"/>
        <v>0.89576009878895491</v>
      </c>
      <c r="E55" s="11">
        <f>+C55/C52*100-100</f>
        <v>3.0202285817103984</v>
      </c>
      <c r="F55" s="11">
        <f t="shared" si="2"/>
        <v>12.68710153186943</v>
      </c>
    </row>
    <row r="56" spans="1:6" x14ac:dyDescent="0.25">
      <c r="A56" s="26"/>
      <c r="B56" s="10">
        <v>40634</v>
      </c>
      <c r="C56" s="11">
        <v>10.078517148298314</v>
      </c>
      <c r="D56" s="11">
        <f t="shared" si="3"/>
        <v>0.81528212024034019</v>
      </c>
      <c r="E56" s="11">
        <f>+C56/C52*100-100</f>
        <v>3.8601340855678217</v>
      </c>
      <c r="F56" s="11">
        <f t="shared" si="2"/>
        <v>12.481704691409561</v>
      </c>
    </row>
    <row r="57" spans="1:6" x14ac:dyDescent="0.25">
      <c r="A57" s="26"/>
      <c r="B57" s="10">
        <v>40664</v>
      </c>
      <c r="C57" s="11">
        <v>10.163905298228942</v>
      </c>
      <c r="D57" s="11">
        <f t="shared" si="3"/>
        <v>0.84722929647486467</v>
      </c>
      <c r="E57" s="11">
        <f>+C57/C52*100-100</f>
        <v>4.7400675688988372</v>
      </c>
      <c r="F57" s="11">
        <f t="shared" si="2"/>
        <v>12.195988364137861</v>
      </c>
    </row>
    <row r="58" spans="1:6" x14ac:dyDescent="0.25">
      <c r="A58" s="26"/>
      <c r="B58" s="10">
        <v>40695</v>
      </c>
      <c r="C58" s="11">
        <v>10.242232105482337</v>
      </c>
      <c r="D58" s="11">
        <f t="shared" si="3"/>
        <v>0.77063692503161008</v>
      </c>
      <c r="E58" s="11">
        <f t="shared" ref="E58" si="5">+C58/C55*100-100</f>
        <v>2.4529208078519389</v>
      </c>
      <c r="F58" s="11">
        <f t="shared" si="2"/>
        <v>11.906815608158936</v>
      </c>
    </row>
    <row r="59" spans="1:6" x14ac:dyDescent="0.25">
      <c r="A59" s="26"/>
      <c r="B59" s="10">
        <v>40725</v>
      </c>
      <c r="C59" s="11">
        <v>10.311616170720331</v>
      </c>
      <c r="D59" s="11">
        <f t="shared" si="3"/>
        <v>0.67743109630229981</v>
      </c>
      <c r="E59" s="11">
        <f>+C59/C52*100-100</f>
        <v>6.2622429839044287</v>
      </c>
      <c r="F59" s="11">
        <f t="shared" si="2"/>
        <v>11.400868079494003</v>
      </c>
    </row>
    <row r="60" spans="1:6" x14ac:dyDescent="0.25">
      <c r="A60" s="26"/>
      <c r="B60" s="10">
        <v>40756</v>
      </c>
      <c r="C60" s="11">
        <v>10.390643407416793</v>
      </c>
      <c r="D60" s="11">
        <f t="shared" si="3"/>
        <v>0.76639040270775638</v>
      </c>
      <c r="E60" s="11">
        <f>+C60/C52*100-100</f>
        <v>7.0766266158350533</v>
      </c>
      <c r="F60" s="11">
        <f t="shared" si="2"/>
        <v>11.133794930167525</v>
      </c>
    </row>
    <row r="61" spans="1:6" x14ac:dyDescent="0.25">
      <c r="A61" s="26"/>
      <c r="B61" s="10">
        <v>40787</v>
      </c>
      <c r="C61" s="11">
        <v>10.467082328808683</v>
      </c>
      <c r="D61" s="11">
        <f t="shared" si="3"/>
        <v>0.73565147406876008</v>
      </c>
      <c r="E61" s="11">
        <f>+C61/C52*100-100</f>
        <v>7.8643373979175664</v>
      </c>
      <c r="F61" s="11">
        <f t="shared" si="2"/>
        <v>10.798594397109611</v>
      </c>
    </row>
    <row r="62" spans="1:6" x14ac:dyDescent="0.25">
      <c r="A62" s="26"/>
      <c r="B62" s="10">
        <v>40817</v>
      </c>
      <c r="C62" s="11">
        <v>10.53386577510831</v>
      </c>
      <c r="D62" s="11">
        <f t="shared" si="3"/>
        <v>0.63803306596545895</v>
      </c>
      <c r="E62" s="11">
        <f>+C62/C52*100-100</f>
        <v>8.5525475369008177</v>
      </c>
      <c r="F62" s="11">
        <f t="shared" si="2"/>
        <v>10.521331680594329</v>
      </c>
    </row>
    <row r="63" spans="1:6" x14ac:dyDescent="0.25">
      <c r="A63" s="26"/>
      <c r="B63" s="10">
        <v>40848</v>
      </c>
      <c r="C63" s="11">
        <v>10.600683521203567</v>
      </c>
      <c r="D63" s="11">
        <f t="shared" si="3"/>
        <v>0.63431362732140428</v>
      </c>
      <c r="E63" s="11">
        <f>+C63/C52*100-100</f>
        <v>9.241111138731938</v>
      </c>
      <c r="F63" s="11">
        <f t="shared" si="2"/>
        <v>10.310281121958624</v>
      </c>
    </row>
    <row r="64" spans="1:6" ht="16.5" thickBot="1" x14ac:dyDescent="0.3">
      <c r="A64" s="27"/>
      <c r="B64" s="18">
        <v>40878</v>
      </c>
      <c r="C64" s="15">
        <v>10.677707131517034</v>
      </c>
      <c r="D64" s="15">
        <f t="shared" si="3"/>
        <v>0.72659098028351821</v>
      </c>
      <c r="E64" s="15">
        <f>+C64/C52*100-100</f>
        <v>10.034847199027453</v>
      </c>
      <c r="F64" s="15">
        <f t="shared" si="2"/>
        <v>10.034847199027453</v>
      </c>
    </row>
    <row r="65" spans="1:6" x14ac:dyDescent="0.25">
      <c r="A65" s="25">
        <v>2012</v>
      </c>
      <c r="B65" s="10">
        <v>40909</v>
      </c>
      <c r="C65" s="11">
        <v>10.74251012283367</v>
      </c>
      <c r="D65" s="11">
        <f>+C65/C64*100-100</f>
        <v>0.60689987577350735</v>
      </c>
      <c r="E65" s="11">
        <f>+C65/C64*100-100</f>
        <v>0.60689987577350735</v>
      </c>
      <c r="F65" s="11">
        <f t="shared" si="2"/>
        <v>10.362124903513475</v>
      </c>
    </row>
    <row r="66" spans="1:6" x14ac:dyDescent="0.25">
      <c r="A66" s="26"/>
      <c r="B66" s="10">
        <v>40940</v>
      </c>
      <c r="C66" s="11">
        <v>10.848275165462578</v>
      </c>
      <c r="D66" s="11">
        <f t="shared" si="3"/>
        <v>0.98454682769254021</v>
      </c>
      <c r="E66" s="11">
        <f>+C66/C64*100-100</f>
        <v>1.5974219169402346</v>
      </c>
      <c r="F66" s="11">
        <f t="shared" si="2"/>
        <v>9.4871975480340893</v>
      </c>
    </row>
    <row r="67" spans="1:6" x14ac:dyDescent="0.25">
      <c r="A67" s="26"/>
      <c r="B67" s="10">
        <v>40969</v>
      </c>
      <c r="C67" s="11">
        <v>10.912235792669961</v>
      </c>
      <c r="D67" s="11">
        <f t="shared" si="3"/>
        <v>0.58959259635129513</v>
      </c>
      <c r="E67" s="11">
        <f>+C67/C64*100-100</f>
        <v>2.1964327946462987</v>
      </c>
      <c r="F67" s="11">
        <f t="shared" si="2"/>
        <v>9.1549593866945003</v>
      </c>
    </row>
    <row r="68" spans="1:6" x14ac:dyDescent="0.25">
      <c r="A68" s="26"/>
      <c r="B68" s="10">
        <v>41000</v>
      </c>
      <c r="C68" s="11">
        <v>10.959481453356442</v>
      </c>
      <c r="D68" s="11">
        <f t="shared" si="3"/>
        <v>0.43296040870211527</v>
      </c>
      <c r="E68" s="11">
        <f>+C68/C64*100-100</f>
        <v>2.6389028877529768</v>
      </c>
      <c r="F68" s="11">
        <f t="shared" si="2"/>
        <v>8.7410111239119459</v>
      </c>
    </row>
    <row r="69" spans="1:6" x14ac:dyDescent="0.25">
      <c r="A69" s="26"/>
      <c r="B69" s="10">
        <v>41030</v>
      </c>
      <c r="C69" s="11">
        <v>11.018304121479765</v>
      </c>
      <c r="D69" s="11">
        <f t="shared" si="3"/>
        <v>0.53672857035866173</v>
      </c>
      <c r="E69" s="11">
        <f>+C69/C64*100-100</f>
        <v>3.1897952038542314</v>
      </c>
      <c r="F69" s="11">
        <f t="shared" si="2"/>
        <v>8.4062060613620844</v>
      </c>
    </row>
    <row r="70" spans="1:6" x14ac:dyDescent="0.25">
      <c r="A70" s="26"/>
      <c r="B70" s="10">
        <v>41061</v>
      </c>
      <c r="C70" s="11">
        <v>11.082445967051662</v>
      </c>
      <c r="D70" s="11">
        <f t="shared" si="3"/>
        <v>0.58213900129018725</v>
      </c>
      <c r="E70" s="11">
        <f>+C70/C64*100-100</f>
        <v>3.7905032470873152</v>
      </c>
      <c r="F70" s="11">
        <f t="shared" si="2"/>
        <v>8.2034253170222939</v>
      </c>
    </row>
    <row r="71" spans="1:6" x14ac:dyDescent="0.25">
      <c r="A71" s="26"/>
      <c r="B71" s="10">
        <v>41091</v>
      </c>
      <c r="C71" s="11">
        <v>11.162256092230344</v>
      </c>
      <c r="D71" s="11">
        <f t="shared" si="3"/>
        <v>0.72014901237469076</v>
      </c>
      <c r="E71" s="11">
        <f>+C71/C64*100-100</f>
        <v>4.5379495311599527</v>
      </c>
      <c r="F71" s="11">
        <f t="shared" si="2"/>
        <v>8.2493365484781265</v>
      </c>
    </row>
    <row r="72" spans="1:6" x14ac:dyDescent="0.25">
      <c r="A72" s="26"/>
      <c r="B72" s="10">
        <v>41122</v>
      </c>
      <c r="C72" s="11">
        <v>11.245953097794731</v>
      </c>
      <c r="D72" s="11">
        <f t="shared" si="3"/>
        <v>0.7498215851063037</v>
      </c>
      <c r="E72" s="11">
        <f>+C72/C64*100-100</f>
        <v>5.3217976413721289</v>
      </c>
      <c r="F72" s="11">
        <f t="shared" si="2"/>
        <v>8.2315373248919457</v>
      </c>
    </row>
    <row r="73" spans="1:6" x14ac:dyDescent="0.25">
      <c r="A73" s="26"/>
      <c r="B73" s="10">
        <v>41153</v>
      </c>
      <c r="C73" s="11">
        <v>11.322718881481503</v>
      </c>
      <c r="D73" s="11">
        <f t="shared" si="3"/>
        <v>0.68260807260369916</v>
      </c>
      <c r="E73" s="11">
        <f>+C73/C64*100-100</f>
        <v>6.0407327342834662</v>
      </c>
      <c r="F73" s="11">
        <f t="shared" si="2"/>
        <v>8.174546887033074</v>
      </c>
    </row>
    <row r="74" spans="1:6" x14ac:dyDescent="0.25">
      <c r="A74" s="26"/>
      <c r="B74" s="10">
        <v>41183</v>
      </c>
      <c r="C74" s="11">
        <v>11.39700388151528</v>
      </c>
      <c r="D74" s="11">
        <f t="shared" si="3"/>
        <v>0.65607033797572001</v>
      </c>
      <c r="E74" s="11">
        <f>+C74/C64*100-100</f>
        <v>6.736434527925212</v>
      </c>
      <c r="F74" s="11">
        <f t="shared" si="2"/>
        <v>8.1939349222255942</v>
      </c>
    </row>
    <row r="75" spans="1:6" x14ac:dyDescent="0.25">
      <c r="A75" s="26"/>
      <c r="B75" s="10">
        <v>41214</v>
      </c>
      <c r="C75" s="11">
        <v>11.449413563487026</v>
      </c>
      <c r="D75" s="11">
        <f t="shared" si="3"/>
        <v>0.45985491026065972</v>
      </c>
      <c r="E75" s="11">
        <f>+C75/C64*100-100</f>
        <v>7.2272672631390265</v>
      </c>
      <c r="F75" s="11">
        <f t="shared" si="2"/>
        <v>8.0063709154774898</v>
      </c>
    </row>
    <row r="76" spans="1:6" ht="16.5" thickBot="1" x14ac:dyDescent="0.3">
      <c r="A76" s="27"/>
      <c r="B76" s="18">
        <v>41244</v>
      </c>
      <c r="C76" s="15">
        <v>11.582911057500791</v>
      </c>
      <c r="D76" s="15">
        <f t="shared" si="3"/>
        <v>1.1659766963043126</v>
      </c>
      <c r="E76" s="15">
        <f>+C76/C64*100-100</f>
        <v>8.4775122115111827</v>
      </c>
      <c r="F76" s="15">
        <f t="shared" si="2"/>
        <v>8.4775122115111827</v>
      </c>
    </row>
    <row r="77" spans="1:6" x14ac:dyDescent="0.25">
      <c r="A77" s="25">
        <v>2013</v>
      </c>
      <c r="B77" s="10">
        <v>41275</v>
      </c>
      <c r="C77" s="11">
        <v>11.693419151167609</v>
      </c>
      <c r="D77" s="11">
        <f t="shared" si="3"/>
        <v>0.95406148867263596</v>
      </c>
      <c r="E77" s="11">
        <f>+C77/C76*100-100</f>
        <v>0.95406148867263596</v>
      </c>
      <c r="F77" s="11">
        <f t="shared" si="2"/>
        <v>8.8518327417047544</v>
      </c>
    </row>
    <row r="78" spans="1:6" x14ac:dyDescent="0.25">
      <c r="A78" s="26"/>
      <c r="B78" s="10">
        <v>41306</v>
      </c>
      <c r="C78" s="11">
        <v>11.790920128555578</v>
      </c>
      <c r="D78" s="11">
        <f t="shared" si="3"/>
        <v>0.83381067699291123</v>
      </c>
      <c r="E78" s="11">
        <f>+C78/C76*100-100</f>
        <v>1.7958272322231608</v>
      </c>
      <c r="F78" s="11">
        <f t="shared" si="2"/>
        <v>8.6893533646166929</v>
      </c>
    </row>
    <row r="79" spans="1:6" x14ac:dyDescent="0.25">
      <c r="A79" s="26"/>
      <c r="B79" s="10">
        <v>41334</v>
      </c>
      <c r="C79" s="11">
        <v>11.885555535047246</v>
      </c>
      <c r="D79" s="11">
        <f t="shared" si="3"/>
        <v>0.80261256509130874</v>
      </c>
      <c r="E79" s="11">
        <f>+C79/C76*100-100</f>
        <v>2.6128533323276315</v>
      </c>
      <c r="F79" s="11">
        <f t="shared" si="2"/>
        <v>8.9195263085415633</v>
      </c>
    </row>
    <row r="80" spans="1:6" x14ac:dyDescent="0.25">
      <c r="A80" s="26"/>
      <c r="B80" s="10">
        <v>41365</v>
      </c>
      <c r="C80" s="11">
        <v>11.958940345511534</v>
      </c>
      <c r="D80" s="11">
        <f t="shared" si="3"/>
        <v>0.61742852698721151</v>
      </c>
      <c r="E80" s="11">
        <f>+C80/C76*100-100</f>
        <v>3.2464143611569511</v>
      </c>
      <c r="F80" s="11">
        <f t="shared" si="2"/>
        <v>9.1195819474560835</v>
      </c>
    </row>
    <row r="81" spans="1:6" x14ac:dyDescent="0.25">
      <c r="A81" s="26"/>
      <c r="B81" s="10">
        <v>41395</v>
      </c>
      <c r="C81" s="11">
        <v>12.020288749647312</v>
      </c>
      <c r="D81" s="11">
        <f t="shared" si="3"/>
        <v>0.51299197389845119</v>
      </c>
      <c r="E81" s="11">
        <f>+C81/C76*100-100</f>
        <v>3.776060180167633</v>
      </c>
      <c r="F81" s="11">
        <f t="shared" si="2"/>
        <v>9.0938189499980808</v>
      </c>
    </row>
    <row r="82" spans="1:6" x14ac:dyDescent="0.25">
      <c r="A82" s="26"/>
      <c r="B82" s="10">
        <v>41426</v>
      </c>
      <c r="C82" s="11">
        <v>12.073167224247166</v>
      </c>
      <c r="D82" s="11">
        <f t="shared" si="3"/>
        <v>0.43991018602949339</v>
      </c>
      <c r="E82" s="11">
        <f>+C82/C76*100-100</f>
        <v>4.23258163956028</v>
      </c>
      <c r="F82" s="11">
        <f>+C82/C70*100-100</f>
        <v>8.9395541394105464</v>
      </c>
    </row>
    <row r="83" spans="1:6" x14ac:dyDescent="0.25">
      <c r="A83" s="26"/>
      <c r="B83" s="10">
        <v>41456</v>
      </c>
      <c r="C83" s="11">
        <v>12.132315351445087</v>
      </c>
      <c r="D83" s="11">
        <f t="shared" si="3"/>
        <v>0.48991392315953419</v>
      </c>
      <c r="E83" s="11">
        <f>+C83/C76*100-100</f>
        <v>4.7432315694811109</v>
      </c>
      <c r="F83" s="11">
        <f t="shared" si="2"/>
        <v>8.6905304017345344</v>
      </c>
    </row>
    <row r="84" spans="1:6" x14ac:dyDescent="0.25">
      <c r="A84" s="26"/>
      <c r="B84" s="10">
        <v>41487</v>
      </c>
      <c r="C84" s="11">
        <v>12.218276178496351</v>
      </c>
      <c r="D84" s="11">
        <f t="shared" si="3"/>
        <v>0.70852780002151405</v>
      </c>
      <c r="E84" s="11">
        <f>+C84/C76*100-100</f>
        <v>5.4853664837917933</v>
      </c>
      <c r="F84" s="11">
        <f t="shared" si="2"/>
        <v>8.6459820012257467</v>
      </c>
    </row>
    <row r="85" spans="1:6" x14ac:dyDescent="0.25">
      <c r="A85" s="26"/>
      <c r="B85" s="10">
        <v>41518</v>
      </c>
      <c r="C85" s="11">
        <v>12.292548203651222</v>
      </c>
      <c r="D85" s="11">
        <f t="shared" si="3"/>
        <v>0.60787646366667047</v>
      </c>
      <c r="E85" s="11">
        <f>+C85/C76*100-100</f>
        <v>6.1265871992592764</v>
      </c>
      <c r="F85" s="11">
        <f t="shared" si="2"/>
        <v>8.5653395824910206</v>
      </c>
    </row>
    <row r="86" spans="1:6" x14ac:dyDescent="0.25">
      <c r="A86" s="26"/>
      <c r="B86" s="10">
        <v>41548</v>
      </c>
      <c r="C86" s="11">
        <v>12.352372639570355</v>
      </c>
      <c r="D86" s="11">
        <f t="shared" si="3"/>
        <v>0.4866723719770647</v>
      </c>
      <c r="E86" s="11">
        <f>+C86/C76*100-100</f>
        <v>6.643075978480212</v>
      </c>
      <c r="F86" s="11">
        <f t="shared" si="2"/>
        <v>8.3826308035621651</v>
      </c>
    </row>
    <row r="87" spans="1:6" x14ac:dyDescent="0.25">
      <c r="A87" s="26"/>
      <c r="B87" s="10">
        <v>41579</v>
      </c>
      <c r="C87" s="11">
        <v>12.472959741229065</v>
      </c>
      <c r="D87" s="11">
        <f t="shared" si="3"/>
        <v>0.97622622938378356</v>
      </c>
      <c r="E87" s="11">
        <f>+C87/C76*100-100</f>
        <v>7.6841536580038081</v>
      </c>
      <c r="F87" s="11">
        <f>+C87/C75*100-100</f>
        <v>8.9397257952686715</v>
      </c>
    </row>
    <row r="88" spans="1:6" ht="16.5" thickBot="1" x14ac:dyDescent="0.3">
      <c r="A88" s="27"/>
      <c r="B88" s="18">
        <v>41609</v>
      </c>
      <c r="C88" s="15">
        <v>12.560538725927614</v>
      </c>
      <c r="D88" s="15">
        <f>+C88/C87*100-100</f>
        <v>0.70215078470154424</v>
      </c>
      <c r="E88" s="15">
        <f>+C88/C76*100-100</f>
        <v>8.4402587879126969</v>
      </c>
      <c r="F88" s="15">
        <f t="shared" si="2"/>
        <v>8.4402587879126969</v>
      </c>
    </row>
    <row r="89" spans="1:6" x14ac:dyDescent="0.25">
      <c r="A89" s="25">
        <v>2014</v>
      </c>
      <c r="B89" s="10">
        <v>41640</v>
      </c>
      <c r="C89" s="11">
        <v>12.611119262454764</v>
      </c>
      <c r="D89" s="11">
        <f>C89/C88*100-100</f>
        <v>0.40269400565391322</v>
      </c>
      <c r="E89" s="11">
        <f>+C89/C88*100-100</f>
        <v>0.40269400565391322</v>
      </c>
      <c r="F89" s="11">
        <f t="shared" ref="F89:F112" si="6">+C89/C77*100-100</f>
        <v>7.8480049284432027</v>
      </c>
    </row>
    <row r="90" spans="1:6" x14ac:dyDescent="0.25">
      <c r="A90" s="26"/>
      <c r="B90" s="10">
        <v>41671</v>
      </c>
      <c r="C90" s="11">
        <v>12.65517580008701</v>
      </c>
      <c r="D90" s="11">
        <f>+C90/C89*100-100</f>
        <v>0.34934676863622371</v>
      </c>
      <c r="E90" s="11">
        <f>+C90/C88*100-100</f>
        <v>0.75344757278639918</v>
      </c>
      <c r="F90" s="11">
        <f t="shared" si="6"/>
        <v>7.3298407767037048</v>
      </c>
    </row>
    <row r="91" spans="1:6" x14ac:dyDescent="0.25">
      <c r="A91" s="26"/>
      <c r="B91" s="10">
        <v>41699</v>
      </c>
      <c r="C91" s="11">
        <v>12.696832375245942</v>
      </c>
      <c r="D91" s="11">
        <f t="shared" si="3"/>
        <v>0.32916630963471505</v>
      </c>
      <c r="E91" s="11">
        <f>+C91/C88*100-100</f>
        <v>1.0850939779914768</v>
      </c>
      <c r="F91" s="11">
        <f t="shared" si="6"/>
        <v>6.8257376595184098</v>
      </c>
    </row>
    <row r="92" spans="1:6" x14ac:dyDescent="0.25">
      <c r="A92" s="26"/>
      <c r="B92" s="10">
        <v>41730</v>
      </c>
      <c r="C92" s="11">
        <v>12.765341140245493</v>
      </c>
      <c r="D92" s="11">
        <f>+C92/C91*100-100</f>
        <v>0.53957367455774374</v>
      </c>
      <c r="E92" s="11">
        <f>+C92/C88*100-100</f>
        <v>1.630522533998672</v>
      </c>
      <c r="F92" s="11">
        <f t="shared" si="6"/>
        <v>6.7430789972676735</v>
      </c>
    </row>
    <row r="93" spans="1:6" x14ac:dyDescent="0.25">
      <c r="A93" s="26"/>
      <c r="B93" s="10">
        <v>41760</v>
      </c>
      <c r="C93" s="11">
        <v>12.805178268320208</v>
      </c>
      <c r="D93" s="11">
        <f t="shared" si="3"/>
        <v>0.3120725692878068</v>
      </c>
      <c r="E93" s="11">
        <f>+C93/C88*100-100</f>
        <v>1.9476835168511286</v>
      </c>
      <c r="F93" s="11">
        <f t="shared" si="6"/>
        <v>6.5297060247069965</v>
      </c>
    </row>
    <row r="94" spans="1:6" x14ac:dyDescent="0.25">
      <c r="A94" s="26"/>
      <c r="B94" s="10">
        <v>41791</v>
      </c>
      <c r="C94" s="11">
        <v>12.836793756734671</v>
      </c>
      <c r="D94" s="11">
        <f>+C94/C93*100-100</f>
        <v>0.24689612086604029</v>
      </c>
      <c r="E94" s="11">
        <f>+C94/C88*100-100</f>
        <v>2.1993883927670055</v>
      </c>
      <c r="F94" s="11">
        <f t="shared" si="6"/>
        <v>6.3249892783218797</v>
      </c>
    </row>
    <row r="95" spans="1:6" x14ac:dyDescent="0.25">
      <c r="A95" s="26"/>
      <c r="B95" s="10">
        <v>41821</v>
      </c>
      <c r="C95" s="11">
        <v>12.938429338513306</v>
      </c>
      <c r="D95" s="11">
        <f t="shared" ref="D95:D111" si="7">+C95/C94*100-100</f>
        <v>0.79175208159212218</v>
      </c>
      <c r="E95" s="11">
        <f>+C95/C88*100-100</f>
        <v>3.0085541777411464</v>
      </c>
      <c r="F95" s="11">
        <f t="shared" si="6"/>
        <v>6.6443540554046194</v>
      </c>
    </row>
    <row r="96" spans="1:6" x14ac:dyDescent="0.25">
      <c r="A96" s="26"/>
      <c r="B96" s="10">
        <v>41852</v>
      </c>
      <c r="C96" s="11">
        <v>12.975201566240436</v>
      </c>
      <c r="D96" s="11">
        <f>+C96/C95*100-100</f>
        <v>0.28420936394243768</v>
      </c>
      <c r="E96" s="11">
        <f>+C96/C88*100-100</f>
        <v>3.301314134376014</v>
      </c>
      <c r="F96" s="11">
        <f t="shared" si="6"/>
        <v>6.1950260141953777</v>
      </c>
    </row>
    <row r="97" spans="1:6" x14ac:dyDescent="0.25">
      <c r="A97" s="26"/>
      <c r="B97" s="10">
        <v>41883</v>
      </c>
      <c r="C97" s="11">
        <v>13.046339687735145</v>
      </c>
      <c r="D97" s="11">
        <f t="shared" si="7"/>
        <v>0.5482621686571747</v>
      </c>
      <c r="E97" s="11">
        <f>+C97/C88*100-100</f>
        <v>3.8676761595005047</v>
      </c>
      <c r="F97" s="11">
        <f t="shared" si="6"/>
        <v>6.1321011038217819</v>
      </c>
    </row>
    <row r="98" spans="1:6" x14ac:dyDescent="0.25">
      <c r="A98" s="26"/>
      <c r="B98" s="10">
        <v>41913</v>
      </c>
      <c r="C98" s="11">
        <v>13.139959725965708</v>
      </c>
      <c r="D98" s="11">
        <f t="shared" si="7"/>
        <v>0.71759620300684901</v>
      </c>
      <c r="E98" s="11">
        <f>+C98/C88*100-100</f>
        <v>4.6130266597725296</v>
      </c>
      <c r="F98" s="11">
        <f t="shared" si="6"/>
        <v>6.3759984367080023</v>
      </c>
    </row>
    <row r="99" spans="1:6" x14ac:dyDescent="0.25">
      <c r="A99" s="26"/>
      <c r="B99" s="10">
        <v>41944</v>
      </c>
      <c r="C99" s="11">
        <v>13.235144120951043</v>
      </c>
      <c r="D99" s="11">
        <f t="shared" si="7"/>
        <v>0.72438878786852001</v>
      </c>
      <c r="E99" s="11">
        <f>+C99/C88*100-100</f>
        <v>5.3708316955458457</v>
      </c>
      <c r="F99" s="11">
        <f t="shared" si="6"/>
        <v>6.1106938171426606</v>
      </c>
    </row>
    <row r="100" spans="1:6" ht="16.5" thickBot="1" x14ac:dyDescent="0.3">
      <c r="A100" s="27"/>
      <c r="B100" s="18">
        <v>41974</v>
      </c>
      <c r="C100" s="15">
        <v>13.306089095100809</v>
      </c>
      <c r="D100" s="15">
        <f t="shared" si="7"/>
        <v>0.53603476850290122</v>
      </c>
      <c r="E100" s="15">
        <f>+C100/C88*100-100</f>
        <v>5.935655989294645</v>
      </c>
      <c r="F100" s="15">
        <f t="shared" si="6"/>
        <v>5.935655989294645</v>
      </c>
    </row>
    <row r="101" spans="1:6" x14ac:dyDescent="0.25">
      <c r="A101" s="25">
        <v>2015</v>
      </c>
      <c r="B101" s="10">
        <v>42005</v>
      </c>
      <c r="C101" s="11">
        <v>13.382380540472347</v>
      </c>
      <c r="D101" s="11">
        <f t="shared" si="7"/>
        <v>0.57335739168939881</v>
      </c>
      <c r="E101" s="11">
        <f>+C101/C100*100-100</f>
        <v>0.57335739168939881</v>
      </c>
      <c r="F101" s="11">
        <f t="shared" si="6"/>
        <v>6.1157242427620702</v>
      </c>
    </row>
    <row r="102" spans="1:6" x14ac:dyDescent="0.25">
      <c r="A102" s="26"/>
      <c r="B102" s="10">
        <v>42036</v>
      </c>
      <c r="C102" s="11">
        <v>13.4551843481447</v>
      </c>
      <c r="D102" s="11">
        <f t="shared" si="7"/>
        <v>0.5440273309533552</v>
      </c>
      <c r="E102" s="11">
        <f>+C102/C100*100-100</f>
        <v>1.1205039435575799</v>
      </c>
      <c r="F102" s="11">
        <f t="shared" si="6"/>
        <v>6.3215917399756023</v>
      </c>
    </row>
    <row r="103" spans="1:6" x14ac:dyDescent="0.25">
      <c r="A103" s="26"/>
      <c r="B103" s="10">
        <v>42064</v>
      </c>
      <c r="C103" s="11">
        <v>13.531562211702134</v>
      </c>
      <c r="D103" s="11">
        <f t="shared" si="7"/>
        <v>0.56764635534678121</v>
      </c>
      <c r="E103" s="11">
        <f>+C103/C100*100-100</f>
        <v>1.6945107987014865</v>
      </c>
      <c r="F103" s="11">
        <f t="shared" si="6"/>
        <v>6.5743156386281214</v>
      </c>
    </row>
    <row r="104" spans="1:6" x14ac:dyDescent="0.25">
      <c r="A104" s="26"/>
      <c r="B104" s="10">
        <v>42095</v>
      </c>
      <c r="C104" s="11">
        <v>13.637175987593563</v>
      </c>
      <c r="D104" s="11">
        <f t="shared" si="7"/>
        <v>0.78049950359829268</v>
      </c>
      <c r="E104" s="11">
        <f>+C104/C100*100-100</f>
        <v>2.4882359506720633</v>
      </c>
      <c r="F104" s="11">
        <f t="shared" si="6"/>
        <v>6.8297026908228986</v>
      </c>
    </row>
    <row r="105" spans="1:6" x14ac:dyDescent="0.25">
      <c r="A105" s="26"/>
      <c r="B105" s="10">
        <v>42125</v>
      </c>
      <c r="C105" s="11">
        <v>13.744784470706312</v>
      </c>
      <c r="D105" s="11">
        <f t="shared" si="7"/>
        <v>0.78908186864087781</v>
      </c>
      <c r="E105" s="11">
        <f>+C105/C100*100-100</f>
        <v>3.2969520380487154</v>
      </c>
      <c r="F105" s="11">
        <f t="shared" si="6"/>
        <v>7.3377049713604805</v>
      </c>
    </row>
    <row r="106" spans="1:6" x14ac:dyDescent="0.25">
      <c r="A106" s="26"/>
      <c r="B106" s="10">
        <v>42156</v>
      </c>
      <c r="C106" s="11">
        <v>13.864226530639396</v>
      </c>
      <c r="D106" s="11">
        <f t="shared" si="7"/>
        <v>0.86899914791422361</v>
      </c>
      <c r="E106" s="11">
        <f>+C106/C100*100-100</f>
        <v>4.1946016710807186</v>
      </c>
      <c r="F106" s="11">
        <f t="shared" si="6"/>
        <v>8.003811491991101</v>
      </c>
    </row>
    <row r="107" spans="1:6" x14ac:dyDescent="0.25">
      <c r="A107" s="26"/>
      <c r="B107" s="10">
        <v>42186</v>
      </c>
      <c r="C107" s="11">
        <v>13.952626779996546</v>
      </c>
      <c r="D107" s="11">
        <f t="shared" si="7"/>
        <v>0.63761400004385393</v>
      </c>
      <c r="E107" s="11">
        <f>+C107/C100*100-100</f>
        <v>4.8589610386254378</v>
      </c>
      <c r="F107" s="11">
        <f t="shared" si="6"/>
        <v>7.8386442043959761</v>
      </c>
    </row>
    <row r="108" spans="1:6" x14ac:dyDescent="0.25">
      <c r="A108" s="26"/>
      <c r="B108" s="10">
        <v>42217</v>
      </c>
      <c r="C108" s="11">
        <v>14.063834142428458</v>
      </c>
      <c r="D108" s="11">
        <f t="shared" si="7"/>
        <v>0.79703531231372438</v>
      </c>
      <c r="E108" s="11">
        <f>+C108/C100*100-100</f>
        <v>5.694723986228567</v>
      </c>
      <c r="F108" s="11">
        <f t="shared" si="6"/>
        <v>8.3901014610862319</v>
      </c>
    </row>
    <row r="109" spans="1:6" x14ac:dyDescent="0.25">
      <c r="A109" s="26"/>
      <c r="B109" s="10">
        <v>42248</v>
      </c>
      <c r="C109" s="11">
        <v>14.180471378725301</v>
      </c>
      <c r="D109" s="11">
        <f t="shared" si="7"/>
        <v>0.82934166540663057</v>
      </c>
      <c r="E109" s="11">
        <f>+C109/C100*100-100</f>
        <v>6.571294370382887</v>
      </c>
      <c r="F109" s="11">
        <f t="shared" si="6"/>
        <v>8.6931025723356896</v>
      </c>
    </row>
    <row r="110" spans="1:6" x14ac:dyDescent="0.25">
      <c r="A110" s="26"/>
      <c r="B110" s="10">
        <v>42278</v>
      </c>
      <c r="C110" s="11">
        <v>14.30244054419812</v>
      </c>
      <c r="D110" s="11">
        <f t="shared" si="7"/>
        <v>0.86012067028890726</v>
      </c>
      <c r="E110" s="11">
        <f>+C110/C100*100-100</f>
        <v>7.4879361018570023</v>
      </c>
      <c r="F110" s="11">
        <f t="shared" si="6"/>
        <v>8.8469130992482974</v>
      </c>
    </row>
    <row r="111" spans="1:6" x14ac:dyDescent="0.25">
      <c r="A111" s="26"/>
      <c r="B111" s="10">
        <v>42309</v>
      </c>
      <c r="C111" s="11">
        <v>14.427711469494886</v>
      </c>
      <c r="D111" s="11">
        <f t="shared" si="7"/>
        <v>0.87587097397572222</v>
      </c>
      <c r="E111" s="11">
        <f>+C111/C100*100-100</f>
        <v>8.4293917346987399</v>
      </c>
      <c r="F111" s="11">
        <f t="shared" si="6"/>
        <v>9.0106109736729252</v>
      </c>
    </row>
    <row r="112" spans="1:6" ht="16.5" thickBot="1" x14ac:dyDescent="0.3">
      <c r="A112" s="27"/>
      <c r="B112" s="18">
        <v>42339</v>
      </c>
      <c r="C112" s="15">
        <v>14.558604551653106</v>
      </c>
      <c r="D112" s="15">
        <f>+C112/C111*100-100</f>
        <v>0.90723384949147601</v>
      </c>
      <c r="E112" s="15">
        <f>+C112/C100*100-100</f>
        <v>9.41309987931362</v>
      </c>
      <c r="F112" s="15">
        <f t="shared" si="6"/>
        <v>9.41309987931362</v>
      </c>
    </row>
    <row r="113" spans="1:6" x14ac:dyDescent="0.25">
      <c r="A113" s="25">
        <v>2016</v>
      </c>
      <c r="B113" s="17">
        <v>42370</v>
      </c>
      <c r="C113" s="1">
        <v>14.854468128079972</v>
      </c>
      <c r="D113" s="11">
        <v>2.032224828809376</v>
      </c>
      <c r="E113" s="11">
        <v>2.032224828809376</v>
      </c>
      <c r="F113" s="11">
        <v>11.000192253953543</v>
      </c>
    </row>
    <row r="114" spans="1:6" x14ac:dyDescent="0.25">
      <c r="A114" s="26"/>
      <c r="B114" s="17">
        <v>42401</v>
      </c>
      <c r="C114" s="1">
        <v>15.047632733229568</v>
      </c>
      <c r="D114" s="11">
        <v>1.3003804881067822</v>
      </c>
      <c r="E114" s="11">
        <v>3.3590319720644857</v>
      </c>
      <c r="F114" s="11">
        <v>11.835203025698021</v>
      </c>
    </row>
    <row r="115" spans="1:6" x14ac:dyDescent="0.25">
      <c r="A115" s="26"/>
      <c r="B115" s="17">
        <v>42430</v>
      </c>
      <c r="C115" s="1">
        <v>15.214996847999654</v>
      </c>
      <c r="D115" s="11">
        <v>1.1122288650792029</v>
      </c>
      <c r="E115" s="11">
        <v>4.5086209603242224</v>
      </c>
      <c r="F115" s="11">
        <v>12.440800330073358</v>
      </c>
    </row>
    <row r="116" spans="1:6" x14ac:dyDescent="0.25">
      <c r="A116" s="26"/>
      <c r="B116" s="17">
        <v>42461</v>
      </c>
      <c r="C116" s="1">
        <v>15.39550639996216</v>
      </c>
      <c r="D116" s="11">
        <v>1.1863923059979982</v>
      </c>
      <c r="E116" s="11">
        <v>5.7485031985021351</v>
      </c>
      <c r="F116" s="11">
        <v>12.893654917764792</v>
      </c>
    </row>
    <row r="117" spans="1:6" x14ac:dyDescent="0.25">
      <c r="A117" s="26"/>
      <c r="B117" s="17">
        <v>42491</v>
      </c>
      <c r="C117" s="1">
        <v>15.585291835097372</v>
      </c>
      <c r="D117" s="11">
        <v>1.2327326572101498</v>
      </c>
      <c r="E117" s="11">
        <v>7.0520995319409963</v>
      </c>
      <c r="F117" s="11">
        <v>13.390587304687543</v>
      </c>
    </row>
    <row r="118" spans="1:6" x14ac:dyDescent="0.25">
      <c r="A118" s="26"/>
      <c r="B118" s="17">
        <v>42522</v>
      </c>
      <c r="C118" s="1">
        <v>16.057414132769114</v>
      </c>
      <c r="D118" s="11">
        <v>3.029281085443273</v>
      </c>
      <c r="E118" s="11">
        <v>10.29500853463199</v>
      </c>
      <c r="F118" s="11">
        <v>15.819040444000692</v>
      </c>
    </row>
    <row r="119" spans="1:6" x14ac:dyDescent="0.25">
      <c r="A119" s="26"/>
      <c r="B119" s="17">
        <v>42552</v>
      </c>
      <c r="C119" s="1">
        <v>16.831634289110852</v>
      </c>
      <c r="D119" s="11">
        <v>4.821574320374225</v>
      </c>
      <c r="E119" s="11">
        <v>15.612964342792353</v>
      </c>
      <c r="F119" s="11">
        <v>30.090243944902937</v>
      </c>
    </row>
    <row r="120" spans="1:6" x14ac:dyDescent="0.25">
      <c r="A120" s="26"/>
      <c r="B120" s="17">
        <v>42583</v>
      </c>
      <c r="C120" s="1">
        <v>17.530587243987426</v>
      </c>
      <c r="D120" s="11">
        <v>4.1526149087540318</v>
      </c>
      <c r="E120" s="11">
        <v>20.413925536543644</v>
      </c>
      <c r="F120" s="11">
        <v>24.650127884403133</v>
      </c>
    </row>
    <row r="121" spans="1:6" x14ac:dyDescent="0.25">
      <c r="A121" s="26"/>
      <c r="B121" s="17">
        <v>42614</v>
      </c>
      <c r="C121" s="1">
        <v>18.065173739938732</v>
      </c>
      <c r="D121" s="11">
        <v>3.0494500184793338</v>
      </c>
      <c r="E121" s="11">
        <v>24.085888011069457</v>
      </c>
      <c r="F121" s="11">
        <v>27.394733626708472</v>
      </c>
    </row>
    <row r="122" spans="1:6" x14ac:dyDescent="0.25">
      <c r="A122" s="26"/>
      <c r="B122" s="17">
        <v>42644</v>
      </c>
      <c r="C122" s="1">
        <v>18.537351382226237</v>
      </c>
      <c r="D122" s="11">
        <v>2.6137453704284184</v>
      </c>
      <c r="E122" s="11">
        <v>27.329177164313776</v>
      </c>
      <c r="F122" s="11">
        <v>29.609707692482118</v>
      </c>
    </row>
    <row r="123" spans="1:6" x14ac:dyDescent="0.25">
      <c r="A123" s="26"/>
      <c r="B123" s="17">
        <v>42675</v>
      </c>
      <c r="C123" s="11">
        <v>18.917629513641561</v>
      </c>
      <c r="D123" s="11">
        <v>2.0514156719278844</v>
      </c>
      <c r="E123" s="11">
        <v>29.941227859599337</v>
      </c>
      <c r="F123" s="11">
        <v>31.120098663186468</v>
      </c>
    </row>
    <row r="124" spans="1:6" ht="16.5" thickBot="1" x14ac:dyDescent="0.3">
      <c r="A124" s="27"/>
      <c r="B124" s="18">
        <v>42705</v>
      </c>
      <c r="C124" s="15">
        <v>19.152329045639714</v>
      </c>
      <c r="D124" s="15">
        <v>1.2406392240048376</v>
      </c>
      <c r="E124" s="15">
        <v>31.553329700579013</v>
      </c>
      <c r="F124" s="15">
        <v>31.553329700579013</v>
      </c>
    </row>
    <row r="125" spans="1:6" x14ac:dyDescent="0.25">
      <c r="A125" s="25">
        <v>2017</v>
      </c>
      <c r="B125" s="17">
        <v>42736</v>
      </c>
      <c r="C125" s="11">
        <v>19.377851030347241</v>
      </c>
      <c r="D125" s="11">
        <v>1.1775172835121452</v>
      </c>
      <c r="E125" s="11">
        <v>1.1775172835121452</v>
      </c>
      <c r="F125" s="11">
        <v>30.451328605408236</v>
      </c>
    </row>
    <row r="126" spans="1:6" x14ac:dyDescent="0.25">
      <c r="A126" s="26"/>
      <c r="B126" s="17">
        <v>42767</v>
      </c>
      <c r="C126" s="11">
        <v>19.614762324753617</v>
      </c>
      <c r="D126" s="11">
        <v>1.2225880673525609</v>
      </c>
      <c r="E126" s="11">
        <v>2.41450153666392</v>
      </c>
      <c r="F126" s="11">
        <v>30.351150061221887</v>
      </c>
    </row>
    <row r="127" spans="1:6" x14ac:dyDescent="0.25">
      <c r="A127" s="26"/>
      <c r="B127" s="17">
        <v>42795</v>
      </c>
      <c r="C127" s="11">
        <v>19.872203690293116</v>
      </c>
      <c r="D127" s="11">
        <v>1.3124878154379189</v>
      </c>
      <c r="E127" s="11">
        <v>3.7586793905741018</v>
      </c>
      <c r="F127" s="11">
        <v>30.609318482413983</v>
      </c>
    </row>
    <row r="128" spans="1:6" x14ac:dyDescent="0.25">
      <c r="A128" s="26"/>
      <c r="B128" s="17">
        <v>42826</v>
      </c>
      <c r="C128" s="11">
        <v>20.136131270667271</v>
      </c>
      <c r="D128" s="11">
        <v>1.3281243715465507</v>
      </c>
      <c r="E128" s="11">
        <v>5.1367236991551692</v>
      </c>
      <c r="F128" s="11">
        <v>30.792263323775813</v>
      </c>
    </row>
    <row r="129" spans="1:6" x14ac:dyDescent="0.25">
      <c r="A129" s="26"/>
      <c r="B129" s="17">
        <v>42856</v>
      </c>
      <c r="C129" s="11">
        <v>20.402498493151359</v>
      </c>
      <c r="D129" s="11">
        <v>1.3228321712031885</v>
      </c>
      <c r="E129" s="11">
        <v>6.5275061039966005</v>
      </c>
      <c r="F129" s="11">
        <v>30.908671515575065</v>
      </c>
    </row>
    <row r="130" spans="1:6" x14ac:dyDescent="0.25">
      <c r="A130" s="26"/>
      <c r="B130" s="17">
        <v>42887</v>
      </c>
      <c r="C130" s="11">
        <v>20.64306379055169</v>
      </c>
      <c r="D130" s="11">
        <v>1.1790972438061118</v>
      </c>
      <c r="E130" s="11">
        <v>7.7835689923641809</v>
      </c>
      <c r="F130" s="11">
        <v>28.55783390692045</v>
      </c>
    </row>
    <row r="131" spans="1:6" x14ac:dyDescent="0.25">
      <c r="A131" s="26"/>
      <c r="B131" s="17">
        <v>42917</v>
      </c>
      <c r="C131" s="11">
        <v>20.878428743625001</v>
      </c>
      <c r="D131" s="11">
        <v>1.1401648295106099</v>
      </c>
      <c r="E131" s="11">
        <v>9.0124793380064148</v>
      </c>
      <c r="F131" s="11">
        <v>24.042789814725253</v>
      </c>
    </row>
    <row r="132" spans="1:6" x14ac:dyDescent="0.25">
      <c r="A132" s="26"/>
      <c r="B132" s="17">
        <v>42948</v>
      </c>
      <c r="C132" s="11">
        <v>21.120209789553577</v>
      </c>
      <c r="D132" s="11">
        <v>1.1580423455112907</v>
      </c>
      <c r="E132" s="11">
        <v>10.274890010632291</v>
      </c>
      <c r="F132" s="11">
        <v>20.476339415254373</v>
      </c>
    </row>
    <row r="133" spans="1:6" x14ac:dyDescent="0.25">
      <c r="A133" s="26"/>
      <c r="B133" s="11">
        <v>42979</v>
      </c>
      <c r="C133" s="11">
        <v>21.367649507213226</v>
      </c>
      <c r="D133" s="11">
        <v>1.1715779347136674</v>
      </c>
      <c r="E133" s="11">
        <v>11.566846289526623</v>
      </c>
      <c r="F133" s="11">
        <v>18.280896795215057</v>
      </c>
    </row>
    <row r="134" spans="1:6" x14ac:dyDescent="0.25">
      <c r="A134" s="26"/>
      <c r="B134" s="17">
        <v>42979</v>
      </c>
      <c r="C134" s="11">
        <v>21.616446051998956</v>
      </c>
      <c r="D134" s="11">
        <v>1.1643608469978943</v>
      </c>
      <c r="E134" s="11">
        <v>12.865886965952214</v>
      </c>
      <c r="F134" s="11">
        <v>16.610219045235226</v>
      </c>
    </row>
    <row r="135" spans="1:6" x14ac:dyDescent="0.25">
      <c r="A135" s="26"/>
      <c r="B135" s="17">
        <v>43009</v>
      </c>
      <c r="C135" s="11">
        <v>21.854443088155449</v>
      </c>
      <c r="D135" s="11">
        <v>1.100999838659817</v>
      </c>
      <c r="E135" s="11">
        <v>14.108540199349306</v>
      </c>
      <c r="F135" s="11">
        <v>15.524215507001756</v>
      </c>
    </row>
    <row r="136" spans="1:6" ht="16.5" thickBot="1" x14ac:dyDescent="0.3">
      <c r="A136" s="27"/>
      <c r="B136" s="17">
        <v>43040</v>
      </c>
      <c r="C136" s="15">
        <v>22.113204828673439</v>
      </c>
      <c r="D136" s="15">
        <v>1.1840234934114164</v>
      </c>
      <c r="E136" s="15">
        <v>15.459612123298427</v>
      </c>
      <c r="F136" s="15">
        <v>15.459612123298427</v>
      </c>
    </row>
    <row r="137" spans="1:6" x14ac:dyDescent="0.25">
      <c r="A137" s="25">
        <v>2018</v>
      </c>
      <c r="B137" s="17">
        <v>43101</v>
      </c>
      <c r="C137" s="11">
        <v>22.383658557290026</v>
      </c>
      <c r="D137" s="11">
        <v>1.2230417558738509</v>
      </c>
      <c r="E137" s="11">
        <v>1.2230417558738509</v>
      </c>
      <c r="F137" s="11">
        <v>15.511562774610326</v>
      </c>
    </row>
    <row r="138" spans="1:6" x14ac:dyDescent="0.25">
      <c r="A138" s="26"/>
      <c r="B138" s="17">
        <v>43132</v>
      </c>
      <c r="C138" s="11">
        <v>22.666672436146065</v>
      </c>
      <c r="D138" s="11">
        <v>1.264377215778552</v>
      </c>
      <c r="E138" s="11">
        <v>2.5028828329531194</v>
      </c>
      <c r="F138" s="11">
        <v>15.559251041961232</v>
      </c>
    </row>
    <row r="139" spans="1:6" x14ac:dyDescent="0.25">
      <c r="A139" s="26"/>
      <c r="B139" s="17">
        <v>43160</v>
      </c>
      <c r="C139" s="11">
        <v>22.957526392184178</v>
      </c>
      <c r="D139" s="11">
        <v>1.2831788912001798</v>
      </c>
      <c r="E139" s="11">
        <v>3.8181781883372139</v>
      </c>
      <c r="F139" s="11">
        <v>15.525820638594496</v>
      </c>
    </row>
    <row r="140" spans="1:6" x14ac:dyDescent="0.25">
      <c r="A140" s="26"/>
      <c r="B140" s="17">
        <v>43191</v>
      </c>
      <c r="C140" s="11">
        <v>23.26844379733263</v>
      </c>
      <c r="D140" s="11">
        <v>1.354315790983037</v>
      </c>
      <c r="E140" s="11">
        <v>5.2242041694527757</v>
      </c>
      <c r="F140" s="11">
        <v>15.555681896195566</v>
      </c>
    </row>
    <row r="141" spans="1:6" x14ac:dyDescent="0.25">
      <c r="A141" s="26"/>
      <c r="B141" s="17">
        <v>43221</v>
      </c>
      <c r="C141" s="11">
        <v>23.599752750877684</v>
      </c>
      <c r="D141" s="11">
        <v>1.4238552282685504</v>
      </c>
      <c r="E141" s="11">
        <v>6.7224445019235191</v>
      </c>
      <c r="F141" s="11">
        <v>15.670895693483629</v>
      </c>
    </row>
    <row r="142" spans="1:6" x14ac:dyDescent="0.25">
      <c r="A142" s="26"/>
      <c r="B142" s="17">
        <v>43252</v>
      </c>
      <c r="C142" s="11">
        <v>23.919399654636916</v>
      </c>
      <c r="D142" s="11">
        <v>1.3544502229894988</v>
      </c>
      <c r="E142" s="11">
        <v>8.167946889459671</v>
      </c>
      <c r="F142" s="11">
        <v>15.871364334904598</v>
      </c>
    </row>
    <row r="143" spans="1:6" x14ac:dyDescent="0.25">
      <c r="A143" s="26"/>
      <c r="B143" s="17">
        <v>43282</v>
      </c>
      <c r="C143" s="11">
        <v>24.232679537606035</v>
      </c>
      <c r="D143" s="11">
        <v>1.3097313791000147</v>
      </c>
      <c r="E143" s="11">
        <v>9.5846564319991501</v>
      </c>
      <c r="F143" s="11">
        <v>16.065628477934297</v>
      </c>
    </row>
    <row r="144" spans="1:6" x14ac:dyDescent="0.25">
      <c r="A144" s="26"/>
      <c r="B144" s="17">
        <v>43313</v>
      </c>
      <c r="C144" s="11">
        <v>24.522048287525479</v>
      </c>
      <c r="D144" s="11">
        <v>1.1941260951781203</v>
      </c>
      <c r="E144" s="11">
        <v>10.893235410764945</v>
      </c>
      <c r="F144" s="11">
        <v>16.107029863190618</v>
      </c>
    </row>
    <row r="145" spans="1:6" x14ac:dyDescent="0.25">
      <c r="A145" s="26"/>
      <c r="B145" s="17">
        <v>43344</v>
      </c>
      <c r="C145" s="11">
        <v>24.834382227446493</v>
      </c>
      <c r="D145" s="11">
        <v>1.2736861793062388</v>
      </c>
      <c r="E145" s="11">
        <v>12.305667223977395</v>
      </c>
      <c r="F145" s="11">
        <v>16.224211835106047</v>
      </c>
    </row>
    <row r="146" spans="1:6" x14ac:dyDescent="0.25">
      <c r="A146" s="26"/>
      <c r="B146" s="17">
        <v>43374</v>
      </c>
      <c r="C146" s="11">
        <v>25.138304903983226</v>
      </c>
      <c r="D146" s="11">
        <v>1.2237980141935907</v>
      </c>
      <c r="E146" s="11">
        <v>13.680061749291283</v>
      </c>
      <c r="F146" s="11">
        <v>16.292497127013149</v>
      </c>
    </row>
    <row r="147" spans="1:6" x14ac:dyDescent="0.25">
      <c r="A147" s="26"/>
      <c r="B147" s="17">
        <v>43405</v>
      </c>
      <c r="C147" s="11">
        <v>25.456301878984267</v>
      </c>
      <c r="D147" s="11">
        <v>1.2649897286855207</v>
      </c>
      <c r="E147" s="11">
        <v>15.118102853983189</v>
      </c>
      <c r="F147" s="11">
        <v>16.481128236943874</v>
      </c>
    </row>
    <row r="148" spans="1:6" ht="16.5" thickBot="1" x14ac:dyDescent="0.3">
      <c r="A148" s="27"/>
      <c r="B148" s="18">
        <v>43435</v>
      </c>
      <c r="C148" s="15">
        <v>25.78280735053778</v>
      </c>
      <c r="D148" s="15">
        <v>1.2826115635557329</v>
      </c>
      <c r="E148" s="15">
        <v>16.594620952934363</v>
      </c>
      <c r="F148" s="15">
        <v>16.594620952934363</v>
      </c>
    </row>
    <row r="149" spans="1:6" x14ac:dyDescent="0.25">
      <c r="A149" s="25">
        <v>2019</v>
      </c>
      <c r="B149" s="17">
        <v>43466</v>
      </c>
      <c r="C149" s="11">
        <v>26.123776411037404</v>
      </c>
      <c r="D149" s="11">
        <v>1.3224667735513691</v>
      </c>
      <c r="E149" s="11">
        <v>1.3224667735513691</v>
      </c>
      <c r="F149" s="11">
        <v>16.709144504571057</v>
      </c>
    </row>
    <row r="150" spans="1:6" x14ac:dyDescent="0.25">
      <c r="A150" s="26"/>
      <c r="B150" s="17">
        <v>43497</v>
      </c>
      <c r="C150" s="11">
        <v>26.461996142563887</v>
      </c>
      <c r="D150" s="11">
        <v>1.2946816195517101</v>
      </c>
      <c r="E150" s="11">
        <v>2.6342701273449336</v>
      </c>
      <c r="F150" s="11">
        <v>16.744070913406333</v>
      </c>
    </row>
    <row r="151" spans="1:6" x14ac:dyDescent="0.25">
      <c r="A151" s="26"/>
      <c r="B151" s="17">
        <v>43525</v>
      </c>
      <c r="C151" s="11">
        <v>26.806489793616624</v>
      </c>
      <c r="D151" s="11">
        <v>1.301843024981082</v>
      </c>
      <c r="E151" s="11">
        <v>3.9704072142380227</v>
      </c>
      <c r="F151" s="11">
        <v>16.76558412992965</v>
      </c>
    </row>
    <row r="152" spans="1:6" x14ac:dyDescent="0.25">
      <c r="A152" s="26"/>
      <c r="B152" s="17">
        <v>43556</v>
      </c>
      <c r="C152" s="11">
        <v>27.166225324158646</v>
      </c>
      <c r="D152" s="11">
        <v>1.3419717885916072</v>
      </c>
      <c r="E152" s="11">
        <v>5.3656607475369213</v>
      </c>
      <c r="F152" s="11">
        <v>16.75136318000277</v>
      </c>
    </row>
    <row r="153" spans="1:6" x14ac:dyDescent="0.25">
      <c r="A153" s="26"/>
      <c r="B153" s="17">
        <v>43586</v>
      </c>
      <c r="C153" s="11">
        <v>27.5179367031837</v>
      </c>
      <c r="D153" s="11">
        <v>1.2946641457482144</v>
      </c>
      <c r="E153" s="11">
        <v>6.7297921791659832</v>
      </c>
      <c r="F153" s="11">
        <v>16.602648314441765</v>
      </c>
    </row>
    <row r="154" spans="1:6" x14ac:dyDescent="0.25">
      <c r="A154" s="26"/>
      <c r="B154" s="17">
        <v>43617</v>
      </c>
      <c r="C154" s="11">
        <v>27.876510863393104</v>
      </c>
      <c r="D154" s="11">
        <v>1.3030561269076628</v>
      </c>
      <c r="E154" s="11">
        <v>8.1205412753924122</v>
      </c>
      <c r="F154" s="11">
        <v>16.543522270171536</v>
      </c>
    </row>
    <row r="155" spans="1:6" x14ac:dyDescent="0.25">
      <c r="A155" s="26"/>
      <c r="B155" s="17">
        <v>43647</v>
      </c>
      <c r="C155" s="11">
        <v>28.267399176713532</v>
      </c>
      <c r="D155" s="11">
        <v>1.4022139113318133</v>
      </c>
      <c r="E155" s="11">
        <v>9.636622546163224</v>
      </c>
      <c r="F155" s="11">
        <v>16.649911260725929</v>
      </c>
    </row>
    <row r="156" spans="1:6" x14ac:dyDescent="0.25">
      <c r="A156" s="26"/>
      <c r="B156" s="17">
        <v>43678</v>
      </c>
      <c r="C156" s="11">
        <v>28.66562450479201</v>
      </c>
      <c r="D156" s="11">
        <v>1.4087795116521988</v>
      </c>
      <c r="E156" s="11">
        <v>11.181160821861027</v>
      </c>
      <c r="F156" s="11">
        <v>16.897349555315884</v>
      </c>
    </row>
    <row r="157" spans="1:6" x14ac:dyDescent="0.25">
      <c r="A157" s="26"/>
      <c r="B157" s="17">
        <v>43709</v>
      </c>
      <c r="C157" s="11">
        <v>29.076765521428722</v>
      </c>
      <c r="D157" s="11">
        <v>1.4342649906963914</v>
      </c>
      <c r="E157" s="11">
        <v>12.775793287778797</v>
      </c>
      <c r="F157" s="11">
        <v>17.082701132358451</v>
      </c>
    </row>
    <row r="158" spans="1:6" x14ac:dyDescent="0.25">
      <c r="A158" s="26"/>
      <c r="B158" s="17">
        <v>43739</v>
      </c>
      <c r="C158" s="11">
        <v>29.513338193259592</v>
      </c>
      <c r="D158" s="11">
        <v>1.5014485414793626</v>
      </c>
      <c r="E158" s="11">
        <v>14.469063791239961</v>
      </c>
      <c r="F158" s="11">
        <v>17.403851635927637</v>
      </c>
    </row>
    <row r="159" spans="1:6" x14ac:dyDescent="0.25">
      <c r="A159" s="26"/>
      <c r="B159" s="17">
        <v>43770</v>
      </c>
      <c r="C159" s="11">
        <v>29.968622461163307</v>
      </c>
      <c r="D159" s="11">
        <v>1.5426390092588633</v>
      </c>
      <c r="E159" s="11">
        <v>16.23490822281704</v>
      </c>
      <c r="F159" s="11">
        <v>17.725750596571288</v>
      </c>
    </row>
    <row r="160" spans="1:6" ht="16.5" thickBot="1" x14ac:dyDescent="0.3">
      <c r="A160" s="27"/>
      <c r="B160" s="18">
        <v>43800</v>
      </c>
      <c r="C160" s="15">
        <v>30.441236900063956</v>
      </c>
      <c r="D160" s="15">
        <v>1.5770309079541818</v>
      </c>
      <c r="E160" s="15">
        <v>18.067968651323056</v>
      </c>
      <c r="F160" s="15">
        <v>18.067968651323056</v>
      </c>
    </row>
    <row r="161" spans="1:6" x14ac:dyDescent="0.25">
      <c r="A161" s="25">
        <v>2020</v>
      </c>
      <c r="B161" s="17">
        <v>43831</v>
      </c>
      <c r="C161" s="11">
        <v>30.940884330692363</v>
      </c>
      <c r="D161" s="11">
        <v>1.641350620110174</v>
      </c>
      <c r="E161" s="11">
        <v>1.641350620110174</v>
      </c>
      <c r="F161" s="11">
        <v>18.439554235427138</v>
      </c>
    </row>
    <row r="162" spans="1:6" x14ac:dyDescent="0.25">
      <c r="A162" s="26"/>
      <c r="B162" s="17">
        <v>43862</v>
      </c>
      <c r="C162" s="11">
        <v>31.457503809168635</v>
      </c>
      <c r="D162" s="11">
        <v>1.6696984900454197</v>
      </c>
      <c r="E162" s="11">
        <v>3.3384547166759262</v>
      </c>
      <c r="F162" s="11">
        <v>18.878045479605817</v>
      </c>
    </row>
    <row r="163" spans="1:6" x14ac:dyDescent="0.25">
      <c r="A163" s="26"/>
      <c r="B163" s="17">
        <v>43891</v>
      </c>
      <c r="C163" s="11">
        <v>32.02428718957627</v>
      </c>
      <c r="D163" s="11">
        <v>1.8017430240044803</v>
      </c>
      <c r="E163" s="11">
        <v>5.200348115647671</v>
      </c>
      <c r="F163" s="11">
        <v>19.464679770203091</v>
      </c>
    </row>
    <row r="164" spans="1:6" x14ac:dyDescent="0.25">
      <c r="A164" s="26"/>
      <c r="B164" s="17">
        <v>43922</v>
      </c>
      <c r="C164" s="11">
        <v>32.6242693001535</v>
      </c>
      <c r="D164" s="11">
        <v>1.8735221396981103</v>
      </c>
      <c r="E164" s="11">
        <v>7.1712999286338288</v>
      </c>
      <c r="F164" s="11">
        <v>20.09128581857513</v>
      </c>
    </row>
    <row r="165" spans="1:6" x14ac:dyDescent="0.25">
      <c r="A165" s="26"/>
      <c r="B165" s="17">
        <v>43952</v>
      </c>
      <c r="C165" s="11">
        <v>33.243562547080415</v>
      </c>
      <c r="D165" s="11">
        <v>1.8982593640005376</v>
      </c>
      <c r="E165" s="11">
        <v>9.2056891650502166</v>
      </c>
      <c r="F165" s="11">
        <v>20.806886452479873</v>
      </c>
    </row>
    <row r="166" spans="1:6" x14ac:dyDescent="0.25">
      <c r="A166" s="26"/>
      <c r="B166" s="17">
        <v>43983</v>
      </c>
      <c r="C166" s="11">
        <v>33.88203173843447</v>
      </c>
      <c r="D166" s="11">
        <v>1.9205799331820685</v>
      </c>
      <c r="E166" s="11">
        <v>11.303071717047359</v>
      </c>
      <c r="F166" s="11">
        <v>21.543301830243394</v>
      </c>
    </row>
    <row r="167" spans="1:6" x14ac:dyDescent="0.25">
      <c r="A167" s="26"/>
      <c r="B167" s="17">
        <v>44013</v>
      </c>
      <c r="C167" s="11">
        <v>34.544056208510341</v>
      </c>
      <c r="D167" s="11">
        <v>1.9539101881098162</v>
      </c>
      <c r="E167" s="11">
        <v>13.477833775005934</v>
      </c>
      <c r="F167" s="11">
        <v>22.204579178149061</v>
      </c>
    </row>
    <row r="168" spans="1:6" x14ac:dyDescent="0.25">
      <c r="A168" s="26"/>
      <c r="B168" s="17">
        <v>44044</v>
      </c>
      <c r="C168" s="11">
        <v>35.229838268740096</v>
      </c>
      <c r="D168" s="11">
        <v>1.9852389542511162</v>
      </c>
      <c r="E168" s="11">
        <v>15.730639935547686</v>
      </c>
      <c r="F168" s="11">
        <v>22.899252597307807</v>
      </c>
    </row>
    <row r="169" spans="1:6" x14ac:dyDescent="0.25">
      <c r="A169" s="26"/>
      <c r="B169" s="17">
        <v>44075</v>
      </c>
      <c r="C169" s="11">
        <v>35.932993459828729</v>
      </c>
      <c r="D169" s="11">
        <v>1.9959080871300898</v>
      </c>
      <c r="E169" s="11">
        <v>18.040517137308683</v>
      </c>
      <c r="F169" s="11">
        <v>23.57974766260422</v>
      </c>
    </row>
    <row r="170" spans="1:6" x14ac:dyDescent="0.25">
      <c r="A170" s="26"/>
      <c r="B170" s="17">
        <v>44105</v>
      </c>
      <c r="C170" s="11">
        <v>36.673081188665051</v>
      </c>
      <c r="D170" s="11">
        <v>2.0596328264821864</v>
      </c>
      <c r="E170" s="11">
        <v>20.471718376818004</v>
      </c>
      <c r="F170" s="11">
        <v>24.259346565684808</v>
      </c>
    </row>
    <row r="171" spans="1:6" x14ac:dyDescent="0.25">
      <c r="A171" s="26"/>
      <c r="B171" s="17">
        <v>44136</v>
      </c>
      <c r="C171" s="11">
        <v>37.434691681992213</v>
      </c>
      <c r="D171" s="11">
        <v>2.0767562163894695</v>
      </c>
      <c r="E171" s="11">
        <v>22.973622277199794</v>
      </c>
      <c r="F171" s="11">
        <v>24.912954309142066</v>
      </c>
    </row>
    <row r="172" spans="1:6" ht="16.5" thickBot="1" x14ac:dyDescent="0.3">
      <c r="A172" s="27"/>
      <c r="B172" s="18">
        <v>44166</v>
      </c>
      <c r="C172" s="15">
        <v>38.220047462852747</v>
      </c>
      <c r="D172" s="15">
        <v>2.0979357531033713</v>
      </c>
      <c r="E172" s="15">
        <v>25.553529865839479</v>
      </c>
      <c r="F172" s="15">
        <v>25.553529865839479</v>
      </c>
    </row>
    <row r="173" spans="1:6" x14ac:dyDescent="0.25">
      <c r="A173" s="25">
        <v>2021</v>
      </c>
      <c r="B173" s="17">
        <v>44197</v>
      </c>
      <c r="C173" s="11">
        <v>39.028294292627606</v>
      </c>
      <c r="D173" s="11">
        <v>2.1147195867833943</v>
      </c>
      <c r="E173" s="11">
        <v>2.1147195867833943</v>
      </c>
      <c r="F173" s="11">
        <v>26.138263779076269</v>
      </c>
    </row>
    <row r="174" spans="1:6" x14ac:dyDescent="0.25">
      <c r="A174" s="26"/>
      <c r="B174" s="17">
        <v>44228</v>
      </c>
      <c r="C174" s="11">
        <v>39.857497309755615</v>
      </c>
      <c r="D174" s="11">
        <v>2.1246201817347838</v>
      </c>
      <c r="E174" s="11">
        <v>4.2842695276460887</v>
      </c>
      <c r="F174" s="11">
        <v>26.702670216759898</v>
      </c>
    </row>
    <row r="175" spans="1:6" x14ac:dyDescent="0.25">
      <c r="A175" s="26"/>
      <c r="B175" s="17">
        <v>44256</v>
      </c>
      <c r="C175" s="11">
        <v>40.715630533194322</v>
      </c>
      <c r="D175" s="11">
        <v>2.1530032775757491</v>
      </c>
      <c r="E175" s="11">
        <v>6.5295132685722308</v>
      </c>
      <c r="F175" s="11">
        <v>27.139849490380001</v>
      </c>
    </row>
    <row r="176" spans="1:6" x14ac:dyDescent="0.25">
      <c r="A176" s="26"/>
      <c r="B176" s="17">
        <v>44287</v>
      </c>
      <c r="C176" s="11">
        <v>41.596767613385374</v>
      </c>
      <c r="D176" s="11">
        <v>2.1641248548826582</v>
      </c>
      <c r="E176" s="11">
        <v>8.8349449430029381</v>
      </c>
      <c r="F176" s="11">
        <v>27.502526510807286</v>
      </c>
    </row>
    <row r="177" spans="1:6" x14ac:dyDescent="0.25">
      <c r="A177" s="26"/>
      <c r="B177" s="17">
        <v>44317</v>
      </c>
      <c r="C177" s="11">
        <v>42.502854394178122</v>
      </c>
      <c r="D177" s="11">
        <v>2.1782624775420913</v>
      </c>
      <c r="E177" s="11">
        <v>11.205655711149959</v>
      </c>
      <c r="F177" s="11">
        <v>27.852886807737448</v>
      </c>
    </row>
    <row r="178" spans="1:6" x14ac:dyDescent="0.25">
      <c r="A178" s="26"/>
      <c r="B178" s="17">
        <v>44348</v>
      </c>
      <c r="C178" s="11">
        <v>43.43555121372367</v>
      </c>
      <c r="D178" s="11">
        <v>2.1944333688640256</v>
      </c>
      <c r="E178" s="11">
        <v>13.645989728139483</v>
      </c>
      <c r="F178" s="11">
        <v>28.196418529565506</v>
      </c>
    </row>
    <row r="179" spans="1:6" x14ac:dyDescent="0.25">
      <c r="A179" s="26"/>
      <c r="B179" s="17">
        <v>44378</v>
      </c>
      <c r="C179" s="11">
        <v>44.397057375690792</v>
      </c>
      <c r="D179" s="11">
        <v>2.2136386786852427</v>
      </c>
      <c r="E179" s="11">
        <v>16.161701313536227</v>
      </c>
      <c r="F179" s="11">
        <v>28.523000042922121</v>
      </c>
    </row>
    <row r="180" spans="1:6" x14ac:dyDescent="0.25">
      <c r="A180" s="26"/>
      <c r="B180" s="17">
        <v>44409</v>
      </c>
      <c r="C180" s="11">
        <v>45.382209485862809</v>
      </c>
      <c r="D180" s="11">
        <v>2.2189581211105889</v>
      </c>
      <c r="E180" s="11">
        <v>18.739280818453182</v>
      </c>
      <c r="F180" s="11">
        <v>28.817535691417135</v>
      </c>
    </row>
    <row r="181" spans="1:6" x14ac:dyDescent="0.25">
      <c r="A181" s="26"/>
      <c r="B181" s="17">
        <v>44440</v>
      </c>
      <c r="C181" s="11">
        <v>46.400797033942695</v>
      </c>
      <c r="D181" s="11">
        <v>2.2444644269627361</v>
      </c>
      <c r="E181" s="11">
        <v>21.404341737254711</v>
      </c>
      <c r="F181" s="11">
        <v>29.13145431597971</v>
      </c>
    </row>
    <row r="182" spans="1:6" x14ac:dyDescent="0.25">
      <c r="A182" s="26"/>
      <c r="B182" s="17">
        <v>44470</v>
      </c>
      <c r="C182" s="11">
        <v>47.391009559437109</v>
      </c>
      <c r="D182" s="11">
        <v>2.1340420613250615</v>
      </c>
      <c r="E182" s="11">
        <v>23.995161454202545</v>
      </c>
      <c r="F182" s="11">
        <v>29.225600967733158</v>
      </c>
    </row>
    <row r="183" spans="1:6" x14ac:dyDescent="0.25">
      <c r="A183" s="26"/>
      <c r="B183" s="17">
        <v>44501</v>
      </c>
      <c r="C183" s="11">
        <v>48.408597017189081</v>
      </c>
      <c r="D183" s="11">
        <v>2.1472162488451261</v>
      </c>
      <c r="E183" s="11">
        <v>26.657605708728923</v>
      </c>
      <c r="F183" s="11">
        <v>29.314800902917057</v>
      </c>
    </row>
    <row r="184" spans="1:6" ht="16.5" thickBot="1" x14ac:dyDescent="0.3">
      <c r="A184" s="27"/>
      <c r="B184" s="18">
        <v>44531</v>
      </c>
      <c r="C184" s="15">
        <v>49.45213231904615</v>
      </c>
      <c r="D184" s="15">
        <v>2.1556817717450514</v>
      </c>
      <c r="E184" s="15">
        <v>29.38794062752072</v>
      </c>
      <c r="F184" s="15">
        <v>29.38794062752072</v>
      </c>
    </row>
    <row r="185" spans="1:6" x14ac:dyDescent="0.25">
      <c r="A185" s="25">
        <v>2022</v>
      </c>
      <c r="B185" s="17">
        <v>44562</v>
      </c>
      <c r="C185" s="11">
        <v>50.510722788329979</v>
      </c>
      <c r="D185" s="11">
        <v>2.1406366513261759</v>
      </c>
      <c r="E185" s="11">
        <v>2.1406366513261759</v>
      </c>
      <c r="F185" s="11">
        <v>29.420779728698989</v>
      </c>
    </row>
    <row r="186" spans="1:6" x14ac:dyDescent="0.25">
      <c r="A186" s="26"/>
      <c r="B186" s="17">
        <v>44593</v>
      </c>
      <c r="C186" s="11">
        <v>51.567509280066361</v>
      </c>
      <c r="D186" s="11">
        <v>2.0922022758711023</v>
      </c>
      <c r="E186" s="11">
        <v>4.2776253759344769</v>
      </c>
      <c r="F186" s="11">
        <v>29.379697072561981</v>
      </c>
    </row>
    <row r="187" spans="1:6" x14ac:dyDescent="0.25">
      <c r="A187" s="26"/>
      <c r="B187" s="17">
        <v>44621</v>
      </c>
      <c r="C187" s="11">
        <v>52.632268364510004</v>
      </c>
      <c r="D187" s="11">
        <v>2.064786721927689</v>
      </c>
      <c r="E187" s="11">
        <v>6.4307359386382785</v>
      </c>
      <c r="F187" s="11">
        <v>29.267968284564262</v>
      </c>
    </row>
    <row r="188" spans="1:6" x14ac:dyDescent="0.25">
      <c r="A188" s="26"/>
      <c r="B188" s="17">
        <v>44652</v>
      </c>
      <c r="C188" s="11">
        <v>53.27667770268738</v>
      </c>
      <c r="D188" s="11">
        <v>1.2243617047140276</v>
      </c>
      <c r="E188" s="11">
        <v>7.7338331115162759</v>
      </c>
      <c r="F188" s="11">
        <v>28.078888720054152</v>
      </c>
    </row>
    <row r="189" spans="1:6" x14ac:dyDescent="0.25">
      <c r="A189" s="26"/>
      <c r="B189" s="17">
        <v>44682</v>
      </c>
      <c r="C189" s="11">
        <v>53.790263525878046</v>
      </c>
      <c r="D189" s="11">
        <v>0.96399746631490757</v>
      </c>
      <c r="E189" s="11">
        <v>8.7723845330752255</v>
      </c>
      <c r="F189" s="11">
        <v>26.556826106356809</v>
      </c>
    </row>
    <row r="190" spans="1:6" x14ac:dyDescent="0.25">
      <c r="A190" s="26"/>
      <c r="B190" s="17">
        <v>44713</v>
      </c>
      <c r="C190" s="11">
        <v>54.271912039412406</v>
      </c>
      <c r="D190" s="11">
        <v>0.8954195089649204</v>
      </c>
      <c r="E190" s="11">
        <v>9.7463536845507264</v>
      </c>
      <c r="F190" s="11">
        <v>24.948137005027675</v>
      </c>
    </row>
    <row r="191" spans="1:6" x14ac:dyDescent="0.25">
      <c r="A191" s="26"/>
      <c r="B191" s="17">
        <v>44743</v>
      </c>
      <c r="C191" s="11">
        <v>54.763659731005824</v>
      </c>
      <c r="D191" s="11">
        <v>0.90608138374838632</v>
      </c>
      <c r="E191" s="11">
        <v>10.740744964629116</v>
      </c>
      <c r="F191" s="11">
        <v>23.349751015235469</v>
      </c>
    </row>
    <row r="192" spans="1:6" x14ac:dyDescent="0.25">
      <c r="A192" s="26"/>
      <c r="B192" s="17">
        <v>44774</v>
      </c>
      <c r="C192" s="11">
        <v>55.248299844389926</v>
      </c>
      <c r="D192" s="11">
        <v>0.88496662890065636</v>
      </c>
      <c r="E192" s="11">
        <v>11.720763602162052</v>
      </c>
      <c r="F192" s="11">
        <v>21.739995628905078</v>
      </c>
    </row>
    <row r="193" spans="1:6" x14ac:dyDescent="0.25">
      <c r="A193" s="26"/>
      <c r="B193" s="17">
        <v>44805</v>
      </c>
      <c r="C193" s="11">
        <v>55.743473424693057</v>
      </c>
      <c r="D193" s="11">
        <v>0.89626935434723976</v>
      </c>
      <c r="E193" s="11">
        <v>12.722082568770944</v>
      </c>
      <c r="F193" s="11">
        <v>20.134732564865402</v>
      </c>
    </row>
    <row r="194" spans="1:6" x14ac:dyDescent="0.25">
      <c r="A194" s="26"/>
      <c r="B194" s="17">
        <v>44835</v>
      </c>
      <c r="C194" s="11">
        <v>56.232510814002922</v>
      </c>
      <c r="D194" s="11">
        <v>0.87729981514432609</v>
      </c>
      <c r="E194" s="11">
        <v>13.710993190773607</v>
      </c>
      <c r="F194" s="11">
        <v>18.65649484313461</v>
      </c>
    </row>
    <row r="195" spans="1:6" x14ac:dyDescent="0.25">
      <c r="A195" s="26"/>
      <c r="B195" s="17">
        <v>44866</v>
      </c>
      <c r="C195" s="11">
        <v>56.752496423158014</v>
      </c>
      <c r="D195" s="11">
        <v>0.92470636937238737</v>
      </c>
      <c r="E195" s="11">
        <v>14.762485987485292</v>
      </c>
      <c r="F195" s="11">
        <v>17.236399978718978</v>
      </c>
    </row>
    <row r="196" spans="1:6" ht="16.5" thickBot="1" x14ac:dyDescent="0.3">
      <c r="A196" s="27"/>
      <c r="B196" s="18">
        <v>44896</v>
      </c>
      <c r="C196" s="15">
        <v>57.293329573970254</v>
      </c>
      <c r="D196" s="15">
        <v>0.95296803647133288</v>
      </c>
      <c r="E196" s="15">
        <v>15.856135796805916</v>
      </c>
      <c r="F196" s="15">
        <v>15.856135796805916</v>
      </c>
    </row>
    <row r="197" spans="1:6" x14ac:dyDescent="0.25">
      <c r="A197" s="25">
        <v>2023</v>
      </c>
      <c r="B197" s="17">
        <v>44927</v>
      </c>
      <c r="C197" s="11">
        <v>57.813383390646791</v>
      </c>
      <c r="D197" s="11">
        <v>0.90770395182759955</v>
      </c>
      <c r="E197" s="11">
        <v>0.90770395182759955</v>
      </c>
      <c r="F197" s="11">
        <v>14.457644237084708</v>
      </c>
    </row>
    <row r="198" spans="1:6" x14ac:dyDescent="0.25">
      <c r="A198" s="26"/>
      <c r="B198" s="17">
        <v>44958</v>
      </c>
      <c r="C198" s="11">
        <v>58.353642747067688</v>
      </c>
      <c r="D198" s="11">
        <v>0.93448839133034767</v>
      </c>
      <c r="E198" s="11">
        <v>1.8506747312154346</v>
      </c>
      <c r="F198" s="11">
        <v>13.159707656511827</v>
      </c>
    </row>
    <row r="199" spans="1:6" x14ac:dyDescent="0.25">
      <c r="A199" s="26"/>
      <c r="B199" s="17">
        <v>44986</v>
      </c>
      <c r="C199" s="11">
        <v>58.914845571925447</v>
      </c>
      <c r="D199" s="11">
        <v>0.9617271492206072</v>
      </c>
      <c r="E199" s="11">
        <v>2.8302003217698797</v>
      </c>
      <c r="F199" s="11">
        <v>11.936740335614687</v>
      </c>
    </row>
    <row r="200" spans="1:6" x14ac:dyDescent="0.25">
      <c r="A200" s="26"/>
      <c r="B200" s="17">
        <v>45017</v>
      </c>
      <c r="C200" s="11">
        <v>59.502009997102959</v>
      </c>
      <c r="D200" s="11">
        <v>0.99663237589358289</v>
      </c>
      <c r="E200" s="11">
        <v>3.8550393903728803</v>
      </c>
      <c r="F200" s="11">
        <v>11.684910851904647</v>
      </c>
    </row>
    <row r="201" spans="1:6" x14ac:dyDescent="0.25">
      <c r="A201" s="26"/>
      <c r="B201" s="17">
        <v>45047</v>
      </c>
      <c r="C201" s="11">
        <v>60.10857528848225</v>
      </c>
      <c r="D201" s="11">
        <v>1.0194030275764163</v>
      </c>
      <c r="E201" s="11">
        <v>4.9137408062090344</v>
      </c>
      <c r="F201" s="11">
        <v>11.746199680848406</v>
      </c>
    </row>
    <row r="202" spans="1:6" x14ac:dyDescent="0.25">
      <c r="A202" s="26"/>
      <c r="B202" s="17">
        <v>45078</v>
      </c>
      <c r="C202" s="11">
        <v>60.973099071806502</v>
      </c>
      <c r="D202" s="11">
        <v>1.4382702953365651</v>
      </c>
      <c r="E202" s="11">
        <v>6.4226839759511165</v>
      </c>
      <c r="F202" s="11">
        <v>12.347431259705161</v>
      </c>
    </row>
    <row r="203" spans="1:6" x14ac:dyDescent="0.25">
      <c r="A203" s="26"/>
      <c r="B203" s="17">
        <v>45108</v>
      </c>
      <c r="C203" s="11">
        <v>62.031212473454659</v>
      </c>
      <c r="D203" s="11">
        <v>1.7353774332546692</v>
      </c>
      <c r="E203" s="11">
        <v>8.2695192175337127</v>
      </c>
      <c r="F203" s="11">
        <v>13.270757977363814</v>
      </c>
    </row>
    <row r="204" spans="1:6" x14ac:dyDescent="0.25">
      <c r="A204" s="26"/>
      <c r="B204" s="17">
        <v>45139</v>
      </c>
      <c r="C204" s="11">
        <v>63.40149011111609</v>
      </c>
      <c r="D204" s="11">
        <v>2.209013145193353</v>
      </c>
      <c r="E204" s="11">
        <v>10.66120712928668</v>
      </c>
      <c r="F204" s="11">
        <v>14.75735957430382</v>
      </c>
    </row>
    <row r="205" spans="1:6" x14ac:dyDescent="0.25">
      <c r="A205" s="26"/>
      <c r="B205" s="17">
        <v>45170</v>
      </c>
      <c r="C205" s="11">
        <v>65.101887814305357</v>
      </c>
      <c r="D205" s="11">
        <v>2.681952269905949</v>
      </c>
      <c r="E205" s="11">
        <v>13.629087885795911</v>
      </c>
      <c r="F205" s="11">
        <v>16.788358913900666</v>
      </c>
    </row>
    <row r="206" spans="1:6" x14ac:dyDescent="0.25">
      <c r="A206" s="26"/>
      <c r="B206" s="17">
        <v>45200</v>
      </c>
      <c r="C206" s="11">
        <v>66.885146774154975</v>
      </c>
      <c r="D206" s="11">
        <v>2.7391816423759252</v>
      </c>
      <c r="E206" s="11">
        <v>16.741595001562843</v>
      </c>
      <c r="F206" s="11">
        <v>18.943909503502667</v>
      </c>
    </row>
    <row r="207" spans="1:6" x14ac:dyDescent="0.25">
      <c r="A207" s="26"/>
      <c r="B207" s="17">
        <v>45231</v>
      </c>
      <c r="C207" s="11">
        <v>68.797649754643885</v>
      </c>
      <c r="D207" s="11">
        <v>2.8593836938815258</v>
      </c>
      <c r="E207" s="11">
        <v>20.079685133014721</v>
      </c>
      <c r="F207" s="11">
        <v>21.224006150627787</v>
      </c>
    </row>
    <row r="208" spans="1:6" ht="16.5" thickBot="1" x14ac:dyDescent="0.3">
      <c r="A208" s="27"/>
      <c r="B208" s="18">
        <v>45261</v>
      </c>
      <c r="C208" s="15">
        <v>70.805943789784394</v>
      </c>
      <c r="D208" s="15">
        <v>2.919131746945979</v>
      </c>
      <c r="E208" s="15">
        <v>23.584969343365316</v>
      </c>
      <c r="F208" s="15">
        <v>23.584969343365316</v>
      </c>
    </row>
    <row r="209" spans="1:6" x14ac:dyDescent="0.25">
      <c r="A209" s="25">
        <v>2024</v>
      </c>
      <c r="B209" s="17">
        <v>45292</v>
      </c>
      <c r="C209" s="11">
        <v>72.902856078543664</v>
      </c>
      <c r="D209" s="11">
        <v>2.9614918981728238</v>
      </c>
      <c r="E209" s="11">
        <v>2.9614918981728238</v>
      </c>
      <c r="F209" s="11">
        <v>26.100310694388625</v>
      </c>
    </row>
    <row r="210" spans="1:6" x14ac:dyDescent="0.25">
      <c r="A210" s="26"/>
      <c r="B210" s="17">
        <v>45323</v>
      </c>
      <c r="C210" s="11">
        <v>75.100819921549942</v>
      </c>
      <c r="D210" s="11">
        <v>3.0149214464770182</v>
      </c>
      <c r="E210" s="11">
        <v>6.0656999990235363</v>
      </c>
      <c r="F210" s="11">
        <v>28.699454543176415</v>
      </c>
    </row>
    <row r="211" spans="1:6" x14ac:dyDescent="0.25">
      <c r="A211" s="26"/>
      <c r="B211" s="17">
        <v>45352</v>
      </c>
      <c r="C211" s="11">
        <v>77.386842326670319</v>
      </c>
      <c r="D211" s="11">
        <v>3.0439380122724913</v>
      </c>
      <c r="E211" s="11">
        <v>9.2942741592767248</v>
      </c>
      <c r="F211" s="11">
        <v>31.353721757945692</v>
      </c>
    </row>
    <row r="212" spans="1:6" x14ac:dyDescent="0.25">
      <c r="A212" s="26"/>
      <c r="B212" s="17">
        <v>45383</v>
      </c>
      <c r="C212" s="11">
        <v>79.762058745949588</v>
      </c>
      <c r="D212" s="11">
        <v>3.0692768277749849</v>
      </c>
      <c r="E212" s="11">
        <v>12.648817990132272</v>
      </c>
      <c r="F212" s="11">
        <v>34.049351861950612</v>
      </c>
    </row>
    <row r="213" spans="1:6" x14ac:dyDescent="0.25">
      <c r="A213" s="26"/>
      <c r="B213" s="17">
        <v>45413</v>
      </c>
      <c r="C213" s="11">
        <v>81.258587224210572</v>
      </c>
      <c r="D213" s="11">
        <v>1.8762410371422362</v>
      </c>
      <c r="E213" s="11">
        <v>14.762381341118783</v>
      </c>
      <c r="F213" s="11">
        <v>35.186347096436691</v>
      </c>
    </row>
    <row r="214" spans="1:6" x14ac:dyDescent="0.25">
      <c r="A214" s="26"/>
      <c r="B214" s="17">
        <v>45444</v>
      </c>
      <c r="C214" s="11">
        <v>82.766737882247099</v>
      </c>
      <c r="D214" s="11">
        <v>1.8559892677868106</v>
      </c>
      <c r="E214" s="11">
        <v>16.892358822266516</v>
      </c>
      <c r="F214" s="11">
        <v>35.743039376717206</v>
      </c>
    </row>
    <row r="215" spans="1:6" x14ac:dyDescent="0.25">
      <c r="A215" s="26"/>
      <c r="B215" s="17">
        <v>45474</v>
      </c>
      <c r="C215" s="11">
        <v>84.264802934502924</v>
      </c>
      <c r="D215" s="11">
        <v>1.8099844099052547</v>
      </c>
      <c r="E215" s="11">
        <v>19.008092293320061</v>
      </c>
      <c r="F215" s="11">
        <v>35.842585650833144</v>
      </c>
    </row>
    <row r="216" spans="1:6" x14ac:dyDescent="0.25">
      <c r="A216" s="26"/>
      <c r="B216" s="17">
        <v>45505</v>
      </c>
      <c r="C216" s="11">
        <v>85.702184750883745</v>
      </c>
      <c r="D216" s="11">
        <v>1.7057914649109875</v>
      </c>
      <c r="E216" s="11">
        <v>21.038122174212901</v>
      </c>
      <c r="F216" s="11">
        <v>35.173770522875628</v>
      </c>
    </row>
    <row r="217" spans="1:6" x14ac:dyDescent="0.25">
      <c r="A217" s="26"/>
      <c r="B217" s="17">
        <v>45536</v>
      </c>
      <c r="C217" s="11">
        <v>87.123667491855073</v>
      </c>
      <c r="D217" s="11">
        <v>1.6586306931418875</v>
      </c>
      <c r="E217" s="11">
        <v>23.045697618996968</v>
      </c>
      <c r="F217" s="11">
        <v>33.826637624340435</v>
      </c>
    </row>
    <row r="218" spans="1:6" x14ac:dyDescent="0.25">
      <c r="A218" s="26"/>
      <c r="B218" s="17">
        <v>45566</v>
      </c>
      <c r="C218" s="11">
        <v>88.357092400370874</v>
      </c>
      <c r="D218" s="11">
        <v>1.4157173865885682</v>
      </c>
      <c r="E218" s="11">
        <v>24.787676953638311</v>
      </c>
      <c r="F218" s="11">
        <v>32.102711381823354</v>
      </c>
    </row>
    <row r="219" spans="1:6" x14ac:dyDescent="0.25">
      <c r="A219" s="26"/>
      <c r="B219" s="17">
        <v>45597</v>
      </c>
      <c r="C219" s="11">
        <v>89.636517890121823</v>
      </c>
      <c r="D219" s="11">
        <v>1.448016740923876</v>
      </c>
      <c r="E219" s="11">
        <v>26.594623406536996</v>
      </c>
      <c r="F219" s="11">
        <v>30.290087248323914</v>
      </c>
    </row>
    <row r="220" spans="1:6" ht="16.5" thickBot="1" x14ac:dyDescent="0.3">
      <c r="A220" s="27"/>
      <c r="B220" s="18">
        <v>45627</v>
      </c>
      <c r="C220" s="15">
        <v>91.011014799919977</v>
      </c>
      <c r="D220" s="15">
        <v>1.5334117635884041</v>
      </c>
      <c r="E220" s="15">
        <v>28.535840253923283</v>
      </c>
      <c r="F220" s="15">
        <v>28.535840253923283</v>
      </c>
    </row>
    <row r="221" spans="1:6" x14ac:dyDescent="0.25">
      <c r="A221" s="25">
        <v>2025</v>
      </c>
      <c r="B221" s="17">
        <v>45658</v>
      </c>
      <c r="C221" s="11">
        <v>92.223378059980163</v>
      </c>
      <c r="D221" s="11">
        <v>1.3321060782867562</v>
      </c>
      <c r="E221" s="11">
        <v>1.3321060782867562</v>
      </c>
      <c r="F221" s="11">
        <v>26.501735351247518</v>
      </c>
    </row>
    <row r="222" spans="1:6" x14ac:dyDescent="0.25">
      <c r="A222" s="26"/>
      <c r="B222" s="17">
        <v>45689</v>
      </c>
      <c r="C222" s="11">
        <v>93.342128855114353</v>
      </c>
      <c r="D222" s="11">
        <v>1.2130880679805216</v>
      </c>
      <c r="E222" s="11">
        <f>+C222/C220*100-100</f>
        <v>2.5613537661558041</v>
      </c>
      <c r="F222" s="11">
        <v>24.289094250394626</v>
      </c>
    </row>
    <row r="223" spans="1:6" x14ac:dyDescent="0.25">
      <c r="A223" s="26"/>
      <c r="B223" s="17">
        <v>45717</v>
      </c>
      <c r="C223" s="11">
        <v>94.252358914279739</v>
      </c>
      <c r="D223" s="11">
        <v>0.97515459560413831</v>
      </c>
      <c r="E223" s="11">
        <f>+C223/C220*100-100</f>
        <v>3.5614855207203107</v>
      </c>
      <c r="F223" s="11">
        <v>21.79377796087816</v>
      </c>
    </row>
    <row r="224" spans="1:6" x14ac:dyDescent="0.25">
      <c r="A224" s="26"/>
      <c r="B224" s="17">
        <v>45748</v>
      </c>
      <c r="C224" s="11">
        <v>95.160647484865805</v>
      </c>
      <c r="D224" s="11">
        <v>0.96367728197883196</v>
      </c>
      <c r="E224" s="11">
        <v>4.5594840295632793</v>
      </c>
      <c r="F224" s="11">
        <v>19.305656073851267</v>
      </c>
    </row>
    <row r="225" spans="1:6" x14ac:dyDescent="0.25">
      <c r="A225" s="26"/>
      <c r="B225" s="17">
        <v>45778</v>
      </c>
      <c r="C225" s="11">
        <v>95.932943634800012</v>
      </c>
      <c r="D225" s="11">
        <v>0.81157092805304387</v>
      </c>
      <c r="E225" s="11">
        <v>5.4080584044694717</v>
      </c>
      <c r="F225" s="11">
        <v>18.05883773255816</v>
      </c>
    </row>
    <row r="226" spans="1:6" x14ac:dyDescent="0.25">
      <c r="A226" s="26"/>
      <c r="B226" s="17">
        <v>45809</v>
      </c>
      <c r="C226" s="11">
        <v>96.6640337210155</v>
      </c>
      <c r="D226" s="11">
        <v>0.76208449205795148</v>
      </c>
      <c r="E226" s="11">
        <v>6.2113568709493165</v>
      </c>
      <c r="F226" s="11">
        <v>16.790918905780956</v>
      </c>
    </row>
    <row r="227" spans="1:6" x14ac:dyDescent="0.25">
      <c r="A227" s="26"/>
      <c r="B227" s="17">
        <v>45839</v>
      </c>
      <c r="C227" s="11">
        <v>97.493917237715678</v>
      </c>
      <c r="D227" s="11">
        <v>0.85852357361304144</v>
      </c>
      <c r="E227" s="11">
        <v>7.1232064075406782</v>
      </c>
      <c r="F227" s="11">
        <v>15.699454389628656</v>
      </c>
    </row>
    <row r="228" spans="1:6" x14ac:dyDescent="0.25">
      <c r="A228" s="26"/>
      <c r="B228" s="17">
        <v>45870</v>
      </c>
      <c r="C228" s="11">
        <v>98.018825861235101</v>
      </c>
      <c r="D228" s="11">
        <v>0.53840140840742379</v>
      </c>
      <c r="E228" s="11">
        <v>7.699959259570079</v>
      </c>
      <c r="F228" s="11">
        <v>14.371443559056246</v>
      </c>
    </row>
    <row r="229" spans="1:6" x14ac:dyDescent="0.25">
      <c r="A229" s="26"/>
      <c r="B229" s="17">
        <v>45901</v>
      </c>
      <c r="C229" s="11">
        <v>98.526797022368953</v>
      </c>
      <c r="D229" s="11">
        <f>+C229/C228*100-100</f>
        <v>0.51823836561048608</v>
      </c>
      <c r="E229" s="11">
        <f>+C229/C220*100-100</f>
        <v>8.2581017682000351</v>
      </c>
      <c r="F229" s="11">
        <f>+C229/C217*100-100</f>
        <v>13.088440671508607</v>
      </c>
    </row>
    <row r="230" spans="1:6" x14ac:dyDescent="0.25">
      <c r="A230" s="26"/>
      <c r="B230" s="17">
        <v>45931</v>
      </c>
      <c r="C230" s="11">
        <v>99.005422050848551</v>
      </c>
      <c r="D230" s="11">
        <f>+C230/C229*100-100</f>
        <v>0.48578157713879477</v>
      </c>
      <c r="E230" s="11">
        <f>+C230/C220*100-100</f>
        <v>8.7839996823501139</v>
      </c>
      <c r="F230" s="11">
        <f>+C230/C218*100-100</f>
        <v>12.051471320748192</v>
      </c>
    </row>
    <row r="231" spans="1:6" x14ac:dyDescent="0.25">
      <c r="A231" s="26"/>
      <c r="B231" s="17">
        <v>45962</v>
      </c>
      <c r="C231" s="11">
        <v>99.468664712558095</v>
      </c>
      <c r="D231" s="11">
        <v>0.46789625468352369</v>
      </c>
      <c r="E231" s="11">
        <f>+C231/C220*100-100</f>
        <v>9.2929959425587754</v>
      </c>
      <c r="F231" s="11">
        <f>+C231/C219*100-100</f>
        <v>10.968907599120143</v>
      </c>
    </row>
    <row r="232" spans="1:6" ht="16.5" thickBot="1" x14ac:dyDescent="0.3">
      <c r="A232" s="27"/>
      <c r="B232" s="17">
        <v>45992</v>
      </c>
      <c r="C232" s="11">
        <v>100</v>
      </c>
      <c r="D232" s="11">
        <v>0.5341735399558587</v>
      </c>
      <c r="E232" s="11">
        <f>+C232/C220*100-100</f>
        <v>9.8768102079089601</v>
      </c>
      <c r="F232" s="11">
        <f>+C232/C220*100-100</f>
        <v>9.8768102079089601</v>
      </c>
    </row>
    <row r="233" spans="1:6" x14ac:dyDescent="0.25">
      <c r="A233" s="25">
        <v>2026</v>
      </c>
      <c r="B233" s="16">
        <v>46023</v>
      </c>
      <c r="C233" s="13">
        <v>100.32800430155625</v>
      </c>
      <c r="D233" s="13">
        <v>0.32800430155623417</v>
      </c>
      <c r="E233" s="13">
        <f>+C233/C232*100-100</f>
        <v>0.32800430155623417</v>
      </c>
      <c r="F233" s="13">
        <f>+C233/C221*100-100</f>
        <v>8.7880387945722447</v>
      </c>
    </row>
    <row r="234" spans="1:6" x14ac:dyDescent="0.25">
      <c r="A234" s="26"/>
      <c r="B234" s="17">
        <v>46054</v>
      </c>
      <c r="C234" s="11">
        <v>101.10355488427923</v>
      </c>
      <c r="D234" s="11">
        <v>0.77301506007425758</v>
      </c>
      <c r="E234" s="11">
        <f>+C234/C232*100-100</f>
        <v>1.1035548842792196</v>
      </c>
      <c r="F234" s="11">
        <f>+C234/C222*100-100</f>
        <v>8.3150300130953241</v>
      </c>
    </row>
    <row r="235" spans="1:6" x14ac:dyDescent="0.25">
      <c r="A235" s="26"/>
      <c r="B235" s="17">
        <v>46082</v>
      </c>
    </row>
    <row r="236" spans="1:6" x14ac:dyDescent="0.25">
      <c r="A236" s="26"/>
      <c r="B236" s="17">
        <v>46113</v>
      </c>
    </row>
    <row r="237" spans="1:6" x14ac:dyDescent="0.25">
      <c r="A237" s="26"/>
      <c r="B237" s="17">
        <v>46143</v>
      </c>
    </row>
    <row r="238" spans="1:6" x14ac:dyDescent="0.25">
      <c r="A238" s="26"/>
      <c r="B238" s="17">
        <v>46174</v>
      </c>
    </row>
    <row r="239" spans="1:6" x14ac:dyDescent="0.25">
      <c r="A239" s="26"/>
      <c r="B239" s="17">
        <v>46204</v>
      </c>
    </row>
    <row r="240" spans="1:6" x14ac:dyDescent="0.25">
      <c r="A240" s="26"/>
      <c r="B240" s="17">
        <v>46235</v>
      </c>
    </row>
    <row r="241" spans="1:2" x14ac:dyDescent="0.25">
      <c r="A241" s="26"/>
      <c r="B241" s="17">
        <v>46266</v>
      </c>
    </row>
    <row r="242" spans="1:2" x14ac:dyDescent="0.25">
      <c r="A242" s="26"/>
      <c r="B242" s="17">
        <v>46296</v>
      </c>
    </row>
    <row r="243" spans="1:2" x14ac:dyDescent="0.25">
      <c r="A243" s="26"/>
      <c r="B243" s="17">
        <v>46327</v>
      </c>
    </row>
    <row r="244" spans="1:2" ht="16.5" thickBot="1" x14ac:dyDescent="0.3">
      <c r="A244" s="27"/>
      <c r="B244" s="17">
        <v>46357</v>
      </c>
    </row>
  </sheetData>
  <mergeCells count="24">
    <mergeCell ref="A197:A208"/>
    <mergeCell ref="A209:A220"/>
    <mergeCell ref="A221:A232"/>
    <mergeCell ref="A3:A4"/>
    <mergeCell ref="B3:B4"/>
    <mergeCell ref="C3:C4"/>
    <mergeCell ref="D3:F3"/>
    <mergeCell ref="A5:A16"/>
    <mergeCell ref="A233:A244"/>
    <mergeCell ref="A77:A88"/>
    <mergeCell ref="A89:A100"/>
    <mergeCell ref="A101:A112"/>
    <mergeCell ref="A17:A28"/>
    <mergeCell ref="A29:A40"/>
    <mergeCell ref="A41:A52"/>
    <mergeCell ref="A53:A64"/>
    <mergeCell ref="A65:A76"/>
    <mergeCell ref="A113:A124"/>
    <mergeCell ref="A125:A136"/>
    <mergeCell ref="A137:A148"/>
    <mergeCell ref="A149:A160"/>
    <mergeCell ref="A161:A172"/>
    <mergeCell ref="A173:A184"/>
    <mergeCell ref="A185:A19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C982-7FDD-48E2-89AA-1893714772F8}">
  <dimension ref="A1:BT244"/>
  <sheetViews>
    <sheetView showGridLines="0" topLeftCell="A217" zoomScale="110" zoomScaleNormal="110" workbookViewId="0">
      <selection activeCell="F235" sqref="F235"/>
    </sheetView>
  </sheetViews>
  <sheetFormatPr defaultRowHeight="15.75" x14ac:dyDescent="0.25"/>
  <cols>
    <col min="1" max="1" width="6.625" style="4" customWidth="1"/>
    <col min="2" max="2" width="9.625" style="4" customWidth="1"/>
    <col min="3" max="3" width="6.75" style="4" customWidth="1"/>
    <col min="4" max="4" width="6.625" style="4" customWidth="1"/>
    <col min="5" max="5" width="5.75" customWidth="1"/>
    <col min="7" max="7" width="9.625" bestFit="1" customWidth="1"/>
    <col min="8" max="8" width="9.125" bestFit="1" customWidth="1"/>
  </cols>
  <sheetData>
    <row r="1" spans="1:9" x14ac:dyDescent="0.25">
      <c r="A1" s="39" t="s">
        <v>9</v>
      </c>
      <c r="B1" s="39"/>
      <c r="C1" s="39"/>
      <c r="D1" s="39"/>
      <c r="E1" s="39"/>
      <c r="F1" s="39"/>
    </row>
    <row r="2" spans="1:9" x14ac:dyDescent="0.25">
      <c r="A2" s="40" t="s">
        <v>2</v>
      </c>
      <c r="B2" s="40"/>
      <c r="C2" s="40"/>
      <c r="D2" s="40"/>
      <c r="E2" s="40"/>
      <c r="F2" s="40"/>
    </row>
    <row r="3" spans="1:9" ht="15.75" customHeight="1" x14ac:dyDescent="0.25">
      <c r="A3" s="28" t="s">
        <v>4</v>
      </c>
      <c r="B3" s="30" t="s">
        <v>0</v>
      </c>
      <c r="C3" s="30" t="s">
        <v>3</v>
      </c>
      <c r="D3" s="32" t="s">
        <v>1</v>
      </c>
      <c r="E3" s="33"/>
      <c r="F3" s="34"/>
    </row>
    <row r="4" spans="1:9" x14ac:dyDescent="0.25">
      <c r="A4" s="29"/>
      <c r="B4" s="31"/>
      <c r="C4" s="31"/>
      <c r="D4" s="20" t="s">
        <v>5</v>
      </c>
      <c r="E4" s="21" t="s">
        <v>6</v>
      </c>
      <c r="F4" s="20" t="s">
        <v>7</v>
      </c>
    </row>
    <row r="5" spans="1:9" x14ac:dyDescent="0.25">
      <c r="A5" s="25">
        <v>2007</v>
      </c>
      <c r="B5" s="10"/>
      <c r="C5" s="13"/>
      <c r="D5" s="13"/>
      <c r="E5" s="13"/>
      <c r="F5" s="13"/>
    </row>
    <row r="6" spans="1:9" x14ac:dyDescent="0.25">
      <c r="A6" s="26"/>
      <c r="B6" s="10"/>
      <c r="C6" s="11"/>
      <c r="D6" s="11"/>
      <c r="E6" s="11"/>
      <c r="F6" s="11"/>
      <c r="G6" s="7"/>
      <c r="H6" s="7"/>
      <c r="I6" s="7"/>
    </row>
    <row r="7" spans="1:9" x14ac:dyDescent="0.25">
      <c r="A7" s="26"/>
      <c r="B7" s="10"/>
      <c r="C7" s="11"/>
      <c r="D7" s="11"/>
      <c r="E7" s="11"/>
      <c r="F7" s="11"/>
    </row>
    <row r="8" spans="1:9" x14ac:dyDescent="0.25">
      <c r="A8" s="26"/>
      <c r="B8" s="10"/>
      <c r="C8" s="11"/>
      <c r="D8" s="11"/>
      <c r="E8" s="11"/>
      <c r="F8" s="11"/>
    </row>
    <row r="9" spans="1:9" x14ac:dyDescent="0.25">
      <c r="A9" s="26"/>
      <c r="B9" s="10"/>
      <c r="C9" s="11"/>
      <c r="D9" s="11"/>
      <c r="E9" s="11"/>
      <c r="F9" s="11"/>
    </row>
    <row r="10" spans="1:9" x14ac:dyDescent="0.25">
      <c r="A10" s="26"/>
      <c r="B10" s="10"/>
      <c r="C10" s="22"/>
      <c r="D10" s="11"/>
      <c r="E10" s="11"/>
      <c r="F10" s="11"/>
    </row>
    <row r="11" spans="1:9" x14ac:dyDescent="0.25">
      <c r="A11" s="26"/>
      <c r="B11" s="10"/>
      <c r="C11" s="11"/>
      <c r="D11" s="11"/>
      <c r="E11" s="11"/>
      <c r="F11" s="11"/>
    </row>
    <row r="12" spans="1:9" x14ac:dyDescent="0.25">
      <c r="A12" s="26"/>
      <c r="B12" s="10">
        <v>39295</v>
      </c>
      <c r="C12" s="11">
        <v>4.0288470789816566</v>
      </c>
      <c r="D12" s="11"/>
      <c r="E12" s="11"/>
      <c r="F12" s="11"/>
    </row>
    <row r="13" spans="1:9" x14ac:dyDescent="0.25">
      <c r="A13" s="26"/>
      <c r="B13" s="10">
        <v>39326</v>
      </c>
      <c r="C13" s="11">
        <v>4.0406019688115951</v>
      </c>
      <c r="D13" s="11">
        <v>0.29176808152541867</v>
      </c>
      <c r="E13" s="11"/>
      <c r="F13" s="11"/>
    </row>
    <row r="14" spans="1:9" x14ac:dyDescent="0.25">
      <c r="A14" s="26"/>
      <c r="B14" s="10">
        <v>39356</v>
      </c>
      <c r="C14" s="11">
        <v>4.0781801869748362</v>
      </c>
      <c r="D14" s="11">
        <v>0.93001534061751556</v>
      </c>
      <c r="E14" s="11"/>
      <c r="F14" s="11"/>
    </row>
    <row r="15" spans="1:9" x14ac:dyDescent="0.25">
      <c r="A15" s="26"/>
      <c r="B15" s="10">
        <v>39387</v>
      </c>
      <c r="C15" s="11">
        <v>4.1367031632167155</v>
      </c>
      <c r="D15" s="11">
        <v>1.4350267413096134</v>
      </c>
      <c r="E15" s="11"/>
      <c r="F15" s="11"/>
    </row>
    <row r="16" spans="1:9" ht="16.5" thickBot="1" x14ac:dyDescent="0.3">
      <c r="A16" s="27"/>
      <c r="B16" s="18">
        <v>39417</v>
      </c>
      <c r="C16" s="15">
        <v>4.1543932313296592</v>
      </c>
      <c r="D16" s="15">
        <v>0.42763687446183951</v>
      </c>
      <c r="E16" s="15"/>
      <c r="F16" s="15"/>
    </row>
    <row r="17" spans="1:6" x14ac:dyDescent="0.25">
      <c r="A17" s="25">
        <v>2008</v>
      </c>
      <c r="B17" s="10">
        <v>39448</v>
      </c>
      <c r="C17" s="11">
        <v>4.191938130959656</v>
      </c>
      <c r="D17" s="13">
        <v>0.90373966881270462</v>
      </c>
      <c r="E17" s="13">
        <v>0.90373966881270462</v>
      </c>
      <c r="F17" s="13"/>
    </row>
    <row r="18" spans="1:6" x14ac:dyDescent="0.25">
      <c r="A18" s="26"/>
      <c r="B18" s="10">
        <v>39479</v>
      </c>
      <c r="C18" s="11">
        <v>4.2215722353890239</v>
      </c>
      <c r="D18" s="11">
        <v>0.70693086356652657</v>
      </c>
      <c r="E18" s="11">
        <v>1.6170593470243659</v>
      </c>
      <c r="F18" s="11"/>
    </row>
    <row r="19" spans="1:6" x14ac:dyDescent="0.25">
      <c r="A19" s="26"/>
      <c r="B19" s="10">
        <v>39508</v>
      </c>
      <c r="C19" s="11">
        <v>4.2562731917334915</v>
      </c>
      <c r="D19" s="11">
        <v>0.82199129636046564</v>
      </c>
      <c r="E19" s="11">
        <v>2.4523427304743706</v>
      </c>
      <c r="F19" s="11"/>
    </row>
    <row r="20" spans="1:6" x14ac:dyDescent="0.25">
      <c r="A20" s="26"/>
      <c r="B20" s="10">
        <v>39539</v>
      </c>
      <c r="C20" s="11">
        <v>4.2860223357531506</v>
      </c>
      <c r="D20" s="11">
        <v>0.69894818023988137</v>
      </c>
      <c r="E20" s="11">
        <v>3.168431515602137</v>
      </c>
      <c r="F20" s="11"/>
    </row>
    <row r="21" spans="1:6" x14ac:dyDescent="0.25">
      <c r="A21" s="26"/>
      <c r="B21" s="10">
        <v>39569</v>
      </c>
      <c r="C21" s="11">
        <v>4.3180241886382671</v>
      </c>
      <c r="D21" s="11">
        <v>0.74665623224039734</v>
      </c>
      <c r="E21" s="11">
        <v>3.9387450392180483</v>
      </c>
      <c r="F21" s="11"/>
    </row>
    <row r="22" spans="1:6" x14ac:dyDescent="0.25">
      <c r="A22" s="26"/>
      <c r="B22" s="10">
        <v>39600</v>
      </c>
      <c r="C22" s="11">
        <v>4.3578645638132585</v>
      </c>
      <c r="D22" s="11">
        <v>0.92265289480826596</v>
      </c>
      <c r="E22" s="11">
        <v>4.8977388791497702</v>
      </c>
      <c r="F22" s="11"/>
    </row>
    <row r="23" spans="1:6" x14ac:dyDescent="0.25">
      <c r="A23" s="26"/>
      <c r="B23" s="10">
        <v>39630</v>
      </c>
      <c r="C23" s="11">
        <v>4.4194472860142016</v>
      </c>
      <c r="D23" s="11">
        <v>1.413139883059074</v>
      </c>
      <c r="E23" s="11">
        <v>6.3800906636781747</v>
      </c>
      <c r="F23" s="11"/>
    </row>
    <row r="24" spans="1:6" x14ac:dyDescent="0.25">
      <c r="A24" s="26"/>
      <c r="B24" s="10">
        <v>39661</v>
      </c>
      <c r="C24" s="11">
        <v>4.4621590157602986</v>
      </c>
      <c r="D24" s="11">
        <v>0.96644958027358996</v>
      </c>
      <c r="E24" s="11">
        <v>7.4082006033919612</v>
      </c>
      <c r="F24" s="11">
        <v>10.755234147238101</v>
      </c>
    </row>
    <row r="25" spans="1:6" x14ac:dyDescent="0.25">
      <c r="A25" s="26"/>
      <c r="B25" s="10">
        <v>39692</v>
      </c>
      <c r="C25" s="11">
        <v>4.5054158126342605</v>
      </c>
      <c r="D25" s="11">
        <v>0.9694140599019363</v>
      </c>
      <c r="E25" s="11">
        <v>8.449430801528905</v>
      </c>
      <c r="F25" s="11">
        <v>11.503579105550315</v>
      </c>
    </row>
    <row r="26" spans="1:6" x14ac:dyDescent="0.25">
      <c r="A26" s="26"/>
      <c r="B26" s="10">
        <v>39722</v>
      </c>
      <c r="C26" s="11">
        <v>4.5523112573633888</v>
      </c>
      <c r="D26" s="11">
        <v>1.0408682945006547</v>
      </c>
      <c r="E26" s="11">
        <v>9.5782465423084346</v>
      </c>
      <c r="F26" s="11">
        <v>11.626045163547786</v>
      </c>
    </row>
    <row r="27" spans="1:6" x14ac:dyDescent="0.25">
      <c r="A27" s="26"/>
      <c r="B27" s="10">
        <v>39753</v>
      </c>
      <c r="C27" s="11">
        <v>4.5983000251839972</v>
      </c>
      <c r="D27" s="11">
        <v>1.0102289852483466</v>
      </c>
      <c r="E27" s="11">
        <v>10.685237750405747</v>
      </c>
      <c r="F27" s="11">
        <v>11.158568641612248</v>
      </c>
    </row>
    <row r="28" spans="1:6" ht="16.5" thickBot="1" x14ac:dyDescent="0.3">
      <c r="A28" s="27"/>
      <c r="B28" s="18">
        <v>39783</v>
      </c>
      <c r="C28" s="15">
        <v>4.6455537466293269</v>
      </c>
      <c r="D28" s="15">
        <v>1.0276345864021579</v>
      </c>
      <c r="E28" s="15">
        <v>11.822677535570378</v>
      </c>
      <c r="F28" s="15">
        <v>11.822677535570378</v>
      </c>
    </row>
    <row r="29" spans="1:6" x14ac:dyDescent="0.25">
      <c r="A29" s="25">
        <v>2009</v>
      </c>
      <c r="B29" s="10">
        <v>39814</v>
      </c>
      <c r="C29" s="11">
        <v>4.6866872486161251</v>
      </c>
      <c r="D29" s="11">
        <v>0.88543808187868933</v>
      </c>
      <c r="E29" s="13">
        <v>0.88543808187868933</v>
      </c>
      <c r="F29" s="11">
        <v>11.80239550776021</v>
      </c>
    </row>
    <row r="30" spans="1:6" x14ac:dyDescent="0.25">
      <c r="A30" s="26"/>
      <c r="B30" s="10">
        <v>39845</v>
      </c>
      <c r="C30" s="11">
        <v>4.7248182894674846</v>
      </c>
      <c r="D30" s="11">
        <v>0.81360327302868996</v>
      </c>
      <c r="E30" s="11">
        <v>1.7062453081221776</v>
      </c>
      <c r="F30" s="11">
        <v>11.920820633123341</v>
      </c>
    </row>
    <row r="31" spans="1:6" x14ac:dyDescent="0.25">
      <c r="A31" s="26"/>
      <c r="B31" s="10">
        <v>39873</v>
      </c>
      <c r="C31" s="11">
        <v>4.7633248051391739</v>
      </c>
      <c r="D31" s="11">
        <v>0.81498405467841906</v>
      </c>
      <c r="E31" s="11">
        <v>2.5351349899954982</v>
      </c>
      <c r="F31" s="11">
        <v>11.913042010331367</v>
      </c>
    </row>
    <row r="32" spans="1:6" x14ac:dyDescent="0.25">
      <c r="A32" s="26"/>
      <c r="B32" s="10">
        <v>39904</v>
      </c>
      <c r="C32" s="11">
        <v>4.8015886816167148</v>
      </c>
      <c r="D32" s="11">
        <v>0.80330185412209687</v>
      </c>
      <c r="E32" s="11">
        <v>3.3588016304967141</v>
      </c>
      <c r="F32" s="11">
        <v>12.029016777696455</v>
      </c>
    </row>
    <row r="33" spans="1:6" x14ac:dyDescent="0.25">
      <c r="A33" s="26"/>
      <c r="B33" s="10">
        <v>39934</v>
      </c>
      <c r="C33" s="11">
        <v>4.8462982531451324</v>
      </c>
      <c r="D33" s="11">
        <v>0.93114122206243621</v>
      </c>
      <c r="E33" s="11">
        <v>4.3212180391080039</v>
      </c>
      <c r="F33" s="11">
        <v>12.234161770026162</v>
      </c>
    </row>
    <row r="34" spans="1:6" x14ac:dyDescent="0.25">
      <c r="A34" s="26"/>
      <c r="B34" s="10">
        <v>39965</v>
      </c>
      <c r="C34" s="11">
        <v>4.896008145824875</v>
      </c>
      <c r="D34" s="11">
        <v>1.0257291252655136</v>
      </c>
      <c r="E34" s="11">
        <v>5.3912711563668836</v>
      </c>
      <c r="F34" s="11">
        <v>12.348790884421732</v>
      </c>
    </row>
    <row r="35" spans="1:6" x14ac:dyDescent="0.25">
      <c r="A35" s="26"/>
      <c r="B35" s="10">
        <v>39995</v>
      </c>
      <c r="C35" s="11">
        <v>4.9414824931728143</v>
      </c>
      <c r="D35" s="11">
        <v>0.92880456881422901</v>
      </c>
      <c r="E35" s="11">
        <v>6.3701500979986179</v>
      </c>
      <c r="F35" s="11">
        <v>11.812228393596797</v>
      </c>
    </row>
    <row r="36" spans="1:6" x14ac:dyDescent="0.25">
      <c r="A36" s="26"/>
      <c r="B36" s="10">
        <v>40026</v>
      </c>
      <c r="C36" s="11">
        <v>4.9908615851810705</v>
      </c>
      <c r="D36" s="11">
        <v>0.99927687847683444</v>
      </c>
      <c r="E36" s="11">
        <v>7.4330824135290214</v>
      </c>
      <c r="F36" s="11">
        <v>11.848581988077967</v>
      </c>
    </row>
    <row r="37" spans="1:6" x14ac:dyDescent="0.25">
      <c r="A37" s="26"/>
      <c r="B37" s="10">
        <v>40057</v>
      </c>
      <c r="C37" s="11">
        <v>5.0362584482716137</v>
      </c>
      <c r="D37" s="11">
        <v>0.90959972172612424</v>
      </c>
      <c r="E37" s="11">
        <v>8.4102934322042699</v>
      </c>
      <c r="F37" s="11">
        <v>11.782322824649043</v>
      </c>
    </row>
    <row r="38" spans="1:6" x14ac:dyDescent="0.25">
      <c r="A38" s="26"/>
      <c r="B38" s="10">
        <v>40087</v>
      </c>
      <c r="C38" s="11">
        <v>5.0849921982204602</v>
      </c>
      <c r="D38" s="11">
        <v>0.96765784459633153</v>
      </c>
      <c r="E38" s="11">
        <v>9.4593341409509293</v>
      </c>
      <c r="F38" s="11">
        <v>11.701329516857115</v>
      </c>
    </row>
    <row r="39" spans="1:6" x14ac:dyDescent="0.25">
      <c r="A39" s="26"/>
      <c r="B39" s="10">
        <v>40118</v>
      </c>
      <c r="C39" s="11">
        <v>5.1371734575170596</v>
      </c>
      <c r="D39" s="11">
        <v>1.0261816982700651</v>
      </c>
      <c r="E39" s="11">
        <v>10.58258579495363</v>
      </c>
      <c r="F39" s="11">
        <v>11.718970693120426</v>
      </c>
    </row>
    <row r="40" spans="1:6" ht="16.5" thickBot="1" x14ac:dyDescent="0.3">
      <c r="A40" s="27"/>
      <c r="B40" s="18">
        <v>40148</v>
      </c>
      <c r="C40" s="15">
        <v>5.2593539201828046</v>
      </c>
      <c r="D40" s="15">
        <v>2.3783596889640108</v>
      </c>
      <c r="E40" s="15">
        <v>13.212637438514861</v>
      </c>
      <c r="F40" s="15">
        <v>13.212637438514861</v>
      </c>
    </row>
    <row r="41" spans="1:6" x14ac:dyDescent="0.25">
      <c r="A41" s="25">
        <v>2010</v>
      </c>
      <c r="B41" s="10">
        <v>40179</v>
      </c>
      <c r="C41" s="11">
        <v>5.2964186731126333</v>
      </c>
      <c r="D41" s="11">
        <v>0.70473965989610576</v>
      </c>
      <c r="E41" s="13">
        <v>0.70473965989610576</v>
      </c>
      <c r="F41" s="11">
        <v>13.009859462599024</v>
      </c>
    </row>
    <row r="42" spans="1:6" x14ac:dyDescent="0.25">
      <c r="A42" s="26"/>
      <c r="B42" s="10">
        <v>40210</v>
      </c>
      <c r="C42" s="11">
        <v>5.3385301241709158</v>
      </c>
      <c r="D42" s="11">
        <v>0.79509294218114235</v>
      </c>
      <c r="E42" s="11">
        <v>1.505435937373818</v>
      </c>
      <c r="F42" s="11">
        <v>12.989109783788109</v>
      </c>
    </row>
    <row r="43" spans="1:6" x14ac:dyDescent="0.25">
      <c r="A43" s="26"/>
      <c r="B43" s="10">
        <v>40238</v>
      </c>
      <c r="C43" s="11">
        <v>5.3903144079037286</v>
      </c>
      <c r="D43" s="11">
        <v>0.97001014377258343</v>
      </c>
      <c r="E43" s="11">
        <v>2.4900489624469344</v>
      </c>
      <c r="F43" s="11">
        <v>13.162856374776126</v>
      </c>
    </row>
    <row r="44" spans="1:6" x14ac:dyDescent="0.25">
      <c r="A44" s="26"/>
      <c r="B44" s="10">
        <v>40269</v>
      </c>
      <c r="C44" s="11">
        <v>5.4241195923583172</v>
      </c>
      <c r="D44" s="11">
        <v>0.6271468025134368</v>
      </c>
      <c r="E44" s="11">
        <v>3.1328120274093578</v>
      </c>
      <c r="F44" s="11">
        <v>12.965102844502567</v>
      </c>
    </row>
    <row r="45" spans="1:6" x14ac:dyDescent="0.25">
      <c r="A45" s="26"/>
      <c r="B45" s="10">
        <v>40299</v>
      </c>
      <c r="C45" s="11">
        <v>5.4670794615049294</v>
      </c>
      <c r="D45" s="11">
        <v>0.79201552279812404</v>
      </c>
      <c r="E45" s="11">
        <v>3.9496399077646629</v>
      </c>
      <c r="F45" s="11">
        <v>12.809389268539675</v>
      </c>
    </row>
    <row r="46" spans="1:6" x14ac:dyDescent="0.25">
      <c r="A46" s="26"/>
      <c r="B46" s="10">
        <v>40330</v>
      </c>
      <c r="C46" s="11">
        <v>5.5156437025290987</v>
      </c>
      <c r="D46" s="11">
        <v>0.88830318575250544</v>
      </c>
      <c r="E46" s="11">
        <v>4.873027870643611</v>
      </c>
      <c r="F46" s="11">
        <v>12.655933941462578</v>
      </c>
    </row>
    <row r="47" spans="1:6" x14ac:dyDescent="0.25">
      <c r="A47" s="26"/>
      <c r="B47" s="10">
        <v>40360</v>
      </c>
      <c r="C47" s="11">
        <v>5.5661583035789528</v>
      </c>
      <c r="D47" s="11">
        <v>0.91584235266486758</v>
      </c>
      <c r="E47" s="11">
        <v>5.8334994764049952</v>
      </c>
      <c r="F47" s="11">
        <v>12.641465618247054</v>
      </c>
    </row>
    <row r="48" spans="1:6" x14ac:dyDescent="0.25">
      <c r="A48" s="26"/>
      <c r="B48" s="10">
        <v>40391</v>
      </c>
      <c r="C48" s="11">
        <v>5.6277377344246062</v>
      </c>
      <c r="D48" s="11">
        <v>1.1063183525710656</v>
      </c>
      <c r="E48" s="11">
        <v>7.0043549042806603</v>
      </c>
      <c r="F48" s="11">
        <v>12.760845765279399</v>
      </c>
    </row>
    <row r="49" spans="1:6" x14ac:dyDescent="0.25">
      <c r="A49" s="26"/>
      <c r="B49" s="10">
        <v>40422</v>
      </c>
      <c r="C49" s="11">
        <v>5.8289835522802376</v>
      </c>
      <c r="D49" s="11">
        <v>3.5759629775321713</v>
      </c>
      <c r="E49" s="11">
        <v>10.830791020004881</v>
      </c>
      <c r="F49" s="11">
        <v>15.740357889708335</v>
      </c>
    </row>
    <row r="50" spans="1:6" x14ac:dyDescent="0.25">
      <c r="A50" s="26"/>
      <c r="B50" s="10">
        <v>40452</v>
      </c>
      <c r="C50" s="11">
        <v>5.8903305734445848</v>
      </c>
      <c r="D50" s="11">
        <v>1.0524480059709305</v>
      </c>
      <c r="E50" s="11">
        <v>11.997227470096732</v>
      </c>
      <c r="F50" s="11">
        <v>15.837553802067973</v>
      </c>
    </row>
    <row r="51" spans="1:6" x14ac:dyDescent="0.25">
      <c r="A51" s="26"/>
      <c r="B51" s="10">
        <v>40483</v>
      </c>
      <c r="C51" s="11">
        <v>5.9425361678361988</v>
      </c>
      <c r="D51" s="11">
        <v>0.88629311616182349</v>
      </c>
      <c r="E51" s="11">
        <v>12.989851187456281</v>
      </c>
      <c r="F51" s="11">
        <v>15.677156260719173</v>
      </c>
    </row>
    <row r="52" spans="1:6" ht="16.5" thickBot="1" x14ac:dyDescent="0.3">
      <c r="A52" s="27"/>
      <c r="B52" s="18">
        <v>40513</v>
      </c>
      <c r="C52" s="15">
        <v>5.9954854237649364</v>
      </c>
      <c r="D52" s="15">
        <v>0.89102118074305281</v>
      </c>
      <c r="E52" s="15">
        <v>13.996614693626583</v>
      </c>
      <c r="F52" s="15">
        <v>13.996614693626583</v>
      </c>
    </row>
    <row r="53" spans="1:6" x14ac:dyDescent="0.25">
      <c r="A53" s="25">
        <v>2011</v>
      </c>
      <c r="B53" s="10">
        <v>40544</v>
      </c>
      <c r="C53" s="11">
        <v>6.0553476377749309</v>
      </c>
      <c r="D53" s="11">
        <v>0.99845483357717058</v>
      </c>
      <c r="E53" s="13">
        <v>0.99845483357717058</v>
      </c>
      <c r="F53" s="11">
        <v>14.329096914392636</v>
      </c>
    </row>
    <row r="54" spans="1:6" x14ac:dyDescent="0.25">
      <c r="A54" s="26"/>
      <c r="B54" s="10">
        <v>40575</v>
      </c>
      <c r="C54" s="11">
        <v>6.1042335135822947</v>
      </c>
      <c r="D54" s="11">
        <v>0.80731741151242886</v>
      </c>
      <c r="E54" s="11">
        <v>1.813832944807146</v>
      </c>
      <c r="F54" s="11">
        <v>14.342962793158236</v>
      </c>
    </row>
    <row r="55" spans="1:6" x14ac:dyDescent="0.25">
      <c r="A55" s="26"/>
      <c r="B55" s="10">
        <v>40603</v>
      </c>
      <c r="C55" s="11">
        <v>6.1566452269194603</v>
      </c>
      <c r="D55" s="11">
        <v>0.85861252228551166</v>
      </c>
      <c r="E55" s="11">
        <v>2.6880192638901121</v>
      </c>
      <c r="F55" s="11">
        <v>14.216811136138446</v>
      </c>
    </row>
    <row r="56" spans="1:6" x14ac:dyDescent="0.25">
      <c r="A56" s="26"/>
      <c r="B56" s="10">
        <v>40634</v>
      </c>
      <c r="C56" s="11">
        <v>6.2172170503229696</v>
      </c>
      <c r="D56" s="11">
        <v>0.98384462919290172</v>
      </c>
      <c r="E56" s="11">
        <v>3.6983098262424647</v>
      </c>
      <c r="F56" s="11">
        <v>14.621680891438942</v>
      </c>
    </row>
    <row r="57" spans="1:6" x14ac:dyDescent="0.25">
      <c r="A57" s="26"/>
      <c r="B57" s="10">
        <v>40664</v>
      </c>
      <c r="C57" s="11">
        <v>6.2816025407873139</v>
      </c>
      <c r="D57" s="11">
        <v>1.0355998502738544</v>
      </c>
      <c r="E57" s="11">
        <v>4.7722093675395456</v>
      </c>
      <c r="F57" s="11">
        <v>14.898687407374339</v>
      </c>
    </row>
    <row r="58" spans="1:6" x14ac:dyDescent="0.25">
      <c r="A58" s="26"/>
      <c r="B58" s="10">
        <v>40695</v>
      </c>
      <c r="C58" s="11">
        <v>6.3415867827954759</v>
      </c>
      <c r="D58" s="11">
        <v>0.95491941138708114</v>
      </c>
      <c r="E58" s="11">
        <v>5.7726995325292734</v>
      </c>
      <c r="F58" s="11">
        <v>14.974554645138795</v>
      </c>
    </row>
    <row r="59" spans="1:6" x14ac:dyDescent="0.25">
      <c r="A59" s="26"/>
      <c r="B59" s="10">
        <v>40725</v>
      </c>
      <c r="C59" s="11">
        <v>6.3880096843207292</v>
      </c>
      <c r="D59" s="11">
        <v>0.73203920588453286</v>
      </c>
      <c r="E59" s="11">
        <v>6.5469971622298431</v>
      </c>
      <c r="F59" s="11">
        <v>14.765145651954214</v>
      </c>
    </row>
    <row r="60" spans="1:6" x14ac:dyDescent="0.25">
      <c r="A60" s="26"/>
      <c r="B60" s="10">
        <v>40756</v>
      </c>
      <c r="C60" s="11">
        <v>6.4341325143048982</v>
      </c>
      <c r="D60" s="11">
        <v>0.72202191705147811</v>
      </c>
      <c r="E60" s="11">
        <v>7.3162898337013615</v>
      </c>
      <c r="F60" s="11">
        <v>14.328933186555815</v>
      </c>
    </row>
    <row r="61" spans="1:6" x14ac:dyDescent="0.25">
      <c r="A61" s="26"/>
      <c r="B61" s="10">
        <v>40787</v>
      </c>
      <c r="C61" s="11">
        <v>6.4776922878723147</v>
      </c>
      <c r="D61" s="11">
        <v>0.6770108242342161</v>
      </c>
      <c r="E61" s="11">
        <v>8.0428327320420863</v>
      </c>
      <c r="F61" s="11">
        <v>11.129019832939989</v>
      </c>
    </row>
    <row r="62" spans="1:6" x14ac:dyDescent="0.25">
      <c r="A62" s="26"/>
      <c r="B62" s="10">
        <v>40817</v>
      </c>
      <c r="C62" s="11">
        <v>6.5284771845663139</v>
      </c>
      <c r="D62" s="11">
        <v>0.78399674509208239</v>
      </c>
      <c r="E62" s="11">
        <v>8.889885023966599</v>
      </c>
      <c r="F62" s="11">
        <v>10.833799617269207</v>
      </c>
    </row>
    <row r="63" spans="1:6" x14ac:dyDescent="0.25">
      <c r="A63" s="26"/>
      <c r="B63" s="10">
        <v>40848</v>
      </c>
      <c r="C63" s="11">
        <v>6.5673426171370881</v>
      </c>
      <c r="D63" s="11">
        <v>0.59532156538209335</v>
      </c>
      <c r="E63" s="11">
        <v>9.5381299920340297</v>
      </c>
      <c r="F63" s="11">
        <v>10.514137931252904</v>
      </c>
    </row>
    <row r="64" spans="1:6" ht="16.5" thickBot="1" x14ac:dyDescent="0.3">
      <c r="A64" s="27"/>
      <c r="B64" s="18">
        <v>40878</v>
      </c>
      <c r="C64" s="15">
        <v>6.6069116364197393</v>
      </c>
      <c r="D64" s="15">
        <v>0.60251187716929167</v>
      </c>
      <c r="E64" s="15">
        <v>10.198110235265176</v>
      </c>
      <c r="F64" s="15">
        <v>10.198110235265176</v>
      </c>
    </row>
    <row r="65" spans="1:6" x14ac:dyDescent="0.25">
      <c r="A65" s="25">
        <v>2012</v>
      </c>
      <c r="B65" s="10">
        <v>40909</v>
      </c>
      <c r="C65" s="11">
        <v>6.6652877049418375</v>
      </c>
      <c r="D65" s="11">
        <v>0.88356060644593981</v>
      </c>
      <c r="E65" s="13">
        <v>0.88356060644593981</v>
      </c>
      <c r="F65" s="11">
        <v>10.072750627262607</v>
      </c>
    </row>
    <row r="66" spans="1:6" x14ac:dyDescent="0.25">
      <c r="A66" s="26"/>
      <c r="B66" s="10">
        <v>40940</v>
      </c>
      <c r="C66" s="11">
        <v>6.7205949012396697</v>
      </c>
      <c r="D66" s="11">
        <v>0.82977957960954996</v>
      </c>
      <c r="E66" s="11">
        <v>1.7206717915412497</v>
      </c>
      <c r="F66" s="11">
        <v>10.097277345074261</v>
      </c>
    </row>
    <row r="67" spans="1:6" x14ac:dyDescent="0.25">
      <c r="A67" s="26"/>
      <c r="B67" s="10">
        <v>40969</v>
      </c>
      <c r="C67" s="11">
        <v>6.7511295594872802</v>
      </c>
      <c r="D67" s="11">
        <v>0.45434457360282465</v>
      </c>
      <c r="E67" s="11">
        <v>2.1828341440584467</v>
      </c>
      <c r="F67" s="11">
        <v>9.6559783884977151</v>
      </c>
    </row>
    <row r="68" spans="1:6" x14ac:dyDescent="0.25">
      <c r="A68" s="26"/>
      <c r="B68" s="10">
        <v>41000</v>
      </c>
      <c r="C68" s="11">
        <v>6.7792298369816262</v>
      </c>
      <c r="D68" s="11">
        <v>0.41623075437587431</v>
      </c>
      <c r="E68" s="11">
        <v>2.6081505254588819</v>
      </c>
      <c r="F68" s="11">
        <v>9.0396198509663037</v>
      </c>
    </row>
    <row r="69" spans="1:6" x14ac:dyDescent="0.25">
      <c r="A69" s="26"/>
      <c r="B69" s="10">
        <v>41030</v>
      </c>
      <c r="C69" s="11">
        <v>6.8117938998776566</v>
      </c>
      <c r="D69" s="11">
        <v>0.48035047754819971</v>
      </c>
      <c r="E69" s="11">
        <v>3.1010292665113042</v>
      </c>
      <c r="F69" s="11">
        <v>8.4403837340509114</v>
      </c>
    </row>
    <row r="70" spans="1:6" x14ac:dyDescent="0.25">
      <c r="A70" s="26"/>
      <c r="B70" s="10">
        <v>41061</v>
      </c>
      <c r="C70" s="11">
        <v>6.8457849148320218</v>
      </c>
      <c r="D70" s="11">
        <v>0.49900239869229779</v>
      </c>
      <c r="E70" s="11">
        <v>3.6155058756276475</v>
      </c>
      <c r="F70" s="11">
        <v>7.9506620236502954</v>
      </c>
    </row>
    <row r="71" spans="1:6" x14ac:dyDescent="0.25">
      <c r="A71" s="26"/>
      <c r="B71" s="10">
        <v>41091</v>
      </c>
      <c r="C71" s="11">
        <v>6.8855852310933399</v>
      </c>
      <c r="D71" s="11">
        <v>0.58138426428044454</v>
      </c>
      <c r="E71" s="11">
        <v>4.2179101221431239</v>
      </c>
      <c r="F71" s="11">
        <v>7.7892109023238021</v>
      </c>
    </row>
    <row r="72" spans="1:6" x14ac:dyDescent="0.25">
      <c r="A72" s="26"/>
      <c r="B72" s="10">
        <v>41122</v>
      </c>
      <c r="C72" s="11">
        <v>6.9133223615953252</v>
      </c>
      <c r="D72" s="11">
        <v>0.40282894730185603</v>
      </c>
      <c r="E72" s="11">
        <v>4.6377300323881485</v>
      </c>
      <c r="F72" s="11">
        <v>7.4476216681122622</v>
      </c>
    </row>
    <row r="73" spans="1:6" x14ac:dyDescent="0.25">
      <c r="A73" s="26"/>
      <c r="B73" s="10">
        <v>41153</v>
      </c>
      <c r="C73" s="11">
        <v>6.9504931470236881</v>
      </c>
      <c r="D73" s="11">
        <v>0.5376689163932582</v>
      </c>
      <c r="E73" s="11">
        <v>5.2003345815917896</v>
      </c>
      <c r="F73" s="11">
        <v>7.2989089036625359</v>
      </c>
    </row>
    <row r="74" spans="1:6" x14ac:dyDescent="0.25">
      <c r="A74" s="26"/>
      <c r="B74" s="10">
        <v>41183</v>
      </c>
      <c r="C74" s="11">
        <v>6.9769540145180411</v>
      </c>
      <c r="D74" s="11">
        <v>0.38070489294250365</v>
      </c>
      <c r="E74" s="11">
        <v>5.6008374027358059</v>
      </c>
      <c r="F74" s="11">
        <v>6.8695473273913166</v>
      </c>
    </row>
    <row r="75" spans="1:6" x14ac:dyDescent="0.25">
      <c r="A75" s="26"/>
      <c r="B75" s="10">
        <v>41214</v>
      </c>
      <c r="C75" s="11">
        <v>7.0117138723749886</v>
      </c>
      <c r="D75" s="11">
        <v>0.49820964542143997</v>
      </c>
      <c r="E75" s="11">
        <v>6.1269509603220484</v>
      </c>
      <c r="F75" s="11">
        <v>6.7663784447356221</v>
      </c>
    </row>
    <row r="76" spans="1:6" ht="16.5" thickBot="1" x14ac:dyDescent="0.3">
      <c r="A76" s="27"/>
      <c r="B76" s="18">
        <v>41244</v>
      </c>
      <c r="C76" s="15">
        <v>7.0758470300973153</v>
      </c>
      <c r="D76" s="15">
        <v>0.91465737036133987</v>
      </c>
      <c r="E76" s="15">
        <v>7.0976489392204059</v>
      </c>
      <c r="F76" s="15">
        <v>7.0976489392204059</v>
      </c>
    </row>
    <row r="77" spans="1:6" x14ac:dyDescent="0.25">
      <c r="A77" s="25">
        <v>2013</v>
      </c>
      <c r="B77" s="12">
        <v>41275</v>
      </c>
      <c r="C77" s="11">
        <v>7.1118733012244553</v>
      </c>
      <c r="D77" s="11">
        <v>0.50914429006027717</v>
      </c>
      <c r="E77" s="13">
        <v>0.50914429006027717</v>
      </c>
      <c r="F77" s="11">
        <v>6.7001698359023152</v>
      </c>
    </row>
    <row r="78" spans="1:6" x14ac:dyDescent="0.25">
      <c r="A78" s="26"/>
      <c r="B78" s="10">
        <v>41306</v>
      </c>
      <c r="C78" s="11">
        <v>7.1640102717244192</v>
      </c>
      <c r="D78" s="11">
        <v>0.73309757206988024</v>
      </c>
      <c r="E78" s="11">
        <v>1.2459743865589417</v>
      </c>
      <c r="F78" s="11">
        <v>6.5978589247055623</v>
      </c>
    </row>
    <row r="79" spans="1:6" x14ac:dyDescent="0.25">
      <c r="A79" s="26"/>
      <c r="B79" s="10">
        <v>41334</v>
      </c>
      <c r="C79" s="11">
        <v>7.1951236593082806</v>
      </c>
      <c r="D79" s="11">
        <v>0.434301269872023</v>
      </c>
      <c r="E79" s="11">
        <v>1.6856869390140758</v>
      </c>
      <c r="F79" s="11">
        <v>6.5765898270617811</v>
      </c>
    </row>
    <row r="80" spans="1:6" x14ac:dyDescent="0.25">
      <c r="A80" s="26"/>
      <c r="B80" s="10">
        <v>41365</v>
      </c>
      <c r="C80" s="11">
        <v>7.2466179291953354</v>
      </c>
      <c r="D80" s="11">
        <v>0.71568290310671046</v>
      </c>
      <c r="E80" s="11">
        <v>2.4134340153431992</v>
      </c>
      <c r="F80" s="11">
        <v>6.8944128382260033</v>
      </c>
    </row>
    <row r="81" spans="1:72" x14ac:dyDescent="0.25">
      <c r="A81" s="26"/>
      <c r="B81" s="10">
        <v>41395</v>
      </c>
      <c r="C81" s="11">
        <v>7.2803870832556834</v>
      </c>
      <c r="D81" s="11">
        <v>0.46599882028135653</v>
      </c>
      <c r="E81" s="11">
        <v>2.8906794096643438</v>
      </c>
      <c r="F81" s="11">
        <v>6.8791450573165918</v>
      </c>
    </row>
    <row r="82" spans="1:72" x14ac:dyDescent="0.25">
      <c r="A82" s="26"/>
      <c r="B82" s="10">
        <v>41426</v>
      </c>
      <c r="C82" s="11">
        <v>7.3031381559055877</v>
      </c>
      <c r="D82" s="11">
        <v>0.31249811843426301</v>
      </c>
      <c r="E82" s="11">
        <v>3.2122108468637549</v>
      </c>
      <c r="F82" s="11">
        <v>6.6808006205784949</v>
      </c>
    </row>
    <row r="83" spans="1:72" x14ac:dyDescent="0.25">
      <c r="A83" s="26"/>
      <c r="B83" s="10">
        <v>41456</v>
      </c>
      <c r="C83" s="11">
        <v>7.3628686226843651</v>
      </c>
      <c r="D83" s="11">
        <v>0.81787398107040588</v>
      </c>
      <c r="E83" s="11">
        <v>4.0563566646677884</v>
      </c>
      <c r="F83" s="11">
        <v>6.9316314528465881</v>
      </c>
    </row>
    <row r="84" spans="1:72" x14ac:dyDescent="0.25">
      <c r="A84" s="26"/>
      <c r="B84" s="10">
        <v>41487</v>
      </c>
      <c r="C84" s="11">
        <v>7.4110420924821909</v>
      </c>
      <c r="D84" s="11">
        <v>0.65427583006720624</v>
      </c>
      <c r="E84" s="11">
        <v>4.7371722559732348</v>
      </c>
      <c r="F84" s="11">
        <v>7.1994289410223899</v>
      </c>
    </row>
    <row r="85" spans="1:72" x14ac:dyDescent="0.25">
      <c r="A85" s="26"/>
      <c r="B85" s="10">
        <v>41518</v>
      </c>
      <c r="C85" s="11">
        <v>7.4523937656537811</v>
      </c>
      <c r="D85" s="11">
        <v>0.55797379984572615</v>
      </c>
      <c r="E85" s="11">
        <v>5.321578235860855</v>
      </c>
      <c r="F85" s="11">
        <v>7.2210792531320465</v>
      </c>
    </row>
    <row r="86" spans="1:72" x14ac:dyDescent="0.25">
      <c r="A86" s="26"/>
      <c r="B86" s="10">
        <v>41548</v>
      </c>
      <c r="C86" s="11">
        <v>7.4849160420551204</v>
      </c>
      <c r="D86" s="11">
        <v>0.43640040266292601</v>
      </c>
      <c r="E86" s="11">
        <v>5.7812020273730838</v>
      </c>
      <c r="F86" s="11">
        <v>7.2805700952032026</v>
      </c>
    </row>
    <row r="87" spans="1:72" x14ac:dyDescent="0.25">
      <c r="A87" s="26"/>
      <c r="B87" s="10">
        <v>41579</v>
      </c>
      <c r="C87" s="11">
        <v>7.5265513824530217</v>
      </c>
      <c r="D87" s="11">
        <v>0.55625661215124467</v>
      </c>
      <c r="E87" s="11">
        <v>6.3696169580634461</v>
      </c>
      <c r="F87" s="11">
        <v>7.3425344993954837</v>
      </c>
    </row>
    <row r="88" spans="1:72" ht="16.5" thickBot="1" x14ac:dyDescent="0.3">
      <c r="A88" s="27"/>
      <c r="B88" s="14">
        <v>41609</v>
      </c>
      <c r="C88" s="15">
        <v>7.5782540012824624</v>
      </c>
      <c r="D88" s="15">
        <v>0.68693636968954763</v>
      </c>
      <c r="E88" s="15">
        <v>7.1003085432478343</v>
      </c>
      <c r="F88" s="15">
        <v>7.1003085432478343</v>
      </c>
    </row>
    <row r="89" spans="1:72" x14ac:dyDescent="0.25">
      <c r="A89" s="25">
        <v>2014</v>
      </c>
      <c r="B89" s="12">
        <v>41640</v>
      </c>
      <c r="C89" s="11">
        <v>7.6663119148132157</v>
      </c>
      <c r="D89" s="11">
        <v>1.1619815529520565</v>
      </c>
      <c r="E89" s="13">
        <v>1.1619815529520565</v>
      </c>
      <c r="F89" s="11">
        <v>7.7959574096082775</v>
      </c>
    </row>
    <row r="90" spans="1:72" x14ac:dyDescent="0.25">
      <c r="A90" s="26"/>
      <c r="B90" s="10">
        <v>41671</v>
      </c>
      <c r="C90" s="11">
        <v>7.6930026624487198</v>
      </c>
      <c r="D90" s="11">
        <v>0.34815629643154011</v>
      </c>
      <c r="E90" s="11">
        <v>1.5141833613235889</v>
      </c>
      <c r="F90" s="11">
        <v>7.3840261342474207</v>
      </c>
    </row>
    <row r="91" spans="1:72" x14ac:dyDescent="0.25">
      <c r="A91" s="26"/>
      <c r="B91" s="10">
        <v>41699</v>
      </c>
      <c r="C91" s="11">
        <v>7.7280576700729577</v>
      </c>
      <c r="D91" s="11">
        <v>0.4556739307442399</v>
      </c>
      <c r="E91" s="11">
        <v>1.9767570309090274</v>
      </c>
      <c r="F91" s="11">
        <v>7.4068777132860504</v>
      </c>
    </row>
    <row r="92" spans="1:72" x14ac:dyDescent="0.25">
      <c r="A92" s="26"/>
      <c r="B92" s="10">
        <v>41730</v>
      </c>
      <c r="C92" s="11">
        <v>7.7744791325931955</v>
      </c>
      <c r="D92" s="11">
        <v>0.60068732017886362</v>
      </c>
      <c r="E92" s="11">
        <v>2.5893184799232927</v>
      </c>
      <c r="F92" s="11">
        <v>7.2842422293467592</v>
      </c>
    </row>
    <row r="93" spans="1:72" x14ac:dyDescent="0.25">
      <c r="A93" s="26"/>
      <c r="B93" s="10">
        <v>41760</v>
      </c>
      <c r="C93" s="11">
        <v>7.8384955544573476</v>
      </c>
      <c r="D93" s="11">
        <v>0.82341750196195562</v>
      </c>
      <c r="E93" s="11">
        <v>3.4340568834304861</v>
      </c>
      <c r="F93" s="11">
        <v>7.6659175510773281</v>
      </c>
    </row>
    <row r="94" spans="1:72" x14ac:dyDescent="0.25">
      <c r="A94" s="26"/>
      <c r="B94" s="10">
        <v>41791</v>
      </c>
      <c r="C94" s="11">
        <v>7.8654184350679142</v>
      </c>
      <c r="D94" s="11">
        <v>0.34346999910279408</v>
      </c>
      <c r="E94" s="11">
        <v>3.789321837679978</v>
      </c>
      <c r="F94" s="11">
        <v>7.6991598290886145</v>
      </c>
    </row>
    <row r="95" spans="1:72" x14ac:dyDescent="0.25">
      <c r="A95" s="26"/>
      <c r="B95" s="10">
        <v>41821</v>
      </c>
      <c r="C95" s="11">
        <v>7.9092748358605274</v>
      </c>
      <c r="D95" s="11">
        <v>0.55758509422815905</v>
      </c>
      <c r="E95" s="11">
        <v>4.3680356256473658</v>
      </c>
      <c r="F95" s="11">
        <v>7.4211050227452233</v>
      </c>
    </row>
    <row r="96" spans="1:72" x14ac:dyDescent="0.25">
      <c r="A96" s="26"/>
      <c r="B96" s="10">
        <v>41852</v>
      </c>
      <c r="C96" s="11">
        <v>7.9354578934043216</v>
      </c>
      <c r="D96" s="11">
        <v>0.33104245442427782</v>
      </c>
      <c r="E96" s="11">
        <v>4.7135381324169288</v>
      </c>
      <c r="F96" s="11">
        <v>7.0761411739126601</v>
      </c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</row>
    <row r="97" spans="1:6" x14ac:dyDescent="0.25">
      <c r="A97" s="26"/>
      <c r="B97" s="10">
        <v>41883</v>
      </c>
      <c r="C97" s="11">
        <v>7.9764441656381884</v>
      </c>
      <c r="D97" s="11">
        <v>0.51649536528866236</v>
      </c>
      <c r="E97" s="11">
        <v>5.254378703700624</v>
      </c>
      <c r="F97" s="11">
        <v>7.0319741074287521</v>
      </c>
    </row>
    <row r="98" spans="1:6" x14ac:dyDescent="0.25">
      <c r="A98" s="26"/>
      <c r="B98" s="10">
        <v>41913</v>
      </c>
      <c r="C98" s="11">
        <v>8.0153330616491676</v>
      </c>
      <c r="D98" s="11">
        <v>0.48754677151141834</v>
      </c>
      <c r="E98" s="11">
        <v>5.7675430289449139</v>
      </c>
      <c r="F98" s="11">
        <v>7.0864792151818392</v>
      </c>
    </row>
    <row r="99" spans="1:6" x14ac:dyDescent="0.25">
      <c r="A99" s="26"/>
      <c r="B99" s="10">
        <v>41944</v>
      </c>
      <c r="C99" s="11">
        <v>8.0390844010275266</v>
      </c>
      <c r="D99" s="11">
        <v>0.29632379834596634</v>
      </c>
      <c r="E99" s="11">
        <v>6.0809574298654923</v>
      </c>
      <c r="F99" s="11">
        <v>6.8096661077661196</v>
      </c>
    </row>
    <row r="100" spans="1:6" ht="16.5" thickBot="1" x14ac:dyDescent="0.3">
      <c r="A100" s="27"/>
      <c r="B100" s="14">
        <v>41974</v>
      </c>
      <c r="C100" s="15">
        <v>8.0694930337203061</v>
      </c>
      <c r="D100" s="15">
        <v>0.37825990095205952</v>
      </c>
      <c r="E100" s="15">
        <v>6.4822191543686785</v>
      </c>
      <c r="F100" s="15">
        <v>6.4822191543686785</v>
      </c>
    </row>
    <row r="101" spans="1:6" x14ac:dyDescent="0.25">
      <c r="A101" s="25">
        <v>2015</v>
      </c>
      <c r="B101" s="12">
        <v>42005</v>
      </c>
      <c r="C101" s="11">
        <v>8.1179490929241425</v>
      </c>
      <c r="D101" s="11">
        <v>0.60048455338335316</v>
      </c>
      <c r="E101" s="13">
        <v>0.60048455338335316</v>
      </c>
      <c r="F101" s="11">
        <v>5.8911923116283731</v>
      </c>
    </row>
    <row r="102" spans="1:6" x14ac:dyDescent="0.25">
      <c r="A102" s="26"/>
      <c r="B102" s="10">
        <v>42036</v>
      </c>
      <c r="C102" s="11">
        <v>8.1635570912098121</v>
      </c>
      <c r="D102" s="11">
        <v>0.56181675646899976</v>
      </c>
      <c r="E102" s="11">
        <v>1.1656749326932641</v>
      </c>
      <c r="F102" s="11">
        <v>6.1166549578615843</v>
      </c>
    </row>
    <row r="103" spans="1:6" x14ac:dyDescent="0.25">
      <c r="A103" s="26"/>
      <c r="B103" s="10">
        <v>42064</v>
      </c>
      <c r="C103" s="11">
        <v>8.2117731442334065</v>
      </c>
      <c r="D103" s="11">
        <v>0.59062553841280874</v>
      </c>
      <c r="E103" s="11">
        <v>1.7631852449534193</v>
      </c>
      <c r="F103" s="11">
        <v>6.2592114967470422</v>
      </c>
    </row>
    <row r="104" spans="1:6" x14ac:dyDescent="0.25">
      <c r="A104" s="26"/>
      <c r="B104" s="10">
        <v>42095</v>
      </c>
      <c r="C104" s="11">
        <v>8.2553521433458545</v>
      </c>
      <c r="D104" s="11">
        <v>0.5306892719393943</v>
      </c>
      <c r="E104" s="11">
        <v>2.3032315518322122</v>
      </c>
      <c r="F104" s="11">
        <v>6.1852762423231695</v>
      </c>
    </row>
    <row r="105" spans="1:6" x14ac:dyDescent="0.25">
      <c r="A105" s="26"/>
      <c r="B105" s="10">
        <v>42125</v>
      </c>
      <c r="C105" s="11">
        <v>8.7867934090289186</v>
      </c>
      <c r="D105" s="11">
        <v>6.4375359942873729</v>
      </c>
      <c r="E105" s="11">
        <v>8.8890389063005699</v>
      </c>
      <c r="F105" s="11">
        <v>12.097957420315453</v>
      </c>
    </row>
    <row r="106" spans="1:6" x14ac:dyDescent="0.25">
      <c r="A106" s="26"/>
      <c r="B106" s="10">
        <v>42156</v>
      </c>
      <c r="C106" s="11">
        <v>8.7936554193000429</v>
      </c>
      <c r="D106" s="11">
        <v>7.8094589820153715E-2</v>
      </c>
      <c r="E106" s="11">
        <v>8.9740753545935519</v>
      </c>
      <c r="F106" s="11">
        <v>11.801495265574061</v>
      </c>
    </row>
    <row r="107" spans="1:6" x14ac:dyDescent="0.25">
      <c r="A107" s="26"/>
      <c r="B107" s="10">
        <v>42186</v>
      </c>
      <c r="C107" s="11">
        <v>9.4107777903993188</v>
      </c>
      <c r="D107" s="11">
        <v>7.0178138859618571</v>
      </c>
      <c r="E107" s="11">
        <v>16.621673146926753</v>
      </c>
      <c r="F107" s="11">
        <v>18.984078638044053</v>
      </c>
    </row>
    <row r="108" spans="1:6" x14ac:dyDescent="0.25">
      <c r="A108" s="26"/>
      <c r="B108" s="10">
        <v>42217</v>
      </c>
      <c r="C108" s="11">
        <v>9.4557380195342358</v>
      </c>
      <c r="D108" s="11">
        <v>0.47775253157908537</v>
      </c>
      <c r="E108" s="11">
        <v>17.178836142756083</v>
      </c>
      <c r="F108" s="11">
        <v>19.15806430519298</v>
      </c>
    </row>
    <row r="109" spans="1:6" x14ac:dyDescent="0.25">
      <c r="A109" s="26"/>
      <c r="B109" s="10">
        <v>42248</v>
      </c>
      <c r="C109" s="11">
        <v>9.5078806878197941</v>
      </c>
      <c r="D109" s="11">
        <v>0.55143943474152479</v>
      </c>
      <c r="E109" s="11">
        <v>17.8250064544184</v>
      </c>
      <c r="F109" s="11">
        <v>19.199489025183652</v>
      </c>
    </row>
    <row r="110" spans="1:6" x14ac:dyDescent="0.25">
      <c r="A110" s="26"/>
      <c r="B110" s="10">
        <v>42278</v>
      </c>
      <c r="C110" s="11">
        <v>9.5694179695246095</v>
      </c>
      <c r="D110" s="11">
        <v>0.64722395794940724</v>
      </c>
      <c r="E110" s="11">
        <v>18.587598124646831</v>
      </c>
      <c r="F110" s="11">
        <v>19.388899948665198</v>
      </c>
    </row>
    <row r="111" spans="1:6" x14ac:dyDescent="0.25">
      <c r="A111" s="26"/>
      <c r="B111" s="10">
        <v>42309</v>
      </c>
      <c r="C111" s="11">
        <v>9.6388884203500318</v>
      </c>
      <c r="D111" s="11">
        <v>0.7259631781855802</v>
      </c>
      <c r="E111" s="11">
        <v>19.448500420926479</v>
      </c>
      <c r="F111" s="11">
        <v>19.90032620030739</v>
      </c>
    </row>
    <row r="112" spans="1:6" ht="16.5" thickBot="1" x14ac:dyDescent="0.3">
      <c r="A112" s="27"/>
      <c r="B112" s="14">
        <v>42339</v>
      </c>
      <c r="C112" s="15">
        <v>9.716185206793023</v>
      </c>
      <c r="D112" s="15">
        <v>0.80192635366331899</v>
      </c>
      <c r="E112" s="15">
        <v>20.406389424857537</v>
      </c>
      <c r="F112" s="15">
        <v>20.406389424857537</v>
      </c>
    </row>
    <row r="113" spans="1:6" x14ac:dyDescent="0.25">
      <c r="A113" s="35">
        <v>2016</v>
      </c>
      <c r="B113" s="16">
        <v>42370</v>
      </c>
      <c r="C113" s="11">
        <v>9.8895975256804558</v>
      </c>
      <c r="D113" s="11">
        <v>1.7847778237717478</v>
      </c>
      <c r="E113" s="11">
        <v>1.7847778237717478</v>
      </c>
      <c r="F113" s="11">
        <v>21.823842604538356</v>
      </c>
    </row>
    <row r="114" spans="1:6" x14ac:dyDescent="0.25">
      <c r="A114" s="36"/>
      <c r="B114" s="17">
        <v>42401</v>
      </c>
      <c r="C114" s="11">
        <v>10.031980856388859</v>
      </c>
      <c r="D114" s="11">
        <v>1.4397282633461259</v>
      </c>
      <c r="E114" s="11">
        <v>3.2502020378846908</v>
      </c>
      <c r="F114" s="11">
        <v>22.887373044660748</v>
      </c>
    </row>
    <row r="115" spans="1:6" x14ac:dyDescent="0.25">
      <c r="A115" s="36"/>
      <c r="B115" s="17">
        <v>42430</v>
      </c>
      <c r="C115" s="11">
        <v>10.144648446385887</v>
      </c>
      <c r="D115" s="11">
        <v>1.1230841805811167</v>
      </c>
      <c r="E115" s="11">
        <v>4.4097887233901929</v>
      </c>
      <c r="F115" s="11">
        <v>23.537855566672761</v>
      </c>
    </row>
    <row r="116" spans="1:6" x14ac:dyDescent="0.25">
      <c r="A116" s="36"/>
      <c r="B116" s="17">
        <v>42461</v>
      </c>
      <c r="C116" s="11">
        <v>10.256809189279101</v>
      </c>
      <c r="D116" s="11">
        <v>1.1056148814419657</v>
      </c>
      <c r="E116" s="11">
        <v>5.5641588851981254</v>
      </c>
      <c r="F116" s="11">
        <v>24.244357008398509</v>
      </c>
    </row>
    <row r="117" spans="1:6" x14ac:dyDescent="0.25">
      <c r="A117" s="36"/>
      <c r="B117" s="17">
        <v>42491</v>
      </c>
      <c r="C117" s="11">
        <v>10.368362948763624</v>
      </c>
      <c r="D117" s="11">
        <v>1.0876068514672426</v>
      </c>
      <c r="E117" s="11">
        <v>6.7122819099273272</v>
      </c>
      <c r="F117" s="11">
        <v>17.999393704984072</v>
      </c>
    </row>
    <row r="118" spans="1:6" x14ac:dyDescent="0.25">
      <c r="A118" s="36"/>
      <c r="B118" s="17">
        <v>42522</v>
      </c>
      <c r="C118" s="11">
        <v>10.534856815195404</v>
      </c>
      <c r="D118" s="11">
        <v>1.6057874059244028</v>
      </c>
      <c r="E118" s="11">
        <v>8.4258542934114757</v>
      </c>
      <c r="F118" s="11">
        <v>19.800655277824802</v>
      </c>
    </row>
    <row r="119" spans="1:6" x14ac:dyDescent="0.25">
      <c r="A119" s="36"/>
      <c r="B119" s="17">
        <v>42552</v>
      </c>
      <c r="C119" s="11">
        <v>10.856622806981244</v>
      </c>
      <c r="D119" s="11">
        <v>3.0542986718312903</v>
      </c>
      <c r="E119" s="11">
        <v>11.737503721016878</v>
      </c>
      <c r="F119" s="11">
        <v>15.363714336735782</v>
      </c>
    </row>
    <row r="120" spans="1:6" x14ac:dyDescent="0.25">
      <c r="A120" s="36"/>
      <c r="B120" s="17">
        <v>42583</v>
      </c>
      <c r="C120" s="11">
        <v>11.152087419101974</v>
      </c>
      <c r="D120" s="11">
        <v>2.721514944138363</v>
      </c>
      <c r="E120" s="11">
        <v>14.778456582991524</v>
      </c>
      <c r="F120" s="11">
        <v>17.939894232087639</v>
      </c>
    </row>
    <row r="121" spans="1:6" x14ac:dyDescent="0.25">
      <c r="A121" s="36"/>
      <c r="B121" s="17">
        <v>42614</v>
      </c>
      <c r="C121" s="11">
        <v>11.392591224998524</v>
      </c>
      <c r="D121" s="11">
        <v>2.1565810673668011</v>
      </c>
      <c r="E121" s="11">
        <v>17.25374704707616</v>
      </c>
      <c r="F121" s="11">
        <v>19.822614513801852</v>
      </c>
    </row>
    <row r="122" spans="1:6" x14ac:dyDescent="0.25">
      <c r="A122" s="36"/>
      <c r="B122" s="17">
        <v>42644</v>
      </c>
      <c r="C122" s="11">
        <v>11.677604402550141</v>
      </c>
      <c r="D122" s="11">
        <v>2.5017414556770774</v>
      </c>
      <c r="E122" s="11">
        <v>20.187132645287619</v>
      </c>
      <c r="F122" s="11">
        <v>22.030456185939443</v>
      </c>
    </row>
    <row r="123" spans="1:6" x14ac:dyDescent="0.25">
      <c r="A123" s="36"/>
      <c r="B123" s="17">
        <v>42675</v>
      </c>
      <c r="C123" s="11">
        <v>11.909234946378611</v>
      </c>
      <c r="D123" s="11">
        <v>1.9835450478000922</v>
      </c>
      <c r="E123" s="11">
        <v>22.571098562966128</v>
      </c>
      <c r="F123" s="11">
        <v>23.55402850431723</v>
      </c>
    </row>
    <row r="124" spans="1:6" ht="16.5" thickBot="1" x14ac:dyDescent="0.3">
      <c r="A124" s="37"/>
      <c r="B124" s="18">
        <v>42705</v>
      </c>
      <c r="C124" s="15">
        <v>12.064242864306921</v>
      </c>
      <c r="D124" s="15">
        <v>1.3015774617448841</v>
      </c>
      <c r="E124" s="11">
        <v>24.166456356474811</v>
      </c>
      <c r="F124" s="11">
        <v>24.166456356474811</v>
      </c>
    </row>
    <row r="125" spans="1:6" x14ac:dyDescent="0.25">
      <c r="A125" s="35">
        <v>2017</v>
      </c>
      <c r="B125" s="16">
        <v>42736</v>
      </c>
      <c r="C125" s="11">
        <v>12.218393724632804</v>
      </c>
      <c r="D125" s="11">
        <v>1.2777499761875077</v>
      </c>
      <c r="E125" s="13">
        <v>1.2777499761875077</v>
      </c>
      <c r="F125" s="11">
        <v>23.547937040967824</v>
      </c>
    </row>
    <row r="126" spans="1:6" x14ac:dyDescent="0.25">
      <c r="A126" s="36"/>
      <c r="B126" s="17">
        <v>42767</v>
      </c>
      <c r="C126" s="11">
        <v>12.376123538039426</v>
      </c>
      <c r="D126" s="11">
        <v>1.2909210241656552</v>
      </c>
      <c r="E126" s="11">
        <v>2.585165743432043</v>
      </c>
      <c r="F126" s="11">
        <v>23.366698114836424</v>
      </c>
    </row>
    <row r="127" spans="1:6" x14ac:dyDescent="0.25">
      <c r="A127" s="36"/>
      <c r="B127" s="17">
        <v>42795</v>
      </c>
      <c r="C127" s="11">
        <v>12.53144227980999</v>
      </c>
      <c r="D127" s="11">
        <v>1.254987002134996</v>
      </c>
      <c r="E127" s="11">
        <v>3.8725962396307381</v>
      </c>
      <c r="F127" s="11">
        <v>23.527615037999823</v>
      </c>
    </row>
    <row r="128" spans="1:6" x14ac:dyDescent="0.25">
      <c r="A128" s="36"/>
      <c r="B128" s="17">
        <v>42826</v>
      </c>
      <c r="C128" s="11">
        <v>12.691158949453152</v>
      </c>
      <c r="D128" s="11">
        <v>1.2745274332906433</v>
      </c>
      <c r="E128" s="11">
        <v>5.1964809743760583</v>
      </c>
      <c r="F128" s="11">
        <v>23.733987005613272</v>
      </c>
    </row>
    <row r="129" spans="1:6" x14ac:dyDescent="0.25">
      <c r="A129" s="36"/>
      <c r="B129" s="17">
        <v>42856</v>
      </c>
      <c r="C129" s="11">
        <v>12.83141629801105</v>
      </c>
      <c r="D129" s="11">
        <v>1.1051579222710757</v>
      </c>
      <c r="E129" s="11">
        <v>6.3590682178147802</v>
      </c>
      <c r="F129" s="11">
        <v>23.75546999481854</v>
      </c>
    </row>
    <row r="130" spans="1:6" x14ac:dyDescent="0.25">
      <c r="A130" s="36"/>
      <c r="B130" s="17">
        <v>42887</v>
      </c>
      <c r="C130" s="11">
        <v>12.974924690696263</v>
      </c>
      <c r="D130" s="11">
        <v>1.1184142837564934</v>
      </c>
      <c r="E130" s="11">
        <v>7.5486032288331302</v>
      </c>
      <c r="F130" s="11">
        <v>23.161851350284351</v>
      </c>
    </row>
    <row r="131" spans="1:6" x14ac:dyDescent="0.25">
      <c r="A131" s="36"/>
      <c r="B131" s="17">
        <v>42917</v>
      </c>
      <c r="C131" s="11">
        <v>13.117055635519817</v>
      </c>
      <c r="D131" s="11">
        <v>1.0954278981323995</v>
      </c>
      <c r="E131" s="11">
        <v>8.7267206326534961</v>
      </c>
      <c r="F131" s="11">
        <v>20.820773353984663</v>
      </c>
    </row>
    <row r="132" spans="1:6" x14ac:dyDescent="0.25">
      <c r="A132" s="36"/>
      <c r="B132" s="17">
        <v>42948</v>
      </c>
      <c r="C132" s="11">
        <v>13.270729444888607</v>
      </c>
      <c r="D132" s="11">
        <v>1.1715571972772238</v>
      </c>
      <c r="E132" s="11">
        <v>10.000516353588836</v>
      </c>
      <c r="F132" s="11">
        <v>18.997717164211721</v>
      </c>
    </row>
    <row r="133" spans="1:6" x14ac:dyDescent="0.25">
      <c r="A133" s="36"/>
      <c r="B133" s="17">
        <v>42979</v>
      </c>
      <c r="C133" s="11">
        <v>13.432653272587503</v>
      </c>
      <c r="D133" s="11">
        <v>1.2201577040006839</v>
      </c>
      <c r="E133" s="11">
        <v>11.342696128317684</v>
      </c>
      <c r="F133" s="11">
        <v>17.906918692145396</v>
      </c>
    </row>
    <row r="134" spans="1:6" x14ac:dyDescent="0.25">
      <c r="A134" s="36"/>
      <c r="B134" s="17">
        <v>43009</v>
      </c>
      <c r="C134" s="11">
        <v>13.599613640635344</v>
      </c>
      <c r="D134" s="11">
        <v>1.2429440756024093</v>
      </c>
      <c r="E134" s="11">
        <v>12.726623573460614</v>
      </c>
      <c r="F134" s="11">
        <v>16.45893431417727</v>
      </c>
    </row>
    <row r="135" spans="1:6" x14ac:dyDescent="0.25">
      <c r="A135" s="36"/>
      <c r="B135" s="17">
        <v>43040</v>
      </c>
      <c r="C135" s="11">
        <v>13.761917566556892</v>
      </c>
      <c r="D135" s="11">
        <v>1.1934451243275532</v>
      </c>
      <c r="E135" s="11">
        <v>14.071953966317153</v>
      </c>
      <c r="F135" s="11">
        <v>15.556688809314736</v>
      </c>
    </row>
    <row r="136" spans="1:6" ht="16.5" thickBot="1" x14ac:dyDescent="0.3">
      <c r="A136" s="37"/>
      <c r="B136" s="18">
        <v>43070</v>
      </c>
      <c r="C136" s="15">
        <v>13.934410643974582</v>
      </c>
      <c r="D136" s="15">
        <v>1.2534087388873019</v>
      </c>
      <c r="E136" s="15">
        <v>15.501741805950473</v>
      </c>
      <c r="F136" s="15">
        <v>15.501741805950473</v>
      </c>
    </row>
    <row r="137" spans="1:6" x14ac:dyDescent="0.25">
      <c r="A137" s="35">
        <v>2018</v>
      </c>
      <c r="B137" s="16">
        <v>43101</v>
      </c>
      <c r="C137" s="11">
        <v>14.112246061848957</v>
      </c>
      <c r="D137" s="11">
        <v>1.2762320733763772</v>
      </c>
      <c r="E137" s="13">
        <v>1.2762320733763772</v>
      </c>
      <c r="F137" s="11">
        <v>15.500010720706015</v>
      </c>
    </row>
    <row r="138" spans="1:6" x14ac:dyDescent="0.25">
      <c r="A138" s="36"/>
      <c r="B138" s="17">
        <v>43132</v>
      </c>
      <c r="C138" s="11">
        <v>14.290810481089839</v>
      </c>
      <c r="D138" s="11">
        <v>1.2653153754426967</v>
      </c>
      <c r="E138" s="11">
        <v>2.5576958094698341</v>
      </c>
      <c r="F138" s="11">
        <v>15.470813111758346</v>
      </c>
    </row>
    <row r="139" spans="1:6" x14ac:dyDescent="0.25">
      <c r="A139" s="36"/>
      <c r="B139" s="17">
        <v>43160</v>
      </c>
      <c r="C139" s="11">
        <v>14.477864213721631</v>
      </c>
      <c r="D139" s="11">
        <v>1.3089091964329782</v>
      </c>
      <c r="E139" s="11">
        <v>3.9000829215697337</v>
      </c>
      <c r="F139" s="11">
        <v>15.532305782931431</v>
      </c>
    </row>
    <row r="140" spans="1:6" x14ac:dyDescent="0.25">
      <c r="A140" s="36"/>
      <c r="B140" s="17">
        <v>43191</v>
      </c>
      <c r="C140" s="11">
        <v>14.670253571861929</v>
      </c>
      <c r="D140" s="11">
        <v>1.3288517926418848</v>
      </c>
      <c r="E140" s="11">
        <v>5.2807610360294319</v>
      </c>
      <c r="F140" s="11">
        <v>15.594278113537115</v>
      </c>
    </row>
    <row r="141" spans="1:6" x14ac:dyDescent="0.25">
      <c r="A141" s="36"/>
      <c r="B141" s="17">
        <v>43221</v>
      </c>
      <c r="C141" s="11">
        <v>14.875606777984279</v>
      </c>
      <c r="D141" s="11">
        <v>1.3997931604687608</v>
      </c>
      <c r="E141" s="11">
        <v>6.7544739283012376</v>
      </c>
      <c r="F141" s="11">
        <v>15.931136770070282</v>
      </c>
    </row>
    <row r="142" spans="1:6" x14ac:dyDescent="0.25">
      <c r="A142" s="36"/>
      <c r="B142" s="17">
        <v>43252</v>
      </c>
      <c r="C142" s="11">
        <v>15.082959081928118</v>
      </c>
      <c r="D142" s="11">
        <v>1.3939082085089467</v>
      </c>
      <c r="E142" s="11">
        <v>8.2425333033383907</v>
      </c>
      <c r="F142" s="11">
        <v>16.246987489210099</v>
      </c>
    </row>
    <row r="143" spans="1:6" x14ac:dyDescent="0.25">
      <c r="A143" s="36"/>
      <c r="B143" s="17">
        <v>43282</v>
      </c>
      <c r="C143" s="11">
        <v>15.299482172169551</v>
      </c>
      <c r="D143" s="11">
        <v>1.4355478196640235</v>
      </c>
      <c r="E143" s="11">
        <v>9.7964066301235562</v>
      </c>
      <c r="F143" s="11">
        <v>16.638082488115074</v>
      </c>
    </row>
    <row r="144" spans="1:6" x14ac:dyDescent="0.25">
      <c r="A144" s="36"/>
      <c r="B144" s="17">
        <v>43313</v>
      </c>
      <c r="C144" s="11">
        <v>15.524853938324396</v>
      </c>
      <c r="D144" s="11">
        <v>1.4730679353632326</v>
      </c>
      <c r="E144" s="11">
        <v>11.413782290372936</v>
      </c>
      <c r="F144" s="11">
        <v>16.98568645225447</v>
      </c>
    </row>
    <row r="145" spans="1:6" x14ac:dyDescent="0.25">
      <c r="A145" s="36"/>
      <c r="B145" s="17">
        <v>43344</v>
      </c>
      <c r="C145" s="11">
        <v>15.744434840951094</v>
      </c>
      <c r="D145" s="11">
        <v>1.4143830499084231</v>
      </c>
      <c r="E145" s="11">
        <v>12.989599942349827</v>
      </c>
      <c r="F145" s="11">
        <v>17.210163334456993</v>
      </c>
    </row>
    <row r="146" spans="1:6" x14ac:dyDescent="0.25">
      <c r="A146" s="36"/>
      <c r="B146" s="17">
        <v>43374</v>
      </c>
      <c r="C146" s="11">
        <v>15.984409584510532</v>
      </c>
      <c r="D146" s="11">
        <v>1.5241877271787985</v>
      </c>
      <c r="E146" s="11">
        <v>14.711773557659541</v>
      </c>
      <c r="F146" s="11">
        <v>17.535762462761966</v>
      </c>
    </row>
    <row r="147" spans="1:6" x14ac:dyDescent="0.25">
      <c r="A147" s="36"/>
      <c r="B147" s="17">
        <v>43405</v>
      </c>
      <c r="C147" s="11">
        <v>16.197101794557305</v>
      </c>
      <c r="D147" s="11">
        <v>1.3306228730079539</v>
      </c>
      <c r="E147" s="11">
        <v>16.238154654650856</v>
      </c>
      <c r="F147" s="11">
        <v>17.695093843013595</v>
      </c>
    </row>
    <row r="148" spans="1:6" ht="16.5" thickBot="1" x14ac:dyDescent="0.3">
      <c r="A148" s="37"/>
      <c r="B148" s="18">
        <v>43435</v>
      </c>
      <c r="C148" s="15">
        <v>16.421494233783111</v>
      </c>
      <c r="D148" s="15">
        <v>1.3853863615353958</v>
      </c>
      <c r="E148" s="15">
        <v>17.848502196136835</v>
      </c>
      <c r="F148" s="15">
        <v>17.848502196136835</v>
      </c>
    </row>
    <row r="149" spans="1:6" x14ac:dyDescent="0.25">
      <c r="A149" s="35">
        <v>2019</v>
      </c>
      <c r="B149" s="16">
        <v>43466</v>
      </c>
      <c r="C149" s="11">
        <v>16.658933022059287</v>
      </c>
      <c r="D149" s="11">
        <v>1.4459024550135524</v>
      </c>
      <c r="E149" s="13">
        <v>1.4459024550135524</v>
      </c>
      <c r="F149" s="11">
        <v>18.045936479913308</v>
      </c>
    </row>
    <row r="150" spans="1:6" x14ac:dyDescent="0.25">
      <c r="A150" s="36"/>
      <c r="B150" s="17">
        <v>43497</v>
      </c>
      <c r="C150" s="11">
        <v>16.896238572731477</v>
      </c>
      <c r="D150" s="11">
        <v>1.4244942959909821</v>
      </c>
      <c r="E150" s="11">
        <v>2.8909935490017915</v>
      </c>
      <c r="F150" s="11">
        <v>18.23149285402144</v>
      </c>
    </row>
    <row r="151" spans="1:6" x14ac:dyDescent="0.25">
      <c r="A151" s="36"/>
      <c r="B151" s="17">
        <v>43525</v>
      </c>
      <c r="C151" s="11">
        <v>17.153128317011969</v>
      </c>
      <c r="D151" s="11">
        <v>1.5203960524982278</v>
      </c>
      <c r="E151" s="11">
        <v>4.4553441532970055</v>
      </c>
      <c r="F151" s="11">
        <v>18.478306356505357</v>
      </c>
    </row>
    <row r="152" spans="1:6" x14ac:dyDescent="0.25">
      <c r="A152" s="36"/>
      <c r="B152" s="17">
        <v>43556</v>
      </c>
      <c r="C152" s="11">
        <v>17.419879945517771</v>
      </c>
      <c r="D152" s="11">
        <v>1.555119413647958</v>
      </c>
      <c r="E152" s="11">
        <v>6.0797494888177255</v>
      </c>
      <c r="F152" s="11">
        <v>18.742868759472046</v>
      </c>
    </row>
    <row r="153" spans="1:6" x14ac:dyDescent="0.25">
      <c r="A153" s="36"/>
      <c r="B153" s="17">
        <v>43586</v>
      </c>
      <c r="C153" s="11">
        <v>17.693103282725286</v>
      </c>
      <c r="D153" s="11">
        <v>1.5684570620580871</v>
      </c>
      <c r="E153" s="11">
        <v>7.7435648110886461</v>
      </c>
      <c r="F153" s="11">
        <v>18.94038036089303</v>
      </c>
    </row>
    <row r="154" spans="1:6" x14ac:dyDescent="0.25">
      <c r="A154" s="36"/>
      <c r="B154" s="17">
        <v>43617</v>
      </c>
      <c r="C154" s="11">
        <v>17.967560646307348</v>
      </c>
      <c r="D154" s="11">
        <v>1.5512109955862172</v>
      </c>
      <c r="E154" s="11">
        <v>9.4148948354748256</v>
      </c>
      <c r="F154" s="11">
        <v>19.124904792955789</v>
      </c>
    </row>
    <row r="155" spans="1:6" x14ac:dyDescent="0.25">
      <c r="A155" s="36"/>
      <c r="B155" s="17">
        <v>43647</v>
      </c>
      <c r="C155" s="11">
        <v>18.278743996684874</v>
      </c>
      <c r="D155" s="11">
        <v>1.7319176292385379</v>
      </c>
      <c r="E155" s="11">
        <v>11.309870688143221</v>
      </c>
      <c r="F155" s="11">
        <v>19.472958568066659</v>
      </c>
    </row>
    <row r="156" spans="1:6" x14ac:dyDescent="0.25">
      <c r="A156" s="36"/>
      <c r="B156" s="17">
        <v>43678</v>
      </c>
      <c r="C156" s="11">
        <v>18.601670935573601</v>
      </c>
      <c r="D156" s="11">
        <v>1.7666801337514926</v>
      </c>
      <c r="E156" s="11">
        <v>13.276360060495136</v>
      </c>
      <c r="F156" s="11">
        <v>19.818653428061111</v>
      </c>
    </row>
    <row r="157" spans="1:6" x14ac:dyDescent="0.25">
      <c r="A157" s="36"/>
      <c r="B157" s="17">
        <v>43709</v>
      </c>
      <c r="C157" s="11">
        <v>18.936161235111793</v>
      </c>
      <c r="D157" s="11">
        <v>1.7981734044037836</v>
      </c>
      <c r="E157" s="11">
        <v>15.313265440579627</v>
      </c>
      <c r="F157" s="11">
        <v>20.272092497464911</v>
      </c>
    </row>
    <row r="158" spans="1:6" x14ac:dyDescent="0.25">
      <c r="A158" s="36"/>
      <c r="B158" s="17">
        <v>43739</v>
      </c>
      <c r="C158" s="11">
        <v>19.291678935250147</v>
      </c>
      <c r="D158" s="11">
        <v>1.8774539133050325</v>
      </c>
      <c r="E158" s="11">
        <v>17.4782188551536</v>
      </c>
      <c r="F158" s="11">
        <v>20.690594377314241</v>
      </c>
    </row>
    <row r="159" spans="1:6" x14ac:dyDescent="0.25">
      <c r="A159" s="36"/>
      <c r="B159" s="17">
        <v>43770</v>
      </c>
      <c r="C159" s="11">
        <v>19.664386009335967</v>
      </c>
      <c r="D159" s="11">
        <v>1.9319576867143695</v>
      </c>
      <c r="E159" s="11">
        <v>19.747848334540834</v>
      </c>
      <c r="F159" s="11">
        <v>21.406818693599689</v>
      </c>
    </row>
    <row r="160" spans="1:6" ht="16.5" thickBot="1" x14ac:dyDescent="0.3">
      <c r="A160" s="37"/>
      <c r="B160" s="18">
        <v>43800</v>
      </c>
      <c r="C160" s="15">
        <v>20.051327980349569</v>
      </c>
      <c r="D160" s="15">
        <v>1.9677297365394253</v>
      </c>
      <c r="E160" s="15">
        <v>22.104162355085748</v>
      </c>
      <c r="F160" s="15">
        <v>22.104162355085748</v>
      </c>
    </row>
    <row r="161" spans="1:6" x14ac:dyDescent="0.25">
      <c r="A161" s="35">
        <v>2020</v>
      </c>
      <c r="B161" s="16">
        <v>43831</v>
      </c>
      <c r="C161" s="11">
        <v>20.448397781447063</v>
      </c>
      <c r="D161" s="11">
        <v>1.9802668505877818</v>
      </c>
      <c r="E161" s="13">
        <v>1.9802668505877818</v>
      </c>
      <c r="F161" s="11">
        <v>22.747343748665514</v>
      </c>
    </row>
    <row r="162" spans="1:6" x14ac:dyDescent="0.25">
      <c r="A162" s="36"/>
      <c r="B162" s="17">
        <v>43862</v>
      </c>
      <c r="C162" s="11">
        <v>20.854732877378225</v>
      </c>
      <c r="D162" s="11">
        <v>1.9871243716699922</v>
      </c>
      <c r="E162" s="11">
        <v>4.0067415874699037</v>
      </c>
      <c r="F162" s="11">
        <v>23.428257642119732</v>
      </c>
    </row>
    <row r="163" spans="1:6" x14ac:dyDescent="0.25">
      <c r="A163" s="36"/>
      <c r="B163" s="17">
        <v>43891</v>
      </c>
      <c r="C163" s="11">
        <v>21.314780846805707</v>
      </c>
      <c r="D163" s="11">
        <v>2.2059643349664242</v>
      </c>
      <c r="E163" s="11">
        <v>6.3010932128501764</v>
      </c>
      <c r="F163" s="11">
        <v>24.261769940042541</v>
      </c>
    </row>
    <row r="164" spans="1:6" x14ac:dyDescent="0.25">
      <c r="A164" s="36"/>
      <c r="B164" s="17">
        <v>43922</v>
      </c>
      <c r="C164" s="11">
        <v>21.791301947830018</v>
      </c>
      <c r="D164" s="11">
        <v>2.2356368777571589</v>
      </c>
      <c r="E164" s="11">
        <v>8.6775996541756655</v>
      </c>
      <c r="F164" s="11">
        <v>25.094443911119129</v>
      </c>
    </row>
    <row r="165" spans="1:6" x14ac:dyDescent="0.25">
      <c r="A165" s="36"/>
      <c r="B165" s="17">
        <v>43952</v>
      </c>
      <c r="C165" s="11">
        <v>22.290074177571039</v>
      </c>
      <c r="D165" s="11">
        <v>2.2888592473048135</v>
      </c>
      <c r="E165" s="11">
        <v>11.165076943609193</v>
      </c>
      <c r="F165" s="11">
        <v>25.981710621301929</v>
      </c>
    </row>
    <row r="166" spans="1:6" x14ac:dyDescent="0.25">
      <c r="A166" s="36"/>
      <c r="B166" s="17">
        <v>43983</v>
      </c>
      <c r="C166" s="11">
        <v>22.808354172630008</v>
      </c>
      <c r="D166" s="11">
        <v>2.3251604769466212</v>
      </c>
      <c r="E166" s="11">
        <v>13.749843376869308</v>
      </c>
      <c r="F166" s="11">
        <v>26.941851604755968</v>
      </c>
    </row>
    <row r="167" spans="1:6" x14ac:dyDescent="0.25">
      <c r="A167" s="36"/>
      <c r="B167" s="17">
        <v>44013</v>
      </c>
      <c r="C167" s="11">
        <v>23.342205700601404</v>
      </c>
      <c r="D167" s="11">
        <v>2.3405964495764238</v>
      </c>
      <c r="E167" s="11">
        <v>16.412268172347069</v>
      </c>
      <c r="F167" s="11">
        <v>27.701365612620137</v>
      </c>
    </row>
    <row r="168" spans="1:6" x14ac:dyDescent="0.25">
      <c r="A168" s="36"/>
      <c r="B168" s="17">
        <v>44044</v>
      </c>
      <c r="C168" s="11">
        <v>23.904260399884418</v>
      </c>
      <c r="D168" s="11">
        <v>2.4078902674931442</v>
      </c>
      <c r="E168" s="11">
        <v>19.215347847837023</v>
      </c>
      <c r="F168" s="11">
        <v>28.505984664905611</v>
      </c>
    </row>
    <row r="169" spans="1:6" x14ac:dyDescent="0.25">
      <c r="A169" s="36"/>
      <c r="B169" s="17">
        <v>44075</v>
      </c>
      <c r="C169" s="11">
        <v>24.488538126833468</v>
      </c>
      <c r="D169" s="11">
        <v>2.4442409728429908</v>
      </c>
      <c r="E169" s="11">
        <v>22.129258225851146</v>
      </c>
      <c r="F169" s="11">
        <v>29.321554790240981</v>
      </c>
    </row>
    <row r="170" spans="1:6" x14ac:dyDescent="0.25">
      <c r="A170" s="36"/>
      <c r="B170" s="17">
        <v>44105</v>
      </c>
      <c r="C170" s="11">
        <v>25.092324290345697</v>
      </c>
      <c r="D170" s="11">
        <v>2.4655867997715291</v>
      </c>
      <c r="E170" s="11">
        <v>25.140461095326614</v>
      </c>
      <c r="F170" s="11">
        <v>30.068120947713311</v>
      </c>
    </row>
    <row r="171" spans="1:6" x14ac:dyDescent="0.25">
      <c r="A171" s="36"/>
      <c r="B171" s="17">
        <v>44136</v>
      </c>
      <c r="C171" s="11">
        <v>25.719123940003065</v>
      </c>
      <c r="D171" s="11">
        <v>2.4979736528374588</v>
      </c>
      <c r="E171" s="11">
        <v>28.266436842527185</v>
      </c>
      <c r="F171" s="11">
        <v>30.790373662277148</v>
      </c>
    </row>
    <row r="172" spans="1:6" ht="16.5" thickBot="1" x14ac:dyDescent="0.3">
      <c r="A172" s="37"/>
      <c r="B172" s="18">
        <v>44166</v>
      </c>
      <c r="C172" s="15">
        <v>26.370268644812882</v>
      </c>
      <c r="D172" s="15">
        <v>2.531753050099212</v>
      </c>
      <c r="E172" s="15">
        <v>31.513826269541426</v>
      </c>
      <c r="F172" s="15">
        <v>31.513826269541426</v>
      </c>
    </row>
    <row r="173" spans="1:6" x14ac:dyDescent="0.25">
      <c r="A173" s="35">
        <v>2021</v>
      </c>
      <c r="B173" s="16">
        <v>44197</v>
      </c>
      <c r="C173" s="11">
        <v>27.045277336652283</v>
      </c>
      <c r="D173" s="11">
        <v>2.5597338462161474</v>
      </c>
      <c r="E173" s="13">
        <v>2.5597338462161474</v>
      </c>
      <c r="F173" s="11">
        <v>32.261107328372702</v>
      </c>
    </row>
    <row r="174" spans="1:6" x14ac:dyDescent="0.25">
      <c r="A174" s="36"/>
      <c r="B174" s="17">
        <v>44228</v>
      </c>
      <c r="C174" s="11">
        <v>27.746190001713799</v>
      </c>
      <c r="D174" s="11">
        <v>2.5916268350172373</v>
      </c>
      <c r="E174" s="11">
        <v>5.2176994304969497</v>
      </c>
      <c r="F174" s="11">
        <v>33.045051043597681</v>
      </c>
    </row>
    <row r="175" spans="1:6" x14ac:dyDescent="0.25">
      <c r="A175" s="36"/>
      <c r="B175" s="17">
        <v>44256</v>
      </c>
      <c r="C175" s="11">
        <v>28.467605304773812</v>
      </c>
      <c r="D175" s="11">
        <v>2.6000517657215312</v>
      </c>
      <c r="E175" s="11">
        <v>7.9534140823911628</v>
      </c>
      <c r="F175" s="11">
        <v>33.558048329828608</v>
      </c>
    </row>
    <row r="176" spans="1:6" x14ac:dyDescent="0.25">
      <c r="A176" s="36"/>
      <c r="B176" s="17">
        <v>44287</v>
      </c>
      <c r="C176" s="11">
        <v>29.216488110229182</v>
      </c>
      <c r="D176" s="11">
        <v>2.6306491095328823</v>
      </c>
      <c r="E176" s="11">
        <v>10.793289608659933</v>
      </c>
      <c r="F176" s="11">
        <v>34.074082311261662</v>
      </c>
    </row>
    <row r="177" spans="1:6" x14ac:dyDescent="0.25">
      <c r="A177" s="36"/>
      <c r="B177" s="17">
        <v>44317</v>
      </c>
      <c r="C177" s="11">
        <v>29.99551978603937</v>
      </c>
      <c r="D177" s="11">
        <v>2.666411078809432</v>
      </c>
      <c r="E177" s="11">
        <v>13.747494157362652</v>
      </c>
      <c r="F177" s="11">
        <v>34.568954535924291</v>
      </c>
    </row>
    <row r="178" spans="1:6" x14ac:dyDescent="0.25">
      <c r="A178" s="36"/>
      <c r="B178" s="17">
        <v>44348</v>
      </c>
      <c r="C178" s="11">
        <v>30.818522752533291</v>
      </c>
      <c r="D178" s="11">
        <v>2.7437529749925034</v>
      </c>
      <c r="E178" s="11">
        <v>16.868444412284703</v>
      </c>
      <c r="F178" s="11">
        <v>35.119450177231442</v>
      </c>
    </row>
    <row r="179" spans="1:6" x14ac:dyDescent="0.25">
      <c r="A179" s="36"/>
      <c r="B179" s="17">
        <v>44378</v>
      </c>
      <c r="C179" s="11">
        <v>31.668803850495141</v>
      </c>
      <c r="D179" s="11">
        <v>2.7589936895724918</v>
      </c>
      <c r="E179" s="11">
        <v>20.09283741872116</v>
      </c>
      <c r="F179" s="11">
        <v>35.671856621841016</v>
      </c>
    </row>
    <row r="180" spans="1:6" x14ac:dyDescent="0.25">
      <c r="A180" s="36"/>
      <c r="B180" s="17">
        <v>44409</v>
      </c>
      <c r="C180" s="11">
        <v>32.552742740657592</v>
      </c>
      <c r="D180" s="11">
        <v>2.7911975909649982</v>
      </c>
      <c r="E180" s="11">
        <v>23.44486580367402</v>
      </c>
      <c r="F180" s="11">
        <v>36.179669214174851</v>
      </c>
    </row>
    <row r="181" spans="1:6" x14ac:dyDescent="0.25">
      <c r="A181" s="36"/>
      <c r="B181" s="17">
        <v>44440</v>
      </c>
      <c r="C181" s="11">
        <v>33.475923344291161</v>
      </c>
      <c r="D181" s="11">
        <v>2.8359533664748398</v>
      </c>
      <c r="E181" s="11">
        <v>26.945704631173655</v>
      </c>
      <c r="F181" s="11">
        <v>36.700374562619174</v>
      </c>
    </row>
    <row r="182" spans="1:6" x14ac:dyDescent="0.25">
      <c r="A182" s="36"/>
      <c r="B182" s="17">
        <v>44470</v>
      </c>
      <c r="C182" s="11">
        <v>34.344691690682616</v>
      </c>
      <c r="D182" s="11">
        <v>2.5952035361546137</v>
      </c>
      <c r="E182" s="11">
        <v>30.240204046758265</v>
      </c>
      <c r="F182" s="11">
        <v>36.873297560149837</v>
      </c>
    </row>
    <row r="183" spans="1:6" x14ac:dyDescent="0.25">
      <c r="A183" s="36"/>
      <c r="B183" s="17">
        <v>44501</v>
      </c>
      <c r="C183" s="11">
        <v>35.242244185901626</v>
      </c>
      <c r="D183" s="11">
        <v>2.6133659993299716</v>
      </c>
      <c r="E183" s="11">
        <v>33.643857256774226</v>
      </c>
      <c r="F183" s="11">
        <v>37.027389689142865</v>
      </c>
    </row>
    <row r="184" spans="1:6" ht="16.5" thickBot="1" x14ac:dyDescent="0.3">
      <c r="A184" s="37"/>
      <c r="B184" s="18">
        <v>44531</v>
      </c>
      <c r="C184" s="15">
        <v>36.169321708379549</v>
      </c>
      <c r="D184" s="15">
        <v>2.6305859456271321</v>
      </c>
      <c r="E184" s="15">
        <v>37.159473782964909</v>
      </c>
      <c r="F184" s="15">
        <v>37.159473782964909</v>
      </c>
    </row>
    <row r="185" spans="1:6" x14ac:dyDescent="0.25">
      <c r="A185" s="35">
        <v>2022</v>
      </c>
      <c r="B185" s="16">
        <v>44562</v>
      </c>
      <c r="C185" s="11">
        <v>37.127385747194438</v>
      </c>
      <c r="D185" s="11">
        <v>2.6488305380438817</v>
      </c>
      <c r="E185" s="13">
        <v>2.6488305380438817</v>
      </c>
      <c r="F185" s="11">
        <v>37.278628298178631</v>
      </c>
    </row>
    <row r="186" spans="1:6" x14ac:dyDescent="0.25">
      <c r="A186" s="36"/>
      <c r="B186" s="17">
        <v>44593</v>
      </c>
      <c r="C186" s="11">
        <v>38.104291273842009</v>
      </c>
      <c r="D186" s="11">
        <v>2.6312262686617629</v>
      </c>
      <c r="E186" s="11">
        <v>5.3497535316349882</v>
      </c>
      <c r="F186" s="11">
        <v>37.331616598489433</v>
      </c>
    </row>
    <row r="187" spans="1:6" x14ac:dyDescent="0.25">
      <c r="A187" s="36"/>
      <c r="B187" s="17">
        <v>44621</v>
      </c>
      <c r="C187" s="11">
        <v>39.096402196696687</v>
      </c>
      <c r="D187" s="11">
        <v>2.6036724203180484</v>
      </c>
      <c r="E187" s="11">
        <v>8.092716009211216</v>
      </c>
      <c r="F187" s="11">
        <v>37.336462895740993</v>
      </c>
    </row>
    <row r="188" spans="1:6" x14ac:dyDescent="0.25">
      <c r="A188" s="36"/>
      <c r="B188" s="17">
        <v>44652</v>
      </c>
      <c r="C188" s="11">
        <v>39.970004516449919</v>
      </c>
      <c r="D188" s="11">
        <v>2.2344826394973012</v>
      </c>
      <c r="E188" s="11">
        <v>10.508028982998169</v>
      </c>
      <c r="F188" s="11">
        <v>36.806327870924889</v>
      </c>
    </row>
    <row r="189" spans="1:6" x14ac:dyDescent="0.25">
      <c r="A189" s="36"/>
      <c r="B189" s="17">
        <v>44682</v>
      </c>
      <c r="C189" s="11">
        <v>40.757109068993977</v>
      </c>
      <c r="D189" s="11">
        <v>1.9692380875766986</v>
      </c>
      <c r="E189" s="11">
        <v>12.684195179561655</v>
      </c>
      <c r="F189" s="11">
        <v>35.877322212510222</v>
      </c>
    </row>
    <row r="190" spans="1:6" x14ac:dyDescent="0.25">
      <c r="A190" s="36"/>
      <c r="B190" s="17">
        <v>44713</v>
      </c>
      <c r="C190" s="11">
        <v>41.547789251043305</v>
      </c>
      <c r="D190" s="11">
        <v>1.9399810244413089</v>
      </c>
      <c r="E190" s="11">
        <v>14.870247183589555</v>
      </c>
      <c r="F190" s="11">
        <v>34.814343908252624</v>
      </c>
    </row>
    <row r="191" spans="1:6" x14ac:dyDescent="0.25">
      <c r="A191" s="36"/>
      <c r="B191" s="17">
        <v>44743</v>
      </c>
      <c r="C191" s="11">
        <v>42.313576655274225</v>
      </c>
      <c r="D191" s="11">
        <v>1.8431483793368955</v>
      </c>
      <c r="E191" s="11">
        <v>16.987476282894193</v>
      </c>
      <c r="F191" s="11">
        <v>33.612803486458972</v>
      </c>
    </row>
    <row r="192" spans="1:6" x14ac:dyDescent="0.25">
      <c r="A192" s="36"/>
      <c r="B192" s="17">
        <v>44774</v>
      </c>
      <c r="C192" s="11">
        <v>43.089393881529666</v>
      </c>
      <c r="D192" s="11">
        <v>1.8334947966606023</v>
      </c>
      <c r="E192" s="11">
        <v>19.132435573285605</v>
      </c>
      <c r="F192" s="11">
        <v>32.367936627693297</v>
      </c>
    </row>
    <row r="193" spans="1:6" x14ac:dyDescent="0.25">
      <c r="A193" s="36"/>
      <c r="B193" s="17">
        <v>44805</v>
      </c>
      <c r="C193" s="11">
        <v>43.891912583344926</v>
      </c>
      <c r="D193" s="11">
        <v>1.8624506625034343</v>
      </c>
      <c r="E193" s="11">
        <v>21.351218408876733</v>
      </c>
      <c r="F193" s="11">
        <v>31.114867637639207</v>
      </c>
    </row>
    <row r="194" spans="1:6" x14ac:dyDescent="0.25">
      <c r="A194" s="36"/>
      <c r="B194" s="17">
        <v>44835</v>
      </c>
      <c r="C194" s="11">
        <v>44.697363973346135</v>
      </c>
      <c r="D194" s="11">
        <v>1.8350792722275742</v>
      </c>
      <c r="E194" s="11">
        <v>23.578109464493636</v>
      </c>
      <c r="F194" s="11">
        <v>30.143442182863168</v>
      </c>
    </row>
    <row r="195" spans="1:6" x14ac:dyDescent="0.25">
      <c r="A195" s="36"/>
      <c r="B195" s="17">
        <v>44866</v>
      </c>
      <c r="C195" s="11">
        <v>45.533487873570294</v>
      </c>
      <c r="D195" s="11">
        <v>1.8706335808141858</v>
      </c>
      <c r="E195" s="11">
        <v>25.889803078671775</v>
      </c>
      <c r="F195" s="11">
        <v>29.201442545436976</v>
      </c>
    </row>
    <row r="196" spans="1:6" ht="16.5" thickBot="1" x14ac:dyDescent="0.3">
      <c r="A196" s="37"/>
      <c r="B196" s="18">
        <v>44896</v>
      </c>
      <c r="C196" s="15">
        <v>46.399218700818089</v>
      </c>
      <c r="D196" s="15">
        <v>1.9013057590747451</v>
      </c>
      <c r="E196" s="15">
        <v>28.283353154694424</v>
      </c>
      <c r="F196" s="15">
        <v>28.283353154694424</v>
      </c>
    </row>
    <row r="197" spans="1:6" x14ac:dyDescent="0.25">
      <c r="A197" s="35">
        <v>2023</v>
      </c>
      <c r="B197" s="16">
        <v>44927</v>
      </c>
      <c r="C197" s="11">
        <v>47.265623366023455</v>
      </c>
      <c r="D197" s="11">
        <v>1.8672828755844648</v>
      </c>
      <c r="E197" s="13">
        <v>1.8672828755844648</v>
      </c>
      <c r="F197" s="11">
        <v>27.306629364808217</v>
      </c>
    </row>
    <row r="198" spans="1:6" x14ac:dyDescent="0.25">
      <c r="A198" s="36"/>
      <c r="B198" s="17">
        <v>44958</v>
      </c>
      <c r="C198" s="11">
        <v>48.161009625768294</v>
      </c>
      <c r="D198" s="11">
        <v>1.8943709951966525</v>
      </c>
      <c r="E198" s="11">
        <v>3.7970271359744743</v>
      </c>
      <c r="F198" s="11">
        <v>26.392613576387561</v>
      </c>
    </row>
    <row r="199" spans="1:6" x14ac:dyDescent="0.25">
      <c r="A199" s="36"/>
      <c r="B199" s="17">
        <v>44986</v>
      </c>
      <c r="C199" s="11">
        <v>49.083372574561771</v>
      </c>
      <c r="D199" s="11">
        <v>1.915165308951444</v>
      </c>
      <c r="E199" s="11">
        <v>5.7849117914055626</v>
      </c>
      <c r="F199" s="11">
        <v>25.544474214327835</v>
      </c>
    </row>
    <row r="200" spans="1:6" x14ac:dyDescent="0.25">
      <c r="A200" s="36"/>
      <c r="B200" s="17">
        <v>45017</v>
      </c>
      <c r="C200" s="11">
        <v>50.034735218190043</v>
      </c>
      <c r="D200" s="11">
        <v>1.9382585053279797</v>
      </c>
      <c r="E200" s="11">
        <v>7.8352968415562003</v>
      </c>
      <c r="F200" s="11">
        <v>25.180709443247423</v>
      </c>
    </row>
    <row r="201" spans="1:6" x14ac:dyDescent="0.25">
      <c r="A201" s="36"/>
      <c r="B201" s="17">
        <v>45047</v>
      </c>
      <c r="C201" s="11">
        <v>51.013582080519114</v>
      </c>
      <c r="D201" s="11">
        <v>1.9563346504394445</v>
      </c>
      <c r="E201" s="11">
        <v>9.9449161190717774</v>
      </c>
      <c r="F201" s="11">
        <v>25.164868769673788</v>
      </c>
    </row>
    <row r="202" spans="1:6" x14ac:dyDescent="0.25">
      <c r="A202" s="36"/>
      <c r="B202" s="17">
        <v>45078</v>
      </c>
      <c r="C202" s="11">
        <v>52.181386151122332</v>
      </c>
      <c r="D202" s="11">
        <v>2.2892022535488081</v>
      </c>
      <c r="E202" s="11">
        <v>12.461777616531904</v>
      </c>
      <c r="F202" s="11">
        <v>25.593652735234286</v>
      </c>
    </row>
    <row r="203" spans="1:6" x14ac:dyDescent="0.25">
      <c r="A203" s="36"/>
      <c r="B203" s="17">
        <v>45108</v>
      </c>
      <c r="C203" s="11">
        <v>53.424181674493369</v>
      </c>
      <c r="D203" s="11">
        <v>2.3816836137157793</v>
      </c>
      <c r="E203" s="11">
        <v>15.140261345718329</v>
      </c>
      <c r="F203" s="11">
        <v>26.257777993423886</v>
      </c>
    </row>
    <row r="204" spans="1:6" x14ac:dyDescent="0.25">
      <c r="A204" s="36"/>
      <c r="B204" s="17">
        <v>45139</v>
      </c>
      <c r="C204" s="11">
        <v>54.732217318810392</v>
      </c>
      <c r="D204" s="11">
        <v>2.44839621931267</v>
      </c>
      <c r="E204" s="11">
        <v>17.959351151413628</v>
      </c>
      <c r="F204" s="11">
        <v>27.020160620712375</v>
      </c>
    </row>
    <row r="205" spans="1:6" x14ac:dyDescent="0.25">
      <c r="A205" s="36"/>
      <c r="B205" s="17">
        <v>45170</v>
      </c>
      <c r="C205" s="11">
        <v>56.125654691229386</v>
      </c>
      <c r="D205" s="11">
        <v>2.545917999817803</v>
      </c>
      <c r="E205" s="11">
        <v>20.962499504845766</v>
      </c>
      <c r="F205" s="11">
        <v>27.87242885498371</v>
      </c>
    </row>
    <row r="206" spans="1:6" x14ac:dyDescent="0.25">
      <c r="A206" s="36"/>
      <c r="B206" s="17">
        <v>45200</v>
      </c>
      <c r="C206" s="11">
        <v>57.62111515046189</v>
      </c>
      <c r="D206" s="11">
        <v>2.6644864411108529</v>
      </c>
      <c r="E206" s="11">
        <v>24.185528902981162</v>
      </c>
      <c r="F206" s="11">
        <v>28.913900123556317</v>
      </c>
    </row>
    <row r="207" spans="1:6" x14ac:dyDescent="0.25">
      <c r="A207" s="36"/>
      <c r="B207" s="17">
        <v>45231</v>
      </c>
      <c r="C207" s="11">
        <v>59.190686352775259</v>
      </c>
      <c r="D207" s="11">
        <v>2.7239514511561538</v>
      </c>
      <c r="E207" s="11">
        <v>27.56828241965988</v>
      </c>
      <c r="F207" s="11">
        <v>29.993745520057615</v>
      </c>
    </row>
    <row r="208" spans="1:6" ht="16.5" thickBot="1" x14ac:dyDescent="0.3">
      <c r="A208" s="37"/>
      <c r="B208" s="18">
        <v>45261</v>
      </c>
      <c r="C208" s="15">
        <v>60.821785377073667</v>
      </c>
      <c r="D208" s="15">
        <v>2.7556683742052002</v>
      </c>
      <c r="E208" s="15">
        <v>31.0836412338152</v>
      </c>
      <c r="F208" s="15">
        <v>31.0836412338152</v>
      </c>
    </row>
    <row r="209" spans="1:6" x14ac:dyDescent="0.25">
      <c r="A209" s="35">
        <v>2024</v>
      </c>
      <c r="B209" s="16">
        <v>45292</v>
      </c>
      <c r="C209" s="11">
        <v>62.528106346573175</v>
      </c>
      <c r="D209" s="11">
        <v>2.8054437384909221</v>
      </c>
      <c r="E209" s="13">
        <v>2.8054437384909221</v>
      </c>
      <c r="F209" s="11">
        <v>32.290874199114114</v>
      </c>
    </row>
    <row r="210" spans="1:6" x14ac:dyDescent="0.25">
      <c r="A210" s="36"/>
      <c r="B210" s="17">
        <v>45323</v>
      </c>
      <c r="C210" s="11">
        <v>64.303160416181981</v>
      </c>
      <c r="D210" s="11">
        <v>2.8388098941782403</v>
      </c>
      <c r="E210" s="11">
        <v>5.7238948470930353</v>
      </c>
      <c r="F210" s="11">
        <v>33.517052312327166</v>
      </c>
    </row>
    <row r="211" spans="1:6" x14ac:dyDescent="0.25">
      <c r="A211" s="36"/>
      <c r="B211" s="17">
        <v>45352</v>
      </c>
      <c r="C211" s="11">
        <v>66.150821686092911</v>
      </c>
      <c r="D211" s="11">
        <v>2.8733599685497779</v>
      </c>
      <c r="E211" s="11">
        <v>8.7617229188210928</v>
      </c>
      <c r="F211" s="11">
        <v>34.772364277952249</v>
      </c>
    </row>
    <row r="212" spans="1:6" x14ac:dyDescent="0.25">
      <c r="A212" s="36"/>
      <c r="B212" s="17">
        <v>45383</v>
      </c>
      <c r="C212" s="11">
        <v>68.070543332414388</v>
      </c>
      <c r="D212" s="11">
        <v>2.9020374915842808</v>
      </c>
      <c r="E212" s="11">
        <v>11.918028894418313</v>
      </c>
      <c r="F212" s="11">
        <v>36.046574515832475</v>
      </c>
    </row>
    <row r="213" spans="1:6" x14ac:dyDescent="0.25">
      <c r="A213" s="36"/>
      <c r="B213" s="17">
        <v>45413</v>
      </c>
      <c r="C213" s="11">
        <v>70.117926351530997</v>
      </c>
      <c r="D213" s="11">
        <v>3.0077371486788991</v>
      </c>
      <c r="E213" s="11">
        <v>15.284229025544917</v>
      </c>
      <c r="F213" s="11">
        <v>37.449525188915089</v>
      </c>
    </row>
    <row r="214" spans="1:6" x14ac:dyDescent="0.25">
      <c r="A214" s="36"/>
      <c r="B214" s="17">
        <v>45444</v>
      </c>
      <c r="C214" s="11">
        <v>72.149897682497837</v>
      </c>
      <c r="D214" s="11">
        <v>2.8979341470820117</v>
      </c>
      <c r="E214" s="11">
        <v>18.625090064676428</v>
      </c>
      <c r="F214" s="11">
        <v>38.267499206603617</v>
      </c>
    </row>
    <row r="215" spans="1:6" x14ac:dyDescent="0.25">
      <c r="A215" s="36"/>
      <c r="B215" s="17">
        <v>45474</v>
      </c>
      <c r="C215" s="11">
        <v>74.21850309269378</v>
      </c>
      <c r="D215" s="11">
        <v>2.8670940315106463</v>
      </c>
      <c r="E215" s="11">
        <v>22.0261829417949</v>
      </c>
      <c r="F215" s="11">
        <v>38.923050885266775</v>
      </c>
    </row>
    <row r="216" spans="1:6" x14ac:dyDescent="0.25">
      <c r="A216" s="36"/>
      <c r="B216" s="17">
        <v>45505</v>
      </c>
      <c r="C216" s="11">
        <v>76.305740247219191</v>
      </c>
      <c r="D216" s="11">
        <v>2.812286785033379</v>
      </c>
      <c r="E216" s="11">
        <v>25.457909158947629</v>
      </c>
      <c r="F216" s="11">
        <v>39.416497239176152</v>
      </c>
    </row>
    <row r="217" spans="1:6" x14ac:dyDescent="0.25">
      <c r="A217" s="36"/>
      <c r="B217" s="17">
        <v>45536</v>
      </c>
      <c r="C217" s="11">
        <v>78.349574345231929</v>
      </c>
      <c r="D217" s="11">
        <v>2.6784801397523097</v>
      </c>
      <c r="E217" s="11">
        <v>28.818274339518524</v>
      </c>
      <c r="F217" s="11">
        <v>39.596722347856058</v>
      </c>
    </row>
    <row r="218" spans="1:6" x14ac:dyDescent="0.25">
      <c r="A218" s="36"/>
      <c r="B218" s="17">
        <v>45566</v>
      </c>
      <c r="C218" s="11">
        <v>80.36644469491074</v>
      </c>
      <c r="D218" s="11">
        <v>2.5741943929291438</v>
      </c>
      <c r="E218" s="11">
        <v>32.134307134634525</v>
      </c>
      <c r="F218" s="11">
        <v>39.473948890186534</v>
      </c>
    </row>
    <row r="219" spans="1:6" x14ac:dyDescent="0.25">
      <c r="A219" s="36"/>
      <c r="B219" s="17">
        <v>45597</v>
      </c>
      <c r="C219" s="11">
        <v>82.459096013904585</v>
      </c>
      <c r="D219" s="11">
        <v>2.6038868920206966</v>
      </c>
      <c r="E219" s="11">
        <v>35.574935037975621</v>
      </c>
      <c r="F219" s="11">
        <v>39.310930646166355</v>
      </c>
    </row>
    <row r="220" spans="1:6" ht="16.5" thickBot="1" x14ac:dyDescent="0.3">
      <c r="A220" s="37"/>
      <c r="B220" s="18">
        <v>45627</v>
      </c>
      <c r="C220" s="15">
        <v>84.663385357768519</v>
      </c>
      <c r="D220" s="15">
        <v>2.6731912553252357</v>
      </c>
      <c r="E220" s="15">
        <v>39.199112345823636</v>
      </c>
      <c r="F220" s="15">
        <v>39.199112345823636</v>
      </c>
    </row>
    <row r="221" spans="1:6" x14ac:dyDescent="0.25">
      <c r="A221" s="35">
        <v>2025</v>
      </c>
      <c r="B221" s="16">
        <v>45658</v>
      </c>
      <c r="C221" s="11">
        <v>86.8256531774623</v>
      </c>
      <c r="D221" s="11">
        <v>2.5539586098010716</v>
      </c>
      <c r="E221" s="13">
        <v>2.5539586098010716</v>
      </c>
      <c r="F221" s="11">
        <v>38.858600156888883</v>
      </c>
    </row>
    <row r="222" spans="1:6" x14ac:dyDescent="0.25">
      <c r="A222" s="36"/>
      <c r="B222" s="17">
        <v>45689</v>
      </c>
      <c r="C222" s="11">
        <v>88.93651409149804</v>
      </c>
      <c r="D222" s="11">
        <v>2.4311489021814339</v>
      </c>
      <c r="E222" s="11">
        <v>5.0471980486868517</v>
      </c>
      <c r="F222" s="11">
        <v>38.308153931913182</v>
      </c>
    </row>
    <row r="223" spans="1:6" x14ac:dyDescent="0.25">
      <c r="A223" s="36"/>
      <c r="B223" s="17">
        <v>45717</v>
      </c>
      <c r="C223" s="11">
        <v>90.649087309373456</v>
      </c>
      <c r="D223" s="11">
        <v>1.9256131582957323</v>
      </c>
      <c r="E223" s="11">
        <v>7.0700007167333325</v>
      </c>
      <c r="F223" s="11">
        <v>37.033955132912439</v>
      </c>
    </row>
    <row r="224" spans="1:6" x14ac:dyDescent="0.25">
      <c r="A224" s="36"/>
      <c r="B224" s="17">
        <v>45748</v>
      </c>
      <c r="C224" s="11">
        <v>92.377089983211107</v>
      </c>
      <c r="D224" s="11">
        <v>1.9062549057335758</v>
      </c>
      <c r="E224" s="11">
        <v>9.1110278579650412</v>
      </c>
      <c r="F224" s="11">
        <v>35.707878122991588</v>
      </c>
    </row>
    <row r="225" spans="1:6" x14ac:dyDescent="0.25">
      <c r="A225" s="36"/>
      <c r="B225" s="17">
        <v>45778</v>
      </c>
      <c r="C225" s="11">
        <v>94.031430446188352</v>
      </c>
      <c r="D225" s="11">
        <v>1.7908557882456648</v>
      </c>
      <c r="E225" s="11">
        <v>11.065049015973784</v>
      </c>
      <c r="F225" s="11">
        <v>34.104693819336291</v>
      </c>
    </row>
    <row r="226" spans="1:6" x14ac:dyDescent="0.25">
      <c r="A226" s="36"/>
      <c r="B226" s="17">
        <v>45809</v>
      </c>
      <c r="C226" s="11">
        <v>95.681223347360984</v>
      </c>
      <c r="D226" s="11">
        <v>1.7545121810273372</v>
      </c>
      <c r="E226" s="11">
        <v>13.013698829822999</v>
      </c>
      <c r="F226" s="11">
        <v>32.614496237284868</v>
      </c>
    </row>
    <row r="227" spans="1:6" x14ac:dyDescent="0.25">
      <c r="A227" s="36"/>
      <c r="B227" s="17">
        <v>45839</v>
      </c>
      <c r="C227" s="11">
        <v>97.446958665156444</v>
      </c>
      <c r="D227" s="11">
        <v>1.8454355578054731</v>
      </c>
      <c r="E227" s="11">
        <v>15.099293813219745</v>
      </c>
      <c r="F227" s="11">
        <v>31.297391626791409</v>
      </c>
    </row>
    <row r="228" spans="1:6" x14ac:dyDescent="0.25">
      <c r="A228" s="36"/>
      <c r="B228" s="17">
        <v>45870</v>
      </c>
      <c r="C228" s="11">
        <v>97.98278641194436</v>
      </c>
      <c r="D228" s="11">
        <f>+C228/C227*100-100</f>
        <v>0.54986605444415204</v>
      </c>
      <c r="E228" s="11">
        <f>+C228/C220*100-100</f>
        <v>15.732185758803581</v>
      </c>
      <c r="F228" s="11">
        <f>+C228/C216*100-100</f>
        <v>28.408146090313494</v>
      </c>
    </row>
    <row r="229" spans="1:6" x14ac:dyDescent="0.25">
      <c r="A229" s="36"/>
      <c r="B229" s="17">
        <v>45901</v>
      </c>
      <c r="C229" s="11">
        <v>98.484626391620395</v>
      </c>
      <c r="D229" s="11">
        <f>+C229/C228*100-100</f>
        <v>0.51217157426629001</v>
      </c>
      <c r="E229" s="11">
        <f>+C229/C220*100-100</f>
        <v>16.324933116537224</v>
      </c>
      <c r="F229" s="11">
        <f>+C229/C217*100-100</f>
        <v>25.698993535902744</v>
      </c>
    </row>
    <row r="230" spans="1:6" x14ac:dyDescent="0.25">
      <c r="A230" s="36"/>
      <c r="B230" s="17">
        <v>45931</v>
      </c>
      <c r="C230" s="11">
        <v>98.98001556436104</v>
      </c>
      <c r="D230" s="11">
        <f>+C230/C229*100-100</f>
        <v>0.50301167897085008</v>
      </c>
      <c r="E230" s="11">
        <f>+C230/C220*100-100</f>
        <v>16.910061115668412</v>
      </c>
      <c r="F230" s="11">
        <f>+C230/C218*100-100</f>
        <v>23.160873844938195</v>
      </c>
    </row>
    <row r="231" spans="1:6" x14ac:dyDescent="0.25">
      <c r="A231" s="36"/>
      <c r="B231" s="17">
        <v>45962</v>
      </c>
      <c r="C231" s="11">
        <v>99.452115953277001</v>
      </c>
      <c r="D231" s="11">
        <v>0.47696536136527357</v>
      </c>
      <c r="E231" s="11">
        <f>+C231/C220*100-100</f>
        <v>17.467681611141145</v>
      </c>
      <c r="F231" s="11">
        <f>+C231/C219*100-100</f>
        <v>20.607817403803438</v>
      </c>
    </row>
    <row r="232" spans="1:6" x14ac:dyDescent="0.25">
      <c r="A232" s="37"/>
      <c r="B232" s="17">
        <v>45992</v>
      </c>
      <c r="C232" s="11">
        <v>100</v>
      </c>
      <c r="D232" s="11">
        <v>0.5509023528271797</v>
      </c>
      <c r="E232" s="11">
        <f>+C232/C220*100-100</f>
        <v>18.114813832948414</v>
      </c>
      <c r="F232" s="11">
        <f>+C232/C220*100-100</f>
        <v>18.114813832948414</v>
      </c>
    </row>
    <row r="233" spans="1:6" x14ac:dyDescent="0.25">
      <c r="A233" s="35">
        <v>2026</v>
      </c>
      <c r="B233" s="16">
        <v>46023</v>
      </c>
      <c r="C233" s="11">
        <v>100.45344585187908</v>
      </c>
      <c r="D233" s="11">
        <v>0.45344585187908137</v>
      </c>
      <c r="E233" s="11">
        <f>+C233/C232*100-100</f>
        <v>0.45344585187908137</v>
      </c>
      <c r="F233" s="11">
        <f>+C233/C221*100-100</f>
        <v>15.695583247226523</v>
      </c>
    </row>
    <row r="234" spans="1:6" x14ac:dyDescent="0.25">
      <c r="A234" s="36"/>
      <c r="B234" s="17">
        <v>46054</v>
      </c>
      <c r="C234" s="11">
        <v>101.20002583681509</v>
      </c>
      <c r="D234" s="11">
        <v>0.74320993033613547</v>
      </c>
      <c r="E234" s="11">
        <f>+C234/C232*100-100</f>
        <v>1.2000258368150867</v>
      </c>
      <c r="F234" s="41">
        <f>+C234/C222*100-100</f>
        <v>13.789062760769227</v>
      </c>
    </row>
    <row r="235" spans="1:6" x14ac:dyDescent="0.25">
      <c r="A235" s="36"/>
      <c r="B235" s="17">
        <v>46082</v>
      </c>
    </row>
    <row r="236" spans="1:6" x14ac:dyDescent="0.25">
      <c r="A236" s="36"/>
      <c r="B236" s="17">
        <v>46113</v>
      </c>
      <c r="C236" s="17"/>
    </row>
    <row r="237" spans="1:6" x14ac:dyDescent="0.25">
      <c r="A237" s="36"/>
      <c r="B237" s="17">
        <v>46143</v>
      </c>
    </row>
    <row r="238" spans="1:6" x14ac:dyDescent="0.25">
      <c r="A238" s="36"/>
      <c r="B238" s="17">
        <v>46174</v>
      </c>
    </row>
    <row r="239" spans="1:6" x14ac:dyDescent="0.25">
      <c r="A239" s="36"/>
      <c r="B239" s="17">
        <v>46204</v>
      </c>
    </row>
    <row r="240" spans="1:6" x14ac:dyDescent="0.25">
      <c r="A240" s="36"/>
      <c r="B240" s="17">
        <v>46235</v>
      </c>
    </row>
    <row r="241" spans="1:2" x14ac:dyDescent="0.25">
      <c r="A241" s="36"/>
      <c r="B241" s="17">
        <v>46266</v>
      </c>
    </row>
    <row r="242" spans="1:2" x14ac:dyDescent="0.25">
      <c r="A242" s="36"/>
      <c r="B242" s="17">
        <v>46296</v>
      </c>
    </row>
    <row r="243" spans="1:2" x14ac:dyDescent="0.25">
      <c r="A243" s="36"/>
      <c r="B243" s="17">
        <v>46327</v>
      </c>
    </row>
    <row r="244" spans="1:2" x14ac:dyDescent="0.25">
      <c r="A244" s="37"/>
      <c r="B244" s="17">
        <v>46357</v>
      </c>
    </row>
  </sheetData>
  <mergeCells count="26">
    <mergeCell ref="A233:A244"/>
    <mergeCell ref="A173:A184"/>
    <mergeCell ref="A185:A196"/>
    <mergeCell ref="A197:A208"/>
    <mergeCell ref="A209:A220"/>
    <mergeCell ref="A221:A232"/>
    <mergeCell ref="A113:A124"/>
    <mergeCell ref="A125:A136"/>
    <mergeCell ref="A137:A148"/>
    <mergeCell ref="A149:A160"/>
    <mergeCell ref="A161:A172"/>
    <mergeCell ref="A1:F1"/>
    <mergeCell ref="A2:F2"/>
    <mergeCell ref="A3:A4"/>
    <mergeCell ref="B3:B4"/>
    <mergeCell ref="C3:C4"/>
    <mergeCell ref="D3:F3"/>
    <mergeCell ref="A5:A16"/>
    <mergeCell ref="A77:A88"/>
    <mergeCell ref="A89:A100"/>
    <mergeCell ref="A101:A112"/>
    <mergeCell ref="A17:A28"/>
    <mergeCell ref="A29:A40"/>
    <mergeCell ref="A41:A52"/>
    <mergeCell ref="A53:A64"/>
    <mergeCell ref="A65:A7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IPG_ GLOBAL </vt:lpstr>
      <vt:lpstr>IPG_IMPORT_2016_2025</vt:lpstr>
      <vt:lpstr>IPG_NAC_2016_2025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Conceicao Gourgel</dc:creator>
  <cp:lastModifiedBy>Olga Quiteque</cp:lastModifiedBy>
  <dcterms:created xsi:type="dcterms:W3CDTF">2025-05-22T14:25:59Z</dcterms:created>
  <dcterms:modified xsi:type="dcterms:W3CDTF">2026-03-19T12:44:15Z</dcterms:modified>
</cp:coreProperties>
</file>