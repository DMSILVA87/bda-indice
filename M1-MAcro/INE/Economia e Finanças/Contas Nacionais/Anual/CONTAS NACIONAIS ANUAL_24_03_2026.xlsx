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D1C9BDCB-727F-4B6F-B9B8-4EF913128E7D}" xr6:coauthVersionLast="47" xr6:coauthVersionMax="47" xr10:uidLastSave="{00000000-0000-0000-0000-000000000000}"/>
  <bookViews>
    <workbookView xWindow="-120" yWindow="-120" windowWidth="29040" windowHeight="15840" firstSheet="2" activeTab="17" xr2:uid="{00000000-000D-0000-FFFF-FFFF00000000}"/>
  </bookViews>
  <sheets>
    <sheet name="Folha1" sheetId="18" state="hidden" r:id="rId1"/>
    <sheet name="Q1.1" sheetId="28" r:id="rId2"/>
    <sheet name="Q1.2" sheetId="39" r:id="rId3"/>
    <sheet name="Q1.3" sheetId="7" r:id="rId4"/>
    <sheet name="Q1.4" sheetId="15" r:id="rId5"/>
    <sheet name="Q1.5" sheetId="16" r:id="rId6"/>
    <sheet name="Q1.6" sheetId="17" r:id="rId7"/>
    <sheet name="Q2.1" sheetId="23" r:id="rId8"/>
    <sheet name="Q2.2" sheetId="40" r:id="rId9"/>
    <sheet name="Q2.3" sheetId="41" r:id="rId10"/>
    <sheet name="Q 3.1" sheetId="12" r:id="rId11"/>
    <sheet name="Q 3.2" sheetId="13" r:id="rId12"/>
    <sheet name="Q 3.3" sheetId="14" r:id="rId13"/>
    <sheet name="Q 3.4" sheetId="37" r:id="rId14"/>
    <sheet name="Q4.1" sheetId="19" r:id="rId15"/>
    <sheet name="Q4.2" sheetId="20" r:id="rId16"/>
    <sheet name="Q4.3" sheetId="21" r:id="rId17"/>
    <sheet name="Q5.1" sheetId="27" r:id="rId18"/>
  </sheets>
  <externalReferences>
    <externalReference r:id="rId19"/>
    <externalReference r:id="rId20"/>
    <externalReference r:id="rId21"/>
  </externalReferences>
  <definedNames>
    <definedName name="ALLOCATION" localSheetId="8">#REF!</definedName>
    <definedName name="ALLOCATION" localSheetId="9">#REF!</definedName>
    <definedName name="ALLOCATION">#REF!</definedName>
    <definedName name="_xlnm.Print_Area" localSheetId="10">'Q 3.1'!$A$1:$Y$26</definedName>
    <definedName name="_xlnm.Print_Area" localSheetId="11">'Q 3.2'!$A$1:$Y$26</definedName>
    <definedName name="_xlnm.Print_Area" localSheetId="12">'Q 3.3'!$A$1:$Y$26</definedName>
    <definedName name="_xlnm.Print_Area" localSheetId="13">'Q 3.4'!$A$1:$Y$26</definedName>
    <definedName name="_xlnm.Print_Area" localSheetId="1">'Q1.1'!$A$1:$E$27</definedName>
    <definedName name="_xlnm.Print_Area" localSheetId="2">'Q1.2'!$A$1:$D$27</definedName>
    <definedName name="_xlnm.Print_Area" localSheetId="3">'Q1.3'!$A$1:$X$29</definedName>
    <definedName name="_xlnm.Print_Area" localSheetId="4">'Q1.4'!$A$1:$X$22</definedName>
    <definedName name="_xlnm.Print_Area" localSheetId="5">'Q1.5'!$A$1:$X$22</definedName>
    <definedName name="_xlnm.Print_Area" localSheetId="6">'Q1.6'!$A$1:$X$22</definedName>
    <definedName name="_xlnm.Print_Area" localSheetId="7">'Q2.1'!$B$1:$D$338</definedName>
    <definedName name="_xlnm.Print_Area" localSheetId="14">'Q4.1'!$A$1:$T$20</definedName>
    <definedName name="_xlnm.Print_Area" localSheetId="15">'Q4.2'!$A$1:$T$13</definedName>
    <definedName name="_xlnm.Print_Area" localSheetId="16">'Q4.3'!$A$1:$F$23</definedName>
    <definedName name="_xlnm.Print_Area" localSheetId="17">'Q5.1'!$A$1:$X$12</definedName>
    <definedName name="CAPITAL" localSheetId="8">#REF!</definedName>
    <definedName name="CAPITAL" localSheetId="9">#REF!</definedName>
    <definedName name="CAPITAL">#REF!</definedName>
    <definedName name="Cód_25.01" localSheetId="8">[1]Detalle!#REF!</definedName>
    <definedName name="Cód_25.01" localSheetId="9">[1]Detalle!#REF!</definedName>
    <definedName name="Cód_25.01">[1]Detalle!#REF!</definedName>
    <definedName name="Cód_26.01" localSheetId="8">[1]Detalle!#REF!</definedName>
    <definedName name="Cód_26.01" localSheetId="9">[1]Detalle!#REF!</definedName>
    <definedName name="Cód_26.01">[1]Detalle!#REF!</definedName>
    <definedName name="Cód_26.99" localSheetId="8">[1]Detalle!#REF!</definedName>
    <definedName name="Cód_26.99" localSheetId="9">[1]Detalle!#REF!</definedName>
    <definedName name="Cód_26.99">[1]Detalle!#REF!</definedName>
    <definedName name="Cód_27.01" localSheetId="8">[1]Detalle!#REF!</definedName>
    <definedName name="Cód_27.01" localSheetId="9">[1]Detalle!#REF!</definedName>
    <definedName name="Cód_27.01">[1]Detalle!#REF!</definedName>
    <definedName name="Cód_27.02" localSheetId="8">[1]Detalle!#REF!</definedName>
    <definedName name="Cód_27.02" localSheetId="9">[1]Detalle!#REF!</definedName>
    <definedName name="Cód_27.02">[1]Detalle!#REF!</definedName>
    <definedName name="Cód_27.03">[1]Detalle!#REF!</definedName>
    <definedName name="Cód_27.04">[1]Detalle!#REF!</definedName>
    <definedName name="Cód_27.99">[1]Detalle!#REF!</definedName>
    <definedName name="Cód_28.01">[1]Detalle!#REF!</definedName>
    <definedName name="Cód_29.01">[1]Detalle!#REF!</definedName>
    <definedName name="Cód_29.02">[1]Detalle!#REF!</definedName>
    <definedName name="Cód_29.99">[1]Detalle!#REF!</definedName>
    <definedName name="Cód_30.01">[1]Detalle!#REF!</definedName>
    <definedName name="Cód_30.02">[1]Detalle!#REF!</definedName>
    <definedName name="Cód_30.99">[1]Detalle!#REF!</definedName>
    <definedName name="Cód_31.01">[1]Detalle!#REF!</definedName>
    <definedName name="Cód_31.02">[1]Detalle!#REF!</definedName>
    <definedName name="Cód_31.03">[1]Detalle!#REF!</definedName>
    <definedName name="Cód_32.01">[1]Detalle!#REF!</definedName>
    <definedName name="Cód_32.02">[1]Detalle!#REF!</definedName>
    <definedName name="Cód_33.01">[1]Detalle!#REF!</definedName>
    <definedName name="Cód_34.01">[1]Detalle!#REF!</definedName>
    <definedName name="Cód_34.02">[1]Detalle!#REF!</definedName>
    <definedName name="Cód_34.03">[1]Detalle!#REF!</definedName>
    <definedName name="Cód_35.01">[1]Detalle!#REF!</definedName>
    <definedName name="Cód_35.02">[1]Detalle!#REF!</definedName>
    <definedName name="Cód_35.03">[1]Detalle!#REF!</definedName>
    <definedName name="Cód_36.01">[1]Detalle!#REF!</definedName>
    <definedName name="Cód_36.02">[1]Detalle!#REF!</definedName>
    <definedName name="Cód_36.03">[1]Detalle!#REF!</definedName>
    <definedName name="Cód_37.01">[1]Detalle!#REF!</definedName>
    <definedName name="Cód_37.02">[1]Detalle!#REF!</definedName>
    <definedName name="Cód_37.03">[1]Detalle!#REF!</definedName>
    <definedName name="Cód_37.04">[1]Detalle!#REF!</definedName>
    <definedName name="Cód_38.01">[1]Detalle!#REF!</definedName>
    <definedName name="Cód_38.02">[1]Detalle!#REF!</definedName>
    <definedName name="Cód_38.03">[1]Detalle!#REF!</definedName>
    <definedName name="Cód_38.04">[1]Detalle!#REF!</definedName>
    <definedName name="Cód_38.05">[1]Detalle!#REF!</definedName>
    <definedName name="Cód_38.06">[1]Detalle!#REF!</definedName>
    <definedName name="Cód_38.99">[1]Detalle!#REF!</definedName>
    <definedName name="Cód_39.01">[1]Detalle!#REF!</definedName>
    <definedName name="Cód_39.02">[1]Detalle!#REF!</definedName>
    <definedName name="Cód_39.03">[1]Detalle!#REF!</definedName>
    <definedName name="Cód_39.04">[1]Detalle!#REF!</definedName>
    <definedName name="Cód_39.05">[1]Detalle!#REF!</definedName>
    <definedName name="Cód_39.06">[1]Detalle!#REF!</definedName>
    <definedName name="Cód_39.99">[1]Detalle!#REF!</definedName>
    <definedName name="Cód_40.01">[1]Detalle!#REF!</definedName>
    <definedName name="Cód_40.02">[1]Detalle!#REF!</definedName>
    <definedName name="Cód_40.03">[1]Detalle!#REF!</definedName>
    <definedName name="Cód_41.01">[1]Detalle!#REF!</definedName>
    <definedName name="Cód_41.02">[1]Detalle!#REF!</definedName>
    <definedName name="Cód_41.03">[1]Detalle!#REF!</definedName>
    <definedName name="Cód_41.04">[1]Detalle!#REF!</definedName>
    <definedName name="Cód_41.05">[1]Detalle!#REF!</definedName>
    <definedName name="Cód_41.06">[1]Detalle!#REF!</definedName>
    <definedName name="Cód_41.99">[1]Detalle!#REF!</definedName>
    <definedName name="Cód_42.01">[1]Detalle!#REF!</definedName>
    <definedName name="Cód_42.02">[1]Detalle!#REF!</definedName>
    <definedName name="Code">[2]Accounts!$A$1</definedName>
    <definedName name="Coefficients">[3]Agriculture!$192:$238</definedName>
    <definedName name="CONSULTA_PRODUTOS_2004" localSheetId="8">#REF!</definedName>
    <definedName name="CONSULTA_PRODUTOS_2004" localSheetId="9">#REF!</definedName>
    <definedName name="CONSULTA_PRODUTOS_2004">#REF!</definedName>
    <definedName name="EXTERNAL" localSheetId="8">#REF!</definedName>
    <definedName name="EXTERNAL" localSheetId="9">#REF!</definedName>
    <definedName name="EXTERNAL">#REF!</definedName>
    <definedName name="FINANCIAL" localSheetId="8">#REF!</definedName>
    <definedName name="FINANCIAL" localSheetId="9">#REF!</definedName>
    <definedName name="FINANCIAL">#REF!</definedName>
    <definedName name="_xlnm.Recorder">#REF!</definedName>
    <definedName name="NFC">#REF!</definedName>
    <definedName name="price">[3]Agriculture!$B$53:$XFD$60</definedName>
    <definedName name="PRIMARY" localSheetId="8">#REF!</definedName>
    <definedName name="PRIMARY" localSheetId="9">#REF!</definedName>
    <definedName name="PRIMARY">#REF!</definedName>
    <definedName name="PRINT_AREA_MI" localSheetId="8">#REF!</definedName>
    <definedName name="PRINT_AREA_MI" localSheetId="9">#REF!</definedName>
    <definedName name="PRINT_AREA_MI">#REF!</definedName>
    <definedName name="PRINTA" localSheetId="8">#REF!</definedName>
    <definedName name="PRINTA" localSheetId="9">#REF!</definedName>
    <definedName name="PRINTA">#REF!</definedName>
    <definedName name="Quantity">[3]Agriculture!$B$63:$XFD$73</definedName>
    <definedName name="REVALUATION" localSheetId="8">#REF!</definedName>
    <definedName name="REVALUATION" localSheetId="9">#REF!</definedName>
    <definedName name="REVALUATION">#REF!</definedName>
    <definedName name="VOLUMEN" localSheetId="8">#REF!</definedName>
    <definedName name="VOLUMEN" localSheetId="9">#REF!</definedName>
    <definedName name="VOLUM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8" l="1"/>
  <c r="N42" i="18"/>
  <c r="I41" i="18"/>
  <c r="I42" i="18"/>
  <c r="J42" i="18" s="1"/>
</calcChain>
</file>

<file path=xl/sharedStrings.xml><?xml version="1.0" encoding="utf-8"?>
<sst xmlns="http://schemas.openxmlformats.org/spreadsheetml/2006/main" count="2299" uniqueCount="219">
  <si>
    <t>Ano</t>
  </si>
  <si>
    <t>Classes e Actividades</t>
  </si>
  <si>
    <t>Valor acrescentado a preços básicos (%)</t>
  </si>
  <si>
    <t>2017*</t>
  </si>
  <si>
    <t>2018**</t>
  </si>
  <si>
    <t>Agropecuária</t>
  </si>
  <si>
    <t>Agropecuária e Silvicultura</t>
  </si>
  <si>
    <t>Indústria</t>
  </si>
  <si>
    <t>Extracção e Refinação de Petróleo Bruto e Gás Natural</t>
  </si>
  <si>
    <t>Extracção de Diamantes, de Minerais Met. e de Outros Minerais não Metálicos</t>
  </si>
  <si>
    <t>Transformadora, exceto Refinação de Petroleo Bruto</t>
  </si>
  <si>
    <t>Construção</t>
  </si>
  <si>
    <t>Serviços</t>
  </si>
  <si>
    <t>Comércio</t>
  </si>
  <si>
    <t>Transportes e Armazenagem</t>
  </si>
  <si>
    <t>Intermediação Financeira e de Seguros</t>
  </si>
  <si>
    <t>Administração Pública, Defesa e  Segurança Social  Obrigatória</t>
  </si>
  <si>
    <t>Serviços Imobiliários e Aluguer</t>
  </si>
  <si>
    <t>Outros Serviços</t>
  </si>
  <si>
    <t>Total</t>
  </si>
  <si>
    <t>Impostos</t>
  </si>
  <si>
    <t>Subsídios (-)</t>
  </si>
  <si>
    <t>PIB</t>
  </si>
  <si>
    <t>Fonte: INE - Departamento de Contas Nacionais e Coordenação Estatística</t>
  </si>
  <si>
    <t>Produto Interno Bruto</t>
  </si>
  <si>
    <t>Alojamento e Restauração (restaurantes e similares)</t>
  </si>
  <si>
    <t xml:space="preserve">   Excedente bruto de exploração/rendimento misto</t>
  </si>
  <si>
    <t xml:space="preserve">   Impostos, líquidos de subsídios sobre a produção e importação</t>
  </si>
  <si>
    <t xml:space="preserve">   Remuneração dos empregados</t>
  </si>
  <si>
    <t>C - Óptica do rendimento</t>
  </si>
  <si>
    <t xml:space="preserve"> x</t>
  </si>
  <si>
    <t xml:space="preserve">   Importação de bens e serviços (-)</t>
  </si>
  <si>
    <t xml:space="preserve">   Exportação de bens e serviços</t>
  </si>
  <si>
    <t xml:space="preserve">        Variação de existencia</t>
  </si>
  <si>
    <t xml:space="preserve">        Formação bruta de capital fixo</t>
  </si>
  <si>
    <t xml:space="preserve">   Formação bruta de capital</t>
  </si>
  <si>
    <t xml:space="preserve">        Despesa de consumo da administração pública</t>
  </si>
  <si>
    <t xml:space="preserve">        Despesa de consumo das famílias</t>
  </si>
  <si>
    <t xml:space="preserve">   Consumo final</t>
  </si>
  <si>
    <t>B - Óptica da despesa</t>
  </si>
  <si>
    <t xml:space="preserve">   Consumo intermediário (-)</t>
  </si>
  <si>
    <t xml:space="preserve">   Subsidios aos produtos (-)</t>
  </si>
  <si>
    <t xml:space="preserve">    Impostos sobre produtos inclusive, de importação</t>
  </si>
  <si>
    <t xml:space="preserve">   Produção</t>
  </si>
  <si>
    <t>A - Óptica da produção</t>
  </si>
  <si>
    <t xml:space="preserve">Valor em (1 000 000 Kz) </t>
  </si>
  <si>
    <t>Componentes do Produto Interno Bruto</t>
  </si>
  <si>
    <t>Pesca e Aquacultura</t>
  </si>
  <si>
    <t>Valor Acrescentado Bruto(VAB)</t>
  </si>
  <si>
    <t>Variação real anual (%)</t>
  </si>
  <si>
    <t xml:space="preserve">       Instituições Sem fim Lucrativo ao Serviço das famílias</t>
  </si>
  <si>
    <t>Deflator implícito do valor acrescentado a preços básicos (%)</t>
  </si>
  <si>
    <t>Participação (%)</t>
  </si>
  <si>
    <t xml:space="preserve">Componentes do Produto Interno Bruto </t>
  </si>
  <si>
    <t xml:space="preserve">Variação Real Anual (%) </t>
  </si>
  <si>
    <t xml:space="preserve">Produto Interno Bruto </t>
  </si>
  <si>
    <t xml:space="preserve">   Valor da Produção </t>
  </si>
  <si>
    <t xml:space="preserve">    Impostos sobre produtos inclusive, de importação </t>
  </si>
  <si>
    <t xml:space="preserve">(-)    9,06 </t>
  </si>
  <si>
    <t xml:space="preserve">    Subsídios aos produtos </t>
  </si>
  <si>
    <t xml:space="preserve">(-)    1,48 </t>
  </si>
  <si>
    <t xml:space="preserve">(-)    0,72 </t>
  </si>
  <si>
    <r>
      <t xml:space="preserve">    Consumo intermédio</t>
    </r>
    <r>
      <rPr>
        <sz val="8"/>
        <color rgb="FF000000"/>
        <rFont val="Calibri"/>
        <family val="2"/>
      </rPr>
      <t xml:space="preserve"> </t>
    </r>
  </si>
  <si>
    <t xml:space="preserve">  </t>
  </si>
  <si>
    <t xml:space="preserve">Peso 2015 (%) no PIB </t>
  </si>
  <si>
    <t xml:space="preserve">Peso 2016 (%) no PIB </t>
  </si>
  <si>
    <t xml:space="preserve">Contribuição no crescimento do PIB </t>
  </si>
  <si>
    <t xml:space="preserve">(p.p.) </t>
  </si>
  <si>
    <t xml:space="preserve">Setor primário </t>
  </si>
  <si>
    <t xml:space="preserve">11.145 </t>
  </si>
  <si>
    <t xml:space="preserve">11.899 </t>
  </si>
  <si>
    <t xml:space="preserve">Setor secundário </t>
  </si>
  <si>
    <t xml:space="preserve">25.419 </t>
  </si>
  <si>
    <t xml:space="preserve">22.114 </t>
  </si>
  <si>
    <t xml:space="preserve">Setor terciário </t>
  </si>
  <si>
    <t xml:space="preserve">116.785 </t>
  </si>
  <si>
    <t xml:space="preserve">124.436 </t>
  </si>
  <si>
    <t xml:space="preserve">Impostos Líquidos de subsídios sobre produtos </t>
  </si>
  <si>
    <t xml:space="preserve">20.562 </t>
  </si>
  <si>
    <t xml:space="preserve">22.907 </t>
  </si>
  <si>
    <t xml:space="preserve">Produto Interno Bruto (PIB) </t>
  </si>
  <si>
    <t xml:space="preserve">173.911 </t>
  </si>
  <si>
    <t xml:space="preserve">181.355 </t>
  </si>
  <si>
    <t>Milhoes de Kz.</t>
  </si>
  <si>
    <t>Formação bruta de capital</t>
  </si>
  <si>
    <t>Formação bruta de capital fixo</t>
  </si>
  <si>
    <t>Pública</t>
  </si>
  <si>
    <t>Privada</t>
  </si>
  <si>
    <t>Maquinária e Equipamento</t>
  </si>
  <si>
    <t>Variação das Existências</t>
  </si>
  <si>
    <t>Peso da Construção na FBCF (%)</t>
  </si>
  <si>
    <t>Peso da Maquinária e Equipamento na FBCF (%)</t>
  </si>
  <si>
    <t>Peso da Construção pública na FBCF (%)</t>
  </si>
  <si>
    <t>Peso da Construção pública na FBCF em Construção (%)</t>
  </si>
  <si>
    <t>Peso do Investimento Público Total(Maq, Equip e Const) (%)</t>
  </si>
  <si>
    <t>Especificação</t>
  </si>
  <si>
    <t>Preços correntes
Valor em (1 000 000 Kz)</t>
  </si>
  <si>
    <t>FBCF/PIB
(%)</t>
  </si>
  <si>
    <t>Variação real anual
(%)</t>
  </si>
  <si>
    <t>FBCF</t>
  </si>
  <si>
    <t xml:space="preserve">Indicadores macroeconomicos </t>
  </si>
  <si>
    <t>Variação em volume do PIB</t>
  </si>
  <si>
    <t>Remuneração / PIB (%)</t>
  </si>
  <si>
    <t>Excedente operacional bruto, incl. Rend. misto / PIB</t>
  </si>
  <si>
    <t>Poupança Bruta/ PIB (%)</t>
  </si>
  <si>
    <t>Poupança Bruta/ Renda Disponível Bruta(%)</t>
  </si>
  <si>
    <t>Taxa de autofinanciamento (Poupança / FBCF)(%)</t>
  </si>
  <si>
    <t>Taxa de investimento (FBCF / PIB)(%)</t>
  </si>
  <si>
    <t>Necessidade de financiamento / PIB(%)</t>
  </si>
  <si>
    <t>Valor em (1 000 000 Kz)</t>
  </si>
  <si>
    <t>Recursos</t>
  </si>
  <si>
    <t>Operações e saldos</t>
  </si>
  <si>
    <t>Utilizações</t>
  </si>
  <si>
    <t>Produção</t>
  </si>
  <si>
    <t xml:space="preserve">Importação de bens e serviços </t>
  </si>
  <si>
    <t>Impostos sobre produtos</t>
  </si>
  <si>
    <t xml:space="preserve">          Impostos e direitos sobre importação</t>
  </si>
  <si>
    <t xml:space="preserve">          Impostos sobre produtos (excepto impostos de importação e exportação)</t>
  </si>
  <si>
    <t xml:space="preserve">          Impostos sobre a exportação</t>
  </si>
  <si>
    <t xml:space="preserve">          (Menos)  Subsídios aos produtos</t>
  </si>
  <si>
    <t>Consumo intermédio</t>
  </si>
  <si>
    <t>Despesa de consumo final</t>
  </si>
  <si>
    <t>Variação de existências</t>
  </si>
  <si>
    <t>Exportação de bens e serviços</t>
  </si>
  <si>
    <t>Consumo intermediário</t>
  </si>
  <si>
    <t>Variação de estoque</t>
  </si>
  <si>
    <t>2010(1)</t>
  </si>
  <si>
    <t>Conta 1 - Conta de produção</t>
  </si>
  <si>
    <t>Conta 2 - Conta do rendimento</t>
  </si>
  <si>
    <t>2.1 - Conta de distribuição primária do rendimento</t>
  </si>
  <si>
    <t>2.1.1 - Conta de geração do rendimento</t>
  </si>
  <si>
    <t xml:space="preserve"> </t>
  </si>
  <si>
    <t>Produto interno bruto</t>
  </si>
  <si>
    <t>Remuneração dos empregados</t>
  </si>
  <si>
    <t xml:space="preserve">          Residentes</t>
  </si>
  <si>
    <t xml:space="preserve">          Não-residentes</t>
  </si>
  <si>
    <t>Impostos líquidos de subsídios sobre a produção e importação</t>
  </si>
  <si>
    <t>2.1.2 - Conta de afectação do rendimento</t>
  </si>
  <si>
    <t>Rendimentos de propriedade enviados e recebidos do resto do mundo</t>
  </si>
  <si>
    <t>Rendimento Nacional Bruto</t>
  </si>
  <si>
    <t>2.2 - Conta de distribuição secundária do rendimento</t>
  </si>
  <si>
    <t xml:space="preserve">Outras transferências correntes enviadas e recebidas do resto do mundo </t>
  </si>
  <si>
    <t>Rendimento Disponível Bruto</t>
  </si>
  <si>
    <t>2.3 - Conta de utilização do rendimento</t>
  </si>
  <si>
    <t>Rendimento disponível bruto</t>
  </si>
  <si>
    <t>Poupança Bruta</t>
  </si>
  <si>
    <t>Conta 3 - Conta de acumulação</t>
  </si>
  <si>
    <t>3.1 - Conta de capital</t>
  </si>
  <si>
    <t>Poupança bruta</t>
  </si>
  <si>
    <t>Transferências de capital enviadas e recebidas do resto do mundo</t>
  </si>
  <si>
    <t>Capacidade ( + ) ou Necessidade ( - ) líquida de financiamento</t>
  </si>
  <si>
    <t>Quadro 2.2 - Economia Nacional - Contas de produção, rendimento e capital - Ano de 2003</t>
  </si>
  <si>
    <t>Quadro 2.2 - Economia Nacional - Contas de produção, rendimento e capital - Ano de 2004</t>
  </si>
  <si>
    <t>Quadro 2.2 - Economia Nacional - Contas de produção, rendimento e capital - Ano de 2005</t>
  </si>
  <si>
    <t>Quadro 2.2 - Economia Nacional - Contas de produção, rendimento e capital - Ano de 2006</t>
  </si>
  <si>
    <t>Quadro 2.2 - Economia Nacional - Contas de produção, rendimento e capital - Ano de 2007</t>
  </si>
  <si>
    <t>Quadro 2.2 - Economia Nacional - Contas de produção, rendimento e capital - Ano de 2008</t>
  </si>
  <si>
    <t>Quadro 2.2 - Economia Nacional - Contas de produção, rendimento e capital - Ano de 2009</t>
  </si>
  <si>
    <t>Quadro 2.2 - Economia Nacional - Contas de produção, rendimento e capital - Ano de 2010</t>
  </si>
  <si>
    <t>Quadro 2.2 - Economia Nacional - Contas de produção, rendimento e capital - Ano de 2011</t>
  </si>
  <si>
    <t>Quadro 2.2 - Economia Nacional - Contas de produção, rendimento e capital - Ano de 2012</t>
  </si>
  <si>
    <t>Quadro 2.2 - Economia Nacional - Contas de produção, rendimento e capital - Ano de 2013</t>
  </si>
  <si>
    <t>Quadro 2.2 - Economia Nacional - Contas de produção, rendimento e capital - Ano de 2014</t>
  </si>
  <si>
    <t>2014</t>
  </si>
  <si>
    <t>Quadro 2.2 - Economia Nacional - Contas de produção, rendimento e capital - Ano de 2015</t>
  </si>
  <si>
    <t>Quadro 2.3 - Economia Nacional - Conta das transações</t>
  </si>
  <si>
    <t>Conta 1 - Conta de bens e serviços do resto do mundo com a economia nacional</t>
  </si>
  <si>
    <t>Importação de bens e serviços</t>
  </si>
  <si>
    <t>Saldo externo de bens e serviços</t>
  </si>
  <si>
    <t>Conta 2 - Conta de distribuição primária da renda e transferências correntes do resto do mundo com a economia nacional</t>
  </si>
  <si>
    <t>Rendimentos de propriedade</t>
  </si>
  <si>
    <t xml:space="preserve">          Juros</t>
  </si>
  <si>
    <t xml:space="preserve">          Rendimentos distribuídos das sociedades</t>
  </si>
  <si>
    <t xml:space="preserve">              Lucros de investimento directo estrangeiro reinvestidos</t>
  </si>
  <si>
    <t xml:space="preserve">Outras transferências correntes </t>
  </si>
  <si>
    <t xml:space="preserve">          Cooperação internacional corrente </t>
  </si>
  <si>
    <t xml:space="preserve">          Transferências correntes diversas</t>
  </si>
  <si>
    <t>Saldo externo corrente</t>
  </si>
  <si>
    <t>Conta 3 - Conta de acumulação do resto do mundo com a economia nacional</t>
  </si>
  <si>
    <t xml:space="preserve">Transferências de capital </t>
  </si>
  <si>
    <t>Variações do patrimônio líquido resultantes de poupança e de transferências de capital</t>
  </si>
  <si>
    <t>do resto do mundo com a economia nacional - Ano de 2005</t>
  </si>
  <si>
    <t>do resto do mundo com a economia nacional - Ano de 2008</t>
  </si>
  <si>
    <t>do resto do mundo com a economia nacional - Ano de 2009</t>
  </si>
  <si>
    <t>do resto do mundo com a economia nacional - Ano de 2010</t>
  </si>
  <si>
    <t>do resto do mundo com a economia nacional - Ano de 2011</t>
  </si>
  <si>
    <t>do resto do mundo com a economia nacional - Ano de 2012</t>
  </si>
  <si>
    <t>do resto do mundo com a economia nacional - Ano de 2013</t>
  </si>
  <si>
    <t>do resto do mundo com a economia nacional - Ano de 2014*</t>
  </si>
  <si>
    <t>do resto do mundo com a economia nacional - Ano de 2015**</t>
  </si>
  <si>
    <t>do resto do mundo com a economia nacional - Ano de 2018**</t>
  </si>
  <si>
    <t>2017</t>
  </si>
  <si>
    <t>Produto Interno Bruto per capita</t>
  </si>
  <si>
    <t>Deflator implícito</t>
  </si>
  <si>
    <t>Variação real anual 
(%)</t>
  </si>
  <si>
    <t>Valor em Kwanzas</t>
  </si>
  <si>
    <t>Variação anual 
(%)</t>
  </si>
  <si>
    <t>Preços
correntes</t>
  </si>
  <si>
    <t>Preços do ano
anterior</t>
  </si>
  <si>
    <t xml:space="preserve">Quadro 1.3- Composição do Produto Interno Bruto sob as óticas da Produção, da Despesa e do Rendimento </t>
  </si>
  <si>
    <t xml:space="preserve">Quadro 1.4- Composição do Produto Interno Bruto sob as óticas da Produção, da Despesa e do Rendimento </t>
  </si>
  <si>
    <t>Quadro 2.1 - Economia Nacional - Conta de bens e serviços 2002 a 2024</t>
  </si>
  <si>
    <t>Contribuições (%)</t>
  </si>
  <si>
    <t xml:space="preserve">Actividades de informação e de comunicação </t>
  </si>
  <si>
    <t>Produção e Distribuição de Eléctricidade , Água e Saneamento</t>
  </si>
  <si>
    <t>Quadro 1.1- Produto Interno Bruto</t>
  </si>
  <si>
    <t>Quadro 1.2- Produto Interno Bruto per capita</t>
  </si>
  <si>
    <t xml:space="preserve">Quadro 1.6- Composição do Produto Interno Bruto sob as óticas da Produção, da Despesa e do Rendimento </t>
  </si>
  <si>
    <t xml:space="preserve">Quadro 1.5- Composição do Produto Interno Bruto sob as óticas da Produção, da Despesa e do Rendimento </t>
  </si>
  <si>
    <t>Quadro 4.3 - Produto Interno Bruto - PIB e formação bruta de capital fixo (FBCF) - 2006 a 2024*</t>
  </si>
  <si>
    <t>Quadro 3.2 - Variação do valor acrescentado em volume a preços básicos, por classes e atividades - 2002 a 2024</t>
  </si>
  <si>
    <t>Quadro 3.1 -  Participação das classes e atividades no valor acrescentado a preços básicos - 2002 a 2024</t>
  </si>
  <si>
    <t>Quadro 3.3-   Componentes do Produto Interno Bruto na Óptica da Produção - 2002 a 2024</t>
  </si>
  <si>
    <t>Quadro 3.4 -  Contribuição das classes e atividades no valor acrescentado a preços básicos - 2002 a 2024</t>
  </si>
  <si>
    <t>Quadro 4.1 - Componentes da formação bruta de capital a preços correntes - 2006 a 2024</t>
  </si>
  <si>
    <t>Quadro 4.2 - Participação percentual dos componentes da formação bruta de capital - 2006 a 2024</t>
  </si>
  <si>
    <t>Quadro 5.1- Principais Indicadores das Contas Nacionais - 2002 a 2024</t>
  </si>
  <si>
    <t>Quadro 2.2 - Economia Nacional - Contas de produção, rendimento e capital - 2002 a 2024</t>
  </si>
  <si>
    <t>do resto do mundo com a economia nacional - Ano de 2002 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</si>
</sst>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_-* #,##0.00\ _K_z_-;\-* #,##0.00\ _K_z_-;_-* &quot;-&quot;??\ _K_z_-;_-@_-"/>
    <numFmt numFmtId="165" formatCode="0_);\(0\)"/>
    <numFmt numFmtId="166" formatCode="00"/>
    <numFmt numFmtId="167" formatCode="_ * #,##0.00_ ;_ * \-#,##0.00_ ;_ * &quot;-&quot;??_ ;_ @_ "/>
    <numFmt numFmtId="168" formatCode="_-* #,##0\ _€_-;\-* #,##0\ _€_-;_-* &quot;-&quot;??\ _€_-;_-@_-"/>
    <numFmt numFmtId="169" formatCode="_-* #,##0.00\ _€_-;\-* #,##0.00\ _€_-;_-* &quot;-&quot;??\ _€_-;_-@_-"/>
    <numFmt numFmtId="170" formatCode="0.0"/>
    <numFmt numFmtId="171" formatCode="###\ ###\ ###\ ###\ ###\ ##0"/>
    <numFmt numFmtId="172" formatCode="###\ ###\ ##0;\(\-\)\ ###\ ###\ ##0"/>
    <numFmt numFmtId="173" formatCode="_(* #,##0_);_(* \(#,##0\);_(* &quot;-&quot;??_);_(@_)"/>
    <numFmt numFmtId="174" formatCode="0.000"/>
    <numFmt numFmtId="175" formatCode="###\ ###\ ###\ ##0\ ;\(\-\)\ ###\ ###\ ###\ ##0\ "/>
    <numFmt numFmtId="176" formatCode="###\ ###\ ###\ ##0.00\ ;\(\-\)\ ###\ ###\ ###\ ##0.00\ "/>
    <numFmt numFmtId="177" formatCode="&quot;R$&quot;#,##0_);[Red]\(&quot;R$&quot;#,##0\)"/>
    <numFmt numFmtId="178" formatCode="\ \ \ \ @"/>
    <numFmt numFmtId="179" formatCode="###.0\ ###\ ###\ ###\ ###\ ##0"/>
    <numFmt numFmtId="180" formatCode="###\ ###\ ###\ ##0;\(\-\)\ ###\ ###\ ###\ ##0"/>
    <numFmt numFmtId="181" formatCode="###\ ###\ ###\ ###\ \ \ \ ;\(\-\)\ ###\ ###\ ###\ ###\ \ \ \ "/>
    <numFmt numFmtId="182" formatCode="_(* #,##0.00_);_(* \(#,##0.00\);_(* &quot;-&quot;??_);_(@_)"/>
    <numFmt numFmtId="183" formatCode="_-* #,##0\ _K_z_-;\-* #,##0\ _K_z_-;_-* &quot;-&quot;??\ _K_z_-;_-@_-"/>
    <numFmt numFmtId="184" formatCode="###.##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  <scheme val="minor"/>
    </font>
    <font>
      <sz val="6"/>
      <name val="Arial"/>
      <family val="2"/>
    </font>
    <font>
      <sz val="10"/>
      <name val="Calibri"/>
      <family val="2"/>
      <scheme val="minor"/>
    </font>
    <font>
      <sz val="6"/>
      <name val="Univers"/>
      <family val="2"/>
    </font>
    <font>
      <sz val="10"/>
      <name val="Univers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7"/>
      <name val="Univers"/>
      <family val="2"/>
    </font>
    <font>
      <b/>
      <sz val="10"/>
      <name val="Arial"/>
      <family val="2"/>
    </font>
    <font>
      <sz val="8"/>
      <name val="Univers"/>
      <family val="2"/>
    </font>
    <font>
      <sz val="11"/>
      <color rgb="FF000000"/>
      <name val="Times New Roman"/>
      <family val="1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8"/>
      <name val="Univers"/>
      <family val="2"/>
    </font>
    <font>
      <sz val="7"/>
      <name val="Univers"/>
      <family val="2"/>
    </font>
    <font>
      <b/>
      <sz val="9"/>
      <name val="Calibri"/>
      <family val="2"/>
    </font>
    <font>
      <sz val="6.15"/>
      <name val="Arial"/>
      <family val="2"/>
    </font>
    <font>
      <sz val="9"/>
      <name val="Calibri"/>
      <family val="2"/>
    </font>
    <font>
      <sz val="10"/>
      <name val="Arial"/>
      <family val="2"/>
    </font>
    <font>
      <b/>
      <sz val="9"/>
      <name val="Univers"/>
      <family val="2"/>
    </font>
    <font>
      <b/>
      <sz val="9"/>
      <color rgb="FFFF0000"/>
      <name val="Univers"/>
      <family val="2"/>
    </font>
    <font>
      <sz val="9"/>
      <color theme="1"/>
      <name val="Calibri"/>
      <family val="2"/>
      <scheme val="minor"/>
    </font>
    <font>
      <sz val="9"/>
      <name val="Univers"/>
      <family val="2"/>
    </font>
    <font>
      <sz val="9"/>
      <color rgb="FFFF0000"/>
      <name val="Univers"/>
      <family val="2"/>
    </font>
    <font>
      <b/>
      <sz val="9"/>
      <color rgb="FF00B0F0"/>
      <name val="Univers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  <scheme val="minor"/>
    </font>
    <font>
      <sz val="8"/>
      <name val="Calibri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F1DD"/>
        <bgColor indexed="64"/>
      </patternFill>
    </fill>
  </fills>
  <borders count="13">
    <border>
      <left/>
      <right/>
      <top/>
      <bottom/>
      <diagonal/>
    </border>
    <border>
      <left/>
      <right style="mediumDashed">
        <color rgb="FF9BBB59"/>
      </right>
      <top style="medium">
        <color rgb="FF9BBB59"/>
      </top>
      <bottom/>
      <diagonal/>
    </border>
    <border>
      <left/>
      <right style="mediumDashed">
        <color rgb="FF9BBB59"/>
      </right>
      <top/>
      <bottom/>
      <diagonal/>
    </border>
    <border>
      <left/>
      <right/>
      <top style="medium">
        <color rgb="FF9BBB59"/>
      </top>
      <bottom style="mediumDashed">
        <color rgb="FF9BBB59"/>
      </bottom>
      <diagonal/>
    </border>
    <border>
      <left/>
      <right style="mediumDashed">
        <color rgb="FF9BBB59"/>
      </right>
      <top/>
      <bottom style="medium">
        <color rgb="FF9BBB59"/>
      </bottom>
      <diagonal/>
    </border>
    <border>
      <left/>
      <right/>
      <top/>
      <bottom style="medium">
        <color rgb="FF9BBB59"/>
      </bottom>
      <diagonal/>
    </border>
    <border>
      <left/>
      <right style="mediumDashed">
        <color rgb="FF9BBB59"/>
      </right>
      <top/>
      <bottom style="mediumDashed">
        <color rgb="FF9BBB59"/>
      </bottom>
      <diagonal/>
    </border>
    <border>
      <left/>
      <right/>
      <top/>
      <bottom style="mediumDashed">
        <color rgb="FF9BBB5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5">
    <xf numFmtId="0" fontId="0" fillId="0" borderId="0"/>
    <xf numFmtId="0" fontId="1" fillId="0" borderId="0"/>
    <xf numFmtId="0" fontId="6" fillId="0" borderId="0"/>
    <xf numFmtId="0" fontId="1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" fillId="0" borderId="0"/>
    <xf numFmtId="169" fontId="11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9" fontId="14" fillId="0" borderId="0" applyFill="0" applyBorder="0" applyProtection="0">
      <alignment horizontal="left"/>
    </xf>
    <xf numFmtId="0" fontId="10" fillId="0" borderId="0"/>
    <xf numFmtId="0" fontId="10" fillId="0" borderId="0"/>
    <xf numFmtId="0" fontId="1" fillId="0" borderId="0"/>
    <xf numFmtId="169" fontId="1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6" fillId="0" borderId="0"/>
    <xf numFmtId="0" fontId="1" fillId="0" borderId="0"/>
    <xf numFmtId="0" fontId="26" fillId="0" borderId="8" applyNumberFormat="0" applyFill="0" applyProtection="0">
      <alignment horizontal="left" vertical="top" wrapText="1"/>
    </xf>
    <xf numFmtId="182" fontId="6" fillId="0" borderId="0" applyFont="0" applyFill="0" applyBorder="0" applyAlignment="0" applyProtection="0"/>
    <xf numFmtId="0" fontId="28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182" fontId="11" fillId="0" borderId="0" applyFont="0" applyFill="0" applyBorder="0" applyAlignment="0" applyProtection="0"/>
    <xf numFmtId="0" fontId="1" fillId="0" borderId="0"/>
    <xf numFmtId="0" fontId="1" fillId="0" borderId="0"/>
    <xf numFmtId="9" fontId="10" fillId="0" borderId="0" applyFont="0" applyFill="0" applyBorder="0" applyAlignment="0" applyProtection="0"/>
  </cellStyleXfs>
  <cellXfs count="280">
    <xf numFmtId="0" fontId="0" fillId="0" borderId="0" xfId="0"/>
    <xf numFmtId="170" fontId="0" fillId="0" borderId="0" xfId="0" applyNumberFormat="1"/>
    <xf numFmtId="171" fontId="7" fillId="2" borderId="0" xfId="6" applyNumberFormat="1" applyFont="1" applyFill="1" applyBorder="1" applyProtection="1">
      <protection locked="0"/>
    </xf>
    <xf numFmtId="2" fontId="5" fillId="2" borderId="0" xfId="6" applyNumberFormat="1" applyFont="1" applyFill="1" applyBorder="1" applyProtection="1">
      <protection locked="0"/>
    </xf>
    <xf numFmtId="2" fontId="7" fillId="2" borderId="0" xfId="6" applyNumberFormat="1" applyFont="1" applyFill="1" applyBorder="1" applyProtection="1">
      <protection locked="0"/>
    </xf>
    <xf numFmtId="0" fontId="16" fillId="3" borderId="3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right" vertical="center" wrapText="1"/>
    </xf>
    <xf numFmtId="0" fontId="17" fillId="3" borderId="5" xfId="0" applyFont="1" applyFill="1" applyBorder="1" applyAlignment="1">
      <alignment horizontal="right" vertical="center" wrapText="1"/>
    </xf>
    <xf numFmtId="0" fontId="17" fillId="0" borderId="6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right" vertical="center" wrapText="1"/>
    </xf>
    <xf numFmtId="0" fontId="18" fillId="0" borderId="7" xfId="0" applyFont="1" applyBorder="1" applyAlignment="1">
      <alignment horizontal="righ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 indent="1"/>
    </xf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right" vertical="center" wrapText="1"/>
    </xf>
    <xf numFmtId="0" fontId="18" fillId="0" borderId="5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right" vertical="center" wrapText="1"/>
    </xf>
    <xf numFmtId="0" fontId="20" fillId="0" borderId="12" xfId="0" applyFont="1" applyBorder="1" applyAlignment="1">
      <alignment horizontal="justify" vertical="center" wrapText="1"/>
    </xf>
    <xf numFmtId="0" fontId="20" fillId="0" borderId="10" xfId="0" applyFont="1" applyBorder="1" applyAlignment="1">
      <alignment horizontal="justify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justify" vertical="center" wrapText="1"/>
    </xf>
    <xf numFmtId="167" fontId="7" fillId="2" borderId="0" xfId="6" applyFont="1" applyFill="1" applyBorder="1" applyAlignment="1" applyProtection="1">
      <alignment horizontal="right"/>
      <protection locked="0"/>
    </xf>
    <xf numFmtId="167" fontId="7" fillId="2" borderId="0" xfId="6" applyFont="1" applyFill="1" applyBorder="1" applyAlignment="1" applyProtection="1">
      <protection locked="0"/>
    </xf>
    <xf numFmtId="0" fontId="0" fillId="2" borderId="0" xfId="0" applyFill="1"/>
    <xf numFmtId="170" fontId="5" fillId="2" borderId="0" xfId="6" applyNumberFormat="1" applyFont="1" applyFill="1" applyBorder="1" applyProtection="1">
      <protection locked="0"/>
    </xf>
    <xf numFmtId="1" fontId="5" fillId="2" borderId="0" xfId="6" applyNumberFormat="1" applyFont="1" applyFill="1" applyBorder="1" applyProtection="1">
      <protection locked="0"/>
    </xf>
    <xf numFmtId="0" fontId="2" fillId="2" borderId="0" xfId="0" applyFont="1" applyFill="1" applyProtection="1">
      <protection locked="0"/>
    </xf>
    <xf numFmtId="3" fontId="25" fillId="2" borderId="0" xfId="1" applyNumberFormat="1" applyFont="1" applyFill="1" applyAlignment="1" applyProtection="1">
      <alignment horizontal="center"/>
      <protection locked="0"/>
    </xf>
    <xf numFmtId="3" fontId="27" fillId="2" borderId="0" xfId="1" applyNumberFormat="1" applyFont="1" applyFill="1" applyAlignment="1" applyProtection="1">
      <alignment horizontal="right" vertical="center"/>
      <protection locked="0"/>
    </xf>
    <xf numFmtId="4" fontId="25" fillId="2" borderId="0" xfId="6" applyNumberFormat="1" applyFont="1" applyFill="1" applyBorder="1" applyAlignment="1" applyProtection="1">
      <alignment horizontal="right" vertical="center"/>
      <protection locked="0"/>
    </xf>
    <xf numFmtId="3" fontId="25" fillId="2" borderId="0" xfId="6" applyNumberFormat="1" applyFont="1" applyFill="1" applyBorder="1" applyAlignment="1" applyProtection="1">
      <alignment horizontal="right" vertical="center"/>
      <protection locked="0"/>
    </xf>
    <xf numFmtId="3" fontId="29" fillId="2" borderId="0" xfId="0" applyNumberFormat="1" applyFont="1" applyFill="1" applyProtection="1">
      <protection locked="0"/>
    </xf>
    <xf numFmtId="3" fontId="27" fillId="2" borderId="0" xfId="1" applyNumberFormat="1" applyFont="1" applyFill="1" applyProtection="1">
      <protection locked="0"/>
    </xf>
    <xf numFmtId="3" fontId="30" fillId="2" borderId="0" xfId="7" applyNumberFormat="1" applyFont="1" applyFill="1" applyProtection="1">
      <protection locked="0"/>
    </xf>
    <xf numFmtId="3" fontId="25" fillId="2" borderId="0" xfId="1" applyNumberFormat="1" applyFont="1" applyFill="1" applyAlignment="1" applyProtection="1">
      <alignment horizontal="left"/>
      <protection locked="0"/>
    </xf>
    <xf numFmtId="0" fontId="31" fillId="2" borderId="0" xfId="0" applyFont="1" applyFill="1"/>
    <xf numFmtId="0" fontId="32" fillId="2" borderId="0" xfId="0" applyFont="1" applyFill="1" applyProtection="1">
      <protection locked="0"/>
    </xf>
    <xf numFmtId="0" fontId="33" fillId="2" borderId="0" xfId="0" applyFont="1" applyFill="1" applyProtection="1">
      <protection locked="0"/>
    </xf>
    <xf numFmtId="0" fontId="34" fillId="2" borderId="0" xfId="9" applyFont="1" applyFill="1" applyProtection="1">
      <protection locked="0"/>
    </xf>
    <xf numFmtId="171" fontId="25" fillId="2" borderId="0" xfId="7" applyNumberFormat="1" applyFont="1" applyFill="1" applyAlignment="1" applyProtection="1">
      <alignment horizontal="center"/>
      <protection locked="0"/>
    </xf>
    <xf numFmtId="0" fontId="35" fillId="2" borderId="0" xfId="0" applyFont="1" applyFill="1" applyProtection="1">
      <protection locked="0"/>
    </xf>
    <xf numFmtId="171" fontId="35" fillId="2" borderId="0" xfId="6" applyNumberFormat="1" applyFont="1" applyFill="1" applyBorder="1" applyProtection="1">
      <protection locked="0"/>
    </xf>
    <xf numFmtId="2" fontId="35" fillId="2" borderId="0" xfId="6" applyNumberFormat="1" applyFont="1" applyFill="1" applyBorder="1" applyProtection="1">
      <protection locked="0"/>
    </xf>
    <xf numFmtId="2" fontId="35" fillId="2" borderId="0" xfId="0" quotePrefix="1" applyNumberFormat="1" applyFont="1" applyFill="1" applyAlignment="1" applyProtection="1">
      <alignment horizontal="left"/>
      <protection locked="0"/>
    </xf>
    <xf numFmtId="2" fontId="36" fillId="2" borderId="0" xfId="6" applyNumberFormat="1" applyFont="1" applyFill="1" applyBorder="1" applyProtection="1">
      <protection locked="0"/>
    </xf>
    <xf numFmtId="2" fontId="35" fillId="2" borderId="0" xfId="7" quotePrefix="1" applyNumberFormat="1" applyFont="1" applyFill="1" applyAlignment="1" applyProtection="1">
      <alignment horizontal="left"/>
      <protection locked="0"/>
    </xf>
    <xf numFmtId="2" fontId="35" fillId="2" borderId="0" xfId="0" applyNumberFormat="1" applyFont="1" applyFill="1" applyProtection="1">
      <protection locked="0"/>
    </xf>
    <xf numFmtId="0" fontId="25" fillId="2" borderId="0" xfId="0" applyFont="1" applyFill="1" applyProtection="1">
      <protection locked="0"/>
    </xf>
    <xf numFmtId="171" fontId="25" fillId="2" borderId="0" xfId="0" applyNumberFormat="1" applyFont="1" applyFill="1" applyProtection="1">
      <protection locked="0"/>
    </xf>
    <xf numFmtId="171" fontId="32" fillId="2" borderId="0" xfId="0" applyNumberFormat="1" applyFont="1" applyFill="1" applyProtection="1">
      <protection locked="0"/>
    </xf>
    <xf numFmtId="0" fontId="31" fillId="0" borderId="0" xfId="0" applyFont="1"/>
    <xf numFmtId="0" fontId="35" fillId="2" borderId="0" xfId="0" applyFont="1" applyFill="1" applyAlignment="1" applyProtection="1">
      <alignment horizontal="right" vertical="center"/>
      <protection locked="0"/>
    </xf>
    <xf numFmtId="1" fontId="35" fillId="2" borderId="0" xfId="2" applyNumberFormat="1" applyFont="1" applyFill="1" applyAlignment="1" applyProtection="1">
      <alignment horizontal="right" vertical="center"/>
      <protection locked="0"/>
    </xf>
    <xf numFmtId="1" fontId="35" fillId="2" borderId="0" xfId="6" applyNumberFormat="1" applyFon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6" fillId="2" borderId="0" xfId="0" applyFont="1" applyFill="1"/>
    <xf numFmtId="0" fontId="25" fillId="2" borderId="0" xfId="0" applyFont="1" applyFill="1" applyAlignment="1" applyProtection="1">
      <alignment horizontal="center" vertical="center"/>
      <protection locked="0"/>
    </xf>
    <xf numFmtId="171" fontId="27" fillId="2" borderId="0" xfId="0" applyNumberFormat="1" applyFont="1" applyFill="1" applyAlignment="1" applyProtection="1">
      <alignment horizontal="right"/>
      <protection locked="0"/>
    </xf>
    <xf numFmtId="171" fontId="25" fillId="2" borderId="0" xfId="0" applyNumberFormat="1" applyFont="1" applyFill="1" applyAlignment="1" applyProtection="1">
      <alignment horizontal="center" vertical="center"/>
      <protection locked="0"/>
    </xf>
    <xf numFmtId="0" fontId="25" fillId="2" borderId="0" xfId="0" applyFont="1" applyFill="1" applyAlignment="1" applyProtection="1">
      <alignment horizontal="centerContinuous" vertical="center"/>
      <protection locked="0"/>
    </xf>
    <xf numFmtId="171" fontId="25" fillId="2" borderId="0" xfId="0" applyNumberFormat="1" applyFont="1" applyFill="1" applyAlignment="1" applyProtection="1">
      <alignment horizontal="right"/>
      <protection locked="0"/>
    </xf>
    <xf numFmtId="178" fontId="25" fillId="2" borderId="0" xfId="0" applyNumberFormat="1" applyFont="1" applyFill="1" applyProtection="1">
      <protection locked="0"/>
    </xf>
    <xf numFmtId="171" fontId="25" fillId="2" borderId="0" xfId="6" applyNumberFormat="1" applyFont="1" applyFill="1" applyBorder="1" applyAlignment="1" applyProtection="1">
      <alignment horizontal="right"/>
      <protection locked="0"/>
    </xf>
    <xf numFmtId="171" fontId="29" fillId="2" borderId="0" xfId="6" applyNumberFormat="1" applyFont="1" applyFill="1" applyBorder="1" applyProtection="1">
      <protection locked="0"/>
    </xf>
    <xf numFmtId="178" fontId="29" fillId="2" borderId="0" xfId="0" applyNumberFormat="1" applyFont="1" applyFill="1" applyProtection="1">
      <protection locked="0"/>
    </xf>
    <xf numFmtId="171" fontId="29" fillId="2" borderId="0" xfId="6" applyNumberFormat="1" applyFont="1" applyFill="1" applyBorder="1" applyAlignment="1" applyProtection="1">
      <alignment horizontal="right"/>
      <protection locked="0"/>
    </xf>
    <xf numFmtId="171" fontId="29" fillId="2" borderId="0" xfId="0" applyNumberFormat="1" applyFont="1" applyFill="1" applyProtection="1">
      <protection locked="0"/>
    </xf>
    <xf numFmtId="0" fontId="29" fillId="2" borderId="0" xfId="0" applyFont="1" applyFill="1" applyProtection="1">
      <protection locked="0"/>
    </xf>
    <xf numFmtId="171" fontId="29" fillId="2" borderId="0" xfId="0" applyNumberFormat="1" applyFont="1" applyFill="1" applyAlignment="1" applyProtection="1">
      <alignment horizontal="right"/>
      <protection locked="0"/>
    </xf>
    <xf numFmtId="171" fontId="32" fillId="2" borderId="0" xfId="6" applyNumberFormat="1" applyFont="1" applyFill="1" applyBorder="1" applyProtection="1">
      <protection locked="0"/>
    </xf>
    <xf numFmtId="178" fontId="32" fillId="2" borderId="0" xfId="0" applyNumberFormat="1" applyFont="1" applyFill="1" applyProtection="1">
      <protection locked="0"/>
    </xf>
    <xf numFmtId="171" fontId="32" fillId="2" borderId="0" xfId="6" applyNumberFormat="1" applyFont="1" applyFill="1" applyBorder="1" applyAlignment="1" applyProtection="1">
      <alignment horizontal="right"/>
      <protection locked="0"/>
    </xf>
    <xf numFmtId="179" fontId="29" fillId="2" borderId="0" xfId="6" applyNumberFormat="1" applyFont="1" applyFill="1" applyBorder="1" applyAlignment="1" applyProtection="1">
      <alignment horizontal="left"/>
      <protection locked="0"/>
    </xf>
    <xf numFmtId="171" fontId="37" fillId="2" borderId="0" xfId="0" applyNumberFormat="1" applyFont="1" applyFill="1"/>
    <xf numFmtId="0" fontId="37" fillId="2" borderId="0" xfId="0" applyFont="1" applyFill="1"/>
    <xf numFmtId="171" fontId="33" fillId="2" borderId="0" xfId="6" applyNumberFormat="1" applyFont="1" applyFill="1" applyBorder="1" applyAlignment="1" applyProtection="1">
      <alignment horizontal="right"/>
      <protection locked="0"/>
    </xf>
    <xf numFmtId="0" fontId="3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1" fontId="5" fillId="2" borderId="0" xfId="2" applyNumberFormat="1" applyFont="1" applyFill="1" applyAlignment="1" applyProtection="1">
      <alignment horizontal="right" vertical="center"/>
      <protection locked="0"/>
    </xf>
    <xf numFmtId="0" fontId="35" fillId="2" borderId="0" xfId="0" applyFont="1" applyFill="1" applyAlignment="1" applyProtection="1">
      <alignment horizontal="left" vertical="center"/>
      <protection locked="0"/>
    </xf>
    <xf numFmtId="172" fontId="36" fillId="2" borderId="0" xfId="0" applyNumberFormat="1" applyFont="1" applyFill="1" applyProtection="1">
      <protection locked="0"/>
    </xf>
    <xf numFmtId="0" fontId="36" fillId="2" borderId="0" xfId="0" applyFont="1" applyFill="1" applyProtection="1">
      <protection locked="0"/>
    </xf>
    <xf numFmtId="0" fontId="5" fillId="2" borderId="0" xfId="0" quotePrefix="1" applyFont="1" applyFill="1" applyAlignment="1" applyProtection="1">
      <alignment horizontal="left"/>
      <protection locked="0"/>
    </xf>
    <xf numFmtId="0" fontId="35" fillId="2" borderId="0" xfId="0" quotePrefix="1" applyFont="1" applyFill="1" applyAlignment="1" applyProtection="1">
      <alignment horizontal="left"/>
      <protection locked="0"/>
    </xf>
    <xf numFmtId="171" fontId="36" fillId="2" borderId="0" xfId="6" applyNumberFormat="1" applyFont="1" applyFill="1" applyBorder="1" applyProtection="1">
      <protection locked="0"/>
    </xf>
    <xf numFmtId="0" fontId="35" fillId="2" borderId="0" xfId="7" quotePrefix="1" applyFont="1" applyFill="1" applyAlignment="1" applyProtection="1">
      <alignment horizontal="left"/>
      <protection locked="0"/>
    </xf>
    <xf numFmtId="171" fontId="35" fillId="2" borderId="0" xfId="0" quotePrefix="1" applyNumberFormat="1" applyFont="1" applyFill="1" applyAlignment="1" applyProtection="1">
      <alignment horizontal="left"/>
      <protection locked="0"/>
    </xf>
    <xf numFmtId="171" fontId="35" fillId="2" borderId="0" xfId="0" applyNumberFormat="1" applyFont="1" applyFill="1" applyProtection="1">
      <protection locked="0"/>
    </xf>
    <xf numFmtId="171" fontId="36" fillId="2" borderId="0" xfId="0" applyNumberFormat="1" applyFont="1" applyFill="1" applyProtection="1">
      <protection locked="0"/>
    </xf>
    <xf numFmtId="170" fontId="38" fillId="2" borderId="0" xfId="0" applyNumberFormat="1" applyFont="1" applyFill="1"/>
    <xf numFmtId="0" fontId="2" fillId="2" borderId="0" xfId="0" applyFont="1" applyFill="1" applyAlignment="1" applyProtection="1">
      <alignment horizontal="centerContinuous"/>
      <protection locked="0"/>
    </xf>
    <xf numFmtId="171" fontId="13" fillId="2" borderId="0" xfId="9" applyNumberFormat="1" applyFont="1" applyFill="1" applyProtection="1">
      <protection locked="0"/>
    </xf>
    <xf numFmtId="171" fontId="23" fillId="2" borderId="0" xfId="9" applyNumberFormat="1" applyFont="1" applyFill="1" applyProtection="1">
      <protection locked="0"/>
    </xf>
    <xf numFmtId="0" fontId="25" fillId="2" borderId="0" xfId="0" applyFont="1" applyFill="1" applyAlignment="1" applyProtection="1">
      <alignment horizontal="centerContinuous"/>
      <protection locked="0"/>
    </xf>
    <xf numFmtId="171" fontId="29" fillId="2" borderId="0" xfId="9" applyNumberFormat="1" applyFont="1" applyFill="1" applyProtection="1">
      <protection locked="0"/>
    </xf>
    <xf numFmtId="0" fontId="3" fillId="2" borderId="0" xfId="0" applyFont="1" applyFill="1" applyAlignment="1" applyProtection="1">
      <alignment horizontal="centerContinuous"/>
      <protection locked="0"/>
    </xf>
    <xf numFmtId="0" fontId="3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centerContinuous"/>
      <protection locked="0"/>
    </xf>
    <xf numFmtId="0" fontId="5" fillId="2" borderId="0" xfId="0" applyFont="1" applyFill="1" applyAlignment="1" applyProtection="1">
      <alignment horizontal="centerContinuous"/>
      <protection locked="0"/>
    </xf>
    <xf numFmtId="0" fontId="7" fillId="2" borderId="0" xfId="0" quotePrefix="1" applyFont="1" applyFill="1" applyAlignment="1" applyProtection="1">
      <alignment horizontal="left"/>
      <protection locked="0"/>
    </xf>
    <xf numFmtId="0" fontId="8" fillId="2" borderId="0" xfId="0" applyFont="1" applyFill="1" applyProtection="1">
      <protection locked="0"/>
    </xf>
    <xf numFmtId="2" fontId="0" fillId="2" borderId="0" xfId="0" applyNumberFormat="1" applyFill="1"/>
    <xf numFmtId="0" fontId="7" fillId="2" borderId="0" xfId="0" applyFont="1" applyFill="1"/>
    <xf numFmtId="3" fontId="0" fillId="2" borderId="0" xfId="0" applyNumberFormat="1" applyFill="1"/>
    <xf numFmtId="0" fontId="0" fillId="2" borderId="0" xfId="0" applyFill="1" applyAlignment="1">
      <alignment horizontal="left"/>
    </xf>
    <xf numFmtId="171" fontId="13" fillId="2" borderId="0" xfId="9" applyNumberFormat="1" applyFont="1" applyFill="1" applyAlignment="1" applyProtection="1">
      <alignment horizontal="left"/>
      <protection locked="0"/>
    </xf>
    <xf numFmtId="0" fontId="6" fillId="2" borderId="0" xfId="0" applyFont="1" applyFill="1" applyAlignment="1">
      <alignment horizontal="left"/>
    </xf>
    <xf numFmtId="0" fontId="13" fillId="2" borderId="0" xfId="0" applyFont="1" applyFill="1" applyAlignment="1" applyProtection="1">
      <alignment horizontal="left"/>
      <protection locked="0"/>
    </xf>
    <xf numFmtId="165" fontId="5" fillId="2" borderId="0" xfId="0" applyNumberFormat="1" applyFont="1" applyFill="1" applyAlignment="1" applyProtection="1">
      <alignment horizontal="right" vertical="center"/>
      <protection locked="0"/>
    </xf>
    <xf numFmtId="174" fontId="9" fillId="2" borderId="0" xfId="0" applyNumberFormat="1" applyFont="1" applyFill="1" applyProtection="1">
      <protection locked="0"/>
    </xf>
    <xf numFmtId="174" fontId="8" fillId="2" borderId="0" xfId="0" applyNumberFormat="1" applyFont="1" applyFill="1" applyProtection="1">
      <protection locked="0"/>
    </xf>
    <xf numFmtId="174" fontId="0" fillId="2" borderId="0" xfId="0" applyNumberFormat="1" applyFill="1"/>
    <xf numFmtId="0" fontId="27" fillId="2" borderId="0" xfId="0" applyFont="1" applyFill="1" applyAlignment="1" applyProtection="1">
      <alignment horizontal="centerContinuous"/>
      <protection locked="0"/>
    </xf>
    <xf numFmtId="0" fontId="27" fillId="2" borderId="0" xfId="0" applyFont="1" applyFill="1" applyProtection="1">
      <protection locked="0"/>
    </xf>
    <xf numFmtId="165" fontId="35" fillId="2" borderId="0" xfId="0" applyNumberFormat="1" applyFont="1" applyFill="1" applyAlignment="1" applyProtection="1">
      <alignment horizontal="right" vertical="center"/>
      <protection locked="0"/>
    </xf>
    <xf numFmtId="166" fontId="35" fillId="2" borderId="0" xfId="0" applyNumberFormat="1" applyFont="1" applyFill="1" applyAlignment="1" applyProtection="1">
      <alignment horizontal="centerContinuous"/>
      <protection locked="0"/>
    </xf>
    <xf numFmtId="0" fontId="35" fillId="2" borderId="0" xfId="0" applyFont="1" applyFill="1" applyAlignment="1" applyProtection="1">
      <alignment horizontal="left"/>
      <protection locked="0"/>
    </xf>
    <xf numFmtId="0" fontId="35" fillId="2" borderId="0" xfId="0" applyFont="1" applyFill="1" applyAlignment="1" applyProtection="1">
      <alignment horizontal="centerContinuous"/>
      <protection locked="0"/>
    </xf>
    <xf numFmtId="0" fontId="36" fillId="2" borderId="0" xfId="0" quotePrefix="1" applyFont="1" applyFill="1" applyAlignment="1" applyProtection="1">
      <alignment horizontal="left"/>
      <protection locked="0"/>
    </xf>
    <xf numFmtId="0" fontId="36" fillId="2" borderId="0" xfId="0" applyFont="1" applyFill="1"/>
    <xf numFmtId="1" fontId="0" fillId="2" borderId="0" xfId="0" applyNumberFormat="1" applyFill="1"/>
    <xf numFmtId="183" fontId="0" fillId="2" borderId="0" xfId="4" applyNumberFormat="1" applyFont="1" applyFill="1" applyBorder="1"/>
    <xf numFmtId="165" fontId="5" fillId="2" borderId="0" xfId="0" applyNumberFormat="1" applyFont="1" applyFill="1" applyAlignment="1" applyProtection="1">
      <alignment vertical="center"/>
      <protection locked="0"/>
    </xf>
    <xf numFmtId="1" fontId="5" fillId="2" borderId="0" xfId="2" applyNumberFormat="1" applyFont="1" applyFill="1" applyAlignment="1" applyProtection="1">
      <alignment vertical="center"/>
      <protection locked="0"/>
    </xf>
    <xf numFmtId="9" fontId="36" fillId="2" borderId="0" xfId="5" applyFont="1" applyFill="1" applyBorder="1"/>
    <xf numFmtId="0" fontId="35" fillId="2" borderId="0" xfId="0" applyFont="1" applyFill="1"/>
    <xf numFmtId="0" fontId="35" fillId="2" borderId="0" xfId="0" applyFont="1" applyFill="1" applyAlignment="1">
      <alignment horizontal="left" indent="1"/>
    </xf>
    <xf numFmtId="0" fontId="40" fillId="2" borderId="0" xfId="0" applyFont="1" applyFill="1" applyAlignment="1">
      <alignment horizontal="left" indent="2"/>
    </xf>
    <xf numFmtId="0" fontId="41" fillId="2" borderId="0" xfId="0" applyFont="1" applyFill="1" applyAlignment="1">
      <alignment horizontal="left" indent="3"/>
    </xf>
    <xf numFmtId="3" fontId="36" fillId="2" borderId="0" xfId="0" applyNumberFormat="1" applyFont="1" applyFill="1"/>
    <xf numFmtId="170" fontId="36" fillId="2" borderId="0" xfId="0" applyNumberFormat="1" applyFont="1" applyFill="1"/>
    <xf numFmtId="175" fontId="35" fillId="2" borderId="0" xfId="2" applyNumberFormat="1" applyFont="1" applyFill="1" applyProtection="1">
      <protection locked="0"/>
    </xf>
    <xf numFmtId="0" fontId="23" fillId="2" borderId="0" xfId="0" applyFont="1" applyFill="1" applyProtection="1">
      <protection locked="0"/>
    </xf>
    <xf numFmtId="0" fontId="4" fillId="2" borderId="0" xfId="22" applyFont="1" applyFill="1" applyAlignment="1" applyProtection="1">
      <alignment horizontal="center"/>
      <protection locked="0"/>
    </xf>
    <xf numFmtId="0" fontId="2" fillId="2" borderId="0" xfId="22" applyFont="1" applyFill="1" applyProtection="1">
      <protection locked="0"/>
    </xf>
    <xf numFmtId="0" fontId="2" fillId="2" borderId="0" xfId="22" applyFont="1" applyFill="1" applyAlignment="1" applyProtection="1">
      <alignment horizontal="right"/>
      <protection locked="0"/>
    </xf>
    <xf numFmtId="0" fontId="5" fillId="2" borderId="0" xfId="0" applyFont="1" applyFill="1"/>
    <xf numFmtId="176" fontId="5" fillId="2" borderId="0" xfId="22" applyNumberFormat="1" applyFont="1" applyFill="1" applyAlignment="1" applyProtection="1">
      <alignment horizontal="right"/>
      <protection locked="0"/>
    </xf>
    <xf numFmtId="0" fontId="5" fillId="2" borderId="0" xfId="0" applyFont="1" applyFill="1" applyAlignment="1">
      <alignment horizontal="left" indent="1"/>
    </xf>
    <xf numFmtId="0" fontId="21" fillId="2" borderId="0" xfId="0" applyFont="1" applyFill="1" applyAlignment="1">
      <alignment horizontal="left" indent="2"/>
    </xf>
    <xf numFmtId="0" fontId="22" fillId="2" borderId="0" xfId="0" applyFont="1" applyFill="1" applyAlignment="1">
      <alignment horizontal="left" indent="3"/>
    </xf>
    <xf numFmtId="0" fontId="13" fillId="2" borderId="0" xfId="0" applyFont="1" applyFill="1" applyProtection="1">
      <protection locked="0"/>
    </xf>
    <xf numFmtId="176" fontId="23" fillId="2" borderId="0" xfId="22" applyNumberFormat="1" applyFont="1" applyFill="1" applyAlignment="1" applyProtection="1">
      <alignment horizontal="right"/>
      <protection locked="0"/>
    </xf>
    <xf numFmtId="1" fontId="5" fillId="2" borderId="0" xfId="22" applyNumberFormat="1" applyFont="1" applyFill="1" applyAlignment="1" applyProtection="1">
      <alignment horizontal="center" vertical="center"/>
      <protection locked="0"/>
    </xf>
    <xf numFmtId="1" fontId="5" fillId="2" borderId="0" xfId="22" applyNumberFormat="1" applyFont="1" applyFill="1" applyAlignment="1" applyProtection="1">
      <alignment horizontal="right" vertical="center"/>
      <protection locked="0"/>
    </xf>
    <xf numFmtId="0" fontId="24" fillId="2" borderId="0" xfId="23" applyFont="1" applyFill="1" applyProtection="1">
      <protection locked="0"/>
    </xf>
    <xf numFmtId="0" fontId="2" fillId="2" borderId="0" xfId="23" applyFont="1" applyFill="1" applyProtection="1">
      <protection locked="0"/>
    </xf>
    <xf numFmtId="0" fontId="5" fillId="2" borderId="0" xfId="23" applyFont="1" applyFill="1" applyAlignment="1" applyProtection="1">
      <alignment horizontal="center" vertical="center"/>
      <protection locked="0"/>
    </xf>
    <xf numFmtId="177" fontId="5" fillId="2" borderId="0" xfId="23" applyNumberFormat="1" applyFont="1" applyFill="1" applyAlignment="1" applyProtection="1">
      <alignment horizontal="center" vertical="center"/>
      <protection locked="0"/>
    </xf>
    <xf numFmtId="0" fontId="5" fillId="2" borderId="0" xfId="23" applyFont="1" applyFill="1" applyAlignment="1" applyProtection="1">
      <alignment horizontal="center"/>
      <protection locked="0"/>
    </xf>
    <xf numFmtId="171" fontId="7" fillId="2" borderId="0" xfId="1" applyNumberFormat="1" applyFont="1" applyFill="1" applyAlignment="1" applyProtection="1">
      <alignment horizontal="right"/>
      <protection locked="0"/>
    </xf>
    <xf numFmtId="10" fontId="0" fillId="2" borderId="0" xfId="5" applyNumberFormat="1" applyFont="1" applyFill="1" applyBorder="1"/>
    <xf numFmtId="167" fontId="7" fillId="2" borderId="0" xfId="22" applyNumberFormat="1" applyFont="1" applyFill="1" applyAlignment="1" applyProtection="1">
      <alignment horizontal="right"/>
      <protection locked="0"/>
    </xf>
    <xf numFmtId="0" fontId="12" fillId="2" borderId="0" xfId="0" applyFont="1" applyFill="1"/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right" vertical="center"/>
    </xf>
    <xf numFmtId="0" fontId="25" fillId="2" borderId="0" xfId="0" applyFont="1" applyFill="1"/>
    <xf numFmtId="43" fontId="29" fillId="2" borderId="0" xfId="6" applyNumberFormat="1" applyFont="1" applyFill="1" applyBorder="1" applyAlignment="1" applyProtection="1">
      <alignment horizontal="right"/>
      <protection locked="0"/>
    </xf>
    <xf numFmtId="43" fontId="25" fillId="2" borderId="0" xfId="6" applyNumberFormat="1" applyFont="1" applyFill="1" applyBorder="1" applyAlignment="1">
      <alignment horizontal="right"/>
    </xf>
    <xf numFmtId="0" fontId="25" fillId="2" borderId="0" xfId="0" applyFont="1" applyFill="1" applyAlignment="1">
      <alignment wrapText="1"/>
    </xf>
    <xf numFmtId="43" fontId="25" fillId="2" borderId="0" xfId="9" applyNumberFormat="1" applyFont="1" applyFill="1" applyAlignment="1" applyProtection="1">
      <alignment horizontal="right"/>
      <protection locked="0"/>
    </xf>
    <xf numFmtId="3" fontId="31" fillId="2" borderId="0" xfId="0" applyNumberFormat="1" applyFont="1" applyFill="1"/>
    <xf numFmtId="3" fontId="42" fillId="2" borderId="0" xfId="0" applyNumberFormat="1" applyFont="1" applyFill="1"/>
    <xf numFmtId="168" fontId="31" fillId="2" borderId="0" xfId="8" applyNumberFormat="1" applyFont="1" applyFill="1" applyBorder="1"/>
    <xf numFmtId="0" fontId="42" fillId="2" borderId="0" xfId="0" applyFont="1" applyFill="1"/>
    <xf numFmtId="3" fontId="25" fillId="2" borderId="0" xfId="1" applyNumberFormat="1" applyFont="1" applyFill="1" applyAlignment="1" applyProtection="1">
      <alignment horizontal="center" vertical="center" wrapText="1"/>
      <protection locked="0"/>
    </xf>
    <xf numFmtId="184" fontId="25" fillId="2" borderId="0" xfId="0" applyNumberFormat="1" applyFont="1" applyFill="1" applyProtection="1">
      <protection locked="0"/>
    </xf>
    <xf numFmtId="184" fontId="31" fillId="2" borderId="0" xfId="0" applyNumberFormat="1" applyFont="1" applyFill="1"/>
    <xf numFmtId="184" fontId="32" fillId="2" borderId="0" xfId="0" applyNumberFormat="1" applyFont="1" applyFill="1" applyProtection="1">
      <protection locked="0"/>
    </xf>
    <xf numFmtId="171" fontId="23" fillId="0" borderId="0" xfId="6" applyNumberFormat="1" applyFont="1" applyFill="1" applyBorder="1" applyProtection="1">
      <protection locked="0"/>
    </xf>
    <xf numFmtId="171" fontId="23" fillId="0" borderId="0" xfId="6" applyNumberFormat="1" applyFont="1" applyFill="1" applyBorder="1" applyAlignment="1" applyProtection="1">
      <alignment horizontal="right"/>
      <protection locked="0"/>
    </xf>
    <xf numFmtId="171" fontId="23" fillId="0" borderId="0" xfId="6" applyNumberFormat="1" applyFont="1" applyFill="1" applyBorder="1" applyAlignment="1" applyProtection="1">
      <protection locked="0"/>
    </xf>
    <xf numFmtId="171" fontId="23" fillId="0" borderId="0" xfId="6" quotePrefix="1" applyNumberFormat="1" applyFont="1" applyFill="1" applyBorder="1" applyAlignment="1" applyProtection="1">
      <alignment horizontal="right"/>
      <protection locked="0"/>
    </xf>
    <xf numFmtId="171" fontId="15" fillId="0" borderId="0" xfId="6" applyNumberFormat="1" applyFont="1" applyFill="1" applyBorder="1" applyAlignment="1" applyProtection="1">
      <protection locked="0"/>
    </xf>
    <xf numFmtId="171" fontId="23" fillId="0" borderId="0" xfId="9" applyNumberFormat="1" applyFont="1" applyAlignment="1" applyProtection="1">
      <alignment horizontal="right"/>
      <protection locked="0"/>
    </xf>
    <xf numFmtId="178" fontId="23" fillId="0" borderId="0" xfId="9" applyNumberFormat="1" applyFont="1" applyAlignment="1" applyProtection="1">
      <alignment horizontal="left"/>
      <protection locked="0"/>
    </xf>
    <xf numFmtId="171" fontId="23" fillId="0" borderId="0" xfId="9" applyNumberFormat="1" applyFont="1" applyAlignment="1" applyProtection="1">
      <alignment horizontal="centerContinuous"/>
      <protection locked="0"/>
    </xf>
    <xf numFmtId="0" fontId="23" fillId="0" borderId="0" xfId="9" applyFont="1" applyAlignment="1" applyProtection="1">
      <alignment horizontal="center" vertical="center"/>
      <protection locked="0"/>
    </xf>
    <xf numFmtId="178" fontId="23" fillId="0" borderId="0" xfId="9" applyNumberFormat="1" applyFont="1" applyProtection="1">
      <protection locked="0"/>
    </xf>
    <xf numFmtId="178" fontId="23" fillId="0" borderId="0" xfId="9" quotePrefix="1" applyNumberFormat="1" applyFont="1" applyAlignment="1" applyProtection="1">
      <alignment horizontal="left"/>
      <protection locked="0"/>
    </xf>
    <xf numFmtId="0" fontId="23" fillId="0" borderId="0" xfId="9" quotePrefix="1" applyFont="1" applyAlignment="1" applyProtection="1">
      <alignment horizontal="center"/>
      <protection locked="0"/>
    </xf>
    <xf numFmtId="0" fontId="23" fillId="0" borderId="0" xfId="9" applyFont="1" applyAlignment="1" applyProtection="1">
      <alignment horizontal="centerContinuous"/>
      <protection locked="0"/>
    </xf>
    <xf numFmtId="178" fontId="23" fillId="0" borderId="0" xfId="9" applyNumberFormat="1" applyFont="1" applyAlignment="1" applyProtection="1">
      <alignment horizontal="centerContinuous"/>
      <protection locked="0"/>
    </xf>
    <xf numFmtId="171" fontId="15" fillId="0" borderId="0" xfId="0" applyNumberFormat="1" applyFont="1" applyProtection="1">
      <protection locked="0"/>
    </xf>
    <xf numFmtId="0" fontId="23" fillId="0" borderId="0" xfId="9" applyFont="1" applyProtection="1">
      <protection locked="0"/>
    </xf>
    <xf numFmtId="171" fontId="23" fillId="0" borderId="0" xfId="9" applyNumberFormat="1" applyFont="1" applyProtection="1">
      <protection locked="0"/>
    </xf>
    <xf numFmtId="181" fontId="23" fillId="0" borderId="0" xfId="9" applyNumberFormat="1" applyFont="1" applyProtection="1">
      <protection locked="0"/>
    </xf>
    <xf numFmtId="180" fontId="23" fillId="0" borderId="0" xfId="9" quotePrefix="1" applyNumberFormat="1" applyFont="1" applyAlignment="1" applyProtection="1">
      <alignment horizontal="center"/>
      <protection locked="0"/>
    </xf>
    <xf numFmtId="171" fontId="15" fillId="0" borderId="0" xfId="9" applyNumberFormat="1" applyFont="1" applyProtection="1">
      <protection locked="0"/>
    </xf>
    <xf numFmtId="0" fontId="15" fillId="0" borderId="0" xfId="9" applyFont="1" applyProtection="1">
      <protection locked="0"/>
    </xf>
    <xf numFmtId="0" fontId="15" fillId="0" borderId="0" xfId="0" applyFont="1" applyProtection="1">
      <protection locked="0"/>
    </xf>
    <xf numFmtId="178" fontId="15" fillId="0" borderId="0" xfId="9" applyNumberFormat="1" applyFont="1" applyAlignment="1" applyProtection="1">
      <alignment horizontal="left"/>
      <protection locked="0"/>
    </xf>
    <xf numFmtId="180" fontId="23" fillId="0" borderId="0" xfId="9" quotePrefix="1" applyNumberFormat="1" applyFont="1" applyProtection="1">
      <protection locked="0"/>
    </xf>
    <xf numFmtId="171" fontId="15" fillId="0" borderId="0" xfId="9" applyNumberFormat="1" applyFont="1" applyAlignment="1" applyProtection="1">
      <alignment horizontal="right"/>
      <protection locked="0"/>
    </xf>
    <xf numFmtId="0" fontId="44" fillId="0" borderId="0" xfId="0" applyFont="1"/>
    <xf numFmtId="171" fontId="43" fillId="0" borderId="0" xfId="0" applyNumberFormat="1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Continuous" vertical="center"/>
      <protection locked="0"/>
    </xf>
    <xf numFmtId="171" fontId="43" fillId="0" borderId="0" xfId="0" applyNumberFormat="1" applyFont="1" applyAlignment="1" applyProtection="1">
      <alignment horizontal="centerContinuous"/>
      <protection locked="0"/>
    </xf>
    <xf numFmtId="0" fontId="43" fillId="0" borderId="0" xfId="0" applyFont="1" applyAlignment="1" applyProtection="1">
      <alignment horizontal="centerContinuous"/>
      <protection locked="0"/>
    </xf>
    <xf numFmtId="171" fontId="43" fillId="0" borderId="0" xfId="9" quotePrefix="1" applyNumberFormat="1" applyFont="1" applyAlignment="1" applyProtection="1">
      <alignment horizontal="left"/>
      <protection locked="0"/>
    </xf>
    <xf numFmtId="0" fontId="43" fillId="0" borderId="0" xfId="9" applyFont="1" applyAlignment="1" applyProtection="1">
      <alignment horizontal="centerContinuous"/>
      <protection locked="0"/>
    </xf>
    <xf numFmtId="171" fontId="43" fillId="0" borderId="0" xfId="9" applyNumberFormat="1" applyFont="1" applyAlignment="1" applyProtection="1">
      <alignment horizontal="centerContinuous"/>
      <protection locked="0"/>
    </xf>
    <xf numFmtId="171" fontId="43" fillId="0" borderId="0" xfId="25" applyNumberFormat="1" applyFont="1" applyFill="1" applyBorder="1" applyAlignment="1" applyProtection="1">
      <protection locked="0"/>
    </xf>
    <xf numFmtId="178" fontId="43" fillId="0" borderId="0" xfId="9" applyNumberFormat="1" applyFont="1" applyAlignment="1" applyProtection="1">
      <alignment horizontal="left"/>
      <protection locked="0"/>
    </xf>
    <xf numFmtId="171" fontId="43" fillId="0" borderId="0" xfId="9" applyNumberFormat="1" applyFont="1" applyProtection="1">
      <protection locked="0"/>
    </xf>
    <xf numFmtId="0" fontId="43" fillId="0" borderId="0" xfId="9" applyFont="1" applyProtection="1">
      <protection locked="0"/>
    </xf>
    <xf numFmtId="171" fontId="43" fillId="0" borderId="0" xfId="25" applyNumberFormat="1" applyFont="1" applyFill="1" applyBorder="1" applyAlignment="1" applyProtection="1">
      <alignment horizontal="right"/>
      <protection locked="0"/>
    </xf>
    <xf numFmtId="0" fontId="43" fillId="0" borderId="0" xfId="9" applyFont="1" applyAlignment="1" applyProtection="1">
      <alignment horizontal="left"/>
      <protection locked="0"/>
    </xf>
    <xf numFmtId="171" fontId="45" fillId="0" borderId="0" xfId="9" applyNumberFormat="1" applyFont="1" applyProtection="1">
      <protection locked="0"/>
    </xf>
    <xf numFmtId="180" fontId="43" fillId="0" borderId="0" xfId="9" applyNumberFormat="1" applyFont="1" applyAlignment="1" applyProtection="1">
      <alignment horizontal="left"/>
      <protection locked="0"/>
    </xf>
    <xf numFmtId="171" fontId="43" fillId="0" borderId="0" xfId="9" applyNumberFormat="1" applyFont="1" applyAlignment="1" applyProtection="1">
      <alignment horizontal="right"/>
      <protection locked="0"/>
    </xf>
    <xf numFmtId="0" fontId="45" fillId="0" borderId="0" xfId="9" applyFont="1" applyProtection="1">
      <protection locked="0"/>
    </xf>
    <xf numFmtId="0" fontId="43" fillId="0" borderId="0" xfId="0" applyFont="1" applyAlignment="1" applyProtection="1">
      <alignment horizontal="center"/>
      <protection locked="0"/>
    </xf>
    <xf numFmtId="0" fontId="47" fillId="0" borderId="0" xfId="0" applyFont="1"/>
    <xf numFmtId="171" fontId="45" fillId="0" borderId="0" xfId="0" applyNumberFormat="1" applyFont="1" applyAlignment="1" applyProtection="1">
      <alignment horizontal="centerContinuous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171" fontId="45" fillId="0" borderId="0" xfId="0" applyNumberFormat="1" applyFont="1" applyAlignment="1" applyProtection="1">
      <alignment horizontal="right"/>
      <protection locked="0"/>
    </xf>
    <xf numFmtId="171" fontId="43" fillId="0" borderId="0" xfId="0" applyNumberFormat="1" applyFont="1" applyAlignment="1" applyProtection="1">
      <alignment horizontal="right"/>
      <protection locked="0"/>
    </xf>
    <xf numFmtId="178" fontId="43" fillId="0" borderId="0" xfId="0" applyNumberFormat="1" applyFont="1" applyAlignment="1" applyProtection="1">
      <alignment horizontal="left"/>
      <protection locked="0"/>
    </xf>
    <xf numFmtId="178" fontId="43" fillId="0" borderId="0" xfId="0" applyNumberFormat="1" applyFont="1" applyProtection="1">
      <protection locked="0"/>
    </xf>
    <xf numFmtId="178" fontId="43" fillId="0" borderId="0" xfId="0" quotePrefix="1" applyNumberFormat="1" applyFont="1" applyAlignment="1" applyProtection="1">
      <alignment horizontal="left"/>
      <protection locked="0"/>
    </xf>
    <xf numFmtId="0" fontId="43" fillId="0" borderId="0" xfId="0" quotePrefix="1" applyFont="1" applyAlignment="1" applyProtection="1">
      <alignment horizontal="center"/>
      <protection locked="0"/>
    </xf>
    <xf numFmtId="178" fontId="43" fillId="0" borderId="0" xfId="0" applyNumberFormat="1" applyFont="1" applyAlignment="1" applyProtection="1">
      <alignment horizontal="centerContinuous"/>
      <protection locked="0"/>
    </xf>
    <xf numFmtId="171" fontId="43" fillId="0" borderId="0" xfId="0" applyNumberFormat="1" applyFont="1" applyProtection="1">
      <protection locked="0"/>
    </xf>
    <xf numFmtId="181" fontId="43" fillId="0" borderId="0" xfId="0" applyNumberFormat="1" applyFont="1" applyProtection="1">
      <protection locked="0"/>
    </xf>
    <xf numFmtId="171" fontId="43" fillId="0" borderId="0" xfId="0" applyNumberFormat="1" applyFont="1" applyAlignment="1" applyProtection="1">
      <alignment horizontal="center"/>
      <protection locked="0"/>
    </xf>
    <xf numFmtId="3" fontId="43" fillId="0" borderId="0" xfId="0" applyNumberFormat="1" applyFont="1" applyProtection="1">
      <protection locked="0"/>
    </xf>
    <xf numFmtId="171" fontId="43" fillId="0" borderId="0" xfId="0" applyNumberFormat="1" applyFont="1" applyAlignment="1" applyProtection="1">
      <alignment horizontal="left" vertical="center"/>
      <protection locked="0"/>
    </xf>
    <xf numFmtId="171" fontId="47" fillId="0" borderId="0" xfId="0" applyNumberFormat="1" applyFont="1"/>
    <xf numFmtId="0" fontId="35" fillId="2" borderId="0" xfId="0" applyFont="1" applyFill="1" applyAlignment="1" applyProtection="1">
      <alignment horizontal="center"/>
      <protection locked="0"/>
    </xf>
    <xf numFmtId="0" fontId="25" fillId="2" borderId="0" xfId="0" applyFont="1" applyFill="1" applyAlignment="1" applyProtection="1">
      <alignment horizontal="center"/>
      <protection locked="0"/>
    </xf>
    <xf numFmtId="0" fontId="35" fillId="2" borderId="0" xfId="0" applyFont="1" applyFill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3" fontId="25" fillId="2" borderId="0" xfId="1" applyNumberFormat="1" applyFont="1" applyFill="1" applyAlignment="1" applyProtection="1">
      <alignment horizontal="center" vertical="center" wrapText="1"/>
      <protection locked="0"/>
    </xf>
    <xf numFmtId="3" fontId="25" fillId="2" borderId="0" xfId="1" applyNumberFormat="1" applyFont="1" applyFill="1" applyAlignment="1" applyProtection="1">
      <alignment horizontal="center" vertical="center"/>
      <protection locked="0"/>
    </xf>
    <xf numFmtId="2" fontId="35" fillId="2" borderId="0" xfId="0" applyNumberFormat="1" applyFont="1" applyFill="1" applyAlignment="1" applyProtection="1">
      <alignment horizontal="center"/>
      <protection locked="0"/>
    </xf>
    <xf numFmtId="180" fontId="23" fillId="0" borderId="0" xfId="9" quotePrefix="1" applyNumberFormat="1" applyFont="1" applyAlignment="1" applyProtection="1">
      <alignment horizontal="center"/>
      <protection locked="0"/>
    </xf>
    <xf numFmtId="180" fontId="43" fillId="0" borderId="0" xfId="0" applyNumberFormat="1" applyFont="1" applyAlignment="1" applyProtection="1">
      <alignment horizontal="center"/>
      <protection locked="0"/>
    </xf>
    <xf numFmtId="3" fontId="43" fillId="0" borderId="0" xfId="0" applyNumberFormat="1" applyFont="1" applyAlignment="1" applyProtection="1">
      <alignment horizontal="center"/>
      <protection locked="0"/>
    </xf>
    <xf numFmtId="173" fontId="23" fillId="0" borderId="0" xfId="6" quotePrefix="1" applyNumberFormat="1" applyFont="1" applyFill="1" applyBorder="1" applyAlignment="1" applyProtection="1">
      <alignment horizontal="center"/>
      <protection locked="0"/>
    </xf>
    <xf numFmtId="180" fontId="46" fillId="0" borderId="0" xfId="9" applyNumberFormat="1" applyFont="1" applyAlignment="1" applyProtection="1">
      <alignment horizontal="center"/>
      <protection locked="0"/>
    </xf>
    <xf numFmtId="0" fontId="46" fillId="0" borderId="0" xfId="9" applyFont="1" applyAlignment="1" applyProtection="1">
      <alignment horizontal="center"/>
      <protection locked="0"/>
    </xf>
    <xf numFmtId="0" fontId="23" fillId="0" borderId="0" xfId="9" applyFont="1" applyAlignment="1" applyProtection="1">
      <alignment horizontal="center" vertical="center"/>
      <protection locked="0"/>
    </xf>
    <xf numFmtId="180" fontId="23" fillId="0" borderId="0" xfId="9" applyNumberFormat="1" applyFont="1" applyAlignment="1" applyProtection="1">
      <alignment horizontal="center"/>
      <protection locked="0"/>
    </xf>
    <xf numFmtId="0" fontId="23" fillId="0" borderId="0" xfId="9" applyFont="1" applyAlignment="1" applyProtection="1">
      <alignment horizontal="center"/>
      <protection locked="0"/>
    </xf>
    <xf numFmtId="180" fontId="43" fillId="0" borderId="0" xfId="9" applyNumberFormat="1" applyFont="1" applyAlignment="1" applyProtection="1">
      <alignment horizontal="center"/>
      <protection locked="0"/>
    </xf>
    <xf numFmtId="0" fontId="43" fillId="0" borderId="0" xfId="9" applyFont="1" applyAlignment="1" applyProtection="1">
      <alignment horizontal="center"/>
      <protection locked="0"/>
    </xf>
    <xf numFmtId="0" fontId="43" fillId="0" borderId="0" xfId="9" applyFont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5" fontId="5" fillId="2" borderId="0" xfId="0" applyNumberFormat="1" applyFont="1" applyFill="1" applyAlignment="1" applyProtection="1">
      <alignment horizontal="center" vertical="center"/>
      <protection locked="0"/>
    </xf>
    <xf numFmtId="165" fontId="35" fillId="2" borderId="0" xfId="0" applyNumberFormat="1" applyFont="1" applyFill="1" applyAlignment="1" applyProtection="1">
      <alignment horizontal="center" vertical="center"/>
      <protection locked="0"/>
    </xf>
    <xf numFmtId="0" fontId="25" fillId="2" borderId="0" xfId="2" applyFont="1" applyFill="1" applyAlignment="1" applyProtection="1">
      <alignment horizontal="center" wrapText="1"/>
      <protection locked="0"/>
    </xf>
    <xf numFmtId="1" fontId="39" fillId="2" borderId="0" xfId="2" applyNumberFormat="1" applyFont="1" applyFill="1" applyAlignment="1" applyProtection="1">
      <alignment horizontal="center" vertical="center"/>
      <protection locked="0"/>
    </xf>
    <xf numFmtId="0" fontId="4" fillId="2" borderId="0" xfId="22" applyFont="1" applyFill="1" applyAlignment="1" applyProtection="1">
      <alignment horizontal="center" wrapText="1"/>
      <protection locked="0"/>
    </xf>
    <xf numFmtId="0" fontId="4" fillId="2" borderId="0" xfId="22" applyFont="1" applyFill="1" applyAlignment="1" applyProtection="1">
      <alignment horizontal="center"/>
      <protection locked="0"/>
    </xf>
    <xf numFmtId="0" fontId="5" fillId="2" borderId="0" xfId="22" applyFont="1" applyFill="1" applyAlignment="1" applyProtection="1">
      <alignment horizontal="center" vertical="center"/>
      <protection locked="0"/>
    </xf>
    <xf numFmtId="1" fontId="5" fillId="2" borderId="0" xfId="22" applyNumberFormat="1" applyFont="1" applyFill="1" applyAlignment="1" applyProtection="1">
      <alignment horizontal="center" vertical="center"/>
      <protection locked="0"/>
    </xf>
    <xf numFmtId="0" fontId="4" fillId="2" borderId="0" xfId="2" applyFont="1" applyFill="1" applyAlignment="1" applyProtection="1">
      <alignment horizontal="center" wrapText="1"/>
      <protection locked="0"/>
    </xf>
    <xf numFmtId="0" fontId="4" fillId="2" borderId="0" xfId="2" applyFont="1" applyFill="1" applyAlignment="1" applyProtection="1">
      <alignment horizontal="center"/>
      <protection locked="0"/>
    </xf>
    <xf numFmtId="0" fontId="5" fillId="2" borderId="0" xfId="23" applyFont="1" applyFill="1" applyAlignment="1" applyProtection="1">
      <alignment horizontal="center" vertical="center"/>
      <protection locked="0"/>
    </xf>
    <xf numFmtId="0" fontId="5" fillId="2" borderId="0" xfId="23" applyFont="1" applyFill="1" applyAlignment="1" applyProtection="1">
      <alignment horizontal="center" vertical="center" wrapText="1"/>
      <protection locked="0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/>
    </xf>
    <xf numFmtId="164" fontId="31" fillId="2" borderId="0" xfId="0" applyNumberFormat="1" applyFont="1" applyFill="1"/>
  </cellXfs>
  <cellStyles count="35">
    <cellStyle name="m49048872" xfId="24" xr:uid="{00000000-0005-0000-0000-000000000000}"/>
    <cellStyle name="Normal" xfId="0" builtinId="0"/>
    <cellStyle name="Normal 10" xfId="29" xr:uid="{00000000-0005-0000-0000-000002000000}"/>
    <cellStyle name="Normal 10 2" xfId="13" xr:uid="{00000000-0005-0000-0000-000003000000}"/>
    <cellStyle name="Normal 12" xfId="32" xr:uid="{00000000-0005-0000-0000-000004000000}"/>
    <cellStyle name="Normal 2" xfId="9" xr:uid="{00000000-0005-0000-0000-000005000000}"/>
    <cellStyle name="Normal 2 2" xfId="30" xr:uid="{00000000-0005-0000-0000-000006000000}"/>
    <cellStyle name="Normal 2 2 3" xfId="15" xr:uid="{00000000-0005-0000-0000-000007000000}"/>
    <cellStyle name="Normal 3" xfId="17" xr:uid="{00000000-0005-0000-0000-000008000000}"/>
    <cellStyle name="Normal 4" xfId="26" xr:uid="{00000000-0005-0000-0000-000009000000}"/>
    <cellStyle name="Normal 4 3" xfId="16" xr:uid="{00000000-0005-0000-0000-00000A000000}"/>
    <cellStyle name="Normal 5" xfId="33" xr:uid="{00000000-0005-0000-0000-00000B000000}"/>
    <cellStyle name="Normal 7" xfId="3" xr:uid="{00000000-0005-0000-0000-00000C000000}"/>
    <cellStyle name="Normal_Tabela05" xfId="1" xr:uid="{00000000-0005-0000-0000-00000D000000}"/>
    <cellStyle name="Normal_Tabela06" xfId="7" xr:uid="{00000000-0005-0000-0000-00000E000000}"/>
    <cellStyle name="Normal_Tabela07" xfId="23" xr:uid="{00000000-0005-0000-0000-00000F000000}"/>
    <cellStyle name="Normal_Tabela08" xfId="2" xr:uid="{00000000-0005-0000-0000-000010000000}"/>
    <cellStyle name="Normal_Tabela09" xfId="22" xr:uid="{00000000-0005-0000-0000-000011000000}"/>
    <cellStyle name="Percentagem 4" xfId="10" xr:uid="{00000000-0005-0000-0000-000013000000}"/>
    <cellStyle name="Porcentagem" xfId="5" builtinId="5"/>
    <cellStyle name="Porcentagem 2" xfId="27" xr:uid="{00000000-0005-0000-0000-000014000000}"/>
    <cellStyle name="Porcentagem 3" xfId="34" xr:uid="{00000000-0005-0000-0000-000015000000}"/>
    <cellStyle name="s35" xfId="14" xr:uid="{00000000-0005-0000-0000-000016000000}"/>
    <cellStyle name="Separador de milhares 2" xfId="25" xr:uid="{00000000-0005-0000-0000-000017000000}"/>
    <cellStyle name="Vírgula" xfId="4" builtinId="3"/>
    <cellStyle name="Vírgula 10" xfId="20" xr:uid="{00000000-0005-0000-0000-000019000000}"/>
    <cellStyle name="Vírgula 2" xfId="8" xr:uid="{00000000-0005-0000-0000-00001A000000}"/>
    <cellStyle name="Vírgula 2 2 2 2" xfId="19" xr:uid="{00000000-0005-0000-0000-00001B000000}"/>
    <cellStyle name="Vírgula 2 3" xfId="18" xr:uid="{00000000-0005-0000-0000-00001C000000}"/>
    <cellStyle name="Vírgula 3" xfId="21" xr:uid="{00000000-0005-0000-0000-00001D000000}"/>
    <cellStyle name="Vírgula 4" xfId="12" xr:uid="{00000000-0005-0000-0000-00001E000000}"/>
    <cellStyle name="Vírgula 5" xfId="6" xr:uid="{00000000-0005-0000-0000-00001F000000}"/>
    <cellStyle name="Vírgula 6" xfId="28" xr:uid="{00000000-0005-0000-0000-000020000000}"/>
    <cellStyle name="Vírgula 8" xfId="11" xr:uid="{00000000-0005-0000-0000-000021000000}"/>
    <cellStyle name="Vírgula 8 2" xfId="31" xr:uid="{00000000-0005-0000-0000-000022000000}"/>
  </cellStyles>
  <dxfs count="0"/>
  <tableStyles count="0" defaultTableStyle="TableStyleMedium2" defaultPivotStyle="PivotStyleMedium9"/>
  <colors>
    <mruColors>
      <color rgb="FF33CCCC"/>
      <color rgb="FFEAF1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esktop/Desktop/Base%20para%20o%20novo%20ano%20de%20referencia%202014%20GUILHERME/Documents%20and%20Settings/mmmc/Mis%20documentos/Mis%20documentos/NOMENCLATURAS%20COGNOS/2004/Consultor&#237;a%20julio%202004/PRODUCTOS.xls" TargetMode="External"/><Relationship Id="rId1" Type="http://schemas.openxmlformats.org/officeDocument/2006/relationships/externalLinkPath" Target="/Users/Guilherme.Nicolau/Desktop/Desktop/Base%20para%20o%20novo%20ano%20de%20referencia%202014%20GUILHERME/Documents%20and%20Settings/mmmc/Mis%20documentos/Mis%20documentos/NOMENCLATURAS%20COGNOS/2004/Consultor&#237;a%20julio%202004/PRODUCTO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ES_14/Industries/A0110.xlsb" TargetMode="External"/><Relationship Id="rId1" Type="http://schemas.openxmlformats.org/officeDocument/2006/relationships/externalLinkPath" Target="/LES_14/Industries/A0110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s.int.imf.org\RegionalOffice\MRU\Users\apegoue\My%20Documents\RTAC\AFS\04.LES\2018_09_17-28_NA_Pegoue_Manamela\Data\NA%20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"/>
      <sheetName val="Detall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utput"/>
      <sheetName val="Accounts"/>
      <sheetName val="Crops_APS"/>
      <sheetName val="Fruit_veg"/>
      <sheetName val="Costs"/>
      <sheetName val="Data"/>
      <sheetName val="Enterprises"/>
      <sheetName val="DBLinks"/>
      <sheetName val="Sheet1"/>
      <sheetName val="DBSourceFiles"/>
    </sheetNames>
    <sheetDataSet>
      <sheetData sheetId="0" refreshError="1"/>
      <sheetData sheetId="1">
        <row r="1">
          <cell r="A1" t="str">
            <v>A0110</v>
          </cell>
        </row>
      </sheetData>
      <sheetData sheetId="2" refreshError="1"/>
      <sheetData sheetId="3" refreshError="1"/>
      <sheetData sheetId="4" refreshError="1"/>
      <sheetData sheetId="5">
        <row r="27">
          <cell r="E27">
            <v>-5.0356897049355087E-3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iculture"/>
      <sheetName val="Test"/>
      <sheetName val="Test_Corr"/>
      <sheetName val="Calendar"/>
      <sheetName val="Sheet1"/>
      <sheetName val="CalendarFY_Sept-Aug"/>
      <sheetName val="Construction"/>
    </sheetNames>
    <sheetDataSet>
      <sheetData sheetId="0" refreshError="1">
        <row r="53">
          <cell r="B53" t="str">
            <v>Maize</v>
          </cell>
          <cell r="D53">
            <v>1336.0098522167489</v>
          </cell>
          <cell r="E53">
            <v>1480.9852216748773</v>
          </cell>
          <cell r="F53">
            <v>1239.753694581281</v>
          </cell>
          <cell r="G53">
            <v>1129.4581280788179</v>
          </cell>
          <cell r="H53">
            <v>1444.3349753694581</v>
          </cell>
          <cell r="I53">
            <v>1661.7241379310346</v>
          </cell>
          <cell r="J53">
            <v>1666.9974455385857</v>
          </cell>
          <cell r="K53">
            <v>1725.2126823821204</v>
          </cell>
          <cell r="L53">
            <v>1725.2126823821204</v>
          </cell>
          <cell r="M53">
            <v>1764.02284027781</v>
          </cell>
          <cell r="N53">
            <v>1776.9595595763701</v>
          </cell>
        </row>
        <row r="54">
          <cell r="B54" t="str">
            <v>Wheat</v>
          </cell>
          <cell r="D54">
            <v>2723.1775915492963</v>
          </cell>
          <cell r="E54">
            <v>3018.679661971832</v>
          </cell>
          <cell r="F54">
            <v>2526.9794788732402</v>
          </cell>
          <cell r="G54">
            <v>2302.1649577464796</v>
          </cell>
          <cell r="H54">
            <v>2943.9757746478881</v>
          </cell>
          <cell r="I54">
            <v>3387.0782676056347</v>
          </cell>
          <cell r="J54">
            <v>3397.8268059389434</v>
          </cell>
          <cell r="K54">
            <v>3516.486431237372</v>
          </cell>
          <cell r="L54">
            <v>3516.486431237372</v>
          </cell>
          <cell r="M54">
            <v>3595.59284810299</v>
          </cell>
          <cell r="N54">
            <v>3621.9616537248598</v>
          </cell>
        </row>
        <row r="55">
          <cell r="B55" t="str">
            <v>Sorghum</v>
          </cell>
          <cell r="D55">
            <v>2096.5345726970036</v>
          </cell>
          <cell r="E55">
            <v>2324.0372918978919</v>
          </cell>
          <cell r="F55">
            <v>1945.484517203108</v>
          </cell>
          <cell r="G55">
            <v>1772.403107658158</v>
          </cell>
          <cell r="H55">
            <v>2266.5238623751393</v>
          </cell>
          <cell r="I55">
            <v>2607.6619866814654</v>
          </cell>
          <cell r="J55">
            <v>2615.937129034161</v>
          </cell>
          <cell r="K55">
            <v>2707.2914379097324</v>
          </cell>
          <cell r="L55">
            <v>2707.2914379097324</v>
          </cell>
          <cell r="M55">
            <v>2768.1943104934498</v>
          </cell>
          <cell r="N55">
            <v>2788.4952680213601</v>
          </cell>
        </row>
        <row r="56">
          <cell r="B56" t="str">
            <v>Beans</v>
          </cell>
          <cell r="D56">
            <v>6619.7238749712706</v>
          </cell>
          <cell r="E56">
            <v>6517.7278051022759</v>
          </cell>
          <cell r="F56">
            <v>7511.2053137209832</v>
          </cell>
          <cell r="G56">
            <v>6373.143902551139</v>
          </cell>
          <cell r="H56">
            <v>5815.9232682142047</v>
          </cell>
          <cell r="I56">
            <v>5720.7269363364767</v>
          </cell>
          <cell r="J56">
            <v>6427.3471541613681</v>
          </cell>
          <cell r="K56">
            <v>6510.7770588090252</v>
          </cell>
          <cell r="L56">
            <v>6510.7770588090252</v>
          </cell>
          <cell r="M56">
            <v>6566.3969952407997</v>
          </cell>
          <cell r="N56">
            <v>6584.9369740513903</v>
          </cell>
        </row>
        <row r="57">
          <cell r="B57" t="str">
            <v>Peas</v>
          </cell>
          <cell r="D57">
            <v>3445.7898658718323</v>
          </cell>
          <cell r="E57">
            <v>3392.6974664679578</v>
          </cell>
          <cell r="F57">
            <v>3909.8360655737688</v>
          </cell>
          <cell r="G57">
            <v>3317.436661698956</v>
          </cell>
          <cell r="H57">
            <v>3027.384500745155</v>
          </cell>
          <cell r="I57">
            <v>2977.8315946348725</v>
          </cell>
          <cell r="J57">
            <v>3345.6512849405685</v>
          </cell>
          <cell r="K57">
            <v>3389.0793682526987</v>
          </cell>
          <cell r="L57">
            <v>3389.0793682526987</v>
          </cell>
          <cell r="M57">
            <v>3418.0314237941202</v>
          </cell>
          <cell r="N57">
            <v>3427.6821089745899</v>
          </cell>
        </row>
        <row r="58">
          <cell r="B58" t="str">
            <v>Other crops</v>
          </cell>
        </row>
        <row r="59">
          <cell r="B59" t="str">
            <v>Winter wheat</v>
          </cell>
          <cell r="D59">
            <v>2723.1775915492963</v>
          </cell>
          <cell r="E59">
            <v>3018.679661971832</v>
          </cell>
          <cell r="F59">
            <v>2526.9794788732402</v>
          </cell>
          <cell r="G59">
            <v>2302.1649577464796</v>
          </cell>
          <cell r="H59">
            <v>2943.9757746478881</v>
          </cell>
          <cell r="I59">
            <v>3387.0782676056347</v>
          </cell>
          <cell r="J59">
            <v>3397.8268059389434</v>
          </cell>
          <cell r="K59">
            <v>3516.486431237372</v>
          </cell>
          <cell r="L59">
            <v>3516.486431237372</v>
          </cell>
          <cell r="M59">
            <v>3595.59284810299</v>
          </cell>
          <cell r="N59">
            <v>3621.9616537248598</v>
          </cell>
        </row>
        <row r="60">
          <cell r="B60" t="str">
            <v>Winter peas</v>
          </cell>
          <cell r="D60">
            <v>3445.7898658718323</v>
          </cell>
          <cell r="E60">
            <v>3392.6974664679578</v>
          </cell>
          <cell r="F60">
            <v>3909.8360655737688</v>
          </cell>
          <cell r="G60">
            <v>3317.436661698956</v>
          </cell>
          <cell r="H60">
            <v>3027.384500745155</v>
          </cell>
          <cell r="I60">
            <v>2977.8315946348725</v>
          </cell>
          <cell r="J60">
            <v>3345.6512849405685</v>
          </cell>
          <cell r="K60">
            <v>3389.0793682526987</v>
          </cell>
          <cell r="L60">
            <v>3389.0793682526987</v>
          </cell>
          <cell r="M60">
            <v>3418.0314237941202</v>
          </cell>
          <cell r="N60">
            <v>3427.6821089745899</v>
          </cell>
        </row>
        <row r="63">
          <cell r="B63" t="str">
            <v>Production, tonnes</v>
          </cell>
        </row>
        <row r="64">
          <cell r="B64" t="str">
            <v>Summer crops</v>
          </cell>
        </row>
        <row r="65">
          <cell r="B65" t="str">
            <v>Maize</v>
          </cell>
          <cell r="D65">
            <v>60311.696039099959</v>
          </cell>
          <cell r="E65">
            <v>59650.614443685823</v>
          </cell>
          <cell r="F65">
            <v>57126</v>
          </cell>
          <cell r="G65">
            <v>89565.433245905835</v>
          </cell>
          <cell r="H65">
            <v>70309</v>
          </cell>
          <cell r="I65">
            <v>38801.790333930396</v>
          </cell>
          <cell r="J65">
            <v>86304.239165684907</v>
          </cell>
          <cell r="K65">
            <v>90072</v>
          </cell>
          <cell r="L65">
            <v>65636.03584606979</v>
          </cell>
          <cell r="M65">
            <v>19182</v>
          </cell>
          <cell r="N65">
            <v>172666</v>
          </cell>
        </row>
        <row r="66">
          <cell r="B66" t="str">
            <v>Wheat</v>
          </cell>
          <cell r="D66">
            <v>1264.992739</v>
          </cell>
          <cell r="E66">
            <v>2410.5742520000008</v>
          </cell>
          <cell r="F66">
            <v>4901</v>
          </cell>
          <cell r="G66">
            <v>10640</v>
          </cell>
          <cell r="H66">
            <v>19032</v>
          </cell>
          <cell r="I66">
            <v>10516</v>
          </cell>
          <cell r="J66">
            <v>12624.424446550987</v>
          </cell>
          <cell r="K66">
            <v>12401</v>
          </cell>
          <cell r="L66">
            <v>7069</v>
          </cell>
          <cell r="M66">
            <v>4386</v>
          </cell>
          <cell r="N66">
            <v>8851</v>
          </cell>
        </row>
        <row r="67">
          <cell r="B67" t="str">
            <v>Sorghum</v>
          </cell>
          <cell r="D67">
            <v>7837</v>
          </cell>
          <cell r="E67">
            <v>10189.397735645602</v>
          </cell>
          <cell r="F67">
            <v>10151</v>
          </cell>
          <cell r="G67">
            <v>23830.301591906253</v>
          </cell>
          <cell r="H67">
            <v>12602</v>
          </cell>
          <cell r="I67">
            <v>4673</v>
          </cell>
          <cell r="J67">
            <v>20405.496357665055</v>
          </cell>
          <cell r="K67">
            <v>9844</v>
          </cell>
          <cell r="L67">
            <v>9528.6398356508216</v>
          </cell>
          <cell r="M67">
            <v>1159</v>
          </cell>
          <cell r="N67">
            <v>33858</v>
          </cell>
        </row>
        <row r="68">
          <cell r="B68" t="str">
            <v>Beans</v>
          </cell>
          <cell r="D68">
            <v>6141</v>
          </cell>
          <cell r="E68">
            <v>3185</v>
          </cell>
          <cell r="F68">
            <v>3452</v>
          </cell>
          <cell r="G68">
            <v>8899</v>
          </cell>
          <cell r="H68">
            <v>7101.9433808216127</v>
          </cell>
          <cell r="I68">
            <v>5411.09909217319</v>
          </cell>
          <cell r="J68">
            <v>3357.0553501148388</v>
          </cell>
          <cell r="K68">
            <v>2400</v>
          </cell>
          <cell r="L68">
            <v>4381.9453076499703</v>
          </cell>
          <cell r="M68">
            <v>3417.9173399669771</v>
          </cell>
          <cell r="N68">
            <v>6643</v>
          </cell>
        </row>
        <row r="69">
          <cell r="B69" t="str">
            <v>Peas</v>
          </cell>
          <cell r="D69">
            <v>684</v>
          </cell>
          <cell r="E69">
            <v>485</v>
          </cell>
          <cell r="F69">
            <v>860</v>
          </cell>
          <cell r="G69">
            <v>1373</v>
          </cell>
          <cell r="H69">
            <v>654.72113967764903</v>
          </cell>
          <cell r="I69">
            <v>834.86223772938411</v>
          </cell>
          <cell r="J69">
            <v>557.57040141736968</v>
          </cell>
          <cell r="K69">
            <v>87</v>
          </cell>
          <cell r="L69">
            <v>329.61336294228852</v>
          </cell>
          <cell r="M69">
            <v>257.09842309498504</v>
          </cell>
          <cell r="N69">
            <v>602</v>
          </cell>
        </row>
        <row r="70">
          <cell r="B70" t="str">
            <v>Other crops</v>
          </cell>
        </row>
        <row r="71">
          <cell r="B71" t="str">
            <v>Winter crops</v>
          </cell>
        </row>
        <row r="72">
          <cell r="B72" t="str">
            <v>Winter wheat</v>
          </cell>
          <cell r="D72">
            <v>2691</v>
          </cell>
          <cell r="E72">
            <v>1309</v>
          </cell>
          <cell r="F72">
            <v>2519</v>
          </cell>
          <cell r="G72">
            <v>1032</v>
          </cell>
          <cell r="H72">
            <v>804.73304910211573</v>
          </cell>
          <cell r="I72">
            <v>627.51480650890335</v>
          </cell>
          <cell r="J72">
            <v>611</v>
          </cell>
          <cell r="K72">
            <v>381.56476006580084</v>
          </cell>
          <cell r="L72">
            <v>417</v>
          </cell>
          <cell r="M72">
            <v>325.26</v>
          </cell>
          <cell r="N72">
            <v>325.26</v>
          </cell>
        </row>
        <row r="73">
          <cell r="B73" t="str">
            <v>Winter peas</v>
          </cell>
          <cell r="D73">
            <v>647</v>
          </cell>
          <cell r="E73">
            <v>499</v>
          </cell>
          <cell r="F73">
            <v>540</v>
          </cell>
          <cell r="G73">
            <v>302</v>
          </cell>
          <cell r="H73">
            <v>235.49358607445637</v>
          </cell>
          <cell r="I73">
            <v>183.63320888148141</v>
          </cell>
          <cell r="J73">
            <v>280</v>
          </cell>
          <cell r="K73">
            <v>111.65945498049598</v>
          </cell>
          <cell r="L73">
            <v>146</v>
          </cell>
          <cell r="M73">
            <v>180.34054501950399</v>
          </cell>
          <cell r="N73">
            <v>180.34054501950399</v>
          </cell>
        </row>
        <row r="192">
          <cell r="A192" t="str">
            <v>MaizeQ3_</v>
          </cell>
          <cell r="B192" t="str">
            <v>Q3_</v>
          </cell>
          <cell r="D192">
            <v>0.19047619047619047</v>
          </cell>
          <cell r="E192">
            <v>0.19047619047619047</v>
          </cell>
          <cell r="F192">
            <v>0.19047619047619047</v>
          </cell>
          <cell r="G192">
            <v>0.19047619047619047</v>
          </cell>
          <cell r="H192">
            <v>0.19047619047619047</v>
          </cell>
          <cell r="I192">
            <v>0.19047619047619047</v>
          </cell>
          <cell r="J192">
            <v>0.19047619047619047</v>
          </cell>
          <cell r="K192">
            <v>0.19047619047619047</v>
          </cell>
          <cell r="L192">
            <v>0.19047619047619047</v>
          </cell>
          <cell r="M192">
            <v>0.19047619047619047</v>
          </cell>
          <cell r="N192">
            <v>0.19047619047619047</v>
          </cell>
          <cell r="O192">
            <v>0.19047619047619047</v>
          </cell>
          <cell r="P192">
            <v>0.19047619047619047</v>
          </cell>
        </row>
        <row r="193">
          <cell r="A193" t="str">
            <v>MaizeQ4_</v>
          </cell>
          <cell r="B193" t="str">
            <v>Q4_</v>
          </cell>
          <cell r="D193">
            <v>0.26190476190476192</v>
          </cell>
          <cell r="E193">
            <v>0.26190476190476192</v>
          </cell>
          <cell r="F193">
            <v>0.26190476190476192</v>
          </cell>
          <cell r="G193">
            <v>0.26190476190476192</v>
          </cell>
          <cell r="H193">
            <v>0.26190476190476192</v>
          </cell>
          <cell r="I193">
            <v>0.26190476190476192</v>
          </cell>
          <cell r="J193">
            <v>0.26190476190476192</v>
          </cell>
          <cell r="K193">
            <v>0.26190476190476192</v>
          </cell>
          <cell r="L193">
            <v>0.26190476190476192</v>
          </cell>
          <cell r="M193">
            <v>0.26190476190476192</v>
          </cell>
          <cell r="N193">
            <v>0.26190476190476192</v>
          </cell>
          <cell r="O193">
            <v>0.26190476190476192</v>
          </cell>
          <cell r="P193">
            <v>0.26190476190476192</v>
          </cell>
        </row>
        <row r="194">
          <cell r="A194" t="str">
            <v>MaizeQ1</v>
          </cell>
          <cell r="B194" t="str">
            <v>Q1</v>
          </cell>
          <cell r="D194">
            <v>0.21428571428571427</v>
          </cell>
          <cell r="E194">
            <v>0.21428571428571427</v>
          </cell>
          <cell r="F194">
            <v>0.21428571428571427</v>
          </cell>
          <cell r="G194">
            <v>0.21428571428571427</v>
          </cell>
          <cell r="H194">
            <v>0.21428571428571427</v>
          </cell>
          <cell r="I194">
            <v>0.21428571428571427</v>
          </cell>
          <cell r="J194">
            <v>0.21428571428571427</v>
          </cell>
          <cell r="K194">
            <v>0.21428571428571427</v>
          </cell>
          <cell r="L194">
            <v>0.21428571428571427</v>
          </cell>
          <cell r="M194">
            <v>0.21428571428571427</v>
          </cell>
          <cell r="N194">
            <v>0.21428571428571427</v>
          </cell>
          <cell r="O194">
            <v>0.21428571428571427</v>
          </cell>
          <cell r="P194">
            <v>0.21428571428571427</v>
          </cell>
        </row>
        <row r="195">
          <cell r="A195" t="str">
            <v>MaizeQ2</v>
          </cell>
          <cell r="B195" t="str">
            <v>Q2</v>
          </cell>
          <cell r="D195">
            <v>0.30952380952380953</v>
          </cell>
          <cell r="E195">
            <v>0.30952380952380953</v>
          </cell>
          <cell r="F195">
            <v>0.30952380952380953</v>
          </cell>
          <cell r="G195">
            <v>0.30952380952380953</v>
          </cell>
          <cell r="H195">
            <v>0.30952380952380953</v>
          </cell>
          <cell r="I195">
            <v>0.30952380952380953</v>
          </cell>
          <cell r="J195">
            <v>0.30952380952380953</v>
          </cell>
          <cell r="K195">
            <v>0.30952380952380953</v>
          </cell>
          <cell r="L195">
            <v>0.30952380952380953</v>
          </cell>
          <cell r="M195">
            <v>0.30952380952380953</v>
          </cell>
          <cell r="N195">
            <v>0.30952380952380953</v>
          </cell>
          <cell r="O195">
            <v>0.30952380952380953</v>
          </cell>
          <cell r="P195">
            <v>0.30952380952380953</v>
          </cell>
        </row>
        <row r="196">
          <cell r="A196" t="str">
            <v>MaizeQ3</v>
          </cell>
          <cell r="B196" t="str">
            <v>Q3</v>
          </cell>
          <cell r="D196">
            <v>2.3809523809523808E-2</v>
          </cell>
          <cell r="E196">
            <v>2.3809523809523808E-2</v>
          </cell>
          <cell r="F196">
            <v>2.3809523809523808E-2</v>
          </cell>
          <cell r="G196">
            <v>2.3809523809523808E-2</v>
          </cell>
          <cell r="H196">
            <v>2.3809523809523808E-2</v>
          </cell>
          <cell r="I196">
            <v>2.3809523809523808E-2</v>
          </cell>
          <cell r="J196">
            <v>2.3809523809523808E-2</v>
          </cell>
          <cell r="K196">
            <v>2.3809523809523808E-2</v>
          </cell>
          <cell r="L196">
            <v>2.3809523809523808E-2</v>
          </cell>
          <cell r="M196">
            <v>2.3809523809523808E-2</v>
          </cell>
          <cell r="N196">
            <v>2.3809523809523808E-2</v>
          </cell>
          <cell r="O196">
            <v>2.3809523809523808E-2</v>
          </cell>
          <cell r="P196">
            <v>2.3809523809523808E-2</v>
          </cell>
        </row>
        <row r="197">
          <cell r="B197" t="str">
            <v>Wheat</v>
          </cell>
        </row>
        <row r="198">
          <cell r="A198" t="str">
            <v>WheatQ3_</v>
          </cell>
          <cell r="B198" t="str">
            <v>Q3_</v>
          </cell>
          <cell r="D198">
            <v>0.1875</v>
          </cell>
          <cell r="E198">
            <v>0.1875</v>
          </cell>
          <cell r="F198">
            <v>0.1875</v>
          </cell>
          <cell r="G198">
            <v>0.1875</v>
          </cell>
          <cell r="H198">
            <v>0.1875</v>
          </cell>
          <cell r="I198">
            <v>0.1875</v>
          </cell>
          <cell r="J198">
            <v>0.1875</v>
          </cell>
          <cell r="K198">
            <v>0.1875</v>
          </cell>
          <cell r="L198">
            <v>0.1875</v>
          </cell>
          <cell r="M198">
            <v>0.1875</v>
          </cell>
          <cell r="N198">
            <v>0.1875</v>
          </cell>
          <cell r="O198">
            <v>0.1875</v>
          </cell>
          <cell r="P198">
            <v>0.1875</v>
          </cell>
        </row>
        <row r="199">
          <cell r="A199" t="str">
            <v>WheatQ4_</v>
          </cell>
          <cell r="B199" t="str">
            <v>Q4_</v>
          </cell>
          <cell r="D199">
            <v>0.40625</v>
          </cell>
          <cell r="E199">
            <v>0.40625</v>
          </cell>
          <cell r="F199">
            <v>0.40625</v>
          </cell>
          <cell r="G199">
            <v>0.40625</v>
          </cell>
          <cell r="H199">
            <v>0.40625</v>
          </cell>
          <cell r="I199">
            <v>0.40625</v>
          </cell>
          <cell r="J199">
            <v>0.40625</v>
          </cell>
          <cell r="K199">
            <v>0.40625</v>
          </cell>
          <cell r="L199">
            <v>0.40625</v>
          </cell>
          <cell r="M199">
            <v>0.40625</v>
          </cell>
          <cell r="N199">
            <v>0.40625</v>
          </cell>
          <cell r="O199">
            <v>0.40625</v>
          </cell>
          <cell r="P199">
            <v>0.40625</v>
          </cell>
        </row>
        <row r="200">
          <cell r="A200" t="str">
            <v>WheatQ1</v>
          </cell>
          <cell r="B200" t="str">
            <v>Q1</v>
          </cell>
          <cell r="D200">
            <v>9.375E-2</v>
          </cell>
          <cell r="E200">
            <v>9.375E-2</v>
          </cell>
          <cell r="F200">
            <v>9.375E-2</v>
          </cell>
          <cell r="G200">
            <v>9.375E-2</v>
          </cell>
          <cell r="H200">
            <v>9.375E-2</v>
          </cell>
          <cell r="I200">
            <v>9.375E-2</v>
          </cell>
          <cell r="J200">
            <v>9.375E-2</v>
          </cell>
          <cell r="K200">
            <v>9.375E-2</v>
          </cell>
          <cell r="L200">
            <v>9.375E-2</v>
          </cell>
          <cell r="M200">
            <v>9.375E-2</v>
          </cell>
          <cell r="N200">
            <v>9.375E-2</v>
          </cell>
          <cell r="O200">
            <v>9.375E-2</v>
          </cell>
          <cell r="P200">
            <v>9.375E-2</v>
          </cell>
        </row>
        <row r="201">
          <cell r="A201" t="str">
            <v>WheatQ2</v>
          </cell>
          <cell r="B201" t="str">
            <v>Q2</v>
          </cell>
          <cell r="D201">
            <v>0.3125</v>
          </cell>
          <cell r="E201">
            <v>0.3125</v>
          </cell>
          <cell r="F201">
            <v>0.3125</v>
          </cell>
          <cell r="G201">
            <v>0.3125</v>
          </cell>
          <cell r="H201">
            <v>0.3125</v>
          </cell>
          <cell r="I201">
            <v>0.3125</v>
          </cell>
          <cell r="J201">
            <v>0.3125</v>
          </cell>
          <cell r="K201">
            <v>0.3125</v>
          </cell>
          <cell r="L201">
            <v>0.3125</v>
          </cell>
          <cell r="M201">
            <v>0.3125</v>
          </cell>
          <cell r="N201">
            <v>0.3125</v>
          </cell>
          <cell r="O201">
            <v>0.3125</v>
          </cell>
          <cell r="P201">
            <v>0.3125</v>
          </cell>
        </row>
        <row r="202">
          <cell r="A202" t="str">
            <v>WheatQ3</v>
          </cell>
          <cell r="B202" t="str">
            <v>Q3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B203" t="str">
            <v>Sorghum</v>
          </cell>
        </row>
        <row r="204">
          <cell r="A204" t="str">
            <v>SorghumQ3_</v>
          </cell>
          <cell r="B204" t="str">
            <v>Q3_</v>
          </cell>
          <cell r="D204">
            <v>0.19047619047619047</v>
          </cell>
          <cell r="E204">
            <v>0.19047619047619047</v>
          </cell>
          <cell r="F204">
            <v>0.19047619047619047</v>
          </cell>
          <cell r="G204">
            <v>0.19047619047619047</v>
          </cell>
          <cell r="H204">
            <v>0.19047619047619047</v>
          </cell>
          <cell r="I204">
            <v>0.19047619047619047</v>
          </cell>
          <cell r="J204">
            <v>0.19047619047619047</v>
          </cell>
          <cell r="K204">
            <v>0.19047619047619047</v>
          </cell>
          <cell r="L204">
            <v>0.19047619047619047</v>
          </cell>
          <cell r="M204">
            <v>0.19047619047619047</v>
          </cell>
          <cell r="N204">
            <v>0.19047619047619047</v>
          </cell>
          <cell r="O204">
            <v>0.19047619047619047</v>
          </cell>
          <cell r="P204">
            <v>0.19047619047619047</v>
          </cell>
        </row>
        <row r="205">
          <cell r="A205" t="str">
            <v>SorghumQ4_</v>
          </cell>
          <cell r="B205" t="str">
            <v>Q4_</v>
          </cell>
          <cell r="D205">
            <v>0.26190476190476192</v>
          </cell>
          <cell r="E205">
            <v>0.26190476190476192</v>
          </cell>
          <cell r="F205">
            <v>0.26190476190476192</v>
          </cell>
          <cell r="G205">
            <v>0.26190476190476192</v>
          </cell>
          <cell r="H205">
            <v>0.26190476190476192</v>
          </cell>
          <cell r="I205">
            <v>0.26190476190476192</v>
          </cell>
          <cell r="J205">
            <v>0.26190476190476192</v>
          </cell>
          <cell r="K205">
            <v>0.26190476190476192</v>
          </cell>
          <cell r="L205">
            <v>0.26190476190476192</v>
          </cell>
          <cell r="M205">
            <v>0.26190476190476192</v>
          </cell>
          <cell r="N205">
            <v>0.26190476190476192</v>
          </cell>
          <cell r="O205">
            <v>0.26190476190476192</v>
          </cell>
          <cell r="P205">
            <v>0.26190476190476192</v>
          </cell>
        </row>
        <row r="206">
          <cell r="A206" t="str">
            <v>SorghumQ1</v>
          </cell>
          <cell r="B206" t="str">
            <v>Q1</v>
          </cell>
          <cell r="D206">
            <v>0.21428571428571427</v>
          </cell>
          <cell r="E206">
            <v>0.21428571428571427</v>
          </cell>
          <cell r="F206">
            <v>0.21428571428571427</v>
          </cell>
          <cell r="G206">
            <v>0.21428571428571427</v>
          </cell>
          <cell r="H206">
            <v>0.21428571428571427</v>
          </cell>
          <cell r="I206">
            <v>0.21428571428571427</v>
          </cell>
          <cell r="J206">
            <v>0.21428571428571427</v>
          </cell>
          <cell r="K206">
            <v>0.21428571428571427</v>
          </cell>
          <cell r="L206">
            <v>0.21428571428571427</v>
          </cell>
          <cell r="M206">
            <v>0.21428571428571427</v>
          </cell>
          <cell r="N206">
            <v>0.21428571428571427</v>
          </cell>
          <cell r="O206">
            <v>0.21428571428571427</v>
          </cell>
          <cell r="P206">
            <v>0.21428571428571427</v>
          </cell>
        </row>
        <row r="207">
          <cell r="A207" t="str">
            <v>SorghumQ2</v>
          </cell>
          <cell r="B207" t="str">
            <v>Q2</v>
          </cell>
          <cell r="D207">
            <v>0.30952380952380953</v>
          </cell>
          <cell r="E207">
            <v>0.30952380952380953</v>
          </cell>
          <cell r="F207">
            <v>0.30952380952380953</v>
          </cell>
          <cell r="G207">
            <v>0.30952380952380953</v>
          </cell>
          <cell r="H207">
            <v>0.30952380952380953</v>
          </cell>
          <cell r="I207">
            <v>0.30952380952380953</v>
          </cell>
          <cell r="J207">
            <v>0.30952380952380953</v>
          </cell>
          <cell r="K207">
            <v>0.30952380952380953</v>
          </cell>
          <cell r="L207">
            <v>0.30952380952380953</v>
          </cell>
          <cell r="M207">
            <v>0.30952380952380953</v>
          </cell>
          <cell r="N207">
            <v>0.30952380952380953</v>
          </cell>
          <cell r="O207">
            <v>0.30952380952380953</v>
          </cell>
          <cell r="P207">
            <v>0.30952380952380953</v>
          </cell>
        </row>
        <row r="208">
          <cell r="A208" t="str">
            <v>SorghumQ3</v>
          </cell>
          <cell r="B208" t="str">
            <v>Q3</v>
          </cell>
          <cell r="D208">
            <v>2.3809523809523808E-2</v>
          </cell>
          <cell r="E208">
            <v>2.3809523809523808E-2</v>
          </cell>
          <cell r="F208">
            <v>2.3809523809523808E-2</v>
          </cell>
          <cell r="G208">
            <v>2.3809523809523808E-2</v>
          </cell>
          <cell r="H208">
            <v>2.3809523809523808E-2</v>
          </cell>
          <cell r="I208">
            <v>2.3809523809523808E-2</v>
          </cell>
          <cell r="J208">
            <v>2.3809523809523808E-2</v>
          </cell>
          <cell r="K208">
            <v>2.3809523809523808E-2</v>
          </cell>
          <cell r="L208">
            <v>2.3809523809523808E-2</v>
          </cell>
          <cell r="M208">
            <v>2.3809523809523808E-2</v>
          </cell>
          <cell r="N208">
            <v>2.3809523809523808E-2</v>
          </cell>
          <cell r="O208">
            <v>2.3809523809523808E-2</v>
          </cell>
          <cell r="P208">
            <v>2.3809523809523808E-2</v>
          </cell>
        </row>
        <row r="209">
          <cell r="B209" t="str">
            <v>Beans</v>
          </cell>
        </row>
        <row r="210">
          <cell r="A210" t="str">
            <v>BeansQ3_</v>
          </cell>
          <cell r="B210" t="str">
            <v>Q3_</v>
          </cell>
          <cell r="D210">
            <v>0.1875</v>
          </cell>
          <cell r="E210">
            <v>0.1875</v>
          </cell>
          <cell r="F210">
            <v>0.1875</v>
          </cell>
          <cell r="G210">
            <v>0.1875</v>
          </cell>
          <cell r="H210">
            <v>0.1875</v>
          </cell>
          <cell r="I210">
            <v>0.1875</v>
          </cell>
          <cell r="J210">
            <v>0.1875</v>
          </cell>
          <cell r="K210">
            <v>0.1875</v>
          </cell>
          <cell r="L210">
            <v>0.1875</v>
          </cell>
          <cell r="M210">
            <v>0.1875</v>
          </cell>
          <cell r="N210">
            <v>0.1875</v>
          </cell>
          <cell r="O210">
            <v>0.1875</v>
          </cell>
          <cell r="P210">
            <v>0.1875</v>
          </cell>
        </row>
        <row r="211">
          <cell r="A211" t="str">
            <v>BeansQ4_</v>
          </cell>
          <cell r="B211" t="str">
            <v>Q4_</v>
          </cell>
          <cell r="D211">
            <v>0.40625</v>
          </cell>
          <cell r="E211">
            <v>0.40625</v>
          </cell>
          <cell r="F211">
            <v>0.40625</v>
          </cell>
          <cell r="G211">
            <v>0.40625</v>
          </cell>
          <cell r="H211">
            <v>0.40625</v>
          </cell>
          <cell r="I211">
            <v>0.40625</v>
          </cell>
          <cell r="J211">
            <v>0.40625</v>
          </cell>
          <cell r="K211">
            <v>0.40625</v>
          </cell>
          <cell r="L211">
            <v>0.40625</v>
          </cell>
          <cell r="M211">
            <v>0.40625</v>
          </cell>
          <cell r="N211">
            <v>0.40625</v>
          </cell>
          <cell r="O211">
            <v>0.40625</v>
          </cell>
          <cell r="P211">
            <v>0.40625</v>
          </cell>
        </row>
        <row r="212">
          <cell r="A212" t="str">
            <v>BeansQ1</v>
          </cell>
          <cell r="B212" t="str">
            <v>Q1</v>
          </cell>
          <cell r="D212">
            <v>9.375E-2</v>
          </cell>
          <cell r="E212">
            <v>9.375E-2</v>
          </cell>
          <cell r="F212">
            <v>9.375E-2</v>
          </cell>
          <cell r="G212">
            <v>9.375E-2</v>
          </cell>
          <cell r="H212">
            <v>9.375E-2</v>
          </cell>
          <cell r="I212">
            <v>9.375E-2</v>
          </cell>
          <cell r="J212">
            <v>9.375E-2</v>
          </cell>
          <cell r="K212">
            <v>9.375E-2</v>
          </cell>
          <cell r="L212">
            <v>9.375E-2</v>
          </cell>
          <cell r="M212">
            <v>9.375E-2</v>
          </cell>
          <cell r="N212">
            <v>9.375E-2</v>
          </cell>
          <cell r="O212">
            <v>9.375E-2</v>
          </cell>
          <cell r="P212">
            <v>9.375E-2</v>
          </cell>
        </row>
        <row r="213">
          <cell r="A213" t="str">
            <v>BeansQ2</v>
          </cell>
          <cell r="B213" t="str">
            <v>Q2</v>
          </cell>
          <cell r="D213">
            <v>0.3125</v>
          </cell>
          <cell r="E213">
            <v>0.3125</v>
          </cell>
          <cell r="F213">
            <v>0.3125</v>
          </cell>
          <cell r="G213">
            <v>0.3125</v>
          </cell>
          <cell r="H213">
            <v>0.3125</v>
          </cell>
          <cell r="I213">
            <v>0.3125</v>
          </cell>
          <cell r="J213">
            <v>0.3125</v>
          </cell>
          <cell r="K213">
            <v>0.3125</v>
          </cell>
          <cell r="L213">
            <v>0.3125</v>
          </cell>
          <cell r="M213">
            <v>0.3125</v>
          </cell>
          <cell r="N213">
            <v>0.3125</v>
          </cell>
          <cell r="O213">
            <v>0.3125</v>
          </cell>
          <cell r="P213">
            <v>0.3125</v>
          </cell>
        </row>
        <row r="214">
          <cell r="A214" t="str">
            <v>BeansQ3</v>
          </cell>
          <cell r="B214" t="str">
            <v>Q3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>Peas</v>
          </cell>
        </row>
        <row r="216">
          <cell r="A216" t="str">
            <v>PeasQ3_</v>
          </cell>
          <cell r="B216" t="str">
            <v>Q3_</v>
          </cell>
          <cell r="D216">
            <v>0.19047619047619047</v>
          </cell>
          <cell r="E216">
            <v>0.19047619047619047</v>
          </cell>
          <cell r="F216">
            <v>0.19047619047619047</v>
          </cell>
          <cell r="G216">
            <v>0.19047619047619047</v>
          </cell>
          <cell r="H216">
            <v>0.19047619047619047</v>
          </cell>
          <cell r="I216">
            <v>0.19047619047619047</v>
          </cell>
          <cell r="J216">
            <v>0.19047619047619047</v>
          </cell>
          <cell r="K216">
            <v>0.19047619047619047</v>
          </cell>
          <cell r="L216">
            <v>0.19047619047619047</v>
          </cell>
          <cell r="M216">
            <v>0.19047619047619047</v>
          </cell>
          <cell r="N216">
            <v>0.19047619047619047</v>
          </cell>
          <cell r="O216">
            <v>0.19047619047619047</v>
          </cell>
          <cell r="P216">
            <v>0.19047619047619047</v>
          </cell>
        </row>
        <row r="217">
          <cell r="A217" t="str">
            <v>PeasQ4_</v>
          </cell>
          <cell r="B217" t="str">
            <v>Q4_</v>
          </cell>
          <cell r="D217">
            <v>0.26190476190476192</v>
          </cell>
          <cell r="E217">
            <v>0.26190476190476192</v>
          </cell>
          <cell r="F217">
            <v>0.26190476190476192</v>
          </cell>
          <cell r="G217">
            <v>0.26190476190476192</v>
          </cell>
          <cell r="H217">
            <v>0.26190476190476192</v>
          </cell>
          <cell r="I217">
            <v>0.26190476190476192</v>
          </cell>
          <cell r="J217">
            <v>0.26190476190476192</v>
          </cell>
          <cell r="K217">
            <v>0.26190476190476192</v>
          </cell>
          <cell r="L217">
            <v>0.26190476190476192</v>
          </cell>
          <cell r="M217">
            <v>0.26190476190476192</v>
          </cell>
          <cell r="N217">
            <v>0.26190476190476192</v>
          </cell>
          <cell r="O217">
            <v>0.26190476190476192</v>
          </cell>
          <cell r="P217">
            <v>0.26190476190476192</v>
          </cell>
        </row>
        <row r="218">
          <cell r="A218" t="str">
            <v>PeasQ1</v>
          </cell>
          <cell r="B218" t="str">
            <v>Q1</v>
          </cell>
          <cell r="D218">
            <v>0.21428571428571427</v>
          </cell>
          <cell r="E218">
            <v>0.21428571428571427</v>
          </cell>
          <cell r="F218">
            <v>0.21428571428571427</v>
          </cell>
          <cell r="G218">
            <v>0.21428571428571427</v>
          </cell>
          <cell r="H218">
            <v>0.21428571428571427</v>
          </cell>
          <cell r="I218">
            <v>0.21428571428571427</v>
          </cell>
          <cell r="J218">
            <v>0.21428571428571427</v>
          </cell>
          <cell r="K218">
            <v>0.21428571428571427</v>
          </cell>
          <cell r="L218">
            <v>0.21428571428571427</v>
          </cell>
          <cell r="M218">
            <v>0.21428571428571427</v>
          </cell>
          <cell r="N218">
            <v>0.21428571428571427</v>
          </cell>
          <cell r="O218">
            <v>0.21428571428571427</v>
          </cell>
          <cell r="P218">
            <v>0.21428571428571427</v>
          </cell>
        </row>
        <row r="219">
          <cell r="A219" t="str">
            <v>PeasQ2</v>
          </cell>
          <cell r="B219" t="str">
            <v>Q2</v>
          </cell>
          <cell r="D219">
            <v>0.30952380952380953</v>
          </cell>
          <cell r="E219">
            <v>0.30952380952380953</v>
          </cell>
          <cell r="F219">
            <v>0.30952380952380953</v>
          </cell>
          <cell r="G219">
            <v>0.30952380952380953</v>
          </cell>
          <cell r="H219">
            <v>0.30952380952380953</v>
          </cell>
          <cell r="I219">
            <v>0.30952380952380953</v>
          </cell>
          <cell r="J219">
            <v>0.30952380952380953</v>
          </cell>
          <cell r="K219">
            <v>0.30952380952380953</v>
          </cell>
          <cell r="L219">
            <v>0.30952380952380953</v>
          </cell>
          <cell r="M219">
            <v>0.30952380952380953</v>
          </cell>
          <cell r="N219">
            <v>0.30952380952380953</v>
          </cell>
          <cell r="O219">
            <v>0.30952380952380953</v>
          </cell>
          <cell r="P219">
            <v>0.30952380952380953</v>
          </cell>
        </row>
        <row r="220">
          <cell r="A220" t="str">
            <v>PeasQ3</v>
          </cell>
          <cell r="B220" t="str">
            <v>Q3</v>
          </cell>
          <cell r="D220">
            <v>2.3809523809523808E-2</v>
          </cell>
          <cell r="E220">
            <v>2.3809523809523808E-2</v>
          </cell>
          <cell r="F220">
            <v>2.3809523809523808E-2</v>
          </cell>
          <cell r="G220">
            <v>2.3809523809523808E-2</v>
          </cell>
          <cell r="H220">
            <v>2.3809523809523808E-2</v>
          </cell>
          <cell r="I220">
            <v>2.3809523809523808E-2</v>
          </cell>
          <cell r="J220">
            <v>2.3809523809523808E-2</v>
          </cell>
          <cell r="K220">
            <v>2.3809523809523808E-2</v>
          </cell>
          <cell r="L220">
            <v>2.3809523809523808E-2</v>
          </cell>
          <cell r="M220">
            <v>2.3809523809523808E-2</v>
          </cell>
          <cell r="N220">
            <v>2.3809523809523808E-2</v>
          </cell>
          <cell r="O220">
            <v>2.3809523809523808E-2</v>
          </cell>
          <cell r="P220">
            <v>2.3809523809523808E-2</v>
          </cell>
        </row>
        <row r="221">
          <cell r="B221" t="str">
            <v>Other crops</v>
          </cell>
        </row>
        <row r="222">
          <cell r="A222" t="str">
            <v>Other cropsQ3_</v>
          </cell>
          <cell r="B222" t="str">
            <v>Q3_</v>
          </cell>
          <cell r="D222">
            <v>0.1875</v>
          </cell>
          <cell r="E222">
            <v>0.1875</v>
          </cell>
          <cell r="F222">
            <v>0.1875</v>
          </cell>
          <cell r="G222">
            <v>0.1875</v>
          </cell>
          <cell r="H222">
            <v>0.1875</v>
          </cell>
          <cell r="I222">
            <v>0.1875</v>
          </cell>
          <cell r="J222">
            <v>0.1875</v>
          </cell>
          <cell r="K222">
            <v>0.1875</v>
          </cell>
          <cell r="L222">
            <v>0.1875</v>
          </cell>
          <cell r="M222">
            <v>0.1875</v>
          </cell>
          <cell r="N222">
            <v>0.1875</v>
          </cell>
          <cell r="O222">
            <v>0.1875</v>
          </cell>
          <cell r="P222">
            <v>0.1875</v>
          </cell>
        </row>
        <row r="223">
          <cell r="A223" t="str">
            <v>Other cropsQ4_</v>
          </cell>
          <cell r="B223" t="str">
            <v>Q4_</v>
          </cell>
          <cell r="D223">
            <v>0.40625</v>
          </cell>
          <cell r="E223">
            <v>0.40625</v>
          </cell>
          <cell r="F223">
            <v>0.40625</v>
          </cell>
          <cell r="G223">
            <v>0.40625</v>
          </cell>
          <cell r="H223">
            <v>0.40625</v>
          </cell>
          <cell r="I223">
            <v>0.40625</v>
          </cell>
          <cell r="J223">
            <v>0.40625</v>
          </cell>
          <cell r="K223">
            <v>0.40625</v>
          </cell>
          <cell r="L223">
            <v>0.40625</v>
          </cell>
          <cell r="M223">
            <v>0.40625</v>
          </cell>
          <cell r="N223">
            <v>0.40625</v>
          </cell>
          <cell r="O223">
            <v>0.40625</v>
          </cell>
          <cell r="P223">
            <v>0.40625</v>
          </cell>
        </row>
        <row r="224">
          <cell r="A224" t="str">
            <v>Other cropsQ1</v>
          </cell>
          <cell r="B224" t="str">
            <v>Q1</v>
          </cell>
          <cell r="D224">
            <v>9.375E-2</v>
          </cell>
          <cell r="E224">
            <v>9.375E-2</v>
          </cell>
          <cell r="F224">
            <v>9.375E-2</v>
          </cell>
          <cell r="G224">
            <v>9.375E-2</v>
          </cell>
          <cell r="H224">
            <v>9.375E-2</v>
          </cell>
          <cell r="I224">
            <v>9.375E-2</v>
          </cell>
          <cell r="J224">
            <v>9.375E-2</v>
          </cell>
          <cell r="K224">
            <v>9.375E-2</v>
          </cell>
          <cell r="L224">
            <v>9.375E-2</v>
          </cell>
          <cell r="M224">
            <v>9.375E-2</v>
          </cell>
          <cell r="N224">
            <v>9.375E-2</v>
          </cell>
          <cell r="O224">
            <v>9.375E-2</v>
          </cell>
          <cell r="P224">
            <v>9.375E-2</v>
          </cell>
        </row>
        <row r="225">
          <cell r="A225" t="str">
            <v>Other cropsQ2</v>
          </cell>
          <cell r="B225" t="str">
            <v>Q2</v>
          </cell>
          <cell r="D225">
            <v>0.3125</v>
          </cell>
          <cell r="E225">
            <v>0.3125</v>
          </cell>
          <cell r="F225">
            <v>0.3125</v>
          </cell>
          <cell r="G225">
            <v>0.3125</v>
          </cell>
          <cell r="H225">
            <v>0.3125</v>
          </cell>
          <cell r="I225">
            <v>0.3125</v>
          </cell>
          <cell r="J225">
            <v>0.3125</v>
          </cell>
          <cell r="K225">
            <v>0.3125</v>
          </cell>
          <cell r="L225">
            <v>0.3125</v>
          </cell>
          <cell r="M225">
            <v>0.3125</v>
          </cell>
          <cell r="N225">
            <v>0.3125</v>
          </cell>
          <cell r="O225">
            <v>0.3125</v>
          </cell>
          <cell r="P225">
            <v>0.3125</v>
          </cell>
        </row>
        <row r="226">
          <cell r="A226" t="str">
            <v>Other cropsQ3</v>
          </cell>
          <cell r="B226" t="str">
            <v>Q3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B227" t="str">
            <v>Winter wheat</v>
          </cell>
        </row>
        <row r="228">
          <cell r="A228" t="str">
            <v>Winter wheatQ3_</v>
          </cell>
          <cell r="B228" t="str">
            <v>Q3_</v>
          </cell>
          <cell r="D228">
            <v>0.1875</v>
          </cell>
          <cell r="E228">
            <v>0.1875</v>
          </cell>
          <cell r="F228">
            <v>0.1875</v>
          </cell>
          <cell r="G228">
            <v>0.1875</v>
          </cell>
          <cell r="H228">
            <v>0.1875</v>
          </cell>
          <cell r="I228">
            <v>0.1875</v>
          </cell>
          <cell r="J228">
            <v>0.1875</v>
          </cell>
          <cell r="K228">
            <v>0.1875</v>
          </cell>
          <cell r="L228">
            <v>0.1875</v>
          </cell>
          <cell r="M228">
            <v>0.1875</v>
          </cell>
          <cell r="N228">
            <v>0.1875</v>
          </cell>
          <cell r="O228">
            <v>0.1875</v>
          </cell>
          <cell r="P228">
            <v>0.1875</v>
          </cell>
        </row>
        <row r="229">
          <cell r="A229" t="str">
            <v>Winter wheatQ4_</v>
          </cell>
          <cell r="B229" t="str">
            <v>Q4_</v>
          </cell>
          <cell r="D229">
            <v>0.40625</v>
          </cell>
          <cell r="E229">
            <v>0.40625</v>
          </cell>
          <cell r="F229">
            <v>0.40625</v>
          </cell>
          <cell r="G229">
            <v>0.40625</v>
          </cell>
          <cell r="H229">
            <v>0.40625</v>
          </cell>
          <cell r="I229">
            <v>0.40625</v>
          </cell>
          <cell r="J229">
            <v>0.40625</v>
          </cell>
          <cell r="K229">
            <v>0.40625</v>
          </cell>
          <cell r="L229">
            <v>0.40625</v>
          </cell>
          <cell r="M229">
            <v>0.40625</v>
          </cell>
          <cell r="N229">
            <v>0.40625</v>
          </cell>
          <cell r="O229">
            <v>0.40625</v>
          </cell>
          <cell r="P229">
            <v>0.40625</v>
          </cell>
        </row>
        <row r="230">
          <cell r="A230" t="str">
            <v>Winter wheatQ1</v>
          </cell>
          <cell r="B230" t="str">
            <v>Q1</v>
          </cell>
          <cell r="D230">
            <v>9.375E-2</v>
          </cell>
          <cell r="E230">
            <v>9.375E-2</v>
          </cell>
          <cell r="F230">
            <v>9.375E-2</v>
          </cell>
          <cell r="G230">
            <v>9.375E-2</v>
          </cell>
          <cell r="H230">
            <v>9.375E-2</v>
          </cell>
          <cell r="I230">
            <v>9.375E-2</v>
          </cell>
          <cell r="J230">
            <v>9.375E-2</v>
          </cell>
          <cell r="K230">
            <v>9.375E-2</v>
          </cell>
          <cell r="L230">
            <v>9.375E-2</v>
          </cell>
          <cell r="M230">
            <v>9.375E-2</v>
          </cell>
          <cell r="N230">
            <v>9.375E-2</v>
          </cell>
          <cell r="O230">
            <v>9.375E-2</v>
          </cell>
          <cell r="P230">
            <v>9.375E-2</v>
          </cell>
        </row>
        <row r="231">
          <cell r="A231" t="str">
            <v>Winter wheatQ2</v>
          </cell>
          <cell r="B231" t="str">
            <v>Q2</v>
          </cell>
          <cell r="D231">
            <v>0.3125</v>
          </cell>
          <cell r="E231">
            <v>0.3125</v>
          </cell>
          <cell r="F231">
            <v>0.3125</v>
          </cell>
          <cell r="G231">
            <v>0.3125</v>
          </cell>
          <cell r="H231">
            <v>0.3125</v>
          </cell>
          <cell r="I231">
            <v>0.3125</v>
          </cell>
          <cell r="J231">
            <v>0.3125</v>
          </cell>
          <cell r="K231">
            <v>0.3125</v>
          </cell>
          <cell r="L231">
            <v>0.3125</v>
          </cell>
          <cell r="M231">
            <v>0.3125</v>
          </cell>
          <cell r="N231">
            <v>0.3125</v>
          </cell>
          <cell r="O231">
            <v>0.3125</v>
          </cell>
          <cell r="P231">
            <v>0.3125</v>
          </cell>
        </row>
        <row r="232">
          <cell r="A232" t="str">
            <v>Winter wheatQ3</v>
          </cell>
          <cell r="B232" t="str">
            <v>Q3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B233" t="str">
            <v>Winter peas</v>
          </cell>
        </row>
        <row r="234">
          <cell r="A234" t="str">
            <v>Winter peasQ3_</v>
          </cell>
          <cell r="B234" t="str">
            <v>Q3_</v>
          </cell>
          <cell r="D234">
            <v>0.19047619047619047</v>
          </cell>
          <cell r="E234">
            <v>0.19047619047619047</v>
          </cell>
          <cell r="F234">
            <v>0.19047619047619047</v>
          </cell>
          <cell r="G234">
            <v>0.19047619047619047</v>
          </cell>
          <cell r="H234">
            <v>0.19047619047619047</v>
          </cell>
          <cell r="I234">
            <v>0.19047619047619047</v>
          </cell>
          <cell r="J234">
            <v>0.19047619047619047</v>
          </cell>
          <cell r="K234">
            <v>0.19047619047619047</v>
          </cell>
          <cell r="L234">
            <v>0.19047619047619047</v>
          </cell>
          <cell r="M234">
            <v>0.19047619047619047</v>
          </cell>
          <cell r="N234">
            <v>0.19047619047619047</v>
          </cell>
          <cell r="O234">
            <v>0.19047619047619047</v>
          </cell>
          <cell r="P234">
            <v>0.19047619047619047</v>
          </cell>
        </row>
        <row r="235">
          <cell r="A235" t="str">
            <v>Winter peasQ4_</v>
          </cell>
          <cell r="B235" t="str">
            <v>Q4_</v>
          </cell>
          <cell r="D235">
            <v>0.26190476190476192</v>
          </cell>
          <cell r="E235">
            <v>0.26190476190476192</v>
          </cell>
          <cell r="F235">
            <v>0.26190476190476192</v>
          </cell>
          <cell r="G235">
            <v>0.26190476190476192</v>
          </cell>
          <cell r="H235">
            <v>0.26190476190476192</v>
          </cell>
          <cell r="I235">
            <v>0.26190476190476192</v>
          </cell>
          <cell r="J235">
            <v>0.26190476190476192</v>
          </cell>
          <cell r="K235">
            <v>0.26190476190476192</v>
          </cell>
          <cell r="L235">
            <v>0.26190476190476192</v>
          </cell>
          <cell r="M235">
            <v>0.26190476190476192</v>
          </cell>
          <cell r="N235">
            <v>0.26190476190476192</v>
          </cell>
          <cell r="O235">
            <v>0.26190476190476192</v>
          </cell>
          <cell r="P235">
            <v>0.26190476190476192</v>
          </cell>
        </row>
        <row r="236">
          <cell r="A236" t="str">
            <v>Winter peasQ1</v>
          </cell>
          <cell r="B236" t="str">
            <v>Q1</v>
          </cell>
          <cell r="D236">
            <v>0.21428571428571427</v>
          </cell>
          <cell r="E236">
            <v>0.21428571428571427</v>
          </cell>
          <cell r="F236">
            <v>0.21428571428571427</v>
          </cell>
          <cell r="G236">
            <v>0.21428571428571427</v>
          </cell>
          <cell r="H236">
            <v>0.21428571428571427</v>
          </cell>
          <cell r="I236">
            <v>0.21428571428571427</v>
          </cell>
          <cell r="J236">
            <v>0.21428571428571427</v>
          </cell>
          <cell r="K236">
            <v>0.21428571428571427</v>
          </cell>
          <cell r="L236">
            <v>0.21428571428571427</v>
          </cell>
          <cell r="M236">
            <v>0.21428571428571427</v>
          </cell>
          <cell r="N236">
            <v>0.21428571428571427</v>
          </cell>
          <cell r="O236">
            <v>0.21428571428571427</v>
          </cell>
          <cell r="P236">
            <v>0.21428571428571427</v>
          </cell>
        </row>
        <row r="237">
          <cell r="A237" t="str">
            <v>Winter peasQ2</v>
          </cell>
          <cell r="B237" t="str">
            <v>Q2</v>
          </cell>
          <cell r="D237">
            <v>0.30952380952380953</v>
          </cell>
          <cell r="E237">
            <v>0.30952380952380953</v>
          </cell>
          <cell r="F237">
            <v>0.30952380952380953</v>
          </cell>
          <cell r="G237">
            <v>0.30952380952380953</v>
          </cell>
          <cell r="H237">
            <v>0.30952380952380953</v>
          </cell>
          <cell r="I237">
            <v>0.30952380952380953</v>
          </cell>
          <cell r="J237">
            <v>0.30952380952380953</v>
          </cell>
          <cell r="K237">
            <v>0.30952380952380953</v>
          </cell>
          <cell r="L237">
            <v>0.30952380952380953</v>
          </cell>
          <cell r="M237">
            <v>0.30952380952380953</v>
          </cell>
          <cell r="N237">
            <v>0.30952380952380953</v>
          </cell>
          <cell r="O237">
            <v>0.30952380952380953</v>
          </cell>
          <cell r="P237">
            <v>0.30952380952380953</v>
          </cell>
        </row>
        <row r="238">
          <cell r="A238" t="str">
            <v>Winter peasQ3</v>
          </cell>
          <cell r="B238" t="str">
            <v>Q3</v>
          </cell>
          <cell r="D238">
            <v>2.3809523809523808E-2</v>
          </cell>
          <cell r="E238">
            <v>2.3809523809523808E-2</v>
          </cell>
          <cell r="F238">
            <v>2.3809523809523808E-2</v>
          </cell>
          <cell r="G238">
            <v>2.3809523809523808E-2</v>
          </cell>
          <cell r="H238">
            <v>2.3809523809523808E-2</v>
          </cell>
          <cell r="I238">
            <v>2.3809523809523808E-2</v>
          </cell>
          <cell r="J238">
            <v>2.3809523809523808E-2</v>
          </cell>
          <cell r="K238">
            <v>2.3809523809523808E-2</v>
          </cell>
          <cell r="L238">
            <v>2.3809523809523808E-2</v>
          </cell>
          <cell r="M238">
            <v>2.3809523809523808E-2</v>
          </cell>
          <cell r="N238">
            <v>2.3809523809523808E-2</v>
          </cell>
          <cell r="O238">
            <v>2.3809523809523808E-2</v>
          </cell>
          <cell r="P238">
            <v>2.3809523809523808E-2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3:N42"/>
  <sheetViews>
    <sheetView workbookViewId="0">
      <selection activeCell="H32" sqref="H32"/>
    </sheetView>
  </sheetViews>
  <sheetFormatPr defaultRowHeight="15" x14ac:dyDescent="0.25"/>
  <sheetData>
    <row r="13" spans="6:12" ht="15.75" thickBot="1" x14ac:dyDescent="0.3"/>
    <row r="14" spans="6:12" ht="41.25" customHeight="1" thickBot="1" x14ac:dyDescent="0.3">
      <c r="F14" s="240" t="s">
        <v>53</v>
      </c>
      <c r="G14" s="5"/>
      <c r="H14" s="5"/>
      <c r="I14" s="242" t="s">
        <v>54</v>
      </c>
      <c r="J14" s="242"/>
      <c r="K14" s="5"/>
      <c r="L14" s="5"/>
    </row>
    <row r="15" spans="6:12" x14ac:dyDescent="0.25">
      <c r="F15" s="241"/>
      <c r="G15" s="6"/>
      <c r="H15" s="6"/>
      <c r="I15" s="6"/>
      <c r="J15" s="6"/>
      <c r="K15" s="6"/>
      <c r="L15" s="7"/>
    </row>
    <row r="16" spans="6:12" ht="15.75" thickBot="1" x14ac:dyDescent="0.3">
      <c r="F16" s="8"/>
      <c r="G16" s="9">
        <v>2007</v>
      </c>
      <c r="H16" s="9">
        <v>2008</v>
      </c>
      <c r="I16" s="9">
        <v>2009</v>
      </c>
      <c r="J16" s="9">
        <v>2010</v>
      </c>
      <c r="K16" s="9">
        <v>2011</v>
      </c>
      <c r="L16" s="10">
        <v>2012</v>
      </c>
    </row>
    <row r="17" spans="6:12" ht="34.5" thickBot="1" x14ac:dyDescent="0.3">
      <c r="F17" s="11" t="s">
        <v>55</v>
      </c>
      <c r="G17" s="12">
        <v>14.01</v>
      </c>
      <c r="H17" s="12">
        <v>11.17</v>
      </c>
      <c r="I17" s="12">
        <v>2.14</v>
      </c>
      <c r="J17" s="12">
        <v>3.56</v>
      </c>
      <c r="K17" s="12">
        <v>1.86</v>
      </c>
      <c r="L17" s="13">
        <v>7.63</v>
      </c>
    </row>
    <row r="18" spans="6:12" ht="23.25" thickBot="1" x14ac:dyDescent="0.3">
      <c r="F18" s="11" t="s">
        <v>56</v>
      </c>
      <c r="G18" s="12">
        <v>12.3</v>
      </c>
      <c r="H18" s="12">
        <v>11.61</v>
      </c>
      <c r="I18" s="12">
        <v>1.83</v>
      </c>
      <c r="J18" s="12">
        <v>3.94</v>
      </c>
      <c r="K18" s="12">
        <v>5.46</v>
      </c>
      <c r="L18" s="13">
        <v>6.81</v>
      </c>
    </row>
    <row r="19" spans="6:12" ht="68.25" thickBot="1" x14ac:dyDescent="0.3">
      <c r="F19" s="11" t="s">
        <v>57</v>
      </c>
      <c r="G19" s="12">
        <v>13.76</v>
      </c>
      <c r="H19" s="12">
        <v>16.690000000000001</v>
      </c>
      <c r="I19" s="12">
        <v>3.76</v>
      </c>
      <c r="J19" s="14" t="s">
        <v>58</v>
      </c>
      <c r="K19" s="12">
        <v>2.13</v>
      </c>
      <c r="L19" s="13">
        <v>6.65</v>
      </c>
    </row>
    <row r="20" spans="6:12" ht="34.5" thickBot="1" x14ac:dyDescent="0.3">
      <c r="F20" s="11" t="s">
        <v>59</v>
      </c>
      <c r="G20" s="12">
        <v>7.98</v>
      </c>
      <c r="H20" s="15" t="s">
        <v>60</v>
      </c>
      <c r="I20" s="15" t="s">
        <v>61</v>
      </c>
      <c r="J20" s="12">
        <v>18.89</v>
      </c>
      <c r="K20" s="15">
        <v>2.2799999999999998</v>
      </c>
      <c r="L20" s="13">
        <v>12.06</v>
      </c>
    </row>
    <row r="21" spans="6:12" ht="23.25" thickBot="1" x14ac:dyDescent="0.3">
      <c r="F21" s="16" t="s">
        <v>62</v>
      </c>
      <c r="G21" s="17">
        <v>8.8000000000000007</v>
      </c>
      <c r="H21" s="17">
        <v>13.92</v>
      </c>
      <c r="I21" s="17">
        <v>1.52</v>
      </c>
      <c r="J21" s="17">
        <v>3.05</v>
      </c>
      <c r="K21" s="17">
        <v>11.22</v>
      </c>
      <c r="L21" s="18">
        <v>5.12</v>
      </c>
    </row>
    <row r="26" spans="6:12" ht="15.75" thickBot="1" x14ac:dyDescent="0.3"/>
    <row r="27" spans="6:12" ht="45" x14ac:dyDescent="0.25">
      <c r="F27" s="243" t="s">
        <v>63</v>
      </c>
      <c r="G27" s="245">
        <v>2015</v>
      </c>
      <c r="H27" s="245">
        <v>2016</v>
      </c>
      <c r="I27" s="245" t="s">
        <v>64</v>
      </c>
      <c r="J27" s="245" t="s">
        <v>65</v>
      </c>
      <c r="K27" s="19" t="s">
        <v>66</v>
      </c>
    </row>
    <row r="28" spans="6:12" ht="15.75" thickBot="1" x14ac:dyDescent="0.3">
      <c r="F28" s="244"/>
      <c r="G28" s="246"/>
      <c r="H28" s="246"/>
      <c r="I28" s="246"/>
      <c r="J28" s="246"/>
      <c r="K28" s="20" t="s">
        <v>67</v>
      </c>
    </row>
    <row r="29" spans="6:12" ht="23.25" thickBot="1" x14ac:dyDescent="0.3">
      <c r="F29" s="21" t="s">
        <v>68</v>
      </c>
      <c r="G29" s="22" t="s">
        <v>69</v>
      </c>
      <c r="H29" s="22" t="s">
        <v>70</v>
      </c>
      <c r="I29" s="22">
        <v>6.4</v>
      </c>
      <c r="J29" s="22">
        <v>6.6</v>
      </c>
      <c r="K29" s="22">
        <v>0.4</v>
      </c>
    </row>
    <row r="30" spans="6:12" ht="23.25" thickBot="1" x14ac:dyDescent="0.3">
      <c r="F30" s="21" t="s">
        <v>71</v>
      </c>
      <c r="G30" s="22" t="s">
        <v>72</v>
      </c>
      <c r="H30" s="22" t="s">
        <v>73</v>
      </c>
      <c r="I30" s="22">
        <v>14.6</v>
      </c>
      <c r="J30" s="22">
        <v>12.2</v>
      </c>
      <c r="K30" s="22">
        <v>-1.9</v>
      </c>
    </row>
    <row r="31" spans="6:12" ht="23.25" thickBot="1" x14ac:dyDescent="0.3">
      <c r="F31" s="21" t="s">
        <v>74</v>
      </c>
      <c r="G31" s="23" t="s">
        <v>75</v>
      </c>
      <c r="H31" s="23" t="s">
        <v>76</v>
      </c>
      <c r="I31" s="22">
        <v>67.2</v>
      </c>
      <c r="J31" s="22">
        <v>68.599999999999994</v>
      </c>
      <c r="K31" s="22">
        <v>4.4000000000000004</v>
      </c>
    </row>
    <row r="32" spans="6:12" ht="68.25" thickBot="1" x14ac:dyDescent="0.3">
      <c r="F32" s="24" t="s">
        <v>77</v>
      </c>
      <c r="G32" s="22" t="s">
        <v>78</v>
      </c>
      <c r="H32" s="22" t="s">
        <v>79</v>
      </c>
      <c r="I32" s="22">
        <v>11.8</v>
      </c>
      <c r="J32" s="22">
        <v>12.6</v>
      </c>
      <c r="K32" s="22">
        <v>1.3</v>
      </c>
    </row>
    <row r="33" spans="6:14" ht="45.75" thickBot="1" x14ac:dyDescent="0.3">
      <c r="F33" s="25" t="s">
        <v>80</v>
      </c>
      <c r="G33" s="26" t="s">
        <v>81</v>
      </c>
      <c r="H33" s="26" t="s">
        <v>82</v>
      </c>
      <c r="I33" s="22">
        <v>100</v>
      </c>
      <c r="J33" s="22">
        <v>100</v>
      </c>
      <c r="K33" s="22">
        <v>4.3</v>
      </c>
    </row>
    <row r="41" spans="6:14" x14ac:dyDescent="0.25">
      <c r="G41">
        <v>20562</v>
      </c>
      <c r="H41">
        <v>22907</v>
      </c>
      <c r="I41">
        <f>+H41-G41</f>
        <v>2345</v>
      </c>
      <c r="N41" s="1">
        <f>+H41/G42*100-100</f>
        <v>-86.828320232762735</v>
      </c>
    </row>
    <row r="42" spans="6:14" x14ac:dyDescent="0.25">
      <c r="G42">
        <v>173911</v>
      </c>
      <c r="H42">
        <v>181355</v>
      </c>
      <c r="I42">
        <f>+H42-G42</f>
        <v>7444</v>
      </c>
      <c r="J42">
        <f>+I42/H42*100-100</f>
        <v>-95.895343387279098</v>
      </c>
      <c r="N42" s="1">
        <f>+H42/$G$42*100-100</f>
        <v>4.2803502941159479</v>
      </c>
    </row>
  </sheetData>
  <mergeCells count="7">
    <mergeCell ref="F14:F15"/>
    <mergeCell ref="I14:J14"/>
    <mergeCell ref="F27:F28"/>
    <mergeCell ref="G27:G28"/>
    <mergeCell ref="H27:H28"/>
    <mergeCell ref="I27:I28"/>
    <mergeCell ref="J27:J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J29"/>
  <sheetViews>
    <sheetView showGridLines="0" zoomScaleNormal="100" workbookViewId="0">
      <selection activeCell="E6" sqref="E6"/>
    </sheetView>
  </sheetViews>
  <sheetFormatPr defaultColWidth="8.85546875" defaultRowHeight="15" x14ac:dyDescent="0.25"/>
  <cols>
    <col min="1" max="1" width="16.140625" style="41" customWidth="1"/>
    <col min="2" max="2" width="10.85546875" style="41" bestFit="1" customWidth="1"/>
    <col min="3" max="3" width="15.7109375" style="41" bestFit="1" customWidth="1"/>
    <col min="4" max="4" width="8.85546875" style="41"/>
    <col min="5" max="5" width="14.7109375" style="41" bestFit="1" customWidth="1"/>
    <col min="6" max="16384" width="8.85546875" style="29"/>
  </cols>
  <sheetData>
    <row r="1" spans="1:10" x14ac:dyDescent="0.25">
      <c r="A1" s="238" t="s">
        <v>205</v>
      </c>
      <c r="B1" s="238"/>
      <c r="C1" s="238"/>
      <c r="D1" s="238"/>
      <c r="E1" s="238"/>
      <c r="F1" s="32"/>
      <c r="G1" s="32"/>
      <c r="H1" s="32"/>
      <c r="I1" s="32"/>
      <c r="J1" s="32"/>
    </row>
    <row r="2" spans="1:10" x14ac:dyDescent="0.25">
      <c r="A2" s="248" t="s">
        <v>0</v>
      </c>
      <c r="B2" s="248" t="s">
        <v>24</v>
      </c>
      <c r="C2" s="248"/>
      <c r="D2" s="248"/>
      <c r="E2" s="173" t="s">
        <v>193</v>
      </c>
    </row>
    <row r="3" spans="1:10" ht="38.25" customHeight="1" x14ac:dyDescent="0.25">
      <c r="A3" s="248"/>
      <c r="B3" s="248" t="s">
        <v>109</v>
      </c>
      <c r="C3" s="248"/>
      <c r="D3" s="247" t="s">
        <v>194</v>
      </c>
      <c r="E3" s="247" t="s">
        <v>196</v>
      </c>
    </row>
    <row r="4" spans="1:10" ht="24" x14ac:dyDescent="0.25">
      <c r="A4" s="248"/>
      <c r="B4" s="173" t="s">
        <v>197</v>
      </c>
      <c r="C4" s="173" t="s">
        <v>198</v>
      </c>
      <c r="D4" s="247"/>
      <c r="E4" s="247"/>
    </row>
    <row r="5" spans="1:10" x14ac:dyDescent="0.25">
      <c r="A5" s="33">
        <v>2002</v>
      </c>
      <c r="B5" s="34">
        <v>753573.7196676638</v>
      </c>
      <c r="C5" s="34"/>
      <c r="D5" s="35"/>
      <c r="E5" s="36"/>
    </row>
    <row r="6" spans="1:10" x14ac:dyDescent="0.25">
      <c r="A6" s="33">
        <v>2003</v>
      </c>
      <c r="B6" s="34">
        <v>1517650.9329025878</v>
      </c>
      <c r="C6" s="34">
        <v>779853.18944412447</v>
      </c>
      <c r="D6" s="35">
        <v>3.4873124009752132</v>
      </c>
      <c r="E6" s="35">
        <v>94.607261141595359</v>
      </c>
    </row>
    <row r="7" spans="1:10" x14ac:dyDescent="0.25">
      <c r="A7" s="33">
        <v>2004</v>
      </c>
      <c r="B7" s="34">
        <v>2255447.8717252025</v>
      </c>
      <c r="C7" s="34">
        <v>1690964.5961840819</v>
      </c>
      <c r="D7" s="35">
        <v>11.41986339045846</v>
      </c>
      <c r="E7" s="35">
        <v>33.382323723096448</v>
      </c>
    </row>
    <row r="8" spans="1:10" x14ac:dyDescent="0.25">
      <c r="A8" s="33">
        <v>2005</v>
      </c>
      <c r="B8" s="34">
        <v>3608095.3088607332</v>
      </c>
      <c r="C8" s="34">
        <v>2574701.500372163</v>
      </c>
      <c r="D8" s="35">
        <v>14.154777534395507</v>
      </c>
      <c r="E8" s="35">
        <v>40.136451093037266</v>
      </c>
    </row>
    <row r="9" spans="1:10" x14ac:dyDescent="0.25">
      <c r="A9" s="33">
        <v>2006</v>
      </c>
      <c r="B9" s="34">
        <v>4713881.5683129299</v>
      </c>
      <c r="C9" s="34">
        <v>4035359.3841178501</v>
      </c>
      <c r="D9" s="35">
        <v>11.841817875704265</v>
      </c>
      <c r="E9" s="35">
        <v>16.814417740971749</v>
      </c>
    </row>
    <row r="10" spans="1:10" x14ac:dyDescent="0.25">
      <c r="A10" s="33">
        <v>2007</v>
      </c>
      <c r="B10" s="34">
        <v>5602449.6131165465</v>
      </c>
      <c r="C10" s="34">
        <v>5326812.9259139374</v>
      </c>
      <c r="D10" s="35">
        <v>13.002688945797416</v>
      </c>
      <c r="E10" s="35">
        <v>5.1745141238523473</v>
      </c>
    </row>
    <row r="11" spans="1:10" x14ac:dyDescent="0.25">
      <c r="A11" s="33">
        <v>2008</v>
      </c>
      <c r="B11" s="34">
        <v>7412577.5303074326</v>
      </c>
      <c r="C11" s="34">
        <v>6206765.4627489187</v>
      </c>
      <c r="D11" s="35">
        <v>10.786636049658298</v>
      </c>
      <c r="E11" s="35">
        <v>19.42738250374407</v>
      </c>
    </row>
    <row r="12" spans="1:10" x14ac:dyDescent="0.25">
      <c r="A12" s="33">
        <v>2009</v>
      </c>
      <c r="B12" s="34">
        <v>6481521.7995610014</v>
      </c>
      <c r="C12" s="34">
        <v>7560502.1193748489</v>
      </c>
      <c r="D12" s="35">
        <v>1.9955890978894217</v>
      </c>
      <c r="E12" s="35">
        <v>-14.271278584114256</v>
      </c>
    </row>
    <row r="13" spans="1:10" x14ac:dyDescent="0.25">
      <c r="A13" s="33">
        <v>2010</v>
      </c>
      <c r="B13" s="34">
        <v>8781308.453843737</v>
      </c>
      <c r="C13" s="34">
        <v>6824631.8977301726</v>
      </c>
      <c r="D13" s="35">
        <v>5.2936657281999828</v>
      </c>
      <c r="E13" s="35">
        <v>28.67079991177755</v>
      </c>
    </row>
    <row r="14" spans="1:10" x14ac:dyDescent="0.25">
      <c r="A14" s="33">
        <v>2011</v>
      </c>
      <c r="B14" s="34">
        <v>11793661.418056017</v>
      </c>
      <c r="C14" s="34">
        <v>9096897.2290595472</v>
      </c>
      <c r="D14" s="35">
        <v>3.5938696024015826</v>
      </c>
      <c r="E14" s="35">
        <v>29.64487913946968</v>
      </c>
    </row>
    <row r="15" spans="1:10" x14ac:dyDescent="0.25">
      <c r="A15" s="33">
        <v>2012</v>
      </c>
      <c r="B15" s="34">
        <v>13706611.875099987</v>
      </c>
      <c r="C15" s="34">
        <v>12796490.935609754</v>
      </c>
      <c r="D15" s="35">
        <v>8.5031228386666271</v>
      </c>
      <c r="E15" s="35">
        <v>7.112269637589236</v>
      </c>
    </row>
    <row r="16" spans="1:10" x14ac:dyDescent="0.25">
      <c r="A16" s="33">
        <v>2013</v>
      </c>
      <c r="B16" s="34">
        <v>14840760.473745458</v>
      </c>
      <c r="C16" s="34">
        <v>14375914.134687081</v>
      </c>
      <c r="D16" s="35">
        <v>4.8830612968838523</v>
      </c>
      <c r="E16" s="35">
        <v>3.2335080378420429</v>
      </c>
    </row>
    <row r="17" spans="1:5" x14ac:dyDescent="0.25">
      <c r="A17" s="33">
        <v>2014</v>
      </c>
      <c r="B17" s="34">
        <v>16165667.821145903</v>
      </c>
      <c r="C17" s="34">
        <v>15531705.256073112</v>
      </c>
      <c r="D17" s="35">
        <v>4.6557235631556182</v>
      </c>
      <c r="E17" s="35">
        <v>4.0817318808242646</v>
      </c>
    </row>
    <row r="18" spans="1:5" x14ac:dyDescent="0.25">
      <c r="A18" s="33">
        <v>2015</v>
      </c>
      <c r="B18" s="34">
        <v>15807317.332586618</v>
      </c>
      <c r="C18" s="34">
        <v>16289040.59477745</v>
      </c>
      <c r="D18" s="35">
        <v>0.76317771091500219</v>
      </c>
      <c r="E18" s="35">
        <v>-2.9573458264035537</v>
      </c>
    </row>
    <row r="19" spans="1:5" x14ac:dyDescent="0.25">
      <c r="A19" s="33">
        <v>2016</v>
      </c>
      <c r="B19" s="34">
        <v>19061544.001559764</v>
      </c>
      <c r="C19" s="34">
        <v>15770474.118711412</v>
      </c>
      <c r="D19" s="35">
        <v>-0.23307695480532686</v>
      </c>
      <c r="E19" s="35">
        <v>20.868553843562324</v>
      </c>
    </row>
    <row r="20" spans="1:5" x14ac:dyDescent="0.25">
      <c r="A20" s="33">
        <v>2017</v>
      </c>
      <c r="B20" s="34">
        <v>23545238.499076653</v>
      </c>
      <c r="C20" s="34">
        <v>19030151.800747477</v>
      </c>
      <c r="D20" s="35">
        <v>-0.1646886569614594</v>
      </c>
      <c r="E20" s="35">
        <v>23.725962596640088</v>
      </c>
    </row>
    <row r="21" spans="1:5" x14ac:dyDescent="0.25">
      <c r="A21" s="33">
        <v>2018</v>
      </c>
      <c r="B21" s="34">
        <v>29193781.124393627</v>
      </c>
      <c r="C21" s="34">
        <v>23425935.353963267</v>
      </c>
      <c r="D21" s="35">
        <v>-0.5066975436161556</v>
      </c>
      <c r="E21" s="35">
        <v>24.621624209573085</v>
      </c>
    </row>
    <row r="22" spans="1:5" x14ac:dyDescent="0.25">
      <c r="A22" s="33">
        <v>2019</v>
      </c>
      <c r="B22" s="34">
        <v>34735034.830974549</v>
      </c>
      <c r="C22" s="34">
        <v>28885718.377769113</v>
      </c>
      <c r="D22" s="35">
        <v>-1.0552341449429576</v>
      </c>
      <c r="E22" s="35">
        <v>20.249856267058107</v>
      </c>
    </row>
    <row r="23" spans="1:5" x14ac:dyDescent="0.25">
      <c r="A23" s="33">
        <v>2020</v>
      </c>
      <c r="B23" s="34">
        <v>38243646.975385547</v>
      </c>
      <c r="C23" s="34">
        <v>32903285.797016002</v>
      </c>
      <c r="D23" s="35">
        <v>-5.2734912830002685</v>
      </c>
      <c r="E23" s="35">
        <v>16.230479871569116</v>
      </c>
    </row>
    <row r="24" spans="1:5" x14ac:dyDescent="0.25">
      <c r="A24" s="33">
        <v>2021</v>
      </c>
      <c r="B24" s="34">
        <v>52423748.376100779</v>
      </c>
      <c r="C24" s="34">
        <v>38660725.955373593</v>
      </c>
      <c r="D24" s="35">
        <v>1.0905836994481461</v>
      </c>
      <c r="E24" s="35">
        <v>35.599492975413767</v>
      </c>
    </row>
    <row r="25" spans="1:5" x14ac:dyDescent="0.25">
      <c r="A25" s="33">
        <v>2022</v>
      </c>
      <c r="B25" s="34">
        <v>64097477.461436242</v>
      </c>
      <c r="C25" s="34">
        <v>54288719.065676972</v>
      </c>
      <c r="D25" s="35">
        <v>3.5574920667565237</v>
      </c>
      <c r="E25" s="35">
        <v>18.067765393198741</v>
      </c>
    </row>
    <row r="26" spans="1:5" x14ac:dyDescent="0.25">
      <c r="A26" s="33">
        <v>2023</v>
      </c>
      <c r="B26" s="34">
        <v>77499867.642644659</v>
      </c>
      <c r="C26" s="34">
        <v>64943670.482932478</v>
      </c>
      <c r="D26" s="35">
        <v>1.3201658708103423</v>
      </c>
      <c r="E26" s="35">
        <v>19.333981381622124</v>
      </c>
    </row>
    <row r="27" spans="1:5" x14ac:dyDescent="0.25">
      <c r="A27" s="33">
        <v>2024</v>
      </c>
      <c r="B27" s="34">
        <v>104011087.80858116</v>
      </c>
      <c r="C27" s="34">
        <v>81338187.005711645</v>
      </c>
      <c r="D27" s="35">
        <v>4.9526786042598729</v>
      </c>
      <c r="E27" s="35">
        <v>27.87485391244013</v>
      </c>
    </row>
    <row r="28" spans="1:5" x14ac:dyDescent="0.25">
      <c r="A28" s="37" t="s">
        <v>23</v>
      </c>
      <c r="B28" s="38"/>
      <c r="C28" s="38"/>
      <c r="D28" s="39"/>
      <c r="E28" s="38"/>
    </row>
    <row r="29" spans="1:5" x14ac:dyDescent="0.25">
      <c r="A29" s="40"/>
    </row>
  </sheetData>
  <mergeCells count="6">
    <mergeCell ref="A1:E1"/>
    <mergeCell ref="E3:E4"/>
    <mergeCell ref="A2:A4"/>
    <mergeCell ref="B2:D2"/>
    <mergeCell ref="B3:C3"/>
    <mergeCell ref="D3:D4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5876-4558-4CE0-ABAF-49F83A536125}">
  <sheetPr>
    <tabColor theme="0"/>
  </sheetPr>
  <dimension ref="A1:I29"/>
  <sheetViews>
    <sheetView showGridLines="0" zoomScaleNormal="100" workbookViewId="0">
      <selection activeCell="F6" sqref="F6:F27"/>
    </sheetView>
  </sheetViews>
  <sheetFormatPr defaultColWidth="8.85546875" defaultRowHeight="15" x14ac:dyDescent="0.25"/>
  <cols>
    <col min="1" max="1" width="10.7109375" style="41" customWidth="1"/>
    <col min="2" max="2" width="12.7109375" style="41" bestFit="1" customWidth="1"/>
    <col min="3" max="3" width="9.42578125" style="41" bestFit="1" customWidth="1"/>
    <col min="4" max="4" width="10.28515625" style="41" bestFit="1" customWidth="1"/>
    <col min="5" max="16384" width="8.85546875" style="29"/>
  </cols>
  <sheetData>
    <row r="1" spans="1:9" x14ac:dyDescent="0.25">
      <c r="A1" s="238" t="s">
        <v>206</v>
      </c>
      <c r="B1" s="238"/>
      <c r="C1" s="238"/>
      <c r="D1" s="238"/>
      <c r="E1" s="32"/>
      <c r="F1" s="32"/>
      <c r="G1" s="32"/>
      <c r="H1" s="32"/>
      <c r="I1" s="32"/>
    </row>
    <row r="2" spans="1:9" x14ac:dyDescent="0.25">
      <c r="A2" s="248" t="s">
        <v>0</v>
      </c>
      <c r="B2" s="248" t="s">
        <v>192</v>
      </c>
      <c r="C2" s="248"/>
      <c r="D2" s="248"/>
    </row>
    <row r="3" spans="1:9" ht="38.25" customHeight="1" x14ac:dyDescent="0.25">
      <c r="A3" s="248"/>
      <c r="B3" s="248" t="s">
        <v>195</v>
      </c>
      <c r="C3" s="248"/>
      <c r="D3" s="247" t="s">
        <v>194</v>
      </c>
    </row>
    <row r="4" spans="1:9" ht="36" x14ac:dyDescent="0.25">
      <c r="A4" s="248"/>
      <c r="B4" s="173" t="s">
        <v>197</v>
      </c>
      <c r="C4" s="173" t="s">
        <v>198</v>
      </c>
      <c r="D4" s="247"/>
    </row>
    <row r="5" spans="1:9" x14ac:dyDescent="0.25">
      <c r="A5" s="33">
        <v>2002</v>
      </c>
      <c r="B5" s="34">
        <v>55490.025587117198</v>
      </c>
      <c r="C5" s="34"/>
      <c r="D5" s="36"/>
    </row>
    <row r="6" spans="1:9" x14ac:dyDescent="0.25">
      <c r="A6" s="33">
        <v>2003</v>
      </c>
      <c r="B6" s="34">
        <v>107759.56661510395</v>
      </c>
      <c r="C6" s="34">
        <v>55372.839627344925</v>
      </c>
      <c r="D6" s="35">
        <v>-0.21118382724169749</v>
      </c>
    </row>
    <row r="7" spans="1:9" x14ac:dyDescent="0.25">
      <c r="A7" s="33">
        <v>2004</v>
      </c>
      <c r="B7" s="34">
        <v>155336.34024399868</v>
      </c>
      <c r="C7" s="34">
        <v>116459.46472373586</v>
      </c>
      <c r="D7" s="35">
        <v>8.0734345746825937</v>
      </c>
    </row>
    <row r="8" spans="1:9" x14ac:dyDescent="0.25">
      <c r="A8" s="33">
        <v>2005</v>
      </c>
      <c r="B8" s="34">
        <v>241373.58903898962</v>
      </c>
      <c r="C8" s="34">
        <v>172241.83084152782</v>
      </c>
      <c r="D8" s="35">
        <v>10.883152371798104</v>
      </c>
    </row>
    <row r="9" spans="1:9" x14ac:dyDescent="0.25">
      <c r="A9" s="33">
        <v>2006</v>
      </c>
      <c r="B9" s="34">
        <v>305893.49506164854</v>
      </c>
      <c r="C9" s="34">
        <v>261862.79140640597</v>
      </c>
      <c r="D9" s="35">
        <v>8.4885850390643611</v>
      </c>
    </row>
    <row r="10" spans="1:9" x14ac:dyDescent="0.25">
      <c r="A10" s="33">
        <v>2007</v>
      </c>
      <c r="B10" s="34">
        <v>352608.96968162694</v>
      </c>
      <c r="C10" s="34">
        <v>335260.84966401511</v>
      </c>
      <c r="D10" s="35">
        <v>9.6005162177273462</v>
      </c>
    </row>
    <row r="11" spans="1:9" x14ac:dyDescent="0.25">
      <c r="A11" s="33">
        <v>2008</v>
      </c>
      <c r="B11" s="34">
        <v>452873.4039049304</v>
      </c>
      <c r="C11" s="34">
        <v>379203.99359898281</v>
      </c>
      <c r="D11" s="35">
        <v>7.5423560385797117</v>
      </c>
    </row>
    <row r="12" spans="1:9" x14ac:dyDescent="0.25">
      <c r="A12" s="33">
        <v>2009</v>
      </c>
      <c r="B12" s="34">
        <v>383775.01898358081</v>
      </c>
      <c r="C12" s="34">
        <v>447662.12845029833</v>
      </c>
      <c r="D12" s="35">
        <v>-1.1507135128045718</v>
      </c>
    </row>
    <row r="13" spans="1:9" x14ac:dyDescent="0.25">
      <c r="A13" s="33">
        <v>2010</v>
      </c>
      <c r="B13" s="34">
        <v>507349.52563095995</v>
      </c>
      <c r="C13" s="34">
        <v>394300.43644620338</v>
      </c>
      <c r="D13" s="35">
        <v>2.7426009880733915</v>
      </c>
    </row>
    <row r="14" spans="1:9" x14ac:dyDescent="0.25">
      <c r="A14" s="33">
        <v>2011</v>
      </c>
      <c r="B14" s="34">
        <v>663524.66124047141</v>
      </c>
      <c r="C14" s="34">
        <v>511801.67365242646</v>
      </c>
      <c r="D14" s="35">
        <v>0.87753073503510848</v>
      </c>
    </row>
    <row r="15" spans="1:9" x14ac:dyDescent="0.25">
      <c r="A15" s="33">
        <v>2012</v>
      </c>
      <c r="B15" s="34">
        <v>751445.71904119023</v>
      </c>
      <c r="C15" s="34">
        <v>701549.61852986726</v>
      </c>
      <c r="D15" s="35">
        <v>5.7307526774223305</v>
      </c>
    </row>
    <row r="16" spans="1:9" x14ac:dyDescent="0.25">
      <c r="A16" s="33">
        <v>2013</v>
      </c>
      <c r="B16" s="34">
        <v>793352.8129401647</v>
      </c>
      <c r="C16" s="34">
        <v>768503.20019091805</v>
      </c>
      <c r="D16" s="35">
        <v>2.269955196696344</v>
      </c>
    </row>
    <row r="17" spans="1:4" x14ac:dyDescent="0.25">
      <c r="A17" s="33">
        <v>2014</v>
      </c>
      <c r="B17" s="34">
        <v>624128.57533474348</v>
      </c>
      <c r="C17" s="34">
        <v>599652.37324200536</v>
      </c>
      <c r="D17" s="35">
        <v>-24.415422311330275</v>
      </c>
    </row>
    <row r="18" spans="1:4" x14ac:dyDescent="0.25">
      <c r="A18" s="33">
        <v>2015</v>
      </c>
      <c r="B18" s="34">
        <v>592442.85413975024</v>
      </c>
      <c r="C18" s="34">
        <v>610497.37271195045</v>
      </c>
      <c r="D18" s="35">
        <v>-2.184037578391937</v>
      </c>
    </row>
    <row r="19" spans="1:4" x14ac:dyDescent="0.25">
      <c r="A19" s="33">
        <v>2016</v>
      </c>
      <c r="B19" s="34">
        <v>693058.19194090844</v>
      </c>
      <c r="C19" s="34">
        <v>573398.26605182956</v>
      </c>
      <c r="D19" s="35">
        <v>-3.2145865132552132</v>
      </c>
    </row>
    <row r="20" spans="1:4" x14ac:dyDescent="0.25">
      <c r="A20" s="33">
        <v>2017</v>
      </c>
      <c r="B20" s="34">
        <v>830237.74210473418</v>
      </c>
      <c r="C20" s="34">
        <v>671029.52741729585</v>
      </c>
      <c r="D20" s="35">
        <v>-3.1784725698027358</v>
      </c>
    </row>
    <row r="21" spans="1:4" x14ac:dyDescent="0.25">
      <c r="A21" s="33">
        <v>2018</v>
      </c>
      <c r="B21" s="34">
        <v>998077.68005793192</v>
      </c>
      <c r="C21" s="34">
        <v>800886.43234138028</v>
      </c>
      <c r="D21" s="35">
        <v>-3.5352897459160886</v>
      </c>
    </row>
    <row r="22" spans="1:4" x14ac:dyDescent="0.25">
      <c r="A22" s="33">
        <v>2019</v>
      </c>
      <c r="B22" s="34">
        <v>1151098.5343325622</v>
      </c>
      <c r="C22" s="34">
        <v>957255.6425981361</v>
      </c>
      <c r="D22" s="35">
        <v>-4.0900661617266394</v>
      </c>
    </row>
    <row r="23" spans="1:4" x14ac:dyDescent="0.25">
      <c r="A23" s="33">
        <v>2020</v>
      </c>
      <c r="B23" s="34">
        <v>1228605.9978456965</v>
      </c>
      <c r="C23" s="34">
        <v>1057042.8679321173</v>
      </c>
      <c r="D23" s="35">
        <v>-8.1709483241572372</v>
      </c>
    </row>
    <row r="24" spans="1:4" x14ac:dyDescent="0.25">
      <c r="A24" s="33">
        <v>2021</v>
      </c>
      <c r="B24" s="34">
        <v>1633257.0788734416</v>
      </c>
      <c r="C24" s="34">
        <v>1204471.3759877966</v>
      </c>
      <c r="D24" s="35">
        <v>-1.9643906915820679</v>
      </c>
    </row>
    <row r="25" spans="1:4" x14ac:dyDescent="0.25">
      <c r="A25" s="33">
        <v>2022</v>
      </c>
      <c r="B25" s="34">
        <v>1937282.8053199651</v>
      </c>
      <c r="C25" s="34">
        <v>1640822.7926295297</v>
      </c>
      <c r="D25" s="35">
        <v>0.46322859113561776</v>
      </c>
    </row>
    <row r="26" spans="1:4" x14ac:dyDescent="0.25">
      <c r="A26" s="33">
        <v>2023</v>
      </c>
      <c r="B26" s="34">
        <v>2273118.220582556</v>
      </c>
      <c r="C26" s="34">
        <v>1904837.3265225065</v>
      </c>
      <c r="D26" s="35">
        <v>-1.674793102398894</v>
      </c>
    </row>
    <row r="27" spans="1:4" x14ac:dyDescent="0.25">
      <c r="A27" s="33">
        <v>2024</v>
      </c>
      <c r="B27" s="34">
        <v>2841469.6199760335</v>
      </c>
      <c r="C27" s="34">
        <v>2222070.6675619544</v>
      </c>
      <c r="D27" s="35">
        <v>-2.2457060331652769</v>
      </c>
    </row>
    <row r="28" spans="1:4" x14ac:dyDescent="0.25">
      <c r="A28" s="37" t="s">
        <v>23</v>
      </c>
      <c r="B28" s="38"/>
      <c r="C28" s="38"/>
      <c r="D28" s="38"/>
    </row>
    <row r="29" spans="1:4" x14ac:dyDescent="0.25">
      <c r="A29" s="40"/>
    </row>
  </sheetData>
  <mergeCells count="5">
    <mergeCell ref="A1:D1"/>
    <mergeCell ref="A2:A4"/>
    <mergeCell ref="B2:D2"/>
    <mergeCell ref="B3:C3"/>
    <mergeCell ref="D3:D4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showGridLines="0" workbookViewId="0">
      <pane xSplit="1" ySplit="5" topLeftCell="D6" activePane="bottomRight" state="frozen"/>
      <selection activeCell="P14" sqref="P14"/>
      <selection pane="topRight" activeCell="P14" sqref="P14"/>
      <selection pane="bottomLeft" activeCell="P14" sqref="P14"/>
      <selection pane="bottomRight" activeCell="L42" sqref="L42"/>
    </sheetView>
  </sheetViews>
  <sheetFormatPr defaultColWidth="8.85546875" defaultRowHeight="12" x14ac:dyDescent="0.2"/>
  <cols>
    <col min="1" max="1" width="57.7109375" style="41" bestFit="1" customWidth="1"/>
    <col min="2" max="7" width="9.140625" style="41" bestFit="1" customWidth="1"/>
    <col min="8" max="22" width="10" style="41" bestFit="1" customWidth="1"/>
    <col min="23" max="24" width="10.85546875" style="41" bestFit="1" customWidth="1"/>
    <col min="25" max="16384" width="8.85546875" style="41"/>
  </cols>
  <sheetData>
    <row r="1" spans="1:24" x14ac:dyDescent="0.2">
      <c r="A1" s="238" t="s">
        <v>199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42"/>
      <c r="P1" s="42"/>
      <c r="Q1" s="43"/>
      <c r="R1" s="42"/>
    </row>
    <row r="2" spans="1:24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3"/>
      <c r="R2" s="45"/>
    </row>
    <row r="3" spans="1:24" x14ac:dyDescent="0.2">
      <c r="A3" s="82"/>
      <c r="B3" s="239" t="s">
        <v>45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</row>
    <row r="4" spans="1:24" x14ac:dyDescent="0.2">
      <c r="A4" s="82" t="s">
        <v>46</v>
      </c>
      <c r="B4" s="57">
        <v>2002</v>
      </c>
      <c r="C4" s="57">
        <v>2003</v>
      </c>
      <c r="D4" s="57">
        <v>2004</v>
      </c>
      <c r="E4" s="57">
        <v>2005</v>
      </c>
      <c r="F4" s="57">
        <v>2006</v>
      </c>
      <c r="G4" s="57">
        <v>2007</v>
      </c>
      <c r="H4" s="57">
        <v>2008</v>
      </c>
      <c r="I4" s="58">
        <v>2009</v>
      </c>
      <c r="J4" s="58">
        <v>2010</v>
      </c>
      <c r="K4" s="58">
        <v>2011</v>
      </c>
      <c r="L4" s="58">
        <v>2012</v>
      </c>
      <c r="M4" s="58">
        <v>2013</v>
      </c>
      <c r="N4" s="58">
        <v>2014</v>
      </c>
      <c r="O4" s="58">
        <v>2015</v>
      </c>
      <c r="P4" s="58">
        <v>2016</v>
      </c>
      <c r="Q4" s="58">
        <v>2017</v>
      </c>
      <c r="R4" s="58">
        <v>2018</v>
      </c>
      <c r="S4" s="58">
        <v>2019</v>
      </c>
      <c r="T4" s="58">
        <v>2020</v>
      </c>
      <c r="U4" s="58">
        <v>2021</v>
      </c>
      <c r="V4" s="58">
        <v>2022</v>
      </c>
      <c r="W4" s="58">
        <v>2023</v>
      </c>
      <c r="X4" s="58">
        <v>2024</v>
      </c>
    </row>
    <row r="5" spans="1:24" x14ac:dyDescent="0.2">
      <c r="A5" s="237" t="s">
        <v>44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x14ac:dyDescent="0.2">
      <c r="A6" s="46" t="s">
        <v>24</v>
      </c>
      <c r="B6" s="47">
        <v>753573.71966766368</v>
      </c>
      <c r="C6" s="47">
        <v>1517650.9329025878</v>
      </c>
      <c r="D6" s="47">
        <v>2255447.8717252025</v>
      </c>
      <c r="E6" s="47">
        <v>3608095.3088607341</v>
      </c>
      <c r="F6" s="47">
        <v>4713881.5683129281</v>
      </c>
      <c r="G6" s="47">
        <v>5602449.6131165475</v>
      </c>
      <c r="H6" s="47">
        <v>7412577.5303074298</v>
      </c>
      <c r="I6" s="47">
        <v>6481521.7995609995</v>
      </c>
      <c r="J6" s="47">
        <v>8781308.4538437314</v>
      </c>
      <c r="K6" s="47">
        <v>11793661.418056015</v>
      </c>
      <c r="L6" s="47">
        <v>13706611.875099985</v>
      </c>
      <c r="M6" s="47">
        <v>14840760.473745467</v>
      </c>
      <c r="N6" s="47">
        <v>16165667.821145907</v>
      </c>
      <c r="O6" s="47">
        <v>15807317.332586613</v>
      </c>
      <c r="P6" s="47">
        <v>19061544.001559757</v>
      </c>
      <c r="Q6" s="47">
        <v>23545238.499076664</v>
      </c>
      <c r="R6" s="47">
        <v>29193781.124393627</v>
      </c>
      <c r="S6" s="47">
        <v>34735034.830974534</v>
      </c>
      <c r="T6" s="47">
        <v>38243646.975385562</v>
      </c>
      <c r="U6" s="47">
        <v>52423748.376100808</v>
      </c>
      <c r="V6" s="47">
        <v>64097477.461436227</v>
      </c>
      <c r="W6" s="47">
        <v>77499867.642644644</v>
      </c>
      <c r="X6" s="47">
        <v>104011087.80858114</v>
      </c>
    </row>
    <row r="7" spans="1:24" x14ac:dyDescent="0.2">
      <c r="A7" s="90" t="s">
        <v>43</v>
      </c>
      <c r="B7" s="91">
        <v>1169123.5334933773</v>
      </c>
      <c r="C7" s="91">
        <v>2341485.5670884852</v>
      </c>
      <c r="D7" s="91">
        <v>3405693.1332969205</v>
      </c>
      <c r="E7" s="91">
        <v>5350434.1607401818</v>
      </c>
      <c r="F7" s="91">
        <v>6787589.0509170387</v>
      </c>
      <c r="G7" s="91">
        <v>8347419.9566926295</v>
      </c>
      <c r="H7" s="91">
        <v>11379173.348549157</v>
      </c>
      <c r="I7" s="91">
        <v>10635342.449299892</v>
      </c>
      <c r="J7" s="91">
        <v>13675895.874291895</v>
      </c>
      <c r="K7" s="91">
        <v>17943312.957916867</v>
      </c>
      <c r="L7" s="91">
        <v>20776623.842132233</v>
      </c>
      <c r="M7" s="91">
        <v>23107584.317890022</v>
      </c>
      <c r="N7" s="91">
        <v>24139235.500804182</v>
      </c>
      <c r="O7" s="91">
        <v>22945882.83597881</v>
      </c>
      <c r="P7" s="91">
        <v>27348448.071868815</v>
      </c>
      <c r="Q7" s="91">
        <v>33397158.420678478</v>
      </c>
      <c r="R7" s="91">
        <v>41616913.661581784</v>
      </c>
      <c r="S7" s="91">
        <v>50186371.001146853</v>
      </c>
      <c r="T7" s="91">
        <v>55579583.154767819</v>
      </c>
      <c r="U7" s="91">
        <v>78491020.722310945</v>
      </c>
      <c r="V7" s="91">
        <v>97798263.04466401</v>
      </c>
      <c r="W7" s="91">
        <v>118034353.82079528</v>
      </c>
      <c r="X7" s="91">
        <v>155177836.78500468</v>
      </c>
    </row>
    <row r="8" spans="1:24" x14ac:dyDescent="0.2">
      <c r="A8" s="92" t="s">
        <v>42</v>
      </c>
      <c r="B8" s="91">
        <v>22391</v>
      </c>
      <c r="C8" s="91">
        <v>52751</v>
      </c>
      <c r="D8" s="91">
        <v>74060</v>
      </c>
      <c r="E8" s="91">
        <v>95625</v>
      </c>
      <c r="F8" s="91">
        <v>123082</v>
      </c>
      <c r="G8" s="91">
        <v>167460</v>
      </c>
      <c r="H8" s="91">
        <v>267866</v>
      </c>
      <c r="I8" s="91">
        <v>267866</v>
      </c>
      <c r="J8" s="91">
        <v>294851.92054790258</v>
      </c>
      <c r="K8" s="91">
        <v>310398.230406655</v>
      </c>
      <c r="L8" s="91">
        <v>316064</v>
      </c>
      <c r="M8" s="91">
        <v>373928</v>
      </c>
      <c r="N8" s="91">
        <v>430590.58713054383</v>
      </c>
      <c r="O8" s="91">
        <v>471057.30780678283</v>
      </c>
      <c r="P8" s="91">
        <v>578391.97297271993</v>
      </c>
      <c r="Q8" s="91">
        <v>712196.30225422245</v>
      </c>
      <c r="R8" s="91">
        <v>939632.2912147101</v>
      </c>
      <c r="S8" s="91">
        <v>814130.29810387013</v>
      </c>
      <c r="T8" s="91">
        <v>1463757.8480866</v>
      </c>
      <c r="U8" s="91">
        <v>1826380.4358501898</v>
      </c>
      <c r="V8" s="91">
        <v>2080833.7340851002</v>
      </c>
      <c r="W8" s="91">
        <v>2193461.2645629905</v>
      </c>
      <c r="X8" s="91">
        <v>2620111.792964471</v>
      </c>
    </row>
    <row r="9" spans="1:24" x14ac:dyDescent="0.2">
      <c r="A9" s="90" t="s">
        <v>41</v>
      </c>
      <c r="B9" s="91">
        <v>17017</v>
      </c>
      <c r="C9" s="91">
        <v>48975</v>
      </c>
      <c r="D9" s="91">
        <v>82521</v>
      </c>
      <c r="E9" s="91">
        <v>102444</v>
      </c>
      <c r="F9" s="91">
        <v>113956</v>
      </c>
      <c r="G9" s="91">
        <v>202100</v>
      </c>
      <c r="H9" s="91">
        <v>137956</v>
      </c>
      <c r="I9" s="91">
        <v>137956</v>
      </c>
      <c r="J9" s="91">
        <v>211196</v>
      </c>
      <c r="K9" s="91">
        <v>257891</v>
      </c>
      <c r="L9" s="91">
        <v>482048</v>
      </c>
      <c r="M9" s="91">
        <v>552903</v>
      </c>
      <c r="N9" s="91">
        <v>354302.538115868</v>
      </c>
      <c r="O9" s="91">
        <v>224397.89211851</v>
      </c>
      <c r="P9" s="91">
        <v>71147.677938869994</v>
      </c>
      <c r="Q9" s="91">
        <v>53677.405404979996</v>
      </c>
      <c r="R9" s="91">
        <v>48173.142954089999</v>
      </c>
      <c r="S9" s="91">
        <v>35803.436061610002</v>
      </c>
      <c r="T9" s="91">
        <v>560671.89931941405</v>
      </c>
      <c r="U9" s="91">
        <v>1251263.1963042</v>
      </c>
      <c r="V9" s="91">
        <v>1990241.69541605</v>
      </c>
      <c r="W9" s="91">
        <v>2321335.87132063</v>
      </c>
      <c r="X9" s="91">
        <v>2666351.6848179102</v>
      </c>
    </row>
    <row r="10" spans="1:24" x14ac:dyDescent="0.2">
      <c r="A10" s="90" t="s">
        <v>40</v>
      </c>
      <c r="B10" s="91">
        <v>420923.81382571359</v>
      </c>
      <c r="C10" s="91">
        <v>827610.63418589742</v>
      </c>
      <c r="D10" s="91">
        <v>1141784.2615717181</v>
      </c>
      <c r="E10" s="91">
        <v>1735519.8518794479</v>
      </c>
      <c r="F10" s="91">
        <v>2082833.4826041108</v>
      </c>
      <c r="G10" s="91">
        <v>2710330.3435760806</v>
      </c>
      <c r="H10" s="91">
        <v>4096505.8182417275</v>
      </c>
      <c r="I10" s="91">
        <v>4283730.6497388929</v>
      </c>
      <c r="J10" s="91">
        <v>4978243.3409960652</v>
      </c>
      <c r="K10" s="91">
        <v>6202158.7702675052</v>
      </c>
      <c r="L10" s="91">
        <v>6904027.9670322482</v>
      </c>
      <c r="M10" s="91">
        <v>8087848.8441445548</v>
      </c>
      <c r="N10" s="91">
        <v>8049855.7286729524</v>
      </c>
      <c r="O10" s="91">
        <v>7385224.9190804688</v>
      </c>
      <c r="P10" s="91">
        <v>8794148.3653429095</v>
      </c>
      <c r="Q10" s="91">
        <v>10510438.818451062</v>
      </c>
      <c r="R10" s="91">
        <v>13314591.685448783</v>
      </c>
      <c r="S10" s="91">
        <v>16229663.032214573</v>
      </c>
      <c r="T10" s="91">
        <v>18239022.12814945</v>
      </c>
      <c r="U10" s="91">
        <v>26642389.585756127</v>
      </c>
      <c r="V10" s="91">
        <v>33791377.621896833</v>
      </c>
      <c r="W10" s="91">
        <v>40406611.571392991</v>
      </c>
      <c r="X10" s="91">
        <v>51120509.08457008</v>
      </c>
    </row>
    <row r="11" spans="1:24" x14ac:dyDescent="0.2">
      <c r="A11" s="90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</row>
    <row r="12" spans="1:24" x14ac:dyDescent="0.2">
      <c r="A12" s="237" t="s">
        <v>39</v>
      </c>
      <c r="B12" s="237"/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</row>
    <row r="13" spans="1:24" x14ac:dyDescent="0.2">
      <c r="A13" s="46" t="s">
        <v>24</v>
      </c>
      <c r="B13" s="47">
        <v>753573.7196676638</v>
      </c>
      <c r="C13" s="47">
        <v>1517650.932902588</v>
      </c>
      <c r="D13" s="47">
        <v>2255447.8717252021</v>
      </c>
      <c r="E13" s="47">
        <v>3608095.3088607332</v>
      </c>
      <c r="F13" s="47">
        <v>4713881.5683129281</v>
      </c>
      <c r="G13" s="47">
        <v>5602449.6131165493</v>
      </c>
      <c r="H13" s="47">
        <v>7412577.5303074298</v>
      </c>
      <c r="I13" s="47">
        <v>6481521.7995610004</v>
      </c>
      <c r="J13" s="47">
        <v>8781308.4538437314</v>
      </c>
      <c r="K13" s="47">
        <v>11793661.418056017</v>
      </c>
      <c r="L13" s="47">
        <v>13706611.875099987</v>
      </c>
      <c r="M13" s="47">
        <v>14840760.473745465</v>
      </c>
      <c r="N13" s="47">
        <v>16165667.821145911</v>
      </c>
      <c r="O13" s="47">
        <v>15807317.332586624</v>
      </c>
      <c r="P13" s="47">
        <v>19061544.00155976</v>
      </c>
      <c r="Q13" s="47">
        <v>23545238.499076657</v>
      </c>
      <c r="R13" s="47">
        <v>29193781.12439362</v>
      </c>
      <c r="S13" s="47">
        <v>34735034.830974542</v>
      </c>
      <c r="T13" s="47">
        <v>38243646.975385562</v>
      </c>
      <c r="U13" s="47">
        <v>52423748.376100808</v>
      </c>
      <c r="V13" s="47">
        <v>64097477.461436242</v>
      </c>
      <c r="W13" s="47">
        <v>77499867.642644629</v>
      </c>
      <c r="X13" s="47">
        <v>104011087.80858114</v>
      </c>
    </row>
    <row r="14" spans="1:24" x14ac:dyDescent="0.2">
      <c r="A14" s="90" t="s">
        <v>38</v>
      </c>
      <c r="B14" s="91">
        <v>465720.44337236998</v>
      </c>
      <c r="C14" s="91">
        <v>997777.16207372735</v>
      </c>
      <c r="D14" s="91">
        <v>1253901.5922121366</v>
      </c>
      <c r="E14" s="91">
        <v>1799751.5681219287</v>
      </c>
      <c r="F14" s="91">
        <v>2205597.1579990825</v>
      </c>
      <c r="G14" s="91">
        <v>2685382.5583293503</v>
      </c>
      <c r="H14" s="91">
        <v>3526287.6688592695</v>
      </c>
      <c r="I14" s="91">
        <v>3782081.2328544408</v>
      </c>
      <c r="J14" s="91">
        <v>4693187.6969971275</v>
      </c>
      <c r="K14" s="91">
        <v>6301310.1220284207</v>
      </c>
      <c r="L14" s="91">
        <v>7390165.9251080491</v>
      </c>
      <c r="M14" s="91">
        <v>8888338.6958683971</v>
      </c>
      <c r="N14" s="91">
        <v>10778945.728653407</v>
      </c>
      <c r="O14" s="91">
        <v>11629903.016161188</v>
      </c>
      <c r="P14" s="91">
        <v>12969275.484536789</v>
      </c>
      <c r="Q14" s="91">
        <v>15556490.985070495</v>
      </c>
      <c r="R14" s="91">
        <v>18286696.17266044</v>
      </c>
      <c r="S14" s="91">
        <v>21513137.368223906</v>
      </c>
      <c r="T14" s="91">
        <v>27299495.587905701</v>
      </c>
      <c r="U14" s="91">
        <v>34651321.323271833</v>
      </c>
      <c r="V14" s="91">
        <v>44871344.609868728</v>
      </c>
      <c r="W14" s="91">
        <v>58767686.415394947</v>
      </c>
      <c r="X14" s="91">
        <v>80558835.383340254</v>
      </c>
    </row>
    <row r="15" spans="1:24" x14ac:dyDescent="0.2">
      <c r="A15" s="90" t="s">
        <v>37</v>
      </c>
      <c r="B15" s="91">
        <v>311423.46643128491</v>
      </c>
      <c r="C15" s="91">
        <v>645851.7304024644</v>
      </c>
      <c r="D15" s="91">
        <v>912142.56305815303</v>
      </c>
      <c r="E15" s="91">
        <v>1173844.6385281279</v>
      </c>
      <c r="F15" s="91">
        <v>1423088.9653897462</v>
      </c>
      <c r="G15" s="91">
        <v>1742809.5134613391</v>
      </c>
      <c r="H15" s="91">
        <v>2173277.2595780911</v>
      </c>
      <c r="I15" s="91">
        <v>2436930.4293098096</v>
      </c>
      <c r="J15" s="91">
        <v>3102372.7696829825</v>
      </c>
      <c r="K15" s="91">
        <v>3981298.0350596672</v>
      </c>
      <c r="L15" s="91">
        <v>4746972.1205658149</v>
      </c>
      <c r="M15" s="91">
        <v>5432537.2637939053</v>
      </c>
      <c r="N15" s="91">
        <v>7656319.0922099538</v>
      </c>
      <c r="O15" s="91">
        <v>8846345.1370982323</v>
      </c>
      <c r="P15" s="91">
        <v>10176115.682298677</v>
      </c>
      <c r="Q15" s="91">
        <v>12629865.606745698</v>
      </c>
      <c r="R15" s="91">
        <v>15009958.996272627</v>
      </c>
      <c r="S15" s="91">
        <v>16799959.517641578</v>
      </c>
      <c r="T15" s="91">
        <v>21423847.94509745</v>
      </c>
      <c r="U15" s="91">
        <v>26771041.013848878</v>
      </c>
      <c r="V15" s="91">
        <v>33686727.922315836</v>
      </c>
      <c r="W15" s="91">
        <v>45581659.674145155</v>
      </c>
      <c r="X15" s="91">
        <v>64046851.079839364</v>
      </c>
    </row>
    <row r="16" spans="1:24" x14ac:dyDescent="0.2">
      <c r="A16" s="90" t="s">
        <v>50</v>
      </c>
      <c r="B16" s="91">
        <v>555.12170813069417</v>
      </c>
      <c r="C16" s="91">
        <v>1147.3229503147475</v>
      </c>
      <c r="D16" s="91">
        <v>1645.695766182728</v>
      </c>
      <c r="E16" s="91">
        <v>2069.5075241992668</v>
      </c>
      <c r="F16" s="91">
        <v>2457.7793688847401</v>
      </c>
      <c r="G16" s="91">
        <v>3117.4545897207481</v>
      </c>
      <c r="H16" s="91">
        <v>3845.0700973125909</v>
      </c>
      <c r="I16" s="91">
        <v>4732.0462678720705</v>
      </c>
      <c r="J16" s="91">
        <v>5541.4649227712189</v>
      </c>
      <c r="K16" s="91">
        <v>7172.4451773090004</v>
      </c>
      <c r="L16" s="91">
        <v>8700.6833097637991</v>
      </c>
      <c r="M16" s="91">
        <v>9959.4950909583949</v>
      </c>
      <c r="N16" s="91">
        <v>12802.074119026798</v>
      </c>
      <c r="O16" s="91">
        <v>14789.085054889387</v>
      </c>
      <c r="P16" s="91">
        <v>18636.296230268141</v>
      </c>
      <c r="Q16" s="91">
        <v>23288.243768156717</v>
      </c>
      <c r="R16" s="91">
        <v>28869.004392214702</v>
      </c>
      <c r="S16" s="91">
        <v>30442.845094300232</v>
      </c>
      <c r="T16" s="91">
        <v>37423.079784487258</v>
      </c>
      <c r="U16" s="91">
        <v>46003.811280382244</v>
      </c>
      <c r="V16" s="91">
        <v>54696.135704767228</v>
      </c>
      <c r="W16" s="91">
        <v>74009.581724141681</v>
      </c>
      <c r="X16" s="91">
        <v>103990.96244088658</v>
      </c>
    </row>
    <row r="17" spans="1:24" x14ac:dyDescent="0.2">
      <c r="A17" s="90" t="s">
        <v>36</v>
      </c>
      <c r="B17" s="91">
        <v>153741.85523295437</v>
      </c>
      <c r="C17" s="91">
        <v>350778.10872094822</v>
      </c>
      <c r="D17" s="91">
        <v>340113.3333878009</v>
      </c>
      <c r="E17" s="91">
        <v>623837.4220696016</v>
      </c>
      <c r="F17" s="91">
        <v>780050.41324045171</v>
      </c>
      <c r="G17" s="91">
        <v>939455.59027829033</v>
      </c>
      <c r="H17" s="91">
        <v>1349165.3391838656</v>
      </c>
      <c r="I17" s="91">
        <v>1340418.7572767593</v>
      </c>
      <c r="J17" s="91">
        <v>1585273.4623913735</v>
      </c>
      <c r="K17" s="91">
        <v>2312839.6417914443</v>
      </c>
      <c r="L17" s="91">
        <v>2634493.121232471</v>
      </c>
      <c r="M17" s="91">
        <v>3445841.9369835332</v>
      </c>
      <c r="N17" s="91">
        <v>3109824.5623244266</v>
      </c>
      <c r="O17" s="91">
        <v>2768768.7940080669</v>
      </c>
      <c r="P17" s="91">
        <v>2774523.5060078437</v>
      </c>
      <c r="Q17" s="91">
        <v>2903337.1345566404</v>
      </c>
      <c r="R17" s="91">
        <v>3247868.1719956002</v>
      </c>
      <c r="S17" s="91">
        <v>4682735.005488025</v>
      </c>
      <c r="T17" s="91">
        <v>5838224.5630237646</v>
      </c>
      <c r="U17" s="91">
        <v>7834276.498142574</v>
      </c>
      <c r="V17" s="91">
        <v>11129920.551848119</v>
      </c>
      <c r="W17" s="91">
        <v>13112017.159525648</v>
      </c>
      <c r="X17" s="91">
        <v>16407993.341060005</v>
      </c>
    </row>
    <row r="18" spans="1:24" x14ac:dyDescent="0.2">
      <c r="A18" s="90" t="s">
        <v>35</v>
      </c>
      <c r="B18" s="91">
        <v>224370.29708966165</v>
      </c>
      <c r="C18" s="91">
        <v>452365.53478802432</v>
      </c>
      <c r="D18" s="91">
        <v>737606.65812521882</v>
      </c>
      <c r="E18" s="91">
        <v>1010771.6357193239</v>
      </c>
      <c r="F18" s="91">
        <v>1137389.9307215496</v>
      </c>
      <c r="G18" s="91">
        <v>1505508.2259040014</v>
      </c>
      <c r="H18" s="91">
        <v>2301432.1861394555</v>
      </c>
      <c r="I18" s="91">
        <v>2729541.4323765272</v>
      </c>
      <c r="J18" s="91">
        <v>2613653.9652868919</v>
      </c>
      <c r="K18" s="91">
        <v>3227482.3316331194</v>
      </c>
      <c r="L18" s="91">
        <v>3833542.1582736168</v>
      </c>
      <c r="M18" s="91">
        <v>4006079.7175254887</v>
      </c>
      <c r="N18" s="91">
        <v>4667590.5730633372</v>
      </c>
      <c r="O18" s="91">
        <v>4601290.2895603497</v>
      </c>
      <c r="P18" s="91">
        <v>5659767.5503746923</v>
      </c>
      <c r="Q18" s="91">
        <v>6770675.8855804149</v>
      </c>
      <c r="R18" s="91">
        <v>6987432.5482789045</v>
      </c>
      <c r="S18" s="91">
        <v>8522644.0435082223</v>
      </c>
      <c r="T18" s="91">
        <v>7556273.3312681997</v>
      </c>
      <c r="U18" s="91">
        <v>8516573.9720361196</v>
      </c>
      <c r="V18" s="91">
        <v>9298139.1768206302</v>
      </c>
      <c r="W18" s="91">
        <v>9640104.3820299972</v>
      </c>
      <c r="X18" s="91">
        <v>11064434.996380681</v>
      </c>
    </row>
    <row r="19" spans="1:24" x14ac:dyDescent="0.2">
      <c r="A19" s="90" t="s">
        <v>34</v>
      </c>
      <c r="B19" s="91">
        <v>235641.68337628728</v>
      </c>
      <c r="C19" s="91">
        <v>460518.92945736711</v>
      </c>
      <c r="D19" s="91">
        <v>703260.61052890948</v>
      </c>
      <c r="E19" s="91">
        <v>1045806.3052554963</v>
      </c>
      <c r="F19" s="91">
        <v>1078947.4129185455</v>
      </c>
      <c r="G19" s="91">
        <v>1470664.0949731101</v>
      </c>
      <c r="H19" s="91">
        <v>2266844.7575758914</v>
      </c>
      <c r="I19" s="91">
        <v>2787080.114590439</v>
      </c>
      <c r="J19" s="91">
        <v>2539506.2737966143</v>
      </c>
      <c r="K19" s="91">
        <v>3236397.8029328776</v>
      </c>
      <c r="L19" s="91">
        <v>3808914.0858213175</v>
      </c>
      <c r="M19" s="91">
        <v>4030667.213453942</v>
      </c>
      <c r="N19" s="91">
        <v>4596345.1064498508</v>
      </c>
      <c r="O19" s="91">
        <v>4595522.382694521</v>
      </c>
      <c r="P19" s="91">
        <v>5648852.0790749341</v>
      </c>
      <c r="Q19" s="91">
        <v>6758826.2860394605</v>
      </c>
      <c r="R19" s="91">
        <v>6975595.2645994872</v>
      </c>
      <c r="S19" s="91">
        <v>8493186.9908031765</v>
      </c>
      <c r="T19" s="91">
        <v>7520871.2311981246</v>
      </c>
      <c r="U19" s="91">
        <v>8502828.0301657896</v>
      </c>
      <c r="V19" s="91">
        <v>9271937.4786054809</v>
      </c>
      <c r="W19" s="91">
        <v>9626408.3565049637</v>
      </c>
      <c r="X19" s="91">
        <v>11048842.441862037</v>
      </c>
    </row>
    <row r="20" spans="1:24" x14ac:dyDescent="0.2">
      <c r="A20" s="90" t="s">
        <v>33</v>
      </c>
      <c r="B20" s="91">
        <v>-11271.386286625639</v>
      </c>
      <c r="C20" s="91">
        <v>-8153.3946693427861</v>
      </c>
      <c r="D20" s="91">
        <v>34346.047596309334</v>
      </c>
      <c r="E20" s="91">
        <v>-35034.669536172412</v>
      </c>
      <c r="F20" s="91">
        <v>58442.517803004012</v>
      </c>
      <c r="G20" s="91">
        <v>34844.130930891261</v>
      </c>
      <c r="H20" s="91">
        <v>34587.428563564084</v>
      </c>
      <c r="I20" s="91">
        <v>-57538.682213911787</v>
      </c>
      <c r="J20" s="91">
        <v>74147.691490277648</v>
      </c>
      <c r="K20" s="91">
        <v>-8915.471299758181</v>
      </c>
      <c r="L20" s="91">
        <v>24628.072452299297</v>
      </c>
      <c r="M20" s="91">
        <v>-24587.495928453282</v>
      </c>
      <c r="N20" s="91">
        <v>71245.466613486409</v>
      </c>
      <c r="O20" s="91">
        <v>5767.9068658282877</v>
      </c>
      <c r="P20" s="91">
        <v>10915.471299758099</v>
      </c>
      <c r="Q20" s="91">
        <v>11849.599540954359</v>
      </c>
      <c r="R20" s="91">
        <v>11837.283679417416</v>
      </c>
      <c r="S20" s="91">
        <v>29457.052705045448</v>
      </c>
      <c r="T20" s="91">
        <v>35402.100070075001</v>
      </c>
      <c r="U20" s="91">
        <v>13745.941870329709</v>
      </c>
      <c r="V20" s="91">
        <v>26201.698215150052</v>
      </c>
      <c r="W20" s="91">
        <v>13696.025525033656</v>
      </c>
      <c r="X20" s="91">
        <v>15592.554518644327</v>
      </c>
    </row>
    <row r="21" spans="1:24" x14ac:dyDescent="0.2">
      <c r="A21" s="90" t="s">
        <v>32</v>
      </c>
      <c r="B21" s="91">
        <v>373000.44187311677</v>
      </c>
      <c r="C21" s="91">
        <v>721862.48557022144</v>
      </c>
      <c r="D21" s="91">
        <v>1151274.8012359864</v>
      </c>
      <c r="E21" s="91">
        <v>2118791.4125030711</v>
      </c>
      <c r="F21" s="91">
        <v>2679999.0476643043</v>
      </c>
      <c r="G21" s="91">
        <v>3429287.8999426155</v>
      </c>
      <c r="H21" s="91">
        <v>4820438.6167819714</v>
      </c>
      <c r="I21" s="91">
        <v>3299054.8250607057</v>
      </c>
      <c r="J21" s="91">
        <v>4732468.0750871189</v>
      </c>
      <c r="K21" s="91">
        <v>6382792.3585709324</v>
      </c>
      <c r="L21" s="91">
        <v>6857015.0444303537</v>
      </c>
      <c r="M21" s="91">
        <v>6712820.4044148996</v>
      </c>
      <c r="N21" s="91">
        <v>5983613.1085357573</v>
      </c>
      <c r="O21" s="91">
        <v>4133444.6148696854</v>
      </c>
      <c r="P21" s="91">
        <v>4631439.0417696759</v>
      </c>
      <c r="Q21" s="91">
        <v>5906281.8704715883</v>
      </c>
      <c r="R21" s="91">
        <v>10465419.062351564</v>
      </c>
      <c r="S21" s="91">
        <v>12834623.944927</v>
      </c>
      <c r="T21" s="91">
        <v>12146004.820525996</v>
      </c>
      <c r="U21" s="91">
        <v>21017889.203587566</v>
      </c>
      <c r="V21" s="91">
        <v>23083735.889140781</v>
      </c>
      <c r="W21" s="91">
        <v>25318720.348007627</v>
      </c>
      <c r="X21" s="91">
        <v>32118126.64307867</v>
      </c>
    </row>
    <row r="22" spans="1:24" x14ac:dyDescent="0.2">
      <c r="A22" s="90" t="s">
        <v>31</v>
      </c>
      <c r="B22" s="91">
        <v>309517.46266748483</v>
      </c>
      <c r="C22" s="91">
        <v>654354.24952938501</v>
      </c>
      <c r="D22" s="91">
        <v>887335.17984813952</v>
      </c>
      <c r="E22" s="91">
        <v>1321219.3074835902</v>
      </c>
      <c r="F22" s="91">
        <v>1309104.5680720084</v>
      </c>
      <c r="G22" s="91">
        <v>2017729.0710594181</v>
      </c>
      <c r="H22" s="91">
        <v>3235580.9414732652</v>
      </c>
      <c r="I22" s="91">
        <v>3329155.6907306733</v>
      </c>
      <c r="J22" s="91">
        <v>3258001.2835274069</v>
      </c>
      <c r="K22" s="91">
        <v>4117923.3941764547</v>
      </c>
      <c r="L22" s="91">
        <v>4374111.2527120337</v>
      </c>
      <c r="M22" s="91">
        <v>4766478.3440633183</v>
      </c>
      <c r="N22" s="91">
        <v>5264481.5891065923</v>
      </c>
      <c r="O22" s="91">
        <v>4557320.5880046003</v>
      </c>
      <c r="P22" s="91">
        <v>4198938.0751213999</v>
      </c>
      <c r="Q22" s="91">
        <v>4688210.2420458402</v>
      </c>
      <c r="R22" s="91">
        <v>6545766.65889729</v>
      </c>
      <c r="S22" s="91">
        <v>8135370.5256845905</v>
      </c>
      <c r="T22" s="91">
        <v>8758126.7643143404</v>
      </c>
      <c r="U22" s="91">
        <v>11762036.122794701</v>
      </c>
      <c r="V22" s="91">
        <v>13155742.214393901</v>
      </c>
      <c r="W22" s="91">
        <v>16226643.502787936</v>
      </c>
      <c r="X22" s="91">
        <v>19730309.21421846</v>
      </c>
    </row>
    <row r="23" spans="1:24" x14ac:dyDescent="0.2">
      <c r="A23" s="90"/>
      <c r="B23" s="90"/>
      <c r="C23" s="90"/>
      <c r="D23" s="90"/>
      <c r="E23" s="90"/>
      <c r="F23" s="90"/>
      <c r="G23" s="46"/>
      <c r="H23" s="88"/>
      <c r="I23" s="88"/>
      <c r="J23" s="88"/>
      <c r="K23" s="88" t="s">
        <v>30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</row>
    <row r="24" spans="1:24" x14ac:dyDescent="0.2">
      <c r="A24" s="237" t="s">
        <v>29</v>
      </c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</row>
    <row r="25" spans="1:24" x14ac:dyDescent="0.2">
      <c r="A25" s="90" t="s">
        <v>24</v>
      </c>
      <c r="B25" s="94">
        <v>753573.71966766368</v>
      </c>
      <c r="C25" s="94">
        <v>1517650.9329025878</v>
      </c>
      <c r="D25" s="94">
        <v>2255447.8717252025</v>
      </c>
      <c r="E25" s="94">
        <v>3608095.3088607341</v>
      </c>
      <c r="F25" s="94">
        <v>4713881.5683129281</v>
      </c>
      <c r="G25" s="94">
        <v>5602449.6131165493</v>
      </c>
      <c r="H25" s="94">
        <v>7412577.5303074289</v>
      </c>
      <c r="I25" s="94">
        <v>6481521.7995609995</v>
      </c>
      <c r="J25" s="94">
        <v>8781308.4538437314</v>
      </c>
      <c r="K25" s="94">
        <v>11793661.418056019</v>
      </c>
      <c r="L25" s="94">
        <v>13706611.875099983</v>
      </c>
      <c r="M25" s="94">
        <v>14840760.473745469</v>
      </c>
      <c r="N25" s="94">
        <v>16165667.821145907</v>
      </c>
      <c r="O25" s="94">
        <v>15807317.332586613</v>
      </c>
      <c r="P25" s="94">
        <v>19061544.001559757</v>
      </c>
      <c r="Q25" s="94">
        <v>23545238.499076661</v>
      </c>
      <c r="R25" s="94">
        <v>29193781.124393627</v>
      </c>
      <c r="S25" s="94">
        <v>34735034.830974534</v>
      </c>
      <c r="T25" s="94">
        <v>38243646.975385562</v>
      </c>
      <c r="U25" s="94">
        <v>52423748.376100808</v>
      </c>
      <c r="V25" s="94">
        <v>64097477.461436227</v>
      </c>
      <c r="W25" s="94">
        <v>77499867.642644644</v>
      </c>
      <c r="X25" s="94">
        <v>104011087.80858116</v>
      </c>
    </row>
    <row r="26" spans="1:24" x14ac:dyDescent="0.2">
      <c r="A26" s="90" t="s">
        <v>28</v>
      </c>
      <c r="B26" s="95">
        <v>176700.62245567419</v>
      </c>
      <c r="C26" s="95">
        <v>361048.10719931219</v>
      </c>
      <c r="D26" s="95">
        <v>500204.81026802032</v>
      </c>
      <c r="E26" s="95">
        <v>692774.40219145478</v>
      </c>
      <c r="F26" s="95">
        <v>920917.64609182812</v>
      </c>
      <c r="G26" s="95">
        <v>1140356.6985510355</v>
      </c>
      <c r="H26" s="95">
        <v>1595032.4789649367</v>
      </c>
      <c r="I26" s="95">
        <v>1893564.5291618742</v>
      </c>
      <c r="J26" s="95">
        <v>2152297.4904069221</v>
      </c>
      <c r="K26" s="95">
        <v>2832465.7217086283</v>
      </c>
      <c r="L26" s="95">
        <v>3264095.3236554302</v>
      </c>
      <c r="M26" s="95">
        <v>3442557.187746007</v>
      </c>
      <c r="N26" s="95">
        <v>3601062.1799923582</v>
      </c>
      <c r="O26" s="95">
        <v>4186175.1059864564</v>
      </c>
      <c r="P26" s="95">
        <v>4651109.2082326049</v>
      </c>
      <c r="Q26" s="95">
        <v>5731307.6218827758</v>
      </c>
      <c r="R26" s="95">
        <v>7259519.5488165328</v>
      </c>
      <c r="S26" s="95">
        <v>8637063.3458485212</v>
      </c>
      <c r="T26" s="95">
        <v>9025560.464364823</v>
      </c>
      <c r="U26" s="95">
        <v>12630207.570882987</v>
      </c>
      <c r="V26" s="95">
        <v>15048707.536457255</v>
      </c>
      <c r="W26" s="95">
        <v>17038771.549412746</v>
      </c>
      <c r="X26" s="95">
        <v>19834411.739379417</v>
      </c>
    </row>
    <row r="27" spans="1:24" x14ac:dyDescent="0.2">
      <c r="A27" s="90" t="s">
        <v>27</v>
      </c>
      <c r="B27" s="95">
        <v>9454.3226234773319</v>
      </c>
      <c r="C27" s="95">
        <v>7113.0334114686411</v>
      </c>
      <c r="D27" s="95">
        <v>-5289.9339999999938</v>
      </c>
      <c r="E27" s="95">
        <v>-193</v>
      </c>
      <c r="F27" s="95">
        <v>20349</v>
      </c>
      <c r="G27" s="95">
        <v>-9532</v>
      </c>
      <c r="H27" s="95">
        <v>156427.50272201703</v>
      </c>
      <c r="I27" s="95">
        <v>162622.18095193614</v>
      </c>
      <c r="J27" s="95">
        <v>111178.00315158635</v>
      </c>
      <c r="K27" s="95">
        <v>80351.103842988596</v>
      </c>
      <c r="L27" s="95">
        <v>-106687.76501051975</v>
      </c>
      <c r="M27" s="95">
        <v>-147268.69760564083</v>
      </c>
      <c r="N27" s="95">
        <v>-231255.28892213249</v>
      </c>
      <c r="O27" s="95">
        <v>351274.53518959496</v>
      </c>
      <c r="P27" s="95">
        <v>418872.06752229482</v>
      </c>
      <c r="Q27" s="95">
        <v>625065.27893111284</v>
      </c>
      <c r="R27" s="95">
        <v>857369.43730460014</v>
      </c>
      <c r="S27" s="95">
        <v>862644.64211648004</v>
      </c>
      <c r="T27" s="95">
        <v>1449524.81833525</v>
      </c>
      <c r="U27" s="95">
        <v>1770174.5400872396</v>
      </c>
      <c r="V27" s="95">
        <v>2003418.7429266104</v>
      </c>
      <c r="W27" s="95">
        <v>2153638.0280759106</v>
      </c>
      <c r="X27" s="95">
        <v>2570550.5433979407</v>
      </c>
    </row>
    <row r="28" spans="1:24" x14ac:dyDescent="0.2">
      <c r="A28" s="90" t="s">
        <v>26</v>
      </c>
      <c r="B28" s="95">
        <v>567418.77458851214</v>
      </c>
      <c r="C28" s="95">
        <v>1149489.792291807</v>
      </c>
      <c r="D28" s="95">
        <v>1760532.9954571822</v>
      </c>
      <c r="E28" s="95">
        <v>2915513.9066692796</v>
      </c>
      <c r="F28" s="95">
        <v>3772614.9222211</v>
      </c>
      <c r="G28" s="95">
        <v>4471624.9145655138</v>
      </c>
      <c r="H28" s="95">
        <v>5661117.5486204755</v>
      </c>
      <c r="I28" s="95">
        <v>4425335.0894471891</v>
      </c>
      <c r="J28" s="95">
        <v>6517832.9602852231</v>
      </c>
      <c r="K28" s="95">
        <v>8880844.5925044008</v>
      </c>
      <c r="L28" s="95">
        <v>10549204.316455074</v>
      </c>
      <c r="M28" s="95">
        <v>11545471.983605102</v>
      </c>
      <c r="N28" s="95">
        <v>12795860.930075681</v>
      </c>
      <c r="O28" s="95">
        <v>11269867.69141056</v>
      </c>
      <c r="P28" s="95">
        <v>13991562.725804858</v>
      </c>
      <c r="Q28" s="95">
        <v>17188865.598262772</v>
      </c>
      <c r="R28" s="95">
        <v>21076892.138272494</v>
      </c>
      <c r="S28" s="95">
        <v>25235326.843009531</v>
      </c>
      <c r="T28" s="95">
        <v>27768561.692685489</v>
      </c>
      <c r="U28" s="95">
        <v>38023366.265130579</v>
      </c>
      <c r="V28" s="95">
        <v>47045351.182052359</v>
      </c>
      <c r="W28" s="95">
        <v>58307458.06515599</v>
      </c>
      <c r="X28" s="95">
        <v>81606125.525803804</v>
      </c>
    </row>
    <row r="29" spans="1:24" x14ac:dyDescent="0.2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</row>
    <row r="30" spans="1:24" x14ac:dyDescent="0.2">
      <c r="A30" s="53" t="s">
        <v>23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R30" s="54"/>
    </row>
    <row r="31" spans="1:24" x14ac:dyDescent="0.2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 spans="1:24" x14ac:dyDescent="0.2"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</row>
    <row r="33" spans="2:24" x14ac:dyDescent="0.2"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</row>
    <row r="34" spans="2:24" x14ac:dyDescent="0.2"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</row>
    <row r="35" spans="2:24" x14ac:dyDescent="0.2"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</row>
  </sheetData>
  <mergeCells count="5">
    <mergeCell ref="A24:X24"/>
    <mergeCell ref="A1:N1"/>
    <mergeCell ref="B3:W3"/>
    <mergeCell ref="A5:X5"/>
    <mergeCell ref="A12:X1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3"/>
  <sheetViews>
    <sheetView workbookViewId="0">
      <pane xSplit="1" ySplit="5" topLeftCell="B6" activePane="bottomRight" state="frozen"/>
      <selection activeCell="P14" sqref="P14"/>
      <selection pane="topRight" activeCell="P14" sqref="P14"/>
      <selection pane="bottomLeft" activeCell="P14" sqref="P14"/>
      <selection pane="bottomRight" activeCell="X13" sqref="X13"/>
    </sheetView>
  </sheetViews>
  <sheetFormatPr defaultColWidth="8.85546875" defaultRowHeight="12" x14ac:dyDescent="0.2"/>
  <cols>
    <col min="1" max="1" width="57.7109375" style="41" bestFit="1" customWidth="1"/>
    <col min="2" max="24" width="6.85546875" style="41" customWidth="1"/>
    <col min="25" max="25" width="18.140625" style="41" bestFit="1" customWidth="1"/>
    <col min="26" max="16384" width="8.85546875" style="41"/>
  </cols>
  <sheetData>
    <row r="1" spans="1:24" x14ac:dyDescent="0.2">
      <c r="A1" s="238" t="s">
        <v>200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42"/>
      <c r="P1" s="42"/>
      <c r="Q1" s="43"/>
      <c r="R1" s="42"/>
    </row>
    <row r="2" spans="1:24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3"/>
      <c r="R2" s="45"/>
    </row>
    <row r="3" spans="1:24" x14ac:dyDescent="0.2">
      <c r="A3" s="82"/>
      <c r="B3" s="239" t="s">
        <v>49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</row>
    <row r="4" spans="1:24" x14ac:dyDescent="0.2">
      <c r="A4" s="86" t="s">
        <v>46</v>
      </c>
      <c r="B4" s="57">
        <v>2002</v>
      </c>
      <c r="C4" s="57">
        <v>2003</v>
      </c>
      <c r="D4" s="57">
        <v>2004</v>
      </c>
      <c r="E4" s="57">
        <v>2005</v>
      </c>
      <c r="F4" s="57">
        <v>2006</v>
      </c>
      <c r="G4" s="57">
        <v>2007</v>
      </c>
      <c r="H4" s="57">
        <v>2008</v>
      </c>
      <c r="I4" s="58">
        <v>2009</v>
      </c>
      <c r="J4" s="58">
        <v>2010</v>
      </c>
      <c r="K4" s="58">
        <v>2011</v>
      </c>
      <c r="L4" s="58">
        <v>2012</v>
      </c>
      <c r="M4" s="58">
        <v>2013</v>
      </c>
      <c r="N4" s="58">
        <v>2014</v>
      </c>
      <c r="O4" s="58">
        <v>2015</v>
      </c>
      <c r="P4" s="58">
        <v>2016</v>
      </c>
      <c r="Q4" s="58">
        <v>2017</v>
      </c>
      <c r="R4" s="58">
        <v>2018</v>
      </c>
      <c r="S4" s="58">
        <v>2019</v>
      </c>
      <c r="T4" s="58">
        <v>2020</v>
      </c>
      <c r="U4" s="58">
        <v>2021</v>
      </c>
      <c r="V4" s="58">
        <v>2022</v>
      </c>
      <c r="W4" s="58">
        <v>2023</v>
      </c>
      <c r="X4" s="58">
        <v>2024</v>
      </c>
    </row>
    <row r="5" spans="1:24" x14ac:dyDescent="0.2">
      <c r="A5" s="237" t="s">
        <v>44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x14ac:dyDescent="0.2">
      <c r="A6" s="46" t="s">
        <v>24</v>
      </c>
      <c r="B6" s="47"/>
      <c r="C6" s="48">
        <v>3.4873124009752399</v>
      </c>
      <c r="D6" s="48">
        <v>11.419863390458463</v>
      </c>
      <c r="E6" s="48">
        <v>14.154777534395468</v>
      </c>
      <c r="F6" s="48">
        <v>11.84181787570424</v>
      </c>
      <c r="G6" s="48">
        <v>13.002688945797502</v>
      </c>
      <c r="H6" s="48">
        <v>10.786636049658171</v>
      </c>
      <c r="I6" s="48">
        <v>1.9955890978895052</v>
      </c>
      <c r="J6" s="48">
        <v>5.2936657282000477</v>
      </c>
      <c r="K6" s="48">
        <v>3.5938696024016004</v>
      </c>
      <c r="L6" s="48">
        <v>8.5031228386666324</v>
      </c>
      <c r="M6" s="48">
        <v>4.8830612968838949</v>
      </c>
      <c r="N6" s="48">
        <v>4.6557235631554894</v>
      </c>
      <c r="O6" s="48">
        <v>0.76317771091500841</v>
      </c>
      <c r="P6" s="48">
        <v>-0.2330769548052336</v>
      </c>
      <c r="Q6" s="48">
        <v>-0.16468865696143142</v>
      </c>
      <c r="R6" s="48">
        <v>-0.50669754361616359</v>
      </c>
      <c r="S6" s="48">
        <v>-1.0552341449429403</v>
      </c>
      <c r="T6" s="48">
        <v>-5.2734912830002649</v>
      </c>
      <c r="U6" s="48">
        <v>1.0905836994481222</v>
      </c>
      <c r="V6" s="48">
        <v>3.5574920667564847</v>
      </c>
      <c r="W6" s="48">
        <v>1.3201658708103636</v>
      </c>
      <c r="X6" s="48">
        <v>4.9526786042599413</v>
      </c>
    </row>
    <row r="7" spans="1:24" x14ac:dyDescent="0.2">
      <c r="A7" s="49" t="s">
        <v>43</v>
      </c>
      <c r="B7" s="50"/>
      <c r="C7" s="50">
        <v>3.9533102263614666</v>
      </c>
      <c r="D7" s="50">
        <v>9.5965991079235238</v>
      </c>
      <c r="E7" s="50">
        <v>13.297773997497103</v>
      </c>
      <c r="F7" s="50">
        <v>10.888713028871749</v>
      </c>
      <c r="G7" s="50">
        <v>11.255448457793207</v>
      </c>
      <c r="H7" s="50">
        <v>11.404349317454049</v>
      </c>
      <c r="I7" s="50">
        <v>-7.9753103850690081</v>
      </c>
      <c r="J7" s="50">
        <v>4.3281951694812903</v>
      </c>
      <c r="K7" s="50">
        <v>6.2641002700710544</v>
      </c>
      <c r="L7" s="50">
        <v>6.4807722374268621</v>
      </c>
      <c r="M7" s="50">
        <v>6.6096929793784085</v>
      </c>
      <c r="N7" s="50">
        <v>2.6516877700428125</v>
      </c>
      <c r="O7" s="50">
        <v>-2.6629365414059691</v>
      </c>
      <c r="P7" s="50">
        <v>-1.5416116501920243</v>
      </c>
      <c r="Q7" s="50">
        <v>0.16558691155408667</v>
      </c>
      <c r="R7" s="50">
        <v>-2.0110389314314148</v>
      </c>
      <c r="S7" s="50">
        <v>-0.92893318348806986</v>
      </c>
      <c r="T7" s="50">
        <v>-5.4408808504530271</v>
      </c>
      <c r="U7" s="50">
        <v>0.93843067255696155</v>
      </c>
      <c r="V7" s="50">
        <v>4.6331661248778033</v>
      </c>
      <c r="W7" s="50">
        <v>1.8011535160386387</v>
      </c>
      <c r="X7" s="50">
        <v>4.6620290459891578</v>
      </c>
    </row>
    <row r="8" spans="1:24" x14ac:dyDescent="0.2">
      <c r="A8" s="51" t="s">
        <v>42</v>
      </c>
      <c r="B8" s="50"/>
      <c r="C8" s="50">
        <v>13.911839578402024</v>
      </c>
      <c r="D8" s="50">
        <v>4.2198252165835726</v>
      </c>
      <c r="E8" s="50">
        <v>10.658925195787191</v>
      </c>
      <c r="F8" s="50">
        <v>6.3811764705882439</v>
      </c>
      <c r="G8" s="50">
        <v>13.757495003331115</v>
      </c>
      <c r="H8" s="50">
        <v>16.688761495282449</v>
      </c>
      <c r="I8" s="50">
        <v>0</v>
      </c>
      <c r="J8" s="50">
        <v>6.530312426486276</v>
      </c>
      <c r="K8" s="50">
        <v>-4.16164718980869</v>
      </c>
      <c r="L8" s="50">
        <v>-2.065298169712932</v>
      </c>
      <c r="M8" s="50">
        <v>18.307684519590978</v>
      </c>
      <c r="N8" s="50">
        <v>7.4983954372278276</v>
      </c>
      <c r="O8" s="50">
        <v>-10.170930427609505</v>
      </c>
      <c r="P8" s="50">
        <v>1.5783901870595827</v>
      </c>
      <c r="Q8" s="50">
        <v>-0.45601017504817776</v>
      </c>
      <c r="R8" s="50">
        <v>5.4015252015555291</v>
      </c>
      <c r="S8" s="50">
        <v>-27.713443244256823</v>
      </c>
      <c r="T8" s="50">
        <v>54.910174166426259</v>
      </c>
      <c r="U8" s="50">
        <v>-8.0213089803138189</v>
      </c>
      <c r="V8" s="50">
        <v>-3.540044386142057</v>
      </c>
      <c r="W8" s="50">
        <v>-10.613348745881041</v>
      </c>
      <c r="X8" s="50">
        <v>-4.7124895662421835</v>
      </c>
    </row>
    <row r="9" spans="1:24" x14ac:dyDescent="0.2">
      <c r="A9" s="49" t="s">
        <v>41</v>
      </c>
      <c r="B9" s="50"/>
      <c r="C9" s="50">
        <v>-6.5346418287594759</v>
      </c>
      <c r="D9" s="50">
        <v>11.618172537008675</v>
      </c>
      <c r="E9" s="50">
        <v>7.1484834163425148</v>
      </c>
      <c r="F9" s="50">
        <v>11.433563703096311</v>
      </c>
      <c r="G9" s="50">
        <v>7.980000000000004</v>
      </c>
      <c r="H9" s="50">
        <v>-1.480000000000004</v>
      </c>
      <c r="I9" s="50">
        <v>0</v>
      </c>
      <c r="J9" s="50">
        <v>21.40513770731522</v>
      </c>
      <c r="K9" s="50">
        <v>14.658395296261645</v>
      </c>
      <c r="L9" s="50">
        <v>7.7140031232627138</v>
      </c>
      <c r="M9" s="50">
        <v>14.794753581561054</v>
      </c>
      <c r="N9" s="50">
        <v>4.156195426741192</v>
      </c>
      <c r="O9" s="50">
        <v>15.424275013620999</v>
      </c>
      <c r="P9" s="50">
        <v>-73.770212520218479</v>
      </c>
      <c r="Q9" s="50">
        <v>-39.008632464991045</v>
      </c>
      <c r="R9" s="50">
        <v>-28.302808629130013</v>
      </c>
      <c r="S9" s="50">
        <v>-37.992920003056931</v>
      </c>
      <c r="T9" s="50">
        <v>1249.2384376909104</v>
      </c>
      <c r="U9" s="50">
        <v>64.514846175774011</v>
      </c>
      <c r="V9" s="50">
        <v>34.666035171484964</v>
      </c>
      <c r="W9" s="50">
        <v>-1.0963680666784938</v>
      </c>
      <c r="X9" s="50">
        <v>-8.3725550255727512</v>
      </c>
    </row>
    <row r="10" spans="1:24" x14ac:dyDescent="0.2">
      <c r="A10" s="49" t="s">
        <v>40</v>
      </c>
      <c r="B10" s="50"/>
      <c r="C10" s="50">
        <v>5.606394418137711</v>
      </c>
      <c r="D10" s="50">
        <v>6.5286298524618758</v>
      </c>
      <c r="E10" s="50">
        <v>13.535907364589889</v>
      </c>
      <c r="F10" s="50">
        <v>8.9832418698004233</v>
      </c>
      <c r="G10" s="50">
        <v>8.5447032009327728</v>
      </c>
      <c r="H10" s="50">
        <v>13.733678622433928</v>
      </c>
      <c r="I10" s="50">
        <v>8.3757897527383989</v>
      </c>
      <c r="J10" s="50">
        <v>3.1374830820116557</v>
      </c>
      <c r="K10" s="50">
        <v>9.9219295649734676</v>
      </c>
      <c r="L10" s="50">
        <v>2.0943799777739542</v>
      </c>
      <c r="M10" s="50">
        <v>9.8323308159197893</v>
      </c>
      <c r="N10" s="50">
        <v>-1.199556089076836</v>
      </c>
      <c r="O10" s="50">
        <v>-10.821646586296978</v>
      </c>
      <c r="P10" s="50">
        <v>-0.42661578725028448</v>
      </c>
      <c r="Q10" s="50">
        <v>-0.66480227157819627</v>
      </c>
      <c r="R10" s="50">
        <v>-3.4293424411024063</v>
      </c>
      <c r="S10" s="50">
        <v>-1.3903291247730039</v>
      </c>
      <c r="T10" s="50">
        <v>-5.0344567647122602</v>
      </c>
      <c r="U10" s="50">
        <v>0.11441617186676467</v>
      </c>
      <c r="V10" s="50">
        <v>4.7789657594148593</v>
      </c>
      <c r="W10" s="50">
        <v>2.1197066108105815</v>
      </c>
      <c r="X10" s="50">
        <v>4.3444993726459842</v>
      </c>
    </row>
    <row r="11" spans="1:24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spans="1:24" x14ac:dyDescent="0.2">
      <c r="A12" s="249" t="s">
        <v>39</v>
      </c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</row>
    <row r="13" spans="1:24" x14ac:dyDescent="0.2">
      <c r="A13" s="52" t="s">
        <v>24</v>
      </c>
      <c r="B13" s="48"/>
      <c r="C13" s="48">
        <v>3.4873124009752416</v>
      </c>
      <c r="D13" s="48">
        <v>11.41986339045846</v>
      </c>
      <c r="E13" s="48">
        <v>14.154777534395492</v>
      </c>
      <c r="F13" s="48">
        <v>11.84181787570428</v>
      </c>
      <c r="G13" s="48">
        <v>13.00268894579753</v>
      </c>
      <c r="H13" s="48">
        <v>10.786636049658199</v>
      </c>
      <c r="I13" s="48">
        <v>1.995589097889507</v>
      </c>
      <c r="J13" s="48">
        <v>5.2936657282000539</v>
      </c>
      <c r="K13" s="48">
        <v>3.5938696024015968</v>
      </c>
      <c r="L13" s="48">
        <v>8.5031228386666271</v>
      </c>
      <c r="M13" s="48">
        <v>4.8830612968838949</v>
      </c>
      <c r="N13" s="48">
        <v>4.6557235631555329</v>
      </c>
      <c r="O13" s="48">
        <v>0.76317771091495956</v>
      </c>
      <c r="P13" s="48">
        <v>-0.23307695480531265</v>
      </c>
      <c r="Q13" s="48">
        <v>-0.16468865696144519</v>
      </c>
      <c r="R13" s="48">
        <v>-0.5066975436161556</v>
      </c>
      <c r="S13" s="48">
        <v>-1.055234144942915</v>
      </c>
      <c r="T13" s="48">
        <v>-5.2734912830002827</v>
      </c>
      <c r="U13" s="48">
        <v>1.0905836994481177</v>
      </c>
      <c r="V13" s="48">
        <v>3.5574920667564811</v>
      </c>
      <c r="W13" s="48">
        <v>1.3201658708103423</v>
      </c>
      <c r="X13" s="48">
        <v>4.9526786042599582</v>
      </c>
    </row>
    <row r="14" spans="1:24" x14ac:dyDescent="0.2">
      <c r="A14" s="49" t="s">
        <v>38</v>
      </c>
      <c r="B14" s="50"/>
      <c r="C14" s="50">
        <v>4.8369809223458162</v>
      </c>
      <c r="D14" s="50">
        <v>1.2709934338234348</v>
      </c>
      <c r="E14" s="50">
        <v>10.727097577286912</v>
      </c>
      <c r="F14" s="50">
        <v>4.9771275767056551</v>
      </c>
      <c r="G14" s="50">
        <v>7.8678910077774304</v>
      </c>
      <c r="H14" s="50">
        <v>8.3353304134522404</v>
      </c>
      <c r="I14" s="50">
        <v>4.3941873533603228</v>
      </c>
      <c r="J14" s="50">
        <v>4.3679394904311692</v>
      </c>
      <c r="K14" s="50">
        <v>15.657843874010993</v>
      </c>
      <c r="L14" s="50">
        <v>6.3088935624151929</v>
      </c>
      <c r="M14" s="50">
        <v>12.54174785728415</v>
      </c>
      <c r="N14" s="50">
        <v>1.9243401985077355</v>
      </c>
      <c r="O14" s="50">
        <v>-10.036188058980827</v>
      </c>
      <c r="P14" s="50">
        <v>-0.45473732944277856</v>
      </c>
      <c r="Q14" s="50">
        <v>13.937770184850493</v>
      </c>
      <c r="R14" s="50">
        <v>3.1917442310466839</v>
      </c>
      <c r="S14" s="50">
        <v>-10.31702521670384</v>
      </c>
      <c r="T14" s="50">
        <v>7.7538909639568487</v>
      </c>
      <c r="U14" s="50">
        <v>10.670271677203885</v>
      </c>
      <c r="V14" s="50">
        <v>9.0431593674383777</v>
      </c>
      <c r="W14" s="50">
        <v>10.724557454545433</v>
      </c>
      <c r="X14" s="50">
        <v>6.1102728303240355</v>
      </c>
    </row>
    <row r="15" spans="1:24" x14ac:dyDescent="0.2">
      <c r="A15" s="49" t="s">
        <v>37</v>
      </c>
      <c r="B15" s="50"/>
      <c r="C15" s="50">
        <v>5.2490835570316818</v>
      </c>
      <c r="D15" s="50">
        <v>0.81596250255311986</v>
      </c>
      <c r="E15" s="50">
        <v>11.653561675178963</v>
      </c>
      <c r="F15" s="50">
        <v>2.4008663842423772</v>
      </c>
      <c r="G15" s="50">
        <v>7.5246680098443051</v>
      </c>
      <c r="H15" s="50">
        <v>6.1769225144888509</v>
      </c>
      <c r="I15" s="50">
        <v>12.845110770953696</v>
      </c>
      <c r="J15" s="50">
        <v>3.9880624678114032</v>
      </c>
      <c r="K15" s="50">
        <v>9.7519032315576339</v>
      </c>
      <c r="L15" s="50">
        <v>9.6060234011816448</v>
      </c>
      <c r="M15" s="50">
        <v>7.643092206495524</v>
      </c>
      <c r="N15" s="50">
        <v>12.093421980869195</v>
      </c>
      <c r="O15" s="50">
        <v>-10.567659412648766</v>
      </c>
      <c r="P15" s="50">
        <v>2.6876464967954519</v>
      </c>
      <c r="Q15" s="50">
        <v>17.683401002785203</v>
      </c>
      <c r="R15" s="50">
        <v>4.1364671773510509</v>
      </c>
      <c r="S15" s="50">
        <v>-11.843539475419433</v>
      </c>
      <c r="T15" s="50">
        <v>9.788059171432522</v>
      </c>
      <c r="U15" s="50">
        <v>12.846601154208528</v>
      </c>
      <c r="V15" s="50">
        <v>9.4990414722853131</v>
      </c>
      <c r="W15" s="50">
        <v>13.008905898933534</v>
      </c>
      <c r="X15" s="50">
        <v>6.6199658202018838</v>
      </c>
    </row>
    <row r="16" spans="1:24" x14ac:dyDescent="0.2">
      <c r="A16" s="49" t="s">
        <v>50</v>
      </c>
      <c r="B16" s="50"/>
      <c r="C16" s="50">
        <v>8.2199999999999989</v>
      </c>
      <c r="D16" s="50">
        <v>3.960000000000008</v>
      </c>
      <c r="E16" s="50">
        <v>5.0300000000000011</v>
      </c>
      <c r="F16" s="50">
        <v>6.4100000000000108</v>
      </c>
      <c r="G16" s="50">
        <v>5.9799999999999898</v>
      </c>
      <c r="H16" s="50">
        <v>8.1699999999999875</v>
      </c>
      <c r="I16" s="50">
        <v>10.317953467688199</v>
      </c>
      <c r="J16" s="50">
        <v>3.9144353033070018</v>
      </c>
      <c r="K16" s="50">
        <v>10.248424556103998</v>
      </c>
      <c r="L16" s="50">
        <v>9.8436936450569732</v>
      </c>
      <c r="M16" s="50">
        <v>8.2666409987327967</v>
      </c>
      <c r="N16" s="50">
        <v>12.673756232887428</v>
      </c>
      <c r="O16" s="50">
        <v>2.9587911234520163</v>
      </c>
      <c r="P16" s="50">
        <v>5.8939959879502197</v>
      </c>
      <c r="Q16" s="50">
        <v>2.8999999999999631</v>
      </c>
      <c r="R16" s="50">
        <v>3.1395856519160077</v>
      </c>
      <c r="S16" s="50">
        <v>-11.162260499163963</v>
      </c>
      <c r="T16" s="50">
        <v>3.1395856519160077</v>
      </c>
      <c r="U16" s="50">
        <v>3.1395856519160077</v>
      </c>
      <c r="V16" s="50">
        <v>3.1395856519160077</v>
      </c>
      <c r="W16" s="50">
        <v>3.1395856519160077</v>
      </c>
      <c r="X16" s="50">
        <v>3</v>
      </c>
    </row>
    <row r="17" spans="1:26" x14ac:dyDescent="0.2">
      <c r="A17" s="49" t="s">
        <v>36</v>
      </c>
      <c r="B17" s="50"/>
      <c r="C17" s="50">
        <v>3.9899999999999807</v>
      </c>
      <c r="D17" s="50">
        <v>2.1000000000000085</v>
      </c>
      <c r="E17" s="50">
        <v>8.269999999999996</v>
      </c>
      <c r="F17" s="50">
        <v>9.819999999999979</v>
      </c>
      <c r="G17" s="50">
        <v>8.5</v>
      </c>
      <c r="H17" s="50">
        <v>12.340000000000018</v>
      </c>
      <c r="I17" s="50">
        <v>-9.2357039933631029</v>
      </c>
      <c r="J17" s="50">
        <v>5.0601708349842625</v>
      </c>
      <c r="K17" s="50">
        <v>27.234651264850427</v>
      </c>
      <c r="L17" s="50">
        <v>0.62228673046220706</v>
      </c>
      <c r="M17" s="50">
        <v>21.382529397279754</v>
      </c>
      <c r="N17" s="50">
        <v>-14.138780365265262</v>
      </c>
      <c r="O17" s="50">
        <v>-8.7812132180641527</v>
      </c>
      <c r="P17" s="50">
        <v>-10.528710966216977</v>
      </c>
      <c r="Q17" s="50">
        <v>0.2740656714409937</v>
      </c>
      <c r="R17" s="50">
        <v>-0.91749579613643562</v>
      </c>
      <c r="S17" s="50">
        <v>-3.2547565786467487</v>
      </c>
      <c r="T17" s="50">
        <v>0.48602914475370085</v>
      </c>
      <c r="U17" s="50">
        <v>2.7323224206200081</v>
      </c>
      <c r="V17" s="50">
        <v>7.519999999999996</v>
      </c>
      <c r="W17" s="50">
        <v>3.8478366799191974</v>
      </c>
      <c r="X17" s="50">
        <v>4.3559689629760499</v>
      </c>
    </row>
    <row r="18" spans="1:26" x14ac:dyDescent="0.2">
      <c r="A18" s="49" t="s">
        <v>35</v>
      </c>
      <c r="B18" s="50"/>
      <c r="C18" s="50">
        <v>17.200988346724984</v>
      </c>
      <c r="D18" s="50">
        <v>24.934622782547905</v>
      </c>
      <c r="E18" s="50">
        <v>3.6327794903258308</v>
      </c>
      <c r="F18" s="50">
        <v>11.75441342315618</v>
      </c>
      <c r="G18" s="50">
        <v>8.3591795736775509</v>
      </c>
      <c r="H18" s="50">
        <v>25.434426965728434</v>
      </c>
      <c r="I18" s="50">
        <v>4.5792712529708126</v>
      </c>
      <c r="J18" s="50">
        <v>-4.9235693929131799</v>
      </c>
      <c r="K18" s="50">
        <v>6.8863643945479254</v>
      </c>
      <c r="L18" s="50">
        <v>8.3565507125107956</v>
      </c>
      <c r="M18" s="50">
        <v>0.3774013631228712</v>
      </c>
      <c r="N18" s="50">
        <v>5.659504582763077</v>
      </c>
      <c r="O18" s="50">
        <v>-3.7119511798199767</v>
      </c>
      <c r="P18" s="50">
        <v>-7.6287278573455808</v>
      </c>
      <c r="Q18" s="50">
        <v>-20.885867040403554</v>
      </c>
      <c r="R18" s="50">
        <v>-1.7933735470293755E-2</v>
      </c>
      <c r="S18" s="50">
        <v>4.5503825481421529</v>
      </c>
      <c r="T18" s="50">
        <v>-24.340464842531048</v>
      </c>
      <c r="U18" s="50">
        <v>-6.5980061850960681</v>
      </c>
      <c r="V18" s="50">
        <v>5.2321966155037103</v>
      </c>
      <c r="W18" s="50">
        <v>-1.6244868787042606</v>
      </c>
      <c r="X18" s="50">
        <v>2.812221939691355</v>
      </c>
    </row>
    <row r="19" spans="1:26" x14ac:dyDescent="0.2">
      <c r="A19" s="49" t="s">
        <v>34</v>
      </c>
      <c r="B19" s="50"/>
      <c r="C19" s="50">
        <v>13.868126613620618</v>
      </c>
      <c r="D19" s="50">
        <v>17.133569167509634</v>
      </c>
      <c r="E19" s="50">
        <v>12.19304550536711</v>
      </c>
      <c r="F19" s="50">
        <v>4.2434912891203567</v>
      </c>
      <c r="G19" s="50">
        <v>12.131062557406551</v>
      </c>
      <c r="H19" s="50">
        <v>26.436122295462752</v>
      </c>
      <c r="I19" s="50">
        <v>9.2243135793097792</v>
      </c>
      <c r="J19" s="50">
        <v>-8.8799999999999955</v>
      </c>
      <c r="K19" s="50">
        <v>10.273622281663393</v>
      </c>
      <c r="L19" s="50">
        <v>7.3485623772177462</v>
      </c>
      <c r="M19" s="50">
        <v>1.6541320058329774</v>
      </c>
      <c r="N19" s="50">
        <v>3.3081618895169953</v>
      </c>
      <c r="O19" s="50">
        <v>-2.3495072530516978</v>
      </c>
      <c r="P19" s="50">
        <v>-7.7078440326446582</v>
      </c>
      <c r="Q19" s="50">
        <v>-20.90407301627225</v>
      </c>
      <c r="R19" s="50">
        <v>2.0706826955716906E-2</v>
      </c>
      <c r="S19" s="50">
        <v>4.3734935253965972</v>
      </c>
      <c r="T19" s="50">
        <v>-24.454378739422566</v>
      </c>
      <c r="U19" s="50">
        <v>-6.2913823277032748</v>
      </c>
      <c r="V19" s="50">
        <v>5.1350000853842772</v>
      </c>
      <c r="W19" s="50">
        <v>-1.470268830277476</v>
      </c>
      <c r="X19" s="50">
        <v>2.8318303246477114</v>
      </c>
    </row>
    <row r="20" spans="1:26" x14ac:dyDescent="0.2">
      <c r="A20" s="49" t="s">
        <v>33</v>
      </c>
      <c r="B20" s="50"/>
      <c r="C20" s="50">
        <v>-52.476434578706595</v>
      </c>
      <c r="D20" s="50">
        <v>-415.6834271378217</v>
      </c>
      <c r="E20" s="50">
        <v>-171.64496934371141</v>
      </c>
      <c r="F20" s="50">
        <v>-212.45120432778782</v>
      </c>
      <c r="G20" s="50">
        <v>-61.276139712937699</v>
      </c>
      <c r="H20" s="50">
        <v>-16.844066318098399</v>
      </c>
      <c r="I20" s="50">
        <v>-299.85474663964419</v>
      </c>
      <c r="J20" s="50">
        <v>-196.56662838362786</v>
      </c>
      <c r="K20" s="50">
        <v>-109.12483544738808</v>
      </c>
      <c r="L20" s="50">
        <v>-357.55245443598022</v>
      </c>
      <c r="M20" s="50">
        <v>-197.07846280314388</v>
      </c>
      <c r="N20" s="50">
        <v>-379.799833319713</v>
      </c>
      <c r="O20" s="50">
        <v>-91.608946922539729</v>
      </c>
      <c r="P20" s="50">
        <v>55.406297304769396</v>
      </c>
      <c r="Q20" s="50">
        <v>-11.464114940730212</v>
      </c>
      <c r="R20" s="50">
        <v>-22.057906321018407</v>
      </c>
      <c r="S20" s="50">
        <v>108.78935010528542</v>
      </c>
      <c r="T20" s="50">
        <v>8.5036909132484482</v>
      </c>
      <c r="U20" s="50">
        <v>-71.737603646821981</v>
      </c>
      <c r="V20" s="50">
        <v>65.355059677964078</v>
      </c>
      <c r="W20" s="50">
        <v>-56.19728942548948</v>
      </c>
      <c r="X20" s="50">
        <v>-10.969755938240439</v>
      </c>
    </row>
    <row r="21" spans="1:26" x14ac:dyDescent="0.2">
      <c r="A21" s="49" t="s">
        <v>32</v>
      </c>
      <c r="B21" s="50"/>
      <c r="C21" s="50">
        <v>-1.2999999999999829</v>
      </c>
      <c r="D21" s="50">
        <v>13.090000000000018</v>
      </c>
      <c r="E21" s="50">
        <v>22.930000000000007</v>
      </c>
      <c r="F21" s="50">
        <v>14.290000000000006</v>
      </c>
      <c r="G21" s="50">
        <v>16.560187136534068</v>
      </c>
      <c r="H21" s="50">
        <v>10.619823508180829</v>
      </c>
      <c r="I21" s="50">
        <v>-2.6505188922632072</v>
      </c>
      <c r="J21" s="50">
        <v>-2.3789321652719906</v>
      </c>
      <c r="K21" s="50">
        <v>-5.1241013402151481</v>
      </c>
      <c r="L21" s="50">
        <v>5.1998645092793652</v>
      </c>
      <c r="M21" s="50">
        <v>-1.1739007667153203</v>
      </c>
      <c r="N21" s="50">
        <v>0.70463232664165787</v>
      </c>
      <c r="O21" s="50">
        <v>2</v>
      </c>
      <c r="P21" s="50">
        <v>-18.395524622330257</v>
      </c>
      <c r="Q21" s="50">
        <v>-4.0000000000000142</v>
      </c>
      <c r="R21" s="50">
        <v>-17.395543765970871</v>
      </c>
      <c r="S21" s="50">
        <v>-16.275642943083568</v>
      </c>
      <c r="T21" s="50">
        <v>-7.9999999999999858</v>
      </c>
      <c r="U21" s="50">
        <v>-2</v>
      </c>
      <c r="V21" s="50">
        <v>4.3727008119221864</v>
      </c>
      <c r="W21" s="50">
        <v>-26.256189288357533</v>
      </c>
      <c r="X21" s="50">
        <v>1.6120734715271681</v>
      </c>
    </row>
    <row r="22" spans="1:26" x14ac:dyDescent="0.2">
      <c r="A22" s="49" t="s">
        <v>31</v>
      </c>
      <c r="B22" s="50"/>
      <c r="C22" s="50">
        <v>9.6899999999999977</v>
      </c>
      <c r="D22" s="50">
        <v>7.1299999999999955</v>
      </c>
      <c r="E22" s="50">
        <v>11.949999999999989</v>
      </c>
      <c r="F22" s="50">
        <v>6.3500000000000085</v>
      </c>
      <c r="G22" s="50">
        <v>7.6000000000000085</v>
      </c>
      <c r="H22" s="50">
        <v>18.170000000000002</v>
      </c>
      <c r="I22" s="50">
        <v>-0.47443461555218391</v>
      </c>
      <c r="J22" s="50">
        <v>-11.738238089672308</v>
      </c>
      <c r="K22" s="50">
        <v>10.950041821636432</v>
      </c>
      <c r="L22" s="50">
        <v>-8.9458113473000367E-2</v>
      </c>
      <c r="M22" s="50">
        <v>4.3786496065228278</v>
      </c>
      <c r="N22" s="50">
        <v>-5.1584822645499173</v>
      </c>
      <c r="O22" s="50">
        <v>-23.910321227347467</v>
      </c>
      <c r="P22" s="50">
        <v>-24.738901087638368</v>
      </c>
      <c r="Q22" s="50">
        <v>11.233100298474483</v>
      </c>
      <c r="R22" s="50">
        <v>-8.8054398763383972</v>
      </c>
      <c r="S22" s="50">
        <v>-45.280251972132788</v>
      </c>
      <c r="T22" s="50">
        <v>4.8999999999999915</v>
      </c>
      <c r="U22" s="50">
        <v>20.031314170122911</v>
      </c>
      <c r="V22" s="50">
        <v>22.387763479855067</v>
      </c>
      <c r="W22" s="50">
        <v>-17.071604873003267</v>
      </c>
      <c r="X22" s="50">
        <v>2.6610809401812645</v>
      </c>
    </row>
    <row r="23" spans="1:26" x14ac:dyDescent="0.2">
      <c r="A23" s="53" t="s">
        <v>23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R23" s="54"/>
    </row>
    <row r="24" spans="1:26" x14ac:dyDescent="0.2">
      <c r="A24" s="53"/>
      <c r="B24" s="5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54"/>
    </row>
    <row r="25" spans="1:26" x14ac:dyDescent="0.2"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</row>
    <row r="26" spans="1:26" x14ac:dyDescent="0.2"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6"/>
      <c r="N26" s="176"/>
      <c r="O26" s="176"/>
      <c r="P26" s="176"/>
      <c r="Q26" s="175"/>
      <c r="R26" s="176"/>
      <c r="S26" s="175"/>
      <c r="T26" s="175"/>
      <c r="U26" s="175"/>
      <c r="V26" s="175"/>
      <c r="W26" s="175"/>
      <c r="X26" s="175"/>
      <c r="Y26" s="175"/>
    </row>
    <row r="27" spans="1:26" x14ac:dyDescent="0.2"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6"/>
      <c r="N27" s="176"/>
      <c r="O27" s="176"/>
      <c r="P27" s="176"/>
      <c r="Q27" s="175"/>
      <c r="R27" s="176"/>
      <c r="S27" s="175"/>
      <c r="T27" s="175"/>
      <c r="U27" s="175"/>
      <c r="V27" s="175"/>
      <c r="W27" s="175"/>
      <c r="X27" s="175"/>
      <c r="Y27" s="175"/>
    </row>
    <row r="28" spans="1:26" x14ac:dyDescent="0.2"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6"/>
      <c r="O28" s="176"/>
      <c r="P28" s="176"/>
      <c r="Q28" s="175"/>
      <c r="R28" s="176"/>
      <c r="S28" s="175"/>
      <c r="T28" s="175"/>
      <c r="U28" s="175"/>
      <c r="V28" s="175"/>
      <c r="W28" s="175"/>
      <c r="X28" s="175"/>
      <c r="Y28" s="175"/>
    </row>
    <row r="29" spans="1:26" x14ac:dyDescent="0.2"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6"/>
      <c r="O29" s="176"/>
      <c r="P29" s="176"/>
      <c r="Q29" s="175"/>
      <c r="R29" s="176"/>
      <c r="S29" s="175"/>
      <c r="T29" s="175"/>
      <c r="U29" s="175"/>
      <c r="V29" s="175"/>
      <c r="W29" s="175"/>
      <c r="X29" s="175"/>
      <c r="Y29" s="175"/>
    </row>
    <row r="30" spans="1:26" x14ac:dyDescent="0.2"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</row>
    <row r="31" spans="1:26" x14ac:dyDescent="0.2"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</row>
    <row r="32" spans="1:26" x14ac:dyDescent="0.2"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</row>
    <row r="33" spans="3:25" x14ac:dyDescent="0.2"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</row>
  </sheetData>
  <mergeCells count="4">
    <mergeCell ref="A1:N1"/>
    <mergeCell ref="B3:X3"/>
    <mergeCell ref="A5:X5"/>
    <mergeCell ref="A12:X1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"/>
  <sheetViews>
    <sheetView showGridLines="0" workbookViewId="0">
      <pane xSplit="1" ySplit="5" topLeftCell="B6" activePane="bottomRight" state="frozen"/>
      <selection activeCell="H33" sqref="H33"/>
      <selection pane="topRight" activeCell="H33" sqref="H33"/>
      <selection pane="bottomLeft" activeCell="H33" sqref="H33"/>
      <selection pane="bottomRight" activeCell="M30" sqref="M30"/>
    </sheetView>
  </sheetViews>
  <sheetFormatPr defaultColWidth="8.85546875" defaultRowHeight="12" x14ac:dyDescent="0.2"/>
  <cols>
    <col min="1" max="1" width="57.7109375" style="56" bestFit="1" customWidth="1"/>
    <col min="2" max="24" width="6.140625" style="56" customWidth="1"/>
    <col min="25" max="16384" width="8.85546875" style="56"/>
  </cols>
  <sheetData>
    <row r="1" spans="1:24" x14ac:dyDescent="0.2">
      <c r="A1" s="238" t="s">
        <v>208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42"/>
      <c r="P1" s="42"/>
      <c r="Q1" s="43"/>
      <c r="R1" s="42"/>
    </row>
    <row r="2" spans="1:24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3"/>
      <c r="R2" s="45"/>
    </row>
    <row r="3" spans="1:24" x14ac:dyDescent="0.2">
      <c r="A3" s="82"/>
      <c r="B3" s="239" t="s">
        <v>51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</row>
    <row r="4" spans="1:24" x14ac:dyDescent="0.2">
      <c r="A4" s="82" t="s">
        <v>46</v>
      </c>
      <c r="B4" s="57">
        <v>2002</v>
      </c>
      <c r="C4" s="57">
        <v>2003</v>
      </c>
      <c r="D4" s="57">
        <v>2004</v>
      </c>
      <c r="E4" s="57">
        <v>2005</v>
      </c>
      <c r="F4" s="57">
        <v>2006</v>
      </c>
      <c r="G4" s="57">
        <v>2007</v>
      </c>
      <c r="H4" s="57">
        <v>2008</v>
      </c>
      <c r="I4" s="58">
        <v>2009</v>
      </c>
      <c r="J4" s="58">
        <v>2010</v>
      </c>
      <c r="K4" s="58">
        <v>2011</v>
      </c>
      <c r="L4" s="58">
        <v>2012</v>
      </c>
      <c r="M4" s="58">
        <v>2013</v>
      </c>
      <c r="N4" s="58">
        <v>2014</v>
      </c>
      <c r="O4" s="58">
        <v>2015</v>
      </c>
      <c r="P4" s="58">
        <v>2016</v>
      </c>
      <c r="Q4" s="58">
        <v>2017</v>
      </c>
      <c r="R4" s="58">
        <v>2018</v>
      </c>
      <c r="S4" s="58">
        <v>2019</v>
      </c>
      <c r="T4" s="58">
        <v>2020</v>
      </c>
      <c r="U4" s="58">
        <v>2021</v>
      </c>
      <c r="V4" s="58">
        <v>2022</v>
      </c>
      <c r="W4" s="58">
        <v>2023</v>
      </c>
      <c r="X4" s="58">
        <v>2024</v>
      </c>
    </row>
    <row r="5" spans="1:24" x14ac:dyDescent="0.2">
      <c r="A5" s="237" t="s">
        <v>44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x14ac:dyDescent="0.2">
      <c r="A6" s="46" t="s">
        <v>24</v>
      </c>
      <c r="B6" s="47"/>
      <c r="C6" s="48">
        <v>94.607261141595359</v>
      </c>
      <c r="D6" s="48">
        <v>33.382323723096448</v>
      </c>
      <c r="E6" s="48">
        <v>40.136451093037266</v>
      </c>
      <c r="F6" s="48">
        <v>16.814417740971749</v>
      </c>
      <c r="G6" s="48">
        <v>5.1745141238523473</v>
      </c>
      <c r="H6" s="48">
        <v>19.42738250374407</v>
      </c>
      <c r="I6" s="48">
        <v>-14.271278584114256</v>
      </c>
      <c r="J6" s="48">
        <v>28.67079991177755</v>
      </c>
      <c r="K6" s="48">
        <v>29.64487913946968</v>
      </c>
      <c r="L6" s="48">
        <v>7.112269637589236</v>
      </c>
      <c r="M6" s="48">
        <v>3.2335080378420429</v>
      </c>
      <c r="N6" s="48">
        <v>4.0817318808242646</v>
      </c>
      <c r="O6" s="48">
        <v>-2.9573458264035537</v>
      </c>
      <c r="P6" s="48">
        <v>20.868553843562324</v>
      </c>
      <c r="Q6" s="48">
        <v>23.725962596640088</v>
      </c>
      <c r="R6" s="48">
        <v>24.621624209573085</v>
      </c>
      <c r="S6" s="48">
        <v>20.249856267058107</v>
      </c>
      <c r="T6" s="48">
        <v>16.230479871569116</v>
      </c>
      <c r="U6" s="48">
        <v>35.599492975413767</v>
      </c>
      <c r="V6" s="48">
        <v>18.067765393198741</v>
      </c>
      <c r="W6" s="48">
        <v>19.333981381622124</v>
      </c>
      <c r="X6" s="48">
        <v>27.87485391244013</v>
      </c>
    </row>
    <row r="7" spans="1:24" x14ac:dyDescent="0.2">
      <c r="A7" s="49" t="s">
        <v>43</v>
      </c>
      <c r="B7" s="50"/>
      <c r="C7" s="50">
        <v>92.590522934102779</v>
      </c>
      <c r="D7" s="50">
        <v>34.148991584819356</v>
      </c>
      <c r="E7" s="50">
        <v>37.06739862556168</v>
      </c>
      <c r="F7" s="50">
        <v>14.517082216441011</v>
      </c>
      <c r="G7" s="50">
        <v>10.307428751735443</v>
      </c>
      <c r="H7" s="50">
        <v>21.600984802342651</v>
      </c>
      <c r="I7" s="50">
        <v>-7.9753103850690081</v>
      </c>
      <c r="J7" s="50">
        <v>23.87922616218529</v>
      </c>
      <c r="K7" s="50">
        <v>24.170981833149099</v>
      </c>
      <c r="L7" s="50">
        <v>8.7186851470232085</v>
      </c>
      <c r="M7" s="50">
        <v>3.7132902832523769</v>
      </c>
      <c r="N7" s="50">
        <v>3.1207486091651191</v>
      </c>
      <c r="O7" s="50">
        <v>-4.3815027907890851</v>
      </c>
      <c r="P7" s="50">
        <v>20.881882269180522</v>
      </c>
      <c r="Q7" s="50">
        <v>23.020827057352648</v>
      </c>
      <c r="R7" s="50">
        <v>29.5899091302241</v>
      </c>
      <c r="S7" s="50">
        <v>19.244597617973525</v>
      </c>
      <c r="T7" s="50">
        <v>11.932438254965746</v>
      </c>
      <c r="U7" s="50">
        <v>39.29594041185473</v>
      </c>
      <c r="V7" s="50">
        <v>19.080814837791735</v>
      </c>
      <c r="W7" s="50">
        <v>18.556286135666824</v>
      </c>
      <c r="X7" s="50">
        <v>25.612285200650177</v>
      </c>
    </row>
    <row r="8" spans="1:24" x14ac:dyDescent="0.2">
      <c r="A8" s="51" t="s">
        <v>42</v>
      </c>
      <c r="B8" s="50"/>
      <c r="C8" s="50">
        <v>106.81800360699444</v>
      </c>
      <c r="D8" s="50">
        <v>34.710879094894239</v>
      </c>
      <c r="E8" s="50">
        <v>16.681309027015146</v>
      </c>
      <c r="F8" s="50">
        <v>20.992460212136393</v>
      </c>
      <c r="G8" s="50">
        <v>19.601471270935249</v>
      </c>
      <c r="H8" s="50">
        <v>37.081066696689504</v>
      </c>
      <c r="I8" s="50">
        <v>0</v>
      </c>
      <c r="J8" s="50">
        <v>3.3268447607351703</v>
      </c>
      <c r="K8" s="50">
        <v>9.8438976737941601</v>
      </c>
      <c r="L8" s="50">
        <v>3.9726683924841382</v>
      </c>
      <c r="M8" s="50">
        <v>0</v>
      </c>
      <c r="N8" s="50">
        <v>7.1209864286188918</v>
      </c>
      <c r="O8" s="50">
        <v>25.329669453316001</v>
      </c>
      <c r="P8" s="50">
        <v>20.877977696999722</v>
      </c>
      <c r="Q8" s="50">
        <v>23.697924750072261</v>
      </c>
      <c r="R8" s="50">
        <v>25.173190921849596</v>
      </c>
      <c r="S8" s="50">
        <v>19.861151555303636</v>
      </c>
      <c r="T8" s="50">
        <v>16.063423558633943</v>
      </c>
      <c r="U8" s="50">
        <v>35.654681194982572</v>
      </c>
      <c r="V8" s="50">
        <v>18.113374054843263</v>
      </c>
      <c r="W8" s="50">
        <v>17.928811608297607</v>
      </c>
      <c r="X8" s="50">
        <v>25.358524618384365</v>
      </c>
    </row>
    <row r="9" spans="1:24" x14ac:dyDescent="0.2">
      <c r="A9" s="49" t="s">
        <v>41</v>
      </c>
      <c r="B9" s="50"/>
      <c r="C9" s="50">
        <v>207.92203709525307</v>
      </c>
      <c r="D9" s="50">
        <v>50.957651147900862</v>
      </c>
      <c r="E9" s="50">
        <v>15.860665007916765</v>
      </c>
      <c r="F9" s="50">
        <v>-0.17607330255698628</v>
      </c>
      <c r="G9" s="50">
        <v>64.242593354693611</v>
      </c>
      <c r="H9" s="50">
        <v>-30.713300036984776</v>
      </c>
      <c r="I9" s="50">
        <v>0</v>
      </c>
      <c r="J9" s="50">
        <v>26.097950804463508</v>
      </c>
      <c r="K9" s="50">
        <v>6.4987813849815694</v>
      </c>
      <c r="L9" s="50">
        <v>73.532943192992519</v>
      </c>
      <c r="M9" s="50">
        <v>-8.3636128822533351E-2</v>
      </c>
      <c r="N9" s="50">
        <v>-38.476616826508867</v>
      </c>
      <c r="O9" s="50">
        <v>-45.128434089452284</v>
      </c>
      <c r="P9" s="50">
        <v>20.877977696999722</v>
      </c>
      <c r="Q9" s="50">
        <v>23.697924750072261</v>
      </c>
      <c r="R9" s="50">
        <v>25.173190921849596</v>
      </c>
      <c r="S9" s="50">
        <v>19.861151555303636</v>
      </c>
      <c r="T9" s="50">
        <v>16.063423558633943</v>
      </c>
      <c r="U9" s="50">
        <v>35.654681194982572</v>
      </c>
      <c r="V9" s="50">
        <v>18.113374054843263</v>
      </c>
      <c r="W9" s="50">
        <v>17.928811608297607</v>
      </c>
      <c r="X9" s="50">
        <v>25.358524618384365</v>
      </c>
    </row>
    <row r="10" spans="1:24" x14ac:dyDescent="0.2">
      <c r="A10" s="49" t="s">
        <v>40</v>
      </c>
      <c r="B10" s="50"/>
      <c r="C10" s="50">
        <v>83.297323904269973</v>
      </c>
      <c r="D10" s="50">
        <v>37.443832702815769</v>
      </c>
      <c r="E10" s="50">
        <v>28.661300881589199</v>
      </c>
      <c r="F10" s="50">
        <v>9.7603880015159348</v>
      </c>
      <c r="G10" s="50">
        <v>20.84981456440542</v>
      </c>
      <c r="H10" s="50">
        <v>33.158266740014881</v>
      </c>
      <c r="I10" s="50">
        <v>8.3757897527383989</v>
      </c>
      <c r="J10" s="50">
        <v>11.202533762117923</v>
      </c>
      <c r="K10" s="50">
        <v>12.116863241161212</v>
      </c>
      <c r="L10" s="50">
        <v>8.2348495008529312</v>
      </c>
      <c r="M10" s="50">
        <v>5.4634384676574257</v>
      </c>
      <c r="N10" s="50">
        <v>5.8649628953695014</v>
      </c>
      <c r="O10" s="50">
        <v>-2.0419590827156213</v>
      </c>
      <c r="P10" s="50">
        <v>21.814140313058346</v>
      </c>
      <c r="Q10" s="50">
        <v>25.896028351373744</v>
      </c>
      <c r="R10" s="50">
        <v>31.190925191447405</v>
      </c>
      <c r="S10" s="50">
        <v>18.551124893728698</v>
      </c>
      <c r="T10" s="50">
        <v>14.110742856960329</v>
      </c>
      <c r="U10" s="50">
        <v>41.864013687385551</v>
      </c>
      <c r="V10" s="50">
        <v>21.048278008139846</v>
      </c>
      <c r="W10" s="50">
        <v>17.094629486359068</v>
      </c>
      <c r="X10" s="50">
        <v>21.247607467121867</v>
      </c>
    </row>
    <row r="11" spans="1:24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1"/>
      <c r="W11" s="41"/>
      <c r="X11" s="41"/>
    </row>
    <row r="12" spans="1:24" x14ac:dyDescent="0.2">
      <c r="A12" s="249" t="s">
        <v>39</v>
      </c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</row>
    <row r="13" spans="1:24" x14ac:dyDescent="0.2">
      <c r="A13" s="52" t="s">
        <v>24</v>
      </c>
      <c r="B13" s="48"/>
      <c r="C13" s="48">
        <v>94.607261141595359</v>
      </c>
      <c r="D13" s="48">
        <v>33.38232372309642</v>
      </c>
      <c r="E13" s="48">
        <v>40.136451093037323</v>
      </c>
      <c r="F13" s="48">
        <v>16.814417740971678</v>
      </c>
      <c r="G13" s="48">
        <v>5.1745141238523473</v>
      </c>
      <c r="H13" s="48">
        <v>19.427382503744113</v>
      </c>
      <c r="I13" s="48">
        <v>-14.271278584114313</v>
      </c>
      <c r="J13" s="48">
        <v>28.670799911777408</v>
      </c>
      <c r="K13" s="48">
        <v>29.644879139469737</v>
      </c>
      <c r="L13" s="48">
        <v>7.1122696375892644</v>
      </c>
      <c r="M13" s="48">
        <v>3.2335080378420571</v>
      </c>
      <c r="N13" s="48">
        <v>4.0817318808243499</v>
      </c>
      <c r="O13" s="48">
        <v>-2.9573458264035111</v>
      </c>
      <c r="P13" s="48">
        <v>20.868553843562253</v>
      </c>
      <c r="Q13" s="48">
        <v>23.725962596640102</v>
      </c>
      <c r="R13" s="48">
        <v>24.621624209573028</v>
      </c>
      <c r="S13" s="48">
        <v>20.249856267058064</v>
      </c>
      <c r="T13" s="48">
        <v>16.23047987156923</v>
      </c>
      <c r="U13" s="48">
        <v>35.599492975413796</v>
      </c>
      <c r="V13" s="48">
        <v>18.067765393198727</v>
      </c>
      <c r="W13" s="48">
        <v>19.333981381622081</v>
      </c>
      <c r="X13" s="48">
        <v>27.874853912440116</v>
      </c>
    </row>
    <row r="14" spans="1:24" x14ac:dyDescent="0.2">
      <c r="A14" s="49" t="s">
        <v>38</v>
      </c>
      <c r="B14" s="50"/>
      <c r="C14" s="50">
        <v>104.3589917262039</v>
      </c>
      <c r="D14" s="50">
        <v>24.092297207396868</v>
      </c>
      <c r="E14" s="50">
        <v>29.626916573703852</v>
      </c>
      <c r="F14" s="50">
        <v>16.739800712844911</v>
      </c>
      <c r="G14" s="50">
        <v>12.872406019046039</v>
      </c>
      <c r="H14" s="50">
        <v>21.21084040883845</v>
      </c>
      <c r="I14" s="50">
        <v>2.7393458415669585</v>
      </c>
      <c r="J14" s="50">
        <v>18.896744003020032</v>
      </c>
      <c r="K14" s="50">
        <v>16.08813625354739</v>
      </c>
      <c r="L14" s="50">
        <v>10.319868896222033</v>
      </c>
      <c r="M14" s="50">
        <v>6.8692472011363463</v>
      </c>
      <c r="N14" s="50">
        <v>18.98104561259413</v>
      </c>
      <c r="O14" s="50">
        <v>19.931139139033192</v>
      </c>
      <c r="P14" s="50">
        <v>12.026050561591788</v>
      </c>
      <c r="Q14" s="50">
        <v>5.2757176062637683</v>
      </c>
      <c r="R14" s="50">
        <v>13.914407163313598</v>
      </c>
      <c r="S14" s="50">
        <v>31.177242015323515</v>
      </c>
      <c r="T14" s="50">
        <v>17.765454075788128</v>
      </c>
      <c r="U14" s="50">
        <v>14.692283894646124</v>
      </c>
      <c r="V14" s="50">
        <v>18.754713957420435</v>
      </c>
      <c r="W14" s="50">
        <v>18.283878553180102</v>
      </c>
      <c r="X14" s="50">
        <v>29.186506571939503</v>
      </c>
    </row>
    <row r="15" spans="1:24" x14ac:dyDescent="0.2">
      <c r="A15" s="49" t="s">
        <v>37</v>
      </c>
      <c r="B15" s="50"/>
      <c r="C15" s="50">
        <v>97.043979553368956</v>
      </c>
      <c r="D15" s="50">
        <v>40.087889780028405</v>
      </c>
      <c r="E15" s="50">
        <v>15.259124869413341</v>
      </c>
      <c r="F15" s="50">
        <v>18.39075751588895</v>
      </c>
      <c r="G15" s="50">
        <v>13.896337904659234</v>
      </c>
      <c r="H15" s="50">
        <v>17.445148236223702</v>
      </c>
      <c r="I15" s="50">
        <v>-0.63229762041436288</v>
      </c>
      <c r="J15" s="50">
        <v>22.424224749774723</v>
      </c>
      <c r="K15" s="50">
        <v>16.928034516570747</v>
      </c>
      <c r="L15" s="50">
        <v>8.7821329616396326</v>
      </c>
      <c r="M15" s="50">
        <v>6.3163034116073362</v>
      </c>
      <c r="N15" s="50">
        <v>25.72949863811111</v>
      </c>
      <c r="O15" s="50">
        <v>29.196056255624967</v>
      </c>
      <c r="P15" s="50">
        <v>12.021131698142426</v>
      </c>
      <c r="Q15" s="50">
        <v>5.4633307317495223</v>
      </c>
      <c r="R15" s="50">
        <v>14.124249979230825</v>
      </c>
      <c r="S15" s="50">
        <v>26.962242429876241</v>
      </c>
      <c r="T15" s="50">
        <v>16.153990411739642</v>
      </c>
      <c r="U15" s="50">
        <v>10.733569362734755</v>
      </c>
      <c r="V15" s="50">
        <v>14.916728022047181</v>
      </c>
      <c r="W15" s="50">
        <v>19.734315299629273</v>
      </c>
      <c r="X15" s="50">
        <v>31.785949190791285</v>
      </c>
    </row>
    <row r="16" spans="1:24" x14ac:dyDescent="0.2">
      <c r="A16" s="49" t="s">
        <v>50</v>
      </c>
      <c r="B16" s="50"/>
      <c r="C16" s="50">
        <v>90.980902186137655</v>
      </c>
      <c r="D16" s="50">
        <v>37.974109575028365</v>
      </c>
      <c r="E16" s="50">
        <v>19.730305983375899</v>
      </c>
      <c r="F16" s="50">
        <v>11.607515766703841</v>
      </c>
      <c r="G16" s="50">
        <v>19.683236934072681</v>
      </c>
      <c r="H16" s="50">
        <v>14.024268769203815</v>
      </c>
      <c r="I16" s="50">
        <v>11.557436039308783</v>
      </c>
      <c r="J16" s="50">
        <v>12.693722386338521</v>
      </c>
      <c r="K16" s="50">
        <v>17.400583853721898</v>
      </c>
      <c r="L16" s="50">
        <v>10.436083321088006</v>
      </c>
      <c r="M16" s="50">
        <v>5.7278248810807071</v>
      </c>
      <c r="N16" s="50">
        <v>14.082818614598395</v>
      </c>
      <c r="O16" s="50">
        <v>12.201208506100798</v>
      </c>
      <c r="P16" s="50">
        <v>18.999999999999972</v>
      </c>
      <c r="Q16" s="50">
        <v>21.440000000000012</v>
      </c>
      <c r="R16" s="50">
        <v>20.190373789837992</v>
      </c>
      <c r="S16" s="50">
        <v>18.701424806896767</v>
      </c>
      <c r="T16" s="50">
        <v>19.187004620818144</v>
      </c>
      <c r="U16" s="50">
        <v>19.187004620818087</v>
      </c>
      <c r="V16" s="50">
        <v>15.275615259853808</v>
      </c>
      <c r="W16" s="50">
        <v>31.191568058405124</v>
      </c>
      <c r="X16" s="50">
        <v>36.417605808786703</v>
      </c>
    </row>
    <row r="17" spans="1:26" x14ac:dyDescent="0.2">
      <c r="A17" s="49" t="s">
        <v>36</v>
      </c>
      <c r="B17" s="50"/>
      <c r="C17" s="50">
        <v>119.4061448110412</v>
      </c>
      <c r="D17" s="50">
        <v>-5.0345930717137719</v>
      </c>
      <c r="E17" s="50">
        <v>69.410228637161282</v>
      </c>
      <c r="F17" s="50">
        <v>13.859640623073659</v>
      </c>
      <c r="G17" s="50">
        <v>11.000221549210522</v>
      </c>
      <c r="H17" s="50">
        <v>27.836390821066928</v>
      </c>
      <c r="I17" s="50">
        <v>9.4612183369909673</v>
      </c>
      <c r="J17" s="50">
        <v>12.570757977487219</v>
      </c>
      <c r="K17" s="50">
        <v>14.666334326490087</v>
      </c>
      <c r="L17" s="50">
        <v>13.202850738566681</v>
      </c>
      <c r="M17" s="50">
        <v>7.7561584129280021</v>
      </c>
      <c r="N17" s="50">
        <v>5.1098663829880024</v>
      </c>
      <c r="O17" s="50">
        <v>-2.3962485552672064</v>
      </c>
      <c r="P17" s="50">
        <v>12.000000000000014</v>
      </c>
      <c r="Q17" s="50">
        <v>4.3567238055483699</v>
      </c>
      <c r="R17" s="50">
        <v>12.902601757745941</v>
      </c>
      <c r="S17" s="50">
        <v>49.029267518833109</v>
      </c>
      <c r="T17" s="50">
        <v>24.072498856221074</v>
      </c>
      <c r="U17" s="50">
        <v>30.620395166484371</v>
      </c>
      <c r="V17" s="50">
        <v>32.130754013391368</v>
      </c>
      <c r="W17" s="50">
        <v>13.443597619801423</v>
      </c>
      <c r="X17" s="50">
        <v>19.913662363110319</v>
      </c>
    </row>
    <row r="18" spans="1:26" x14ac:dyDescent="0.2">
      <c r="A18" s="49" t="s">
        <v>35</v>
      </c>
      <c r="B18" s="50"/>
      <c r="C18" s="50">
        <v>72.025517125214662</v>
      </c>
      <c r="D18" s="50">
        <v>30.51262036824798</v>
      </c>
      <c r="E18" s="50">
        <v>32.230326904345844</v>
      </c>
      <c r="F18" s="50">
        <v>0.69123080752781618</v>
      </c>
      <c r="G18" s="50">
        <v>22.154099209359444</v>
      </c>
      <c r="H18" s="50">
        <v>21.870417692764804</v>
      </c>
      <c r="I18" s="50">
        <v>13.408575983476553</v>
      </c>
      <c r="J18" s="50">
        <v>0.71299907162469367</v>
      </c>
      <c r="K18" s="50">
        <v>15.529655813328787</v>
      </c>
      <c r="L18" s="50">
        <v>9.6178294659073202</v>
      </c>
      <c r="M18" s="50">
        <v>4.10783025373469</v>
      </c>
      <c r="N18" s="50">
        <v>10.271833803537888</v>
      </c>
      <c r="O18" s="50">
        <v>2.3798509426443246</v>
      </c>
      <c r="P18" s="50">
        <v>33.162529684581585</v>
      </c>
      <c r="Q18" s="50">
        <v>51.209597294816149</v>
      </c>
      <c r="R18" s="50">
        <v>3.2199148035056027</v>
      </c>
      <c r="S18" s="50">
        <v>16.662450701408488</v>
      </c>
      <c r="T18" s="50">
        <v>17.184356730248254</v>
      </c>
      <c r="U18" s="50">
        <v>20.6705012385694</v>
      </c>
      <c r="V18" s="50">
        <v>3.7486570188916488</v>
      </c>
      <c r="W18" s="50">
        <v>5.3898249773053379</v>
      </c>
      <c r="X18" s="50">
        <v>11.635612665473033</v>
      </c>
    </row>
    <row r="19" spans="1:26" x14ac:dyDescent="0.2">
      <c r="A19" s="49" t="s">
        <v>34</v>
      </c>
      <c r="B19" s="50"/>
      <c r="C19" s="50">
        <v>71.629996739651688</v>
      </c>
      <c r="D19" s="50">
        <v>30.372931242857447</v>
      </c>
      <c r="E19" s="50">
        <v>32.546732264638962</v>
      </c>
      <c r="F19" s="50">
        <v>-1.0307967687029986</v>
      </c>
      <c r="G19" s="50">
        <v>21.559043475210231</v>
      </c>
      <c r="H19" s="50">
        <v>21.909379692056618</v>
      </c>
      <c r="I19" s="50">
        <v>12.566289215149467</v>
      </c>
      <c r="J19" s="50">
        <v>-3.1944802600776256E-3</v>
      </c>
      <c r="K19" s="50">
        <v>15.568896647281008</v>
      </c>
      <c r="L19" s="50">
        <v>9.6334412909359912</v>
      </c>
      <c r="M19" s="50">
        <v>4.1000000000000369</v>
      </c>
      <c r="N19" s="50">
        <v>10.382709988376988</v>
      </c>
      <c r="O19" s="50">
        <v>2.387707083201704</v>
      </c>
      <c r="P19" s="50">
        <v>33.186597873669058</v>
      </c>
      <c r="Q19" s="50">
        <v>51.271447195824607</v>
      </c>
      <c r="R19" s="50">
        <v>3.1858320370914583</v>
      </c>
      <c r="S19" s="50">
        <v>16.653880855592078</v>
      </c>
      <c r="T19" s="50">
        <v>17.216343603357728</v>
      </c>
      <c r="U19" s="50">
        <v>20.646773274501641</v>
      </c>
      <c r="V19" s="50">
        <v>3.7193483566350807</v>
      </c>
      <c r="W19" s="50">
        <v>5.3723069628900646</v>
      </c>
      <c r="X19" s="50">
        <v>11.615609164686205</v>
      </c>
    </row>
    <row r="20" spans="1:26" x14ac:dyDescent="0.2">
      <c r="A20" s="49" t="s">
        <v>33</v>
      </c>
      <c r="B20" s="50"/>
      <c r="C20" s="50">
        <v>52.213129565046103</v>
      </c>
      <c r="D20" s="50">
        <v>33.440149420446119</v>
      </c>
      <c r="E20" s="50">
        <v>42.375596548075947</v>
      </c>
      <c r="F20" s="50">
        <v>48.342905645249544</v>
      </c>
      <c r="G20" s="50">
        <v>53.965024211774306</v>
      </c>
      <c r="H20" s="50">
        <v>19.370054999305324</v>
      </c>
      <c r="I20" s="50">
        <v>-16.76093972350057</v>
      </c>
      <c r="J20" s="50">
        <v>33.447565335763443</v>
      </c>
      <c r="K20" s="50">
        <v>31.771542771341728</v>
      </c>
      <c r="L20" s="50">
        <v>7.2557102843139347</v>
      </c>
      <c r="M20" s="50">
        <v>2.8397441740828526</v>
      </c>
      <c r="N20" s="50">
        <v>3.5608205194891411</v>
      </c>
      <c r="O20" s="50">
        <v>-3.5183913648529739</v>
      </c>
      <c r="P20" s="50">
        <v>21.774299428248042</v>
      </c>
      <c r="Q20" s="50">
        <v>22.614504755320056</v>
      </c>
      <c r="R20" s="50">
        <v>28.167028176171215</v>
      </c>
      <c r="S20" s="50">
        <v>19.187001446520043</v>
      </c>
      <c r="T20" s="50">
        <v>10.763130560231929</v>
      </c>
      <c r="U20" s="50">
        <v>37.384106945647375</v>
      </c>
      <c r="V20" s="50">
        <v>15.275615259853836</v>
      </c>
      <c r="W20" s="50">
        <v>19.333981381622095</v>
      </c>
      <c r="X20" s="50">
        <v>27.874853912440116</v>
      </c>
    </row>
    <row r="21" spans="1:26" x14ac:dyDescent="0.2">
      <c r="A21" s="49" t="s">
        <v>32</v>
      </c>
      <c r="B21" s="50"/>
      <c r="C21" s="50">
        <v>96.077595991704783</v>
      </c>
      <c r="D21" s="50">
        <v>41.026368390138572</v>
      </c>
      <c r="E21" s="50">
        <v>49.710176850076948</v>
      </c>
      <c r="F21" s="50">
        <v>10.672113295232037</v>
      </c>
      <c r="G21" s="50">
        <v>9.7789496934119029</v>
      </c>
      <c r="H21" s="50">
        <v>27.071936580576534</v>
      </c>
      <c r="I21" s="50">
        <v>-29.697732150648193</v>
      </c>
      <c r="J21" s="50">
        <v>46.944929932742639</v>
      </c>
      <c r="K21" s="50">
        <v>42.156630505413744</v>
      </c>
      <c r="L21" s="50">
        <v>2.1196236064918992</v>
      </c>
      <c r="M21" s="50">
        <v>-0.94001173475314204</v>
      </c>
      <c r="N21" s="50">
        <v>-11.486598926051784</v>
      </c>
      <c r="O21" s="50">
        <v>-32.275088516937117</v>
      </c>
      <c r="P21" s="50">
        <v>37.306106533198317</v>
      </c>
      <c r="Q21" s="50">
        <v>32.839424052034559</v>
      </c>
      <c r="R21" s="50">
        <v>114.50576925774746</v>
      </c>
      <c r="S21" s="50">
        <v>46.478776547474212</v>
      </c>
      <c r="T21" s="50">
        <v>2.863778552420527</v>
      </c>
      <c r="U21" s="50">
        <v>76.575145777175123</v>
      </c>
      <c r="V21" s="50">
        <v>5.2276996977681733</v>
      </c>
      <c r="W21" s="50">
        <v>48.733938803306955</v>
      </c>
      <c r="X21" s="50">
        <v>24.842696570036324</v>
      </c>
    </row>
    <row r="22" spans="1:26" x14ac:dyDescent="0.2">
      <c r="A22" s="49" t="s">
        <v>31</v>
      </c>
      <c r="B22" s="50"/>
      <c r="C22" s="50">
        <v>92.735064794369976</v>
      </c>
      <c r="D22" s="50">
        <v>26.579585179535187</v>
      </c>
      <c r="E22" s="50">
        <v>33.00351343562653</v>
      </c>
      <c r="F22" s="50">
        <v>-6.8330383623737987</v>
      </c>
      <c r="G22" s="50">
        <v>43.243934598814576</v>
      </c>
      <c r="H22" s="50">
        <v>35.700729337194673</v>
      </c>
      <c r="I22" s="50">
        <v>3.3825365775509653</v>
      </c>
      <c r="J22" s="50">
        <v>10.877787831855088</v>
      </c>
      <c r="K22" s="50">
        <v>13.919886035264511</v>
      </c>
      <c r="L22" s="50">
        <v>6.3163962675761383</v>
      </c>
      <c r="M22" s="50">
        <v>4.3989487307593436</v>
      </c>
      <c r="N22" s="50">
        <v>16.455362531056707</v>
      </c>
      <c r="O22" s="50">
        <v>13.770120626785754</v>
      </c>
      <c r="P22" s="50">
        <v>22.421961616767547</v>
      </c>
      <c r="Q22" s="50">
        <v>0.37685110171005931</v>
      </c>
      <c r="R22" s="50">
        <v>53.103284448998266</v>
      </c>
      <c r="S22" s="50">
        <v>127.12907337985348</v>
      </c>
      <c r="T22" s="50">
        <v>2.6262360696955653</v>
      </c>
      <c r="U22" s="50">
        <v>11.886250716694292</v>
      </c>
      <c r="V22" s="50">
        <v>-8.6108059089855402</v>
      </c>
      <c r="W22" s="50">
        <v>48.733938803306955</v>
      </c>
      <c r="X22" s="50">
        <v>18.440263246429396</v>
      </c>
    </row>
    <row r="23" spans="1:26" x14ac:dyDescent="0.2">
      <c r="A23" s="53" t="s">
        <v>23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R23" s="54"/>
    </row>
    <row r="24" spans="1:26" x14ac:dyDescent="0.2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6" spans="1:26" x14ac:dyDescent="0.2">
      <c r="M26" s="55"/>
      <c r="N26" s="55"/>
      <c r="O26" s="55"/>
      <c r="P26" s="55"/>
      <c r="R26" s="55"/>
    </row>
    <row r="27" spans="1:26" x14ac:dyDescent="0.2">
      <c r="M27" s="55"/>
      <c r="N27" s="55"/>
      <c r="O27" s="55"/>
      <c r="P27" s="55"/>
      <c r="R27" s="55"/>
    </row>
    <row r="28" spans="1:26" x14ac:dyDescent="0.2">
      <c r="N28" s="55"/>
      <c r="O28" s="55"/>
      <c r="P28" s="55"/>
      <c r="R28" s="55"/>
    </row>
    <row r="29" spans="1:26" x14ac:dyDescent="0.2">
      <c r="N29" s="55"/>
      <c r="O29" s="55"/>
      <c r="P29" s="55"/>
      <c r="R29" s="55"/>
    </row>
  </sheetData>
  <mergeCells count="4">
    <mergeCell ref="A1:N1"/>
    <mergeCell ref="B3:X3"/>
    <mergeCell ref="A12:X12"/>
    <mergeCell ref="A5:X5"/>
  </mergeCells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9"/>
  <sheetViews>
    <sheetView workbookViewId="0">
      <pane xSplit="1" ySplit="5" topLeftCell="B6" activePane="bottomRight" state="frozen"/>
      <selection activeCell="H33" sqref="H33"/>
      <selection pane="topRight" activeCell="H33" sqref="H33"/>
      <selection pane="bottomLeft" activeCell="H33" sqref="H33"/>
      <selection pane="bottomRight" activeCell="T29" sqref="T29"/>
    </sheetView>
  </sheetViews>
  <sheetFormatPr defaultColWidth="8.85546875" defaultRowHeight="12" x14ac:dyDescent="0.2"/>
  <cols>
    <col min="1" max="1" width="57.7109375" style="41" bestFit="1" customWidth="1"/>
    <col min="2" max="24" width="7" style="41" customWidth="1"/>
    <col min="25" max="16384" width="8.85546875" style="41"/>
  </cols>
  <sheetData>
    <row r="1" spans="1:24" x14ac:dyDescent="0.2">
      <c r="A1" s="238" t="s">
        <v>207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42"/>
      <c r="P1" s="42"/>
      <c r="Q1" s="43"/>
      <c r="R1" s="42"/>
    </row>
    <row r="2" spans="1:24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3"/>
      <c r="R2" s="45"/>
    </row>
    <row r="3" spans="1:24" x14ac:dyDescent="0.2">
      <c r="A3" s="82"/>
      <c r="B3" s="239" t="s">
        <v>52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</row>
    <row r="4" spans="1:24" x14ac:dyDescent="0.2">
      <c r="A4" s="82" t="s">
        <v>46</v>
      </c>
      <c r="B4" s="57">
        <v>2002</v>
      </c>
      <c r="C4" s="57">
        <v>2003</v>
      </c>
      <c r="D4" s="57">
        <v>2004</v>
      </c>
      <c r="E4" s="57">
        <v>2005</v>
      </c>
      <c r="F4" s="57">
        <v>2006</v>
      </c>
      <c r="G4" s="57">
        <v>2007</v>
      </c>
      <c r="H4" s="57">
        <v>2008</v>
      </c>
      <c r="I4" s="58">
        <v>2009</v>
      </c>
      <c r="J4" s="58">
        <v>2010</v>
      </c>
      <c r="K4" s="58">
        <v>2011</v>
      </c>
      <c r="L4" s="58">
        <v>2012</v>
      </c>
      <c r="M4" s="58">
        <v>2013</v>
      </c>
      <c r="N4" s="58">
        <v>2014</v>
      </c>
      <c r="O4" s="58">
        <v>2015</v>
      </c>
      <c r="P4" s="58">
        <v>2016</v>
      </c>
      <c r="Q4" s="58">
        <v>2017</v>
      </c>
      <c r="R4" s="58">
        <v>2018</v>
      </c>
      <c r="S4" s="58">
        <v>2019</v>
      </c>
      <c r="T4" s="58">
        <v>2020</v>
      </c>
      <c r="U4" s="58">
        <v>2021</v>
      </c>
      <c r="V4" s="58">
        <v>2022</v>
      </c>
      <c r="W4" s="58">
        <v>2023</v>
      </c>
      <c r="X4" s="58">
        <v>2024</v>
      </c>
    </row>
    <row r="5" spans="1:24" x14ac:dyDescent="0.2">
      <c r="A5" s="237" t="s">
        <v>44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x14ac:dyDescent="0.2">
      <c r="A6" s="46" t="s">
        <v>24</v>
      </c>
      <c r="B6" s="47"/>
      <c r="C6" s="59">
        <v>99.999999999999986</v>
      </c>
      <c r="D6" s="59">
        <v>100.00000000000003</v>
      </c>
      <c r="E6" s="59">
        <v>100</v>
      </c>
      <c r="F6" s="59">
        <v>100.00000000000003</v>
      </c>
      <c r="G6" s="59">
        <v>99.999999999999972</v>
      </c>
      <c r="H6" s="59">
        <v>100</v>
      </c>
      <c r="I6" s="59">
        <v>100.00000000000001</v>
      </c>
      <c r="J6" s="59">
        <v>100.00000000000001</v>
      </c>
      <c r="K6" s="59">
        <v>100</v>
      </c>
      <c r="L6" s="59">
        <v>99.999999999999972</v>
      </c>
      <c r="M6" s="59">
        <v>100.00000000000003</v>
      </c>
      <c r="N6" s="59">
        <v>100</v>
      </c>
      <c r="O6" s="59">
        <v>100.00000000000001</v>
      </c>
      <c r="P6" s="59">
        <v>99.999999999999972</v>
      </c>
      <c r="Q6" s="59">
        <v>99.999999999999986</v>
      </c>
      <c r="R6" s="59">
        <v>99.999999999999972</v>
      </c>
      <c r="S6" s="59">
        <v>99.999999999999986</v>
      </c>
      <c r="T6" s="59">
        <v>100.00000000000003</v>
      </c>
      <c r="U6" s="59">
        <v>100</v>
      </c>
      <c r="V6" s="59">
        <v>100.00000000000003</v>
      </c>
      <c r="W6" s="59">
        <v>100</v>
      </c>
      <c r="X6" s="59">
        <v>100</v>
      </c>
    </row>
    <row r="7" spans="1:24" x14ac:dyDescent="0.2">
      <c r="A7" s="49" t="s">
        <v>43</v>
      </c>
      <c r="B7" s="50"/>
      <c r="C7" s="50">
        <v>155.14388346888964</v>
      </c>
      <c r="D7" s="50">
        <v>154.28353887743279</v>
      </c>
      <c r="E7" s="50">
        <v>150.99853009202513</v>
      </c>
      <c r="F7" s="50">
        <v>148.28971251398556</v>
      </c>
      <c r="G7" s="50">
        <v>143.99150578036856</v>
      </c>
      <c r="H7" s="50">
        <v>148.9958952446357</v>
      </c>
      <c r="I7" s="50">
        <v>153.5116941714769</v>
      </c>
      <c r="J7" s="50">
        <v>164.08711994180496</v>
      </c>
      <c r="K7" s="50">
        <v>155.738702793269</v>
      </c>
      <c r="L7" s="50">
        <v>152.14370094130206</v>
      </c>
      <c r="M7" s="50">
        <v>151.58103279976822</v>
      </c>
      <c r="N7" s="50">
        <v>155.70350561731152</v>
      </c>
      <c r="O7" s="50">
        <v>149.32408464578401</v>
      </c>
      <c r="P7" s="50">
        <v>145.15987977717205</v>
      </c>
      <c r="Q7" s="50">
        <v>143.47446392396631</v>
      </c>
      <c r="R7" s="50">
        <v>141.84251487615282</v>
      </c>
      <c r="S7" s="50">
        <v>142.5540373967101</v>
      </c>
      <c r="T7" s="50">
        <v>144.48343364375665</v>
      </c>
      <c r="U7" s="50">
        <v>145.33023796224256</v>
      </c>
      <c r="V7" s="50">
        <v>149.72416729760937</v>
      </c>
      <c r="W7" s="50">
        <v>152.57739761054344</v>
      </c>
      <c r="X7" s="50">
        <v>152.30265213491327</v>
      </c>
    </row>
    <row r="8" spans="1:24" x14ac:dyDescent="0.2">
      <c r="A8" s="51" t="s">
        <v>42</v>
      </c>
      <c r="B8" s="50"/>
      <c r="C8" s="50">
        <v>2.9713085018244447</v>
      </c>
      <c r="D8" s="50">
        <v>3.4758322125570023</v>
      </c>
      <c r="E8" s="50">
        <v>3.2836050404193626</v>
      </c>
      <c r="F8" s="50">
        <v>2.6502903004021214</v>
      </c>
      <c r="G8" s="50">
        <v>2.6110541433065819</v>
      </c>
      <c r="H8" s="50">
        <v>2.9890496401420532</v>
      </c>
      <c r="I8" s="50">
        <v>3.6136687799188589</v>
      </c>
      <c r="J8" s="50">
        <v>4.1327640064119331</v>
      </c>
      <c r="K8" s="50">
        <v>3.3577219397052471</v>
      </c>
      <c r="L8" s="50">
        <v>2.6319072542767543</v>
      </c>
      <c r="M8" s="50">
        <v>2.3059236146766171</v>
      </c>
      <c r="N8" s="50">
        <v>2.5196013415991021</v>
      </c>
      <c r="O8" s="50">
        <v>2.6636114999672271</v>
      </c>
      <c r="P8" s="50">
        <v>2.9799952635587528</v>
      </c>
      <c r="Q8" s="50">
        <v>3.0343395735696523</v>
      </c>
      <c r="R8" s="50">
        <v>3.024799694775449</v>
      </c>
      <c r="S8" s="50">
        <v>3.2186042883961195</v>
      </c>
      <c r="T8" s="50">
        <v>2.3438303777887093</v>
      </c>
      <c r="U8" s="50">
        <v>3.8274536134817536</v>
      </c>
      <c r="V8" s="50">
        <v>3.4838799063876347</v>
      </c>
      <c r="W8" s="50">
        <v>3.2463582288975701</v>
      </c>
      <c r="X8" s="50">
        <v>2.8302774330881939</v>
      </c>
    </row>
    <row r="9" spans="1:24" x14ac:dyDescent="0.2">
      <c r="A9" s="49" t="s">
        <v>41</v>
      </c>
      <c r="B9" s="50"/>
      <c r="C9" s="50">
        <v>2.2581732292236425</v>
      </c>
      <c r="D9" s="50">
        <v>3.227026646129536</v>
      </c>
      <c r="E9" s="50">
        <v>3.6587411766195821</v>
      </c>
      <c r="F9" s="50">
        <v>2.8392819820590316</v>
      </c>
      <c r="G9" s="50">
        <v>2.4174557283326958</v>
      </c>
      <c r="H9" s="50">
        <v>3.6073506047576074</v>
      </c>
      <c r="I9" s="50">
        <v>1.861107009484168</v>
      </c>
      <c r="J9" s="50">
        <v>2.1284507599641787</v>
      </c>
      <c r="K9" s="50">
        <v>2.4050629938589143</v>
      </c>
      <c r="L9" s="50">
        <v>2.1866915698052063</v>
      </c>
      <c r="M9" s="50">
        <v>3.5169012181318777</v>
      </c>
      <c r="N9" s="50">
        <v>3.725570539179115</v>
      </c>
      <c r="O9" s="50">
        <v>2.1916975038446211</v>
      </c>
      <c r="P9" s="50">
        <v>1.4195823832543439</v>
      </c>
      <c r="Q9" s="50">
        <v>0.3732524392202865</v>
      </c>
      <c r="R9" s="50">
        <v>0.22797562830839438</v>
      </c>
      <c r="S9" s="50">
        <v>0.16501166035610806</v>
      </c>
      <c r="T9" s="50">
        <v>0.10307586054205632</v>
      </c>
      <c r="U9" s="50">
        <v>1.466052386897815</v>
      </c>
      <c r="V9" s="50">
        <v>2.3868251223230574</v>
      </c>
      <c r="W9" s="50">
        <v>3.1050234334314704</v>
      </c>
      <c r="X9" s="50">
        <v>2.99527720747139</v>
      </c>
    </row>
    <row r="10" spans="1:24" x14ac:dyDescent="0.2">
      <c r="A10" s="49" t="s">
        <v>40</v>
      </c>
      <c r="B10" s="50"/>
      <c r="C10" s="50">
        <v>55.85701874149045</v>
      </c>
      <c r="D10" s="50">
        <v>54.532344443860239</v>
      </c>
      <c r="E10" s="50">
        <v>50.623393955824923</v>
      </c>
      <c r="F10" s="50">
        <v>48.100720832328655</v>
      </c>
      <c r="G10" s="50">
        <v>44.185104195342468</v>
      </c>
      <c r="H10" s="50">
        <v>48.377594280020126</v>
      </c>
      <c r="I10" s="50">
        <v>55.2642559419116</v>
      </c>
      <c r="J10" s="50">
        <v>66.091433188252708</v>
      </c>
      <c r="K10" s="50">
        <v>56.691361739115329</v>
      </c>
      <c r="L10" s="50">
        <v>52.588916625773599</v>
      </c>
      <c r="M10" s="50">
        <v>50.370055196312954</v>
      </c>
      <c r="N10" s="50">
        <v>54.49753641973151</v>
      </c>
      <c r="O10" s="50">
        <v>49.795998641906621</v>
      </c>
      <c r="P10" s="50">
        <v>46.72029265747647</v>
      </c>
      <c r="Q10" s="50">
        <v>46.13555105831567</v>
      </c>
      <c r="R10" s="50">
        <v>44.639338942619894</v>
      </c>
      <c r="S10" s="50">
        <v>45.607630024750122</v>
      </c>
      <c r="T10" s="50">
        <v>46.724188161003291</v>
      </c>
      <c r="U10" s="50">
        <v>47.691639188826521</v>
      </c>
      <c r="V10" s="50">
        <v>50.82122208167393</v>
      </c>
      <c r="W10" s="50">
        <v>52.718732406009529</v>
      </c>
      <c r="X10" s="50">
        <v>52.137652360530062</v>
      </c>
    </row>
    <row r="11" spans="1:24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spans="1:24" x14ac:dyDescent="0.2">
      <c r="A12" s="249" t="s">
        <v>39</v>
      </c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</row>
    <row r="13" spans="1:24" x14ac:dyDescent="0.2">
      <c r="A13" s="52" t="s">
        <v>24</v>
      </c>
      <c r="B13" s="48"/>
      <c r="C13" s="59">
        <v>99.999999999999943</v>
      </c>
      <c r="D13" s="59">
        <v>99.999999999999972</v>
      </c>
      <c r="E13" s="59">
        <v>100</v>
      </c>
      <c r="F13" s="59">
        <v>100</v>
      </c>
      <c r="G13" s="59">
        <v>100</v>
      </c>
      <c r="H13" s="59">
        <v>99.999999999999972</v>
      </c>
      <c r="I13" s="59">
        <v>100.00000000000003</v>
      </c>
      <c r="J13" s="59">
        <v>100</v>
      </c>
      <c r="K13" s="59">
        <v>100</v>
      </c>
      <c r="L13" s="59">
        <v>100</v>
      </c>
      <c r="M13" s="59">
        <v>99.999999999999972</v>
      </c>
      <c r="N13" s="59">
        <v>100.00000000000003</v>
      </c>
      <c r="O13" s="59">
        <v>100</v>
      </c>
      <c r="P13" s="59">
        <v>99.999999999999972</v>
      </c>
      <c r="Q13" s="59">
        <v>99.999999999999986</v>
      </c>
      <c r="R13" s="59">
        <v>100.00000000000001</v>
      </c>
      <c r="S13" s="59">
        <v>100</v>
      </c>
      <c r="T13" s="59">
        <v>99.999999999999972</v>
      </c>
      <c r="U13" s="59">
        <v>100</v>
      </c>
      <c r="V13" s="59">
        <v>100.00000000000001</v>
      </c>
      <c r="W13" s="59">
        <v>100</v>
      </c>
      <c r="X13" s="59">
        <v>100</v>
      </c>
    </row>
    <row r="14" spans="1:24" x14ac:dyDescent="0.2">
      <c r="A14" s="49" t="s">
        <v>38</v>
      </c>
      <c r="B14" s="50"/>
      <c r="C14" s="50">
        <v>61.801577100878589</v>
      </c>
      <c r="D14" s="50">
        <v>65.744838977262404</v>
      </c>
      <c r="E14" s="50">
        <v>55.594350369668341</v>
      </c>
      <c r="F14" s="50">
        <v>49.88093201701497</v>
      </c>
      <c r="G14" s="50">
        <v>46.789405419628594</v>
      </c>
      <c r="H14" s="50">
        <v>47.932292903487919</v>
      </c>
      <c r="I14" s="50">
        <v>47.571680086198306</v>
      </c>
      <c r="J14" s="50">
        <v>58.351747472493344</v>
      </c>
      <c r="K14" s="50">
        <v>53.445198078002122</v>
      </c>
      <c r="L14" s="50">
        <v>53.429633925060429</v>
      </c>
      <c r="M14" s="50">
        <v>53.916795722021845</v>
      </c>
      <c r="N14" s="50">
        <v>59.891396479261317</v>
      </c>
      <c r="O14" s="50">
        <v>66.678010756559857</v>
      </c>
      <c r="P14" s="50">
        <v>73.572907859490243</v>
      </c>
      <c r="Q14" s="50">
        <v>68.038955729271166</v>
      </c>
      <c r="R14" s="50">
        <v>66.070645178134654</v>
      </c>
      <c r="S14" s="50">
        <v>62.639012379867843</v>
      </c>
      <c r="T14" s="50">
        <v>61.934981418356969</v>
      </c>
      <c r="U14" s="50">
        <v>71.383086465253299</v>
      </c>
      <c r="V14" s="50">
        <v>66.098519080846273</v>
      </c>
      <c r="W14" s="50">
        <v>70.004852588567516</v>
      </c>
      <c r="X14" s="50">
        <v>75.829402298305055</v>
      </c>
    </row>
    <row r="15" spans="1:24" x14ac:dyDescent="0.2">
      <c r="A15" s="49" t="s">
        <v>37</v>
      </c>
      <c r="B15" s="50"/>
      <c r="C15" s="50">
        <v>41.326211132817484</v>
      </c>
      <c r="D15" s="50">
        <v>42.556013138491515</v>
      </c>
      <c r="E15" s="50">
        <v>40.441748820399518</v>
      </c>
      <c r="F15" s="50">
        <v>32.533637225308574</v>
      </c>
      <c r="G15" s="50">
        <v>30.189323697817507</v>
      </c>
      <c r="H15" s="50">
        <v>31.107990857803419</v>
      </c>
      <c r="I15" s="50">
        <v>29.318779475726526</v>
      </c>
      <c r="J15" s="50">
        <v>37.598121315812982</v>
      </c>
      <c r="K15" s="50">
        <v>35.329276792742888</v>
      </c>
      <c r="L15" s="50">
        <v>33.757947544299746</v>
      </c>
      <c r="M15" s="50">
        <v>34.632717142807309</v>
      </c>
      <c r="N15" s="50">
        <v>36.605518116167381</v>
      </c>
      <c r="O15" s="50">
        <v>47.361600998598476</v>
      </c>
      <c r="P15" s="50">
        <v>55.963608188351998</v>
      </c>
      <c r="Q15" s="50">
        <v>53.385579266118157</v>
      </c>
      <c r="R15" s="50">
        <v>53.640848051893755</v>
      </c>
      <c r="S15" s="50">
        <v>51.414919267619865</v>
      </c>
      <c r="T15" s="50">
        <v>48.366036191967254</v>
      </c>
      <c r="U15" s="50">
        <v>56.019364363671443</v>
      </c>
      <c r="V15" s="50">
        <v>51.066628852608694</v>
      </c>
      <c r="W15" s="50">
        <v>52.555465919205943</v>
      </c>
      <c r="X15" s="50">
        <v>58.81514518750437</v>
      </c>
    </row>
    <row r="16" spans="1:24" x14ac:dyDescent="0.2">
      <c r="A16" s="49" t="s">
        <v>50</v>
      </c>
      <c r="B16" s="50"/>
      <c r="C16" s="50">
        <v>7.3665215975884921E-2</v>
      </c>
      <c r="D16" s="50">
        <v>7.5598606072111163E-2</v>
      </c>
      <c r="E16" s="50">
        <v>7.2965364742565653E-2</v>
      </c>
      <c r="F16" s="50">
        <v>5.7357340841772832E-2</v>
      </c>
      <c r="G16" s="50">
        <v>5.2139183669910598E-2</v>
      </c>
      <c r="H16" s="50">
        <v>5.564449133861215E-2</v>
      </c>
      <c r="I16" s="50">
        <v>5.1872241222320412E-2</v>
      </c>
      <c r="J16" s="50">
        <v>7.3008259699019709E-2</v>
      </c>
      <c r="K16" s="50">
        <v>6.3105230295669917E-2</v>
      </c>
      <c r="L16" s="50">
        <v>6.0816102167627395E-2</v>
      </c>
      <c r="M16" s="50">
        <v>6.347800163197026E-2</v>
      </c>
      <c r="N16" s="50">
        <v>6.7109061618355517E-2</v>
      </c>
      <c r="O16" s="50">
        <v>7.9192980213788136E-2</v>
      </c>
      <c r="P16" s="50">
        <v>9.3558475127223761E-2</v>
      </c>
      <c r="Q16" s="50">
        <v>9.7769080137176612E-2</v>
      </c>
      <c r="R16" s="50">
        <v>9.8908506571594001E-2</v>
      </c>
      <c r="S16" s="50">
        <v>9.8887513985272901E-2</v>
      </c>
      <c r="T16" s="50">
        <v>8.7643053310409239E-2</v>
      </c>
      <c r="U16" s="50">
        <v>9.7854369925999898E-2</v>
      </c>
      <c r="V16" s="50">
        <v>8.7753761807224537E-2</v>
      </c>
      <c r="W16" s="50">
        <v>8.5332742989261537E-2</v>
      </c>
      <c r="X16" s="50">
        <v>9.549639757502966E-2</v>
      </c>
    </row>
    <row r="17" spans="1:26" x14ac:dyDescent="0.2">
      <c r="A17" s="49" t="s">
        <v>36</v>
      </c>
      <c r="B17" s="50"/>
      <c r="C17" s="50">
        <v>20.401700752085226</v>
      </c>
      <c r="D17" s="50">
        <v>23.11322723269879</v>
      </c>
      <c r="E17" s="50">
        <v>15.079636184526255</v>
      </c>
      <c r="F17" s="50">
        <v>17.289937450864628</v>
      </c>
      <c r="G17" s="50">
        <v>16.547942538141182</v>
      </c>
      <c r="H17" s="50">
        <v>16.768657554345889</v>
      </c>
      <c r="I17" s="50">
        <v>18.20102836924945</v>
      </c>
      <c r="J17" s="50">
        <v>20.680617896981339</v>
      </c>
      <c r="K17" s="50">
        <v>18.052816054963561</v>
      </c>
      <c r="L17" s="50">
        <v>19.610870278593058</v>
      </c>
      <c r="M17" s="50">
        <v>19.220600577582584</v>
      </c>
      <c r="N17" s="50">
        <v>23.218769301475575</v>
      </c>
      <c r="O17" s="50">
        <v>19.237216777747605</v>
      </c>
      <c r="P17" s="50">
        <v>17.515741196011028</v>
      </c>
      <c r="Q17" s="50">
        <v>14.555607383015831</v>
      </c>
      <c r="R17" s="50">
        <v>12.330888619669309</v>
      </c>
      <c r="S17" s="50">
        <v>11.125205598262706</v>
      </c>
      <c r="T17" s="50">
        <v>13.481302173079307</v>
      </c>
      <c r="U17" s="50">
        <v>15.265867731655854</v>
      </c>
      <c r="V17" s="50">
        <v>14.944136466430358</v>
      </c>
      <c r="W17" s="50">
        <v>17.3640539263723</v>
      </c>
      <c r="X17" s="50">
        <v>16.918760713225662</v>
      </c>
    </row>
    <row r="18" spans="1:26" x14ac:dyDescent="0.2">
      <c r="A18" s="49" t="s">
        <v>35</v>
      </c>
      <c r="B18" s="50"/>
      <c r="C18" s="50">
        <v>29.774166910785048</v>
      </c>
      <c r="D18" s="50">
        <v>29.806955274151953</v>
      </c>
      <c r="E18" s="50">
        <v>32.703334329825154</v>
      </c>
      <c r="F18" s="50">
        <v>28.013994897448484</v>
      </c>
      <c r="G18" s="50">
        <v>24.128521564206697</v>
      </c>
      <c r="H18" s="50">
        <v>26.872320678784511</v>
      </c>
      <c r="I18" s="50">
        <v>31.047664280470677</v>
      </c>
      <c r="J18" s="50">
        <v>42.112662994690567</v>
      </c>
      <c r="K18" s="50">
        <v>29.763832793538302</v>
      </c>
      <c r="L18" s="50">
        <v>27.366245453611764</v>
      </c>
      <c r="M18" s="50">
        <v>27.968561400923537</v>
      </c>
      <c r="N18" s="50">
        <v>26.99376305286091</v>
      </c>
      <c r="O18" s="50">
        <v>28.873478192826514</v>
      </c>
      <c r="P18" s="50">
        <v>29.10860959357624</v>
      </c>
      <c r="Q18" s="50">
        <v>29.692072950184766</v>
      </c>
      <c r="R18" s="50">
        <v>28.756030166549095</v>
      </c>
      <c r="S18" s="50">
        <v>23.934661010527254</v>
      </c>
      <c r="T18" s="50">
        <v>24.536160925073432</v>
      </c>
      <c r="U18" s="50">
        <v>19.758244646833973</v>
      </c>
      <c r="V18" s="50">
        <v>16.245641023102987</v>
      </c>
      <c r="W18" s="50">
        <v>14.506248209868765</v>
      </c>
      <c r="X18" s="50">
        <v>12.438865607462651</v>
      </c>
    </row>
    <row r="19" spans="1:26" x14ac:dyDescent="0.2">
      <c r="A19" s="49" t="s">
        <v>34</v>
      </c>
      <c r="B19" s="50"/>
      <c r="C19" s="50">
        <v>31.269891349211122</v>
      </c>
      <c r="D19" s="50">
        <v>30.344193086390437</v>
      </c>
      <c r="E19" s="50">
        <v>31.180530454511562</v>
      </c>
      <c r="F19" s="50">
        <v>28.984996673652525</v>
      </c>
      <c r="G19" s="50">
        <v>22.888725507473765</v>
      </c>
      <c r="H19" s="50">
        <v>26.250376112798346</v>
      </c>
      <c r="I19" s="50">
        <v>30.58105966929261</v>
      </c>
      <c r="J19" s="50">
        <v>43.000397140980233</v>
      </c>
      <c r="K19" s="50">
        <v>28.919451891990288</v>
      </c>
      <c r="L19" s="50">
        <v>27.441840902588353</v>
      </c>
      <c r="M19" s="50">
        <v>27.788881165744193</v>
      </c>
      <c r="N19" s="50">
        <v>27.159438497673527</v>
      </c>
      <c r="O19" s="50">
        <v>28.43275735529766</v>
      </c>
      <c r="P19" s="50">
        <v>29.07212075271557</v>
      </c>
      <c r="Q19" s="50">
        <v>29.634808589549209</v>
      </c>
      <c r="R19" s="50">
        <v>28.705703220226514</v>
      </c>
      <c r="S19" s="50">
        <v>23.894113732225144</v>
      </c>
      <c r="T19" s="50">
        <v>24.451355906600334</v>
      </c>
      <c r="U19" s="50">
        <v>19.665674761715902</v>
      </c>
      <c r="V19" s="50">
        <v>16.219420193238417</v>
      </c>
      <c r="W19" s="50">
        <v>14.465370316926856</v>
      </c>
      <c r="X19" s="50">
        <v>12.421193286281165</v>
      </c>
    </row>
    <row r="20" spans="1:26" x14ac:dyDescent="0.2">
      <c r="A20" s="49" t="s">
        <v>33</v>
      </c>
      <c r="B20" s="50"/>
      <c r="C20" s="50">
        <v>-1.4957244384260735</v>
      </c>
      <c r="D20" s="50">
        <v>-0.53723781223848266</v>
      </c>
      <c r="E20" s="50">
        <v>1.5228038753135931</v>
      </c>
      <c r="F20" s="50">
        <v>-0.97100177620404149</v>
      </c>
      <c r="G20" s="50">
        <v>1.2397960567329285</v>
      </c>
      <c r="H20" s="50">
        <v>0.62194456598616421</v>
      </c>
      <c r="I20" s="50">
        <v>0.46660461117807156</v>
      </c>
      <c r="J20" s="50">
        <v>-0.88773414628967129</v>
      </c>
      <c r="K20" s="50">
        <v>0.84438090154801382</v>
      </c>
      <c r="L20" s="50">
        <v>-7.5595448976588847E-2</v>
      </c>
      <c r="M20" s="50">
        <v>0.17968023517934215</v>
      </c>
      <c r="N20" s="50">
        <v>-0.16567544481261995</v>
      </c>
      <c r="O20" s="50">
        <v>0.44072083752885216</v>
      </c>
      <c r="P20" s="50">
        <v>3.6488840860667775E-2</v>
      </c>
      <c r="Q20" s="50">
        <v>5.7264360635554561E-2</v>
      </c>
      <c r="R20" s="50">
        <v>5.0326946322582583E-2</v>
      </c>
      <c r="S20" s="50">
        <v>4.054727830211232E-2</v>
      </c>
      <c r="T20" s="50">
        <v>8.4805018473099333E-2</v>
      </c>
      <c r="U20" s="50">
        <v>9.2569885118070877E-2</v>
      </c>
      <c r="V20" s="50">
        <v>2.6220829864573889E-2</v>
      </c>
      <c r="W20" s="50">
        <v>4.0877892941908835E-2</v>
      </c>
      <c r="X20" s="50">
        <v>1.7672321181484651E-2</v>
      </c>
    </row>
    <row r="21" spans="1:26" x14ac:dyDescent="0.2">
      <c r="A21" s="49" t="s">
        <v>32</v>
      </c>
      <c r="B21" s="50"/>
      <c r="C21" s="50">
        <v>49.497538480722895</v>
      </c>
      <c r="D21" s="50">
        <v>47.564460965317046</v>
      </c>
      <c r="E21" s="50">
        <v>51.044176886933379</v>
      </c>
      <c r="F21" s="50">
        <v>58.723266187003411</v>
      </c>
      <c r="G21" s="50">
        <v>56.853338566659431</v>
      </c>
      <c r="H21" s="50">
        <v>61.210508558861633</v>
      </c>
      <c r="I21" s="50">
        <v>65.030532187661962</v>
      </c>
      <c r="J21" s="50">
        <v>50.899386395401059</v>
      </c>
      <c r="K21" s="50">
        <v>53.892516131985268</v>
      </c>
      <c r="L21" s="50">
        <v>54.120532481956104</v>
      </c>
      <c r="M21" s="50">
        <v>50.02706071284544</v>
      </c>
      <c r="N21" s="50">
        <v>45.232320919742861</v>
      </c>
      <c r="O21" s="50">
        <v>37.014326749364116</v>
      </c>
      <c r="P21" s="50">
        <v>26.148931712458456</v>
      </c>
      <c r="Q21" s="50">
        <v>24.297292188873559</v>
      </c>
      <c r="R21" s="50">
        <v>25.084824987876882</v>
      </c>
      <c r="S21" s="50">
        <v>35.848110999252889</v>
      </c>
      <c r="T21" s="50">
        <v>36.950082265303735</v>
      </c>
      <c r="U21" s="50">
        <v>31.759535978206859</v>
      </c>
      <c r="V21" s="50">
        <v>40.092305214041701</v>
      </c>
      <c r="W21" s="50">
        <v>36.013485714830097</v>
      </c>
      <c r="X21" s="50">
        <v>32.669372372032143</v>
      </c>
    </row>
    <row r="22" spans="1:26" x14ac:dyDescent="0.2">
      <c r="A22" s="49" t="s">
        <v>31</v>
      </c>
      <c r="B22" s="50"/>
      <c r="C22" s="50">
        <v>41.073282492386568</v>
      </c>
      <c r="D22" s="50">
        <v>43.11625521673141</v>
      </c>
      <c r="E22" s="50">
        <v>39.341861586426866</v>
      </c>
      <c r="F22" s="50">
        <v>36.618193101466858</v>
      </c>
      <c r="G22" s="50">
        <v>27.771265550494721</v>
      </c>
      <c r="H22" s="50">
        <v>36.015122141134064</v>
      </c>
      <c r="I22" s="50">
        <v>43.649876554330923</v>
      </c>
      <c r="J22" s="50">
        <v>51.363796862584955</v>
      </c>
      <c r="K22" s="50">
        <v>37.101547003525688</v>
      </c>
      <c r="L22" s="50">
        <v>34.916411860628301</v>
      </c>
      <c r="M22" s="50">
        <v>31.912417835790841</v>
      </c>
      <c r="N22" s="50">
        <v>32.11748045186507</v>
      </c>
      <c r="O22" s="50">
        <v>32.565815698750491</v>
      </c>
      <c r="P22" s="50">
        <v>28.830449165524946</v>
      </c>
      <c r="Q22" s="50">
        <v>22.028320868329505</v>
      </c>
      <c r="R22" s="50">
        <v>19.911500332560621</v>
      </c>
      <c r="S22" s="50">
        <v>22.421784389647989</v>
      </c>
      <c r="T22" s="50">
        <v>23.421224608734157</v>
      </c>
      <c r="U22" s="50">
        <v>22.900867090294135</v>
      </c>
      <c r="V22" s="50">
        <v>22.436465317990947</v>
      </c>
      <c r="W22" s="50">
        <v>20.524586513266378</v>
      </c>
      <c r="X22" s="50">
        <v>20.937640277799851</v>
      </c>
    </row>
    <row r="23" spans="1:26" x14ac:dyDescent="0.2">
      <c r="A23" s="53" t="s">
        <v>23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R23" s="54"/>
    </row>
    <row r="24" spans="1:26" x14ac:dyDescent="0.2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6" spans="1:26" x14ac:dyDescent="0.2">
      <c r="M26" s="55"/>
      <c r="N26" s="55"/>
      <c r="O26" s="55"/>
      <c r="P26" s="55"/>
      <c r="R26" s="55"/>
    </row>
    <row r="27" spans="1:26" x14ac:dyDescent="0.2">
      <c r="M27" s="55"/>
      <c r="N27" s="55"/>
      <c r="O27" s="55"/>
      <c r="P27" s="55"/>
      <c r="R27" s="55"/>
    </row>
    <row r="28" spans="1:26" x14ac:dyDescent="0.2">
      <c r="N28" s="55"/>
      <c r="O28" s="55"/>
      <c r="P28" s="55"/>
      <c r="R28" s="55"/>
    </row>
    <row r="29" spans="1:26" x14ac:dyDescent="0.2">
      <c r="N29" s="55"/>
      <c r="O29" s="55"/>
      <c r="P29" s="55"/>
      <c r="R29" s="55"/>
    </row>
  </sheetData>
  <mergeCells count="4">
    <mergeCell ref="A1:N1"/>
    <mergeCell ref="B3:Q3"/>
    <mergeCell ref="A12:X12"/>
    <mergeCell ref="A5:X5"/>
  </mergeCells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340"/>
  <sheetViews>
    <sheetView showGridLines="0" workbookViewId="0">
      <pane xSplit="1" ySplit="3" topLeftCell="B295" activePane="bottomRight" state="frozen"/>
      <selection pane="topRight" activeCell="B1" sqref="B1"/>
      <selection pane="bottomLeft" activeCell="A4" sqref="A4"/>
      <selection pane="bottomRight" activeCell="C348" sqref="C348"/>
    </sheetView>
  </sheetViews>
  <sheetFormatPr defaultColWidth="8.85546875" defaultRowHeight="15" x14ac:dyDescent="0.25"/>
  <cols>
    <col min="1" max="1" width="2.7109375" customWidth="1"/>
    <col min="2" max="2" width="13.5703125" style="41" customWidth="1"/>
    <col min="3" max="3" width="65.85546875" style="41" customWidth="1"/>
    <col min="4" max="4" width="14.28515625" style="41" customWidth="1"/>
  </cols>
  <sheetData>
    <row r="1" spans="2:4" x14ac:dyDescent="0.25">
      <c r="B1" s="238" t="s">
        <v>201</v>
      </c>
      <c r="C1" s="238"/>
      <c r="D1" s="238"/>
    </row>
    <row r="2" spans="2:4" x14ac:dyDescent="0.25">
      <c r="C2" s="62" t="s">
        <v>109</v>
      </c>
      <c r="D2" s="63"/>
    </row>
    <row r="3" spans="2:4" x14ac:dyDescent="0.25">
      <c r="B3" s="64" t="s">
        <v>110</v>
      </c>
      <c r="C3" s="65" t="s">
        <v>111</v>
      </c>
      <c r="D3" s="64" t="s">
        <v>112</v>
      </c>
    </row>
    <row r="4" spans="2:4" x14ac:dyDescent="0.25">
      <c r="B4" s="238">
        <v>2002</v>
      </c>
      <c r="C4" s="238"/>
      <c r="D4" s="238"/>
    </row>
    <row r="5" spans="2:4" x14ac:dyDescent="0.25">
      <c r="B5" s="66">
        <v>1169123.5334933773</v>
      </c>
      <c r="C5" s="67" t="s">
        <v>113</v>
      </c>
      <c r="D5" s="66"/>
    </row>
    <row r="6" spans="2:4" x14ac:dyDescent="0.25">
      <c r="B6" s="66">
        <v>309517.46266748483</v>
      </c>
      <c r="C6" s="67" t="s">
        <v>114</v>
      </c>
      <c r="D6" s="66"/>
    </row>
    <row r="7" spans="2:4" x14ac:dyDescent="0.25">
      <c r="B7" s="66">
        <v>5374</v>
      </c>
      <c r="C7" s="67" t="s">
        <v>115</v>
      </c>
      <c r="D7" s="66"/>
    </row>
    <row r="8" spans="2:4" x14ac:dyDescent="0.25">
      <c r="B8" s="66">
        <v>9702</v>
      </c>
      <c r="C8" s="67" t="s">
        <v>116</v>
      </c>
      <c r="D8" s="66"/>
    </row>
    <row r="9" spans="2:4" x14ac:dyDescent="0.25">
      <c r="B9" s="66">
        <v>12611</v>
      </c>
      <c r="C9" s="67" t="s">
        <v>117</v>
      </c>
      <c r="D9" s="66"/>
    </row>
    <row r="10" spans="2:4" x14ac:dyDescent="0.25">
      <c r="B10" s="66">
        <v>78</v>
      </c>
      <c r="C10" s="67" t="s">
        <v>118</v>
      </c>
      <c r="D10" s="66"/>
    </row>
    <row r="11" spans="2:4" x14ac:dyDescent="0.25">
      <c r="B11" s="66">
        <v>17017</v>
      </c>
      <c r="C11" s="67" t="s">
        <v>119</v>
      </c>
      <c r="D11" s="66"/>
    </row>
    <row r="12" spans="2:4" x14ac:dyDescent="0.25">
      <c r="B12" s="66"/>
      <c r="C12" s="67" t="s">
        <v>120</v>
      </c>
      <c r="D12" s="66">
        <v>420923.81382571359</v>
      </c>
    </row>
    <row r="13" spans="2:4" x14ac:dyDescent="0.25">
      <c r="B13" s="66"/>
      <c r="C13" s="67" t="s">
        <v>121</v>
      </c>
      <c r="D13" s="66">
        <v>465720.44337236998</v>
      </c>
    </row>
    <row r="14" spans="2:4" x14ac:dyDescent="0.25">
      <c r="B14" s="66"/>
      <c r="C14" s="67" t="s">
        <v>85</v>
      </c>
      <c r="D14" s="66">
        <v>235641.68337628728</v>
      </c>
    </row>
    <row r="15" spans="2:4" x14ac:dyDescent="0.25">
      <c r="B15" s="66"/>
      <c r="C15" s="67" t="s">
        <v>122</v>
      </c>
      <c r="D15" s="66">
        <v>-11271.386286625639</v>
      </c>
    </row>
    <row r="16" spans="2:4" x14ac:dyDescent="0.25">
      <c r="B16" s="66"/>
      <c r="C16" s="67" t="s">
        <v>123</v>
      </c>
      <c r="D16" s="66">
        <v>373000.44187311677</v>
      </c>
    </row>
    <row r="17" spans="2:4" x14ac:dyDescent="0.25">
      <c r="B17" s="66">
        <v>1484014.996160862</v>
      </c>
      <c r="C17" s="67" t="s">
        <v>19</v>
      </c>
      <c r="D17" s="66">
        <v>1484014.996160862</v>
      </c>
    </row>
    <row r="18" spans="2:4" x14ac:dyDescent="0.25">
      <c r="B18" s="68"/>
      <c r="C18" s="53"/>
      <c r="D18" s="68"/>
    </row>
    <row r="19" spans="2:4" x14ac:dyDescent="0.25">
      <c r="B19" s="238">
        <v>2003</v>
      </c>
      <c r="C19" s="238"/>
      <c r="D19" s="238"/>
    </row>
    <row r="20" spans="2:4" x14ac:dyDescent="0.25">
      <c r="B20" s="66">
        <v>2341485.5670884852</v>
      </c>
      <c r="C20" s="67" t="s">
        <v>113</v>
      </c>
      <c r="D20" s="66"/>
    </row>
    <row r="21" spans="2:4" x14ac:dyDescent="0.25">
      <c r="B21" s="66">
        <v>654354.24952938501</v>
      </c>
      <c r="C21" s="67" t="s">
        <v>114</v>
      </c>
      <c r="D21" s="66"/>
    </row>
    <row r="22" spans="2:4" x14ac:dyDescent="0.25">
      <c r="B22" s="66">
        <v>3776</v>
      </c>
      <c r="C22" s="67" t="s">
        <v>115</v>
      </c>
      <c r="D22" s="66"/>
    </row>
    <row r="23" spans="2:4" x14ac:dyDescent="0.25">
      <c r="B23" s="66">
        <v>21971</v>
      </c>
      <c r="C23" s="67" t="s">
        <v>116</v>
      </c>
      <c r="D23" s="66"/>
    </row>
    <row r="24" spans="2:4" x14ac:dyDescent="0.25">
      <c r="B24" s="66">
        <v>30356</v>
      </c>
      <c r="C24" s="67" t="s">
        <v>117</v>
      </c>
      <c r="D24" s="66"/>
    </row>
    <row r="25" spans="2:4" x14ac:dyDescent="0.25">
      <c r="B25" s="66">
        <v>424</v>
      </c>
      <c r="C25" s="67" t="s">
        <v>118</v>
      </c>
      <c r="D25" s="66"/>
    </row>
    <row r="26" spans="2:4" x14ac:dyDescent="0.25">
      <c r="B26" s="66">
        <v>48975</v>
      </c>
      <c r="C26" s="67" t="s">
        <v>119</v>
      </c>
      <c r="D26" s="66"/>
    </row>
    <row r="27" spans="2:4" x14ac:dyDescent="0.25">
      <c r="B27" s="66"/>
      <c r="C27" s="67" t="s">
        <v>120</v>
      </c>
      <c r="D27" s="66">
        <v>827610.63418589742</v>
      </c>
    </row>
    <row r="28" spans="2:4" x14ac:dyDescent="0.25">
      <c r="B28" s="66"/>
      <c r="C28" s="67" t="s">
        <v>121</v>
      </c>
      <c r="D28" s="66">
        <v>997777.16207372735</v>
      </c>
    </row>
    <row r="29" spans="2:4" x14ac:dyDescent="0.25">
      <c r="B29" s="66"/>
      <c r="C29" s="67" t="s">
        <v>85</v>
      </c>
      <c r="D29" s="66">
        <v>460518.92945736711</v>
      </c>
    </row>
    <row r="30" spans="2:4" x14ac:dyDescent="0.25">
      <c r="B30" s="66"/>
      <c r="C30" s="67" t="s">
        <v>122</v>
      </c>
      <c r="D30" s="66">
        <v>-8153.3946693427861</v>
      </c>
    </row>
    <row r="31" spans="2:4" x14ac:dyDescent="0.25">
      <c r="B31" s="66"/>
      <c r="C31" s="67" t="s">
        <v>123</v>
      </c>
      <c r="D31" s="66">
        <v>721862.48557022144</v>
      </c>
    </row>
    <row r="32" spans="2:4" x14ac:dyDescent="0.25">
      <c r="B32" s="66">
        <v>2999615.8166178702</v>
      </c>
      <c r="C32" s="67" t="s">
        <v>19</v>
      </c>
      <c r="D32" s="66">
        <v>2999615.8166178707</v>
      </c>
    </row>
    <row r="33" spans="2:4" x14ac:dyDescent="0.25">
      <c r="B33" s="68"/>
      <c r="C33" s="67"/>
      <c r="D33" s="68"/>
    </row>
    <row r="34" spans="2:4" x14ac:dyDescent="0.25">
      <c r="B34" s="238">
        <v>2004</v>
      </c>
      <c r="C34" s="238"/>
      <c r="D34" s="238"/>
    </row>
    <row r="35" spans="2:4" x14ac:dyDescent="0.25">
      <c r="B35" s="66">
        <v>3405693.1332969205</v>
      </c>
      <c r="C35" s="67" t="s">
        <v>113</v>
      </c>
      <c r="D35" s="66"/>
    </row>
    <row r="36" spans="2:4" x14ac:dyDescent="0.25">
      <c r="B36" s="66">
        <v>887335.17984813952</v>
      </c>
      <c r="C36" s="67" t="s">
        <v>114</v>
      </c>
      <c r="D36" s="66"/>
    </row>
    <row r="37" spans="2:4" x14ac:dyDescent="0.25">
      <c r="B37" s="66">
        <v>-8461</v>
      </c>
      <c r="C37" s="67" t="s">
        <v>115</v>
      </c>
      <c r="D37" s="66"/>
    </row>
    <row r="38" spans="2:4" x14ac:dyDescent="0.25">
      <c r="B38" s="66">
        <v>31812</v>
      </c>
      <c r="C38" s="67" t="s">
        <v>116</v>
      </c>
      <c r="D38" s="66"/>
    </row>
    <row r="39" spans="2:4" x14ac:dyDescent="0.25">
      <c r="B39" s="66">
        <v>41760</v>
      </c>
      <c r="C39" s="67" t="s">
        <v>117</v>
      </c>
      <c r="D39" s="66"/>
    </row>
    <row r="40" spans="2:4" x14ac:dyDescent="0.25">
      <c r="B40" s="66">
        <v>488</v>
      </c>
      <c r="C40" s="67" t="s">
        <v>118</v>
      </c>
      <c r="D40" s="66"/>
    </row>
    <row r="41" spans="2:4" x14ac:dyDescent="0.25">
      <c r="B41" s="66">
        <v>82521</v>
      </c>
      <c r="C41" s="67" t="s">
        <v>119</v>
      </c>
      <c r="D41" s="66"/>
    </row>
    <row r="42" spans="2:4" x14ac:dyDescent="0.25">
      <c r="B42" s="66"/>
      <c r="C42" s="67" t="s">
        <v>120</v>
      </c>
      <c r="D42" s="66">
        <v>1141784.2615717181</v>
      </c>
    </row>
    <row r="43" spans="2:4" x14ac:dyDescent="0.25">
      <c r="B43" s="66"/>
      <c r="C43" s="67" t="s">
        <v>121</v>
      </c>
      <c r="D43" s="66">
        <v>1253901.5922121366</v>
      </c>
    </row>
    <row r="44" spans="2:4" x14ac:dyDescent="0.25">
      <c r="B44" s="66"/>
      <c r="C44" s="67" t="s">
        <v>85</v>
      </c>
      <c r="D44" s="66">
        <v>703260.61052890948</v>
      </c>
    </row>
    <row r="45" spans="2:4" x14ac:dyDescent="0.25">
      <c r="B45" s="66"/>
      <c r="C45" s="67" t="s">
        <v>122</v>
      </c>
      <c r="D45" s="66">
        <v>34346.047596309334</v>
      </c>
    </row>
    <row r="46" spans="2:4" x14ac:dyDescent="0.25">
      <c r="B46" s="66"/>
      <c r="C46" s="67" t="s">
        <v>123</v>
      </c>
      <c r="D46" s="66">
        <v>1151274.8012359864</v>
      </c>
    </row>
    <row r="47" spans="2:4" x14ac:dyDescent="0.25">
      <c r="B47" s="66">
        <v>4284567.3131450601</v>
      </c>
      <c r="C47" s="67" t="s">
        <v>19</v>
      </c>
      <c r="D47" s="66">
        <v>4284567.3131450601</v>
      </c>
    </row>
    <row r="48" spans="2:4" x14ac:dyDescent="0.25">
      <c r="B48" s="66"/>
      <c r="C48" s="67"/>
      <c r="D48" s="66"/>
    </row>
    <row r="49" spans="2:4" x14ac:dyDescent="0.25">
      <c r="B49" s="64" t="s">
        <v>110</v>
      </c>
      <c r="C49" s="65" t="s">
        <v>111</v>
      </c>
      <c r="D49" s="64" t="s">
        <v>112</v>
      </c>
    </row>
    <row r="50" spans="2:4" x14ac:dyDescent="0.25">
      <c r="B50" s="238">
        <v>2005</v>
      </c>
      <c r="C50" s="238"/>
      <c r="D50" s="238"/>
    </row>
    <row r="51" spans="2:4" x14ac:dyDescent="0.25">
      <c r="B51" s="66">
        <v>5350434.1607401818</v>
      </c>
      <c r="C51" s="67" t="s">
        <v>113</v>
      </c>
      <c r="D51" s="66"/>
    </row>
    <row r="52" spans="2:4" x14ac:dyDescent="0.25">
      <c r="B52" s="66">
        <v>1321219.3074835902</v>
      </c>
      <c r="C52" s="67" t="s">
        <v>114</v>
      </c>
      <c r="D52" s="66"/>
    </row>
    <row r="53" spans="2:4" x14ac:dyDescent="0.25">
      <c r="B53" s="66">
        <v>-6819</v>
      </c>
      <c r="C53" s="67" t="s">
        <v>115</v>
      </c>
      <c r="D53" s="66"/>
    </row>
    <row r="54" spans="2:4" x14ac:dyDescent="0.25">
      <c r="B54" s="66">
        <v>44758</v>
      </c>
      <c r="C54" s="67" t="s">
        <v>116</v>
      </c>
      <c r="D54" s="66"/>
    </row>
    <row r="55" spans="2:4" x14ac:dyDescent="0.25">
      <c r="B55" s="66">
        <v>50723</v>
      </c>
      <c r="C55" s="67" t="s">
        <v>117</v>
      </c>
      <c r="D55" s="66"/>
    </row>
    <row r="56" spans="2:4" x14ac:dyDescent="0.25">
      <c r="B56" s="66">
        <v>144</v>
      </c>
      <c r="C56" s="67" t="s">
        <v>118</v>
      </c>
      <c r="D56" s="66"/>
    </row>
    <row r="57" spans="2:4" x14ac:dyDescent="0.25">
      <c r="B57" s="66">
        <v>102444</v>
      </c>
      <c r="C57" s="67" t="s">
        <v>119</v>
      </c>
      <c r="D57" s="66"/>
    </row>
    <row r="58" spans="2:4" x14ac:dyDescent="0.25">
      <c r="B58" s="66"/>
      <c r="C58" s="67" t="s">
        <v>120</v>
      </c>
      <c r="D58" s="66">
        <v>1735519.8518794479</v>
      </c>
    </row>
    <row r="59" spans="2:4" x14ac:dyDescent="0.25">
      <c r="B59" s="66"/>
      <c r="C59" s="67" t="s">
        <v>121</v>
      </c>
      <c r="D59" s="66">
        <v>1799751.5681219287</v>
      </c>
    </row>
    <row r="60" spans="2:4" x14ac:dyDescent="0.25">
      <c r="B60" s="66"/>
      <c r="C60" s="67" t="s">
        <v>85</v>
      </c>
      <c r="D60" s="66">
        <v>1045806.3052554963</v>
      </c>
    </row>
    <row r="61" spans="2:4" x14ac:dyDescent="0.25">
      <c r="B61" s="66"/>
      <c r="C61" s="67" t="s">
        <v>122</v>
      </c>
      <c r="D61" s="66">
        <v>-35034.669536172412</v>
      </c>
    </row>
    <row r="62" spans="2:4" x14ac:dyDescent="0.25">
      <c r="B62" s="66"/>
      <c r="C62" s="67" t="s">
        <v>123</v>
      </c>
      <c r="D62" s="66">
        <v>2118791.4125030711</v>
      </c>
    </row>
    <row r="63" spans="2:4" x14ac:dyDescent="0.25">
      <c r="B63" s="66">
        <v>6664834.468223772</v>
      </c>
      <c r="C63" s="67" t="s">
        <v>19</v>
      </c>
      <c r="D63" s="66">
        <v>6664834.4682237711</v>
      </c>
    </row>
    <row r="64" spans="2:4" x14ac:dyDescent="0.25">
      <c r="B64" s="68"/>
      <c r="C64" s="53"/>
      <c r="D64" s="68"/>
    </row>
    <row r="65" spans="2:4" x14ac:dyDescent="0.25">
      <c r="B65" s="238">
        <v>2006</v>
      </c>
      <c r="C65" s="238"/>
      <c r="D65" s="238"/>
    </row>
    <row r="66" spans="2:4" x14ac:dyDescent="0.25">
      <c r="B66" s="66">
        <v>6787589.0509170387</v>
      </c>
      <c r="C66" s="67" t="s">
        <v>113</v>
      </c>
      <c r="D66" s="66"/>
    </row>
    <row r="67" spans="2:4" x14ac:dyDescent="0.25">
      <c r="B67" s="66">
        <v>1309104.5680720084</v>
      </c>
      <c r="C67" s="67" t="s">
        <v>114</v>
      </c>
      <c r="D67" s="66"/>
    </row>
    <row r="68" spans="2:4" x14ac:dyDescent="0.25">
      <c r="B68" s="66">
        <v>9126</v>
      </c>
      <c r="C68" s="67" t="s">
        <v>115</v>
      </c>
      <c r="D68" s="66"/>
    </row>
    <row r="69" spans="2:4" x14ac:dyDescent="0.25">
      <c r="B69" s="66">
        <v>55298</v>
      </c>
      <c r="C69" s="67" t="s">
        <v>116</v>
      </c>
      <c r="D69" s="66"/>
    </row>
    <row r="70" spans="2:4" x14ac:dyDescent="0.25">
      <c r="B70" s="66">
        <v>67697</v>
      </c>
      <c r="C70" s="67" t="s">
        <v>117</v>
      </c>
      <c r="D70" s="66"/>
    </row>
    <row r="71" spans="2:4" x14ac:dyDescent="0.25">
      <c r="B71" s="66">
        <v>87</v>
      </c>
      <c r="C71" s="67" t="s">
        <v>118</v>
      </c>
      <c r="D71" s="66"/>
    </row>
    <row r="72" spans="2:4" x14ac:dyDescent="0.25">
      <c r="B72" s="66">
        <v>113956</v>
      </c>
      <c r="C72" s="67" t="s">
        <v>119</v>
      </c>
      <c r="D72" s="66"/>
    </row>
    <row r="73" spans="2:4" x14ac:dyDescent="0.25">
      <c r="B73" s="66"/>
      <c r="C73" s="67" t="s">
        <v>120</v>
      </c>
      <c r="D73" s="66">
        <v>2082833.4826041108</v>
      </c>
    </row>
    <row r="74" spans="2:4" x14ac:dyDescent="0.25">
      <c r="B74" s="66"/>
      <c r="C74" s="67" t="s">
        <v>121</v>
      </c>
      <c r="D74" s="66">
        <v>2205597.1579990825</v>
      </c>
    </row>
    <row r="75" spans="2:4" x14ac:dyDescent="0.25">
      <c r="B75" s="66"/>
      <c r="C75" s="67" t="s">
        <v>85</v>
      </c>
      <c r="D75" s="66">
        <v>1078947.4129185455</v>
      </c>
    </row>
    <row r="76" spans="2:4" x14ac:dyDescent="0.25">
      <c r="B76" s="66"/>
      <c r="C76" s="67" t="s">
        <v>122</v>
      </c>
      <c r="D76" s="66">
        <v>58442.517803004012</v>
      </c>
    </row>
    <row r="77" spans="2:4" x14ac:dyDescent="0.25">
      <c r="B77" s="66"/>
      <c r="C77" s="67" t="s">
        <v>123</v>
      </c>
      <c r="D77" s="66">
        <v>2679999.0476643043</v>
      </c>
    </row>
    <row r="78" spans="2:4" x14ac:dyDescent="0.25">
      <c r="B78" s="66">
        <v>8105819.6189890467</v>
      </c>
      <c r="C78" s="67" t="s">
        <v>19</v>
      </c>
      <c r="D78" s="66">
        <v>8105819.6189890467</v>
      </c>
    </row>
    <row r="79" spans="2:4" x14ac:dyDescent="0.25">
      <c r="B79" s="68"/>
      <c r="C79" s="53"/>
      <c r="D79" s="68"/>
    </row>
    <row r="80" spans="2:4" x14ac:dyDescent="0.25">
      <c r="B80" s="238">
        <v>2007</v>
      </c>
      <c r="C80" s="238"/>
      <c r="D80" s="238"/>
    </row>
    <row r="81" spans="2:4" x14ac:dyDescent="0.25">
      <c r="B81" s="66">
        <v>8347419.9566926295</v>
      </c>
      <c r="C81" s="67" t="s">
        <v>113</v>
      </c>
      <c r="D81" s="68"/>
    </row>
    <row r="82" spans="2:4" x14ac:dyDescent="0.25">
      <c r="B82" s="66">
        <v>2017729.0710594181</v>
      </c>
      <c r="C82" s="67" t="s">
        <v>114</v>
      </c>
      <c r="D82" s="68"/>
    </row>
    <row r="83" spans="2:4" x14ac:dyDescent="0.25">
      <c r="B83" s="66">
        <v>-34640</v>
      </c>
      <c r="C83" s="67" t="s">
        <v>115</v>
      </c>
      <c r="D83" s="68"/>
    </row>
    <row r="84" spans="2:4" x14ac:dyDescent="0.25">
      <c r="B84" s="66">
        <v>74894</v>
      </c>
      <c r="C84" s="67" t="s">
        <v>116</v>
      </c>
      <c r="D84" s="68"/>
    </row>
    <row r="85" spans="2:4" x14ac:dyDescent="0.25">
      <c r="B85" s="66">
        <v>92495</v>
      </c>
      <c r="C85" s="67" t="s">
        <v>117</v>
      </c>
      <c r="D85" s="68"/>
    </row>
    <row r="86" spans="2:4" x14ac:dyDescent="0.25">
      <c r="B86" s="66">
        <v>71</v>
      </c>
      <c r="C86" s="67" t="s">
        <v>118</v>
      </c>
      <c r="D86" s="68"/>
    </row>
    <row r="87" spans="2:4" x14ac:dyDescent="0.25">
      <c r="B87" s="66">
        <v>202100</v>
      </c>
      <c r="C87" s="67" t="s">
        <v>119</v>
      </c>
      <c r="D87" s="68"/>
    </row>
    <row r="88" spans="2:4" x14ac:dyDescent="0.25">
      <c r="B88" s="66"/>
      <c r="C88" s="67" t="s">
        <v>120</v>
      </c>
      <c r="D88" s="68">
        <v>2710330.3435760806</v>
      </c>
    </row>
    <row r="89" spans="2:4" x14ac:dyDescent="0.25">
      <c r="B89" s="66"/>
      <c r="C89" s="67" t="s">
        <v>121</v>
      </c>
      <c r="D89" s="68">
        <v>2685382.5583293503</v>
      </c>
    </row>
    <row r="90" spans="2:4" x14ac:dyDescent="0.25">
      <c r="B90" s="66"/>
      <c r="C90" s="67" t="s">
        <v>85</v>
      </c>
      <c r="D90" s="68">
        <v>1470664.0949731101</v>
      </c>
    </row>
    <row r="91" spans="2:4" x14ac:dyDescent="0.25">
      <c r="B91" s="66"/>
      <c r="C91" s="67" t="s">
        <v>122</v>
      </c>
      <c r="D91" s="68">
        <v>34844.130930891261</v>
      </c>
    </row>
    <row r="92" spans="2:4" x14ac:dyDescent="0.25">
      <c r="B92" s="66"/>
      <c r="C92" s="67" t="s">
        <v>123</v>
      </c>
      <c r="D92" s="68">
        <v>3429287.8999426155</v>
      </c>
    </row>
    <row r="93" spans="2:4" x14ac:dyDescent="0.25">
      <c r="B93" s="66">
        <v>10330509.027752047</v>
      </c>
      <c r="C93" s="67" t="s">
        <v>19</v>
      </c>
      <c r="D93" s="68">
        <v>10330509.027752047</v>
      </c>
    </row>
    <row r="94" spans="2:4" x14ac:dyDescent="0.25">
      <c r="B94" s="66"/>
      <c r="C94" s="67"/>
      <c r="D94" s="68"/>
    </row>
    <row r="95" spans="2:4" x14ac:dyDescent="0.25">
      <c r="B95" s="64" t="s">
        <v>110</v>
      </c>
      <c r="C95" s="65" t="s">
        <v>111</v>
      </c>
      <c r="D95" s="64" t="s">
        <v>112</v>
      </c>
    </row>
    <row r="96" spans="2:4" x14ac:dyDescent="0.25">
      <c r="B96" s="238">
        <v>2008</v>
      </c>
      <c r="C96" s="238"/>
      <c r="D96" s="238"/>
    </row>
    <row r="97" spans="2:4" x14ac:dyDescent="0.25">
      <c r="B97" s="69">
        <v>11379173.348549157</v>
      </c>
      <c r="C97" s="70" t="s">
        <v>113</v>
      </c>
      <c r="D97" s="71"/>
    </row>
    <row r="98" spans="2:4" x14ac:dyDescent="0.25">
      <c r="B98" s="69">
        <v>3235580.9414732652</v>
      </c>
      <c r="C98" s="70" t="s">
        <v>114</v>
      </c>
      <c r="D98" s="71"/>
    </row>
    <row r="99" spans="2:4" x14ac:dyDescent="0.25">
      <c r="B99" s="71">
        <v>129910</v>
      </c>
      <c r="C99" s="70" t="s">
        <v>115</v>
      </c>
      <c r="D99" s="71"/>
    </row>
    <row r="100" spans="2:4" x14ac:dyDescent="0.25">
      <c r="B100" s="71">
        <v>131131</v>
      </c>
      <c r="C100" s="70" t="s">
        <v>116</v>
      </c>
      <c r="D100" s="71"/>
    </row>
    <row r="101" spans="2:4" x14ac:dyDescent="0.25">
      <c r="B101" s="71">
        <v>136725</v>
      </c>
      <c r="C101" s="70" t="s">
        <v>117</v>
      </c>
      <c r="D101" s="71"/>
    </row>
    <row r="102" spans="2:4" x14ac:dyDescent="0.25">
      <c r="B102" s="71">
        <v>10</v>
      </c>
      <c r="C102" s="70" t="s">
        <v>118</v>
      </c>
      <c r="D102" s="71"/>
    </row>
    <row r="103" spans="2:4" x14ac:dyDescent="0.25">
      <c r="B103" s="69">
        <v>137956</v>
      </c>
      <c r="C103" s="70" t="s">
        <v>119</v>
      </c>
      <c r="D103" s="71"/>
    </row>
    <row r="104" spans="2:4" x14ac:dyDescent="0.25">
      <c r="B104" s="71"/>
      <c r="C104" s="70" t="s">
        <v>124</v>
      </c>
      <c r="D104" s="71">
        <v>4096505.8182417275</v>
      </c>
    </row>
    <row r="105" spans="2:4" x14ac:dyDescent="0.25">
      <c r="B105" s="71"/>
      <c r="C105" s="70" t="s">
        <v>121</v>
      </c>
      <c r="D105" s="71">
        <v>3526287.6688592695</v>
      </c>
    </row>
    <row r="106" spans="2:4" x14ac:dyDescent="0.25">
      <c r="B106" s="71"/>
      <c r="C106" s="70" t="s">
        <v>85</v>
      </c>
      <c r="D106" s="71">
        <v>2266844.7575758914</v>
      </c>
    </row>
    <row r="107" spans="2:4" x14ac:dyDescent="0.25">
      <c r="B107" s="71"/>
      <c r="C107" s="70" t="s">
        <v>125</v>
      </c>
      <c r="D107" s="71">
        <v>34587.428563564084</v>
      </c>
    </row>
    <row r="108" spans="2:4" x14ac:dyDescent="0.25">
      <c r="B108" s="71"/>
      <c r="C108" s="70" t="s">
        <v>123</v>
      </c>
      <c r="D108" s="71">
        <v>4820438.6167819714</v>
      </c>
    </row>
    <row r="109" spans="2:4" x14ac:dyDescent="0.25">
      <c r="B109" s="71">
        <v>14744664.290022422</v>
      </c>
      <c r="C109" s="70" t="s">
        <v>19</v>
      </c>
      <c r="D109" s="71">
        <v>14744664.290022425</v>
      </c>
    </row>
    <row r="110" spans="2:4" x14ac:dyDescent="0.25">
      <c r="B110" s="72"/>
      <c r="C110" s="73"/>
      <c r="D110" s="74"/>
    </row>
    <row r="111" spans="2:4" x14ac:dyDescent="0.25">
      <c r="B111" s="64" t="s">
        <v>110</v>
      </c>
      <c r="C111" s="65" t="s">
        <v>111</v>
      </c>
      <c r="D111" s="64" t="s">
        <v>112</v>
      </c>
    </row>
    <row r="112" spans="2:4" x14ac:dyDescent="0.25">
      <c r="B112" s="238">
        <v>2009</v>
      </c>
      <c r="C112" s="238"/>
      <c r="D112" s="238"/>
    </row>
    <row r="113" spans="2:4" x14ac:dyDescent="0.25">
      <c r="B113" s="75">
        <v>10635342.449299892</v>
      </c>
      <c r="C113" s="76" t="s">
        <v>113</v>
      </c>
      <c r="D113" s="77"/>
    </row>
    <row r="114" spans="2:4" x14ac:dyDescent="0.25">
      <c r="B114" s="77">
        <v>3329155.6907306733</v>
      </c>
      <c r="C114" s="76" t="s">
        <v>114</v>
      </c>
      <c r="D114" s="77"/>
    </row>
    <row r="115" spans="2:4" x14ac:dyDescent="0.25">
      <c r="B115" s="77">
        <v>267866</v>
      </c>
      <c r="C115" s="76" t="s">
        <v>115</v>
      </c>
      <c r="D115" s="77"/>
    </row>
    <row r="116" spans="2:4" x14ac:dyDescent="0.25">
      <c r="B116" s="77">
        <v>137956</v>
      </c>
      <c r="C116" s="76" t="s">
        <v>119</v>
      </c>
      <c r="D116" s="77"/>
    </row>
    <row r="117" spans="2:4" x14ac:dyDescent="0.25">
      <c r="B117" s="77"/>
      <c r="C117" s="76" t="s">
        <v>124</v>
      </c>
      <c r="D117" s="77">
        <v>4283730.6497388929</v>
      </c>
    </row>
    <row r="118" spans="2:4" x14ac:dyDescent="0.25">
      <c r="B118" s="77"/>
      <c r="C118" s="76" t="s">
        <v>121</v>
      </c>
      <c r="D118" s="77">
        <v>3782081.2328544408</v>
      </c>
    </row>
    <row r="119" spans="2:4" x14ac:dyDescent="0.25">
      <c r="B119" s="77"/>
      <c r="C119" s="76" t="s">
        <v>85</v>
      </c>
      <c r="D119" s="77">
        <v>2787080.114590439</v>
      </c>
    </row>
    <row r="120" spans="2:4" x14ac:dyDescent="0.25">
      <c r="B120" s="77"/>
      <c r="C120" s="76" t="s">
        <v>125</v>
      </c>
      <c r="D120" s="77">
        <v>-57538.682213911787</v>
      </c>
    </row>
    <row r="121" spans="2:4" x14ac:dyDescent="0.25">
      <c r="B121" s="77"/>
      <c r="C121" s="76" t="s">
        <v>123</v>
      </c>
      <c r="D121" s="77">
        <v>3299054.8250607057</v>
      </c>
    </row>
    <row r="122" spans="2:4" x14ac:dyDescent="0.25">
      <c r="B122" s="77">
        <v>14094408.140030567</v>
      </c>
      <c r="C122" s="76" t="s">
        <v>19</v>
      </c>
      <c r="D122" s="77">
        <v>14094408.140030567</v>
      </c>
    </row>
    <row r="123" spans="2:4" x14ac:dyDescent="0.25">
      <c r="B123" s="71"/>
      <c r="C123" s="70"/>
      <c r="D123" s="71"/>
    </row>
    <row r="124" spans="2:4" x14ac:dyDescent="0.25">
      <c r="B124" s="78"/>
      <c r="C124" s="70"/>
      <c r="D124" s="71"/>
    </row>
    <row r="125" spans="2:4" x14ac:dyDescent="0.25">
      <c r="B125" s="64" t="s">
        <v>110</v>
      </c>
      <c r="C125" s="65" t="s">
        <v>111</v>
      </c>
      <c r="D125" s="64" t="s">
        <v>112</v>
      </c>
    </row>
    <row r="126" spans="2:4" x14ac:dyDescent="0.25">
      <c r="B126" s="238">
        <v>2010</v>
      </c>
      <c r="C126" s="238" t="s">
        <v>126</v>
      </c>
      <c r="D126" s="238" t="s">
        <v>126</v>
      </c>
    </row>
    <row r="127" spans="2:4" x14ac:dyDescent="0.25">
      <c r="B127" s="75">
        <v>13675895.874291895</v>
      </c>
      <c r="C127" s="76" t="s">
        <v>113</v>
      </c>
      <c r="D127" s="77"/>
    </row>
    <row r="128" spans="2:4" x14ac:dyDescent="0.25">
      <c r="B128" s="77">
        <v>3258001.2835274069</v>
      </c>
      <c r="C128" s="76" t="s">
        <v>114</v>
      </c>
      <c r="D128" s="77"/>
    </row>
    <row r="129" spans="2:4" x14ac:dyDescent="0.25">
      <c r="B129" s="77">
        <v>294851.92054790258</v>
      </c>
      <c r="C129" s="76" t="s">
        <v>115</v>
      </c>
      <c r="D129" s="77"/>
    </row>
    <row r="130" spans="2:4" x14ac:dyDescent="0.25">
      <c r="B130" s="77">
        <v>211196</v>
      </c>
      <c r="C130" s="76" t="s">
        <v>119</v>
      </c>
      <c r="D130" s="77"/>
    </row>
    <row r="131" spans="2:4" x14ac:dyDescent="0.25">
      <c r="B131" s="77"/>
      <c r="C131" s="76" t="s">
        <v>124</v>
      </c>
      <c r="D131" s="77">
        <v>4978243.3409960652</v>
      </c>
    </row>
    <row r="132" spans="2:4" x14ac:dyDescent="0.25">
      <c r="B132" s="77"/>
      <c r="C132" s="76" t="s">
        <v>121</v>
      </c>
      <c r="D132" s="77">
        <v>4693187.6969971275</v>
      </c>
    </row>
    <row r="133" spans="2:4" x14ac:dyDescent="0.25">
      <c r="B133" s="77"/>
      <c r="C133" s="76" t="s">
        <v>85</v>
      </c>
      <c r="D133" s="77">
        <v>2539506.2737966143</v>
      </c>
    </row>
    <row r="134" spans="2:4" x14ac:dyDescent="0.25">
      <c r="B134" s="77"/>
      <c r="C134" s="76" t="s">
        <v>125</v>
      </c>
      <c r="D134" s="77">
        <v>74147.691490277648</v>
      </c>
    </row>
    <row r="135" spans="2:4" x14ac:dyDescent="0.25">
      <c r="B135" s="77"/>
      <c r="C135" s="76" t="s">
        <v>123</v>
      </c>
      <c r="D135" s="77">
        <v>4732468.0750871189</v>
      </c>
    </row>
    <row r="136" spans="2:4" x14ac:dyDescent="0.25">
      <c r="B136" s="77">
        <v>17017553.078367203</v>
      </c>
      <c r="C136" s="76" t="s">
        <v>19</v>
      </c>
      <c r="D136" s="77">
        <v>17017553.078367203</v>
      </c>
    </row>
    <row r="137" spans="2:4" x14ac:dyDescent="0.25">
      <c r="B137" s="77"/>
      <c r="C137" s="76"/>
      <c r="D137" s="77"/>
    </row>
    <row r="138" spans="2:4" x14ac:dyDescent="0.25">
      <c r="B138" s="64" t="s">
        <v>110</v>
      </c>
      <c r="C138" s="65" t="s">
        <v>111</v>
      </c>
      <c r="D138" s="64" t="s">
        <v>112</v>
      </c>
    </row>
    <row r="139" spans="2:4" x14ac:dyDescent="0.25">
      <c r="B139" s="238">
        <v>2011</v>
      </c>
      <c r="C139" s="238" t="s">
        <v>126</v>
      </c>
      <c r="D139" s="238" t="s">
        <v>126</v>
      </c>
    </row>
    <row r="140" spans="2:4" x14ac:dyDescent="0.25">
      <c r="B140" s="75">
        <v>17943312.957916867</v>
      </c>
      <c r="C140" s="76" t="s">
        <v>113</v>
      </c>
      <c r="D140" s="77"/>
    </row>
    <row r="141" spans="2:4" x14ac:dyDescent="0.25">
      <c r="B141" s="77">
        <v>4117923.3941764547</v>
      </c>
      <c r="C141" s="76" t="s">
        <v>114</v>
      </c>
      <c r="D141" s="77"/>
    </row>
    <row r="142" spans="2:4" x14ac:dyDescent="0.25">
      <c r="B142" s="77">
        <v>310398.230406655</v>
      </c>
      <c r="C142" s="76" t="s">
        <v>115</v>
      </c>
      <c r="D142" s="77"/>
    </row>
    <row r="143" spans="2:4" x14ac:dyDescent="0.25">
      <c r="B143" s="77">
        <v>257891</v>
      </c>
      <c r="C143" s="76" t="s">
        <v>119</v>
      </c>
      <c r="D143" s="77"/>
    </row>
    <row r="144" spans="2:4" x14ac:dyDescent="0.25">
      <c r="B144" s="77"/>
      <c r="C144" s="76" t="s">
        <v>124</v>
      </c>
      <c r="D144" s="77">
        <v>6202158.7702675052</v>
      </c>
    </row>
    <row r="145" spans="2:4" x14ac:dyDescent="0.25">
      <c r="B145" s="77"/>
      <c r="C145" s="76" t="s">
        <v>121</v>
      </c>
      <c r="D145" s="77">
        <v>6301310.1220284207</v>
      </c>
    </row>
    <row r="146" spans="2:4" x14ac:dyDescent="0.25">
      <c r="B146" s="77"/>
      <c r="C146" s="76" t="s">
        <v>85</v>
      </c>
      <c r="D146" s="77">
        <v>3236397.8029328776</v>
      </c>
    </row>
    <row r="147" spans="2:4" x14ac:dyDescent="0.25">
      <c r="B147" s="77"/>
      <c r="C147" s="76" t="s">
        <v>125</v>
      </c>
      <c r="D147" s="77">
        <v>-8915.471299758181</v>
      </c>
    </row>
    <row r="148" spans="2:4" x14ac:dyDescent="0.25">
      <c r="B148" s="77"/>
      <c r="C148" s="76" t="s">
        <v>123</v>
      </c>
      <c r="D148" s="77">
        <v>6382792.3585709324</v>
      </c>
    </row>
    <row r="149" spans="2:4" x14ac:dyDescent="0.25">
      <c r="B149" s="77">
        <v>22113743.582499973</v>
      </c>
      <c r="C149" s="76" t="s">
        <v>19</v>
      </c>
      <c r="D149" s="77">
        <v>22113743.582499977</v>
      </c>
    </row>
    <row r="150" spans="2:4" x14ac:dyDescent="0.25">
      <c r="B150" s="71"/>
      <c r="C150" s="70"/>
      <c r="D150" s="71"/>
    </row>
    <row r="151" spans="2:4" x14ac:dyDescent="0.25">
      <c r="B151" s="64" t="s">
        <v>110</v>
      </c>
      <c r="C151" s="65" t="s">
        <v>111</v>
      </c>
      <c r="D151" s="64" t="s">
        <v>112</v>
      </c>
    </row>
    <row r="152" spans="2:4" x14ac:dyDescent="0.25">
      <c r="B152" s="238">
        <v>2012</v>
      </c>
      <c r="C152" s="238" t="s">
        <v>126</v>
      </c>
      <c r="D152" s="238" t="s">
        <v>126</v>
      </c>
    </row>
    <row r="153" spans="2:4" x14ac:dyDescent="0.25">
      <c r="B153" s="75">
        <v>20776623.842132233</v>
      </c>
      <c r="C153" s="76" t="s">
        <v>113</v>
      </c>
      <c r="D153" s="77"/>
    </row>
    <row r="154" spans="2:4" x14ac:dyDescent="0.25">
      <c r="B154" s="77">
        <v>4374111.2527120337</v>
      </c>
      <c r="C154" s="76" t="s">
        <v>114</v>
      </c>
      <c r="D154" s="77"/>
    </row>
    <row r="155" spans="2:4" x14ac:dyDescent="0.25">
      <c r="B155" s="77">
        <v>316064</v>
      </c>
      <c r="C155" s="76" t="s">
        <v>115</v>
      </c>
      <c r="D155" s="77"/>
    </row>
    <row r="156" spans="2:4" x14ac:dyDescent="0.25">
      <c r="B156" s="77">
        <v>482048</v>
      </c>
      <c r="C156" s="76" t="s">
        <v>119</v>
      </c>
      <c r="D156" s="77"/>
    </row>
    <row r="157" spans="2:4" x14ac:dyDescent="0.25">
      <c r="B157" s="77"/>
      <c r="C157" s="76" t="s">
        <v>124</v>
      </c>
      <c r="D157" s="77">
        <v>6904027.9670322482</v>
      </c>
    </row>
    <row r="158" spans="2:4" x14ac:dyDescent="0.25">
      <c r="B158" s="77"/>
      <c r="C158" s="76" t="s">
        <v>121</v>
      </c>
      <c r="D158" s="77">
        <v>7390165.9251080491</v>
      </c>
    </row>
    <row r="159" spans="2:4" x14ac:dyDescent="0.25">
      <c r="B159" s="77"/>
      <c r="C159" s="76" t="s">
        <v>85</v>
      </c>
      <c r="D159" s="77">
        <v>3808914.0858213175</v>
      </c>
    </row>
    <row r="160" spans="2:4" x14ac:dyDescent="0.25">
      <c r="B160" s="77"/>
      <c r="C160" s="76" t="s">
        <v>125</v>
      </c>
      <c r="D160" s="77">
        <v>24628.072452299297</v>
      </c>
    </row>
    <row r="161" spans="2:4" x14ac:dyDescent="0.25">
      <c r="B161" s="77"/>
      <c r="C161" s="76" t="s">
        <v>123</v>
      </c>
      <c r="D161" s="77">
        <v>6857015.0444303537</v>
      </c>
    </row>
    <row r="162" spans="2:4" x14ac:dyDescent="0.25">
      <c r="B162" s="77">
        <v>24984751.094844267</v>
      </c>
      <c r="C162" s="76" t="s">
        <v>19</v>
      </c>
      <c r="D162" s="77">
        <v>24984751.094844267</v>
      </c>
    </row>
    <row r="163" spans="2:4" x14ac:dyDescent="0.25">
      <c r="B163" s="77"/>
      <c r="C163" s="76"/>
      <c r="D163" s="77"/>
    </row>
    <row r="164" spans="2:4" x14ac:dyDescent="0.25">
      <c r="B164" s="72"/>
      <c r="C164" s="42"/>
      <c r="D164" s="55"/>
    </row>
    <row r="165" spans="2:4" x14ac:dyDescent="0.25">
      <c r="B165" s="64" t="s">
        <v>110</v>
      </c>
      <c r="C165" s="65" t="s">
        <v>111</v>
      </c>
      <c r="D165" s="64" t="s">
        <v>112</v>
      </c>
    </row>
    <row r="166" spans="2:4" x14ac:dyDescent="0.25">
      <c r="B166" s="238">
        <v>2013</v>
      </c>
      <c r="C166" s="238" t="s">
        <v>126</v>
      </c>
      <c r="D166" s="238" t="s">
        <v>126</v>
      </c>
    </row>
    <row r="167" spans="2:4" x14ac:dyDescent="0.25">
      <c r="B167" s="75">
        <v>23107584.317890022</v>
      </c>
      <c r="C167" s="76" t="s">
        <v>113</v>
      </c>
      <c r="D167" s="77"/>
    </row>
    <row r="168" spans="2:4" x14ac:dyDescent="0.25">
      <c r="B168" s="77">
        <v>4766478.3440633183</v>
      </c>
      <c r="C168" s="76" t="s">
        <v>114</v>
      </c>
      <c r="D168" s="77"/>
    </row>
    <row r="169" spans="2:4" x14ac:dyDescent="0.25">
      <c r="B169" s="77">
        <v>373928</v>
      </c>
      <c r="C169" s="76" t="s">
        <v>115</v>
      </c>
      <c r="D169" s="77"/>
    </row>
    <row r="170" spans="2:4" x14ac:dyDescent="0.25">
      <c r="B170" s="77">
        <v>552903</v>
      </c>
      <c r="C170" s="76" t="s">
        <v>119</v>
      </c>
      <c r="D170" s="77"/>
    </row>
    <row r="171" spans="2:4" x14ac:dyDescent="0.25">
      <c r="B171" s="77"/>
      <c r="C171" s="76" t="s">
        <v>124</v>
      </c>
      <c r="D171" s="77">
        <v>8087848.8441445548</v>
      </c>
    </row>
    <row r="172" spans="2:4" x14ac:dyDescent="0.25">
      <c r="B172" s="77"/>
      <c r="C172" s="76" t="s">
        <v>121</v>
      </c>
      <c r="D172" s="77">
        <v>8888338.6958683971</v>
      </c>
    </row>
    <row r="173" spans="2:4" x14ac:dyDescent="0.25">
      <c r="B173" s="77"/>
      <c r="C173" s="76" t="s">
        <v>85</v>
      </c>
      <c r="D173" s="77">
        <v>4030667.213453942</v>
      </c>
    </row>
    <row r="174" spans="2:4" x14ac:dyDescent="0.25">
      <c r="B174" s="77"/>
      <c r="C174" s="76" t="s">
        <v>125</v>
      </c>
      <c r="D174" s="77">
        <v>-24587.495928453282</v>
      </c>
    </row>
    <row r="175" spans="2:4" x14ac:dyDescent="0.25">
      <c r="B175" s="77"/>
      <c r="C175" s="76" t="s">
        <v>123</v>
      </c>
      <c r="D175" s="77">
        <v>6712820.4044148996</v>
      </c>
    </row>
    <row r="176" spans="2:4" x14ac:dyDescent="0.25">
      <c r="B176" s="77">
        <v>27695087.661953341</v>
      </c>
      <c r="C176" s="76" t="s">
        <v>19</v>
      </c>
      <c r="D176" s="77">
        <v>27695087.661953337</v>
      </c>
    </row>
    <row r="177" spans="2:4" x14ac:dyDescent="0.25">
      <c r="B177" s="77"/>
      <c r="C177" s="76"/>
      <c r="D177" s="77"/>
    </row>
    <row r="178" spans="2:4" x14ac:dyDescent="0.25">
      <c r="B178" s="72"/>
      <c r="C178" s="42"/>
      <c r="D178" s="55"/>
    </row>
    <row r="179" spans="2:4" x14ac:dyDescent="0.25">
      <c r="B179" s="64" t="s">
        <v>110</v>
      </c>
      <c r="C179" s="65" t="s">
        <v>111</v>
      </c>
      <c r="D179" s="64" t="s">
        <v>112</v>
      </c>
    </row>
    <row r="180" spans="2:4" x14ac:dyDescent="0.25">
      <c r="B180" s="238">
        <v>2014</v>
      </c>
      <c r="C180" s="238" t="s">
        <v>126</v>
      </c>
      <c r="D180" s="238" t="s">
        <v>126</v>
      </c>
    </row>
    <row r="181" spans="2:4" x14ac:dyDescent="0.25">
      <c r="B181" s="75">
        <v>24139235.500804182</v>
      </c>
      <c r="C181" s="76" t="s">
        <v>113</v>
      </c>
      <c r="D181" s="77"/>
    </row>
    <row r="182" spans="2:4" x14ac:dyDescent="0.25">
      <c r="B182" s="77">
        <v>5264481.5891065923</v>
      </c>
      <c r="C182" s="76" t="s">
        <v>114</v>
      </c>
      <c r="D182" s="77"/>
    </row>
    <row r="183" spans="2:4" x14ac:dyDescent="0.25">
      <c r="B183" s="77">
        <v>430590.58713054383</v>
      </c>
      <c r="C183" s="76" t="s">
        <v>115</v>
      </c>
      <c r="D183" s="77"/>
    </row>
    <row r="184" spans="2:4" x14ac:dyDescent="0.25">
      <c r="B184" s="77">
        <v>354302.538115868</v>
      </c>
      <c r="C184" s="76" t="s">
        <v>119</v>
      </c>
      <c r="D184" s="77"/>
    </row>
    <row r="185" spans="2:4" x14ac:dyDescent="0.25">
      <c r="B185" s="77"/>
      <c r="C185" s="76" t="s">
        <v>124</v>
      </c>
      <c r="D185" s="77">
        <v>8049855.7286729524</v>
      </c>
    </row>
    <row r="186" spans="2:4" x14ac:dyDescent="0.25">
      <c r="B186" s="77"/>
      <c r="C186" s="76" t="s">
        <v>121</v>
      </c>
      <c r="D186" s="77">
        <v>10778945.728653407</v>
      </c>
    </row>
    <row r="187" spans="2:4" x14ac:dyDescent="0.25">
      <c r="B187" s="77"/>
      <c r="C187" s="76" t="s">
        <v>85</v>
      </c>
      <c r="D187" s="77">
        <v>4596345.1064498508</v>
      </c>
    </row>
    <row r="188" spans="2:4" x14ac:dyDescent="0.25">
      <c r="B188" s="77"/>
      <c r="C188" s="76" t="s">
        <v>125</v>
      </c>
      <c r="D188" s="77">
        <v>71245.466613486409</v>
      </c>
    </row>
    <row r="189" spans="2:4" x14ac:dyDescent="0.25">
      <c r="B189" s="77"/>
      <c r="C189" s="76" t="s">
        <v>123</v>
      </c>
      <c r="D189" s="77">
        <v>5983613.1085357573</v>
      </c>
    </row>
    <row r="190" spans="2:4" x14ac:dyDescent="0.25">
      <c r="B190" s="77">
        <v>29480005.138925452</v>
      </c>
      <c r="C190" s="76" t="s">
        <v>19</v>
      </c>
      <c r="D190" s="77">
        <v>29480005.138925456</v>
      </c>
    </row>
    <row r="191" spans="2:4" x14ac:dyDescent="0.25">
      <c r="B191" s="71"/>
      <c r="C191" s="70"/>
      <c r="D191" s="71"/>
    </row>
    <row r="192" spans="2:4" x14ac:dyDescent="0.25">
      <c r="B192" s="72" t="s">
        <v>23</v>
      </c>
      <c r="C192" s="42"/>
      <c r="D192" s="55"/>
    </row>
    <row r="193" spans="2:4" x14ac:dyDescent="0.25">
      <c r="B193" s="79"/>
      <c r="C193" s="80"/>
      <c r="D193" s="79"/>
    </row>
    <row r="194" spans="2:4" x14ac:dyDescent="0.25">
      <c r="B194" s="55"/>
      <c r="C194" s="42"/>
      <c r="D194" s="55"/>
    </row>
    <row r="195" spans="2:4" x14ac:dyDescent="0.25">
      <c r="B195" s="64" t="s">
        <v>110</v>
      </c>
      <c r="C195" s="65" t="s">
        <v>111</v>
      </c>
      <c r="D195" s="64" t="s">
        <v>112</v>
      </c>
    </row>
    <row r="196" spans="2:4" x14ac:dyDescent="0.25">
      <c r="B196" s="238">
        <v>2015</v>
      </c>
      <c r="C196" s="238" t="s">
        <v>126</v>
      </c>
      <c r="D196" s="238" t="s">
        <v>126</v>
      </c>
    </row>
    <row r="197" spans="2:4" x14ac:dyDescent="0.25">
      <c r="B197" s="75">
        <v>22945882.83597881</v>
      </c>
      <c r="C197" s="76" t="s">
        <v>113</v>
      </c>
      <c r="D197" s="77"/>
    </row>
    <row r="198" spans="2:4" x14ac:dyDescent="0.25">
      <c r="B198" s="77">
        <v>4557320.5880046003</v>
      </c>
      <c r="C198" s="76" t="s">
        <v>114</v>
      </c>
      <c r="D198" s="77"/>
    </row>
    <row r="199" spans="2:4" x14ac:dyDescent="0.25">
      <c r="B199" s="77">
        <v>471057.30780678283</v>
      </c>
      <c r="C199" s="76" t="s">
        <v>115</v>
      </c>
      <c r="D199" s="77"/>
    </row>
    <row r="200" spans="2:4" x14ac:dyDescent="0.25">
      <c r="B200" s="77">
        <v>224397.89211851</v>
      </c>
      <c r="C200" s="76" t="s">
        <v>119</v>
      </c>
      <c r="D200" s="77"/>
    </row>
    <row r="201" spans="2:4" x14ac:dyDescent="0.25">
      <c r="B201" s="77"/>
      <c r="C201" s="76" t="s">
        <v>124</v>
      </c>
      <c r="D201" s="77">
        <v>7385224.9190804688</v>
      </c>
    </row>
    <row r="202" spans="2:4" x14ac:dyDescent="0.25">
      <c r="B202" s="77"/>
      <c r="C202" s="76" t="s">
        <v>121</v>
      </c>
      <c r="D202" s="77">
        <v>11629903.016161188</v>
      </c>
    </row>
    <row r="203" spans="2:4" x14ac:dyDescent="0.25">
      <c r="B203" s="77"/>
      <c r="C203" s="76" t="s">
        <v>85</v>
      </c>
      <c r="D203" s="77">
        <v>4595522.382694521</v>
      </c>
    </row>
    <row r="204" spans="2:4" x14ac:dyDescent="0.25">
      <c r="B204" s="77"/>
      <c r="C204" s="76" t="s">
        <v>125</v>
      </c>
      <c r="D204" s="77">
        <v>5767.9068658282877</v>
      </c>
    </row>
    <row r="205" spans="2:4" x14ac:dyDescent="0.25">
      <c r="B205" s="77"/>
      <c r="C205" s="76" t="s">
        <v>123</v>
      </c>
      <c r="D205" s="77">
        <v>4133444.6148696854</v>
      </c>
    </row>
    <row r="206" spans="2:4" x14ac:dyDescent="0.25">
      <c r="B206" s="77">
        <v>27749862.839671683</v>
      </c>
      <c r="C206" s="76" t="s">
        <v>19</v>
      </c>
      <c r="D206" s="77">
        <v>27749862.83967169</v>
      </c>
    </row>
    <row r="207" spans="2:4" x14ac:dyDescent="0.25">
      <c r="B207" s="71"/>
      <c r="C207" s="70"/>
      <c r="D207" s="71"/>
    </row>
    <row r="208" spans="2:4" x14ac:dyDescent="0.25">
      <c r="B208" s="72" t="s">
        <v>23</v>
      </c>
      <c r="C208" s="42"/>
    </row>
    <row r="210" spans="2:4" x14ac:dyDescent="0.25">
      <c r="B210" s="64" t="s">
        <v>110</v>
      </c>
      <c r="C210" s="65" t="s">
        <v>111</v>
      </c>
      <c r="D210" s="64" t="s">
        <v>112</v>
      </c>
    </row>
    <row r="211" spans="2:4" x14ac:dyDescent="0.25">
      <c r="B211" s="238">
        <v>2016</v>
      </c>
      <c r="C211" s="238" t="s">
        <v>126</v>
      </c>
      <c r="D211" s="238" t="s">
        <v>126</v>
      </c>
    </row>
    <row r="212" spans="2:4" x14ac:dyDescent="0.25">
      <c r="B212" s="75">
        <v>27348448.071868815</v>
      </c>
      <c r="C212" s="76" t="s">
        <v>113</v>
      </c>
      <c r="D212" s="77"/>
    </row>
    <row r="213" spans="2:4" x14ac:dyDescent="0.25">
      <c r="B213" s="77">
        <v>4198938.0751213999</v>
      </c>
      <c r="C213" s="76" t="s">
        <v>114</v>
      </c>
      <c r="D213" s="77"/>
    </row>
    <row r="214" spans="2:4" x14ac:dyDescent="0.25">
      <c r="B214" s="77">
        <v>578391.97297271993</v>
      </c>
      <c r="C214" s="76" t="s">
        <v>115</v>
      </c>
      <c r="D214" s="77"/>
    </row>
    <row r="215" spans="2:4" x14ac:dyDescent="0.25">
      <c r="B215" s="77">
        <v>71147.677938869994</v>
      </c>
      <c r="C215" s="76" t="s">
        <v>119</v>
      </c>
      <c r="D215" s="77"/>
    </row>
    <row r="216" spans="2:4" x14ac:dyDescent="0.25">
      <c r="B216" s="77"/>
      <c r="C216" s="76" t="s">
        <v>124</v>
      </c>
      <c r="D216" s="77">
        <v>8794148.3653429095</v>
      </c>
    </row>
    <row r="217" spans="2:4" x14ac:dyDescent="0.25">
      <c r="B217" s="77"/>
      <c r="C217" s="76" t="s">
        <v>121</v>
      </c>
      <c r="D217" s="77">
        <v>12969275.484536789</v>
      </c>
    </row>
    <row r="218" spans="2:4" x14ac:dyDescent="0.25">
      <c r="B218" s="77"/>
      <c r="C218" s="76" t="s">
        <v>85</v>
      </c>
      <c r="D218" s="77">
        <v>5648852.0790749341</v>
      </c>
    </row>
    <row r="219" spans="2:4" x14ac:dyDescent="0.25">
      <c r="B219" s="77"/>
      <c r="C219" s="76" t="s">
        <v>125</v>
      </c>
      <c r="D219" s="77">
        <v>10915.471299758099</v>
      </c>
    </row>
    <row r="220" spans="2:4" x14ac:dyDescent="0.25">
      <c r="B220" s="77"/>
      <c r="C220" s="76" t="s">
        <v>123</v>
      </c>
      <c r="D220" s="77">
        <v>4631439.0417696759</v>
      </c>
    </row>
    <row r="221" spans="2:4" x14ac:dyDescent="0.25">
      <c r="B221" s="77">
        <v>32054630.442024063</v>
      </c>
      <c r="C221" s="76" t="s">
        <v>19</v>
      </c>
      <c r="D221" s="77">
        <v>32054630.442024063</v>
      </c>
    </row>
    <row r="222" spans="2:4" x14ac:dyDescent="0.25">
      <c r="B222" s="71"/>
      <c r="C222" s="70"/>
      <c r="D222" s="71"/>
    </row>
    <row r="223" spans="2:4" x14ac:dyDescent="0.25">
      <c r="B223" s="72" t="s">
        <v>23</v>
      </c>
      <c r="C223" s="42"/>
    </row>
    <row r="225" spans="2:4" x14ac:dyDescent="0.25">
      <c r="B225" s="64" t="s">
        <v>110</v>
      </c>
      <c r="C225" s="65" t="s">
        <v>111</v>
      </c>
      <c r="D225" s="64" t="s">
        <v>112</v>
      </c>
    </row>
    <row r="226" spans="2:4" x14ac:dyDescent="0.25">
      <c r="B226" s="238">
        <v>2017</v>
      </c>
      <c r="C226" s="238" t="s">
        <v>126</v>
      </c>
      <c r="D226" s="238" t="s">
        <v>126</v>
      </c>
    </row>
    <row r="227" spans="2:4" x14ac:dyDescent="0.25">
      <c r="B227" s="75">
        <v>33397158.420678478</v>
      </c>
      <c r="C227" s="76" t="s">
        <v>113</v>
      </c>
      <c r="D227" s="77"/>
    </row>
    <row r="228" spans="2:4" x14ac:dyDescent="0.25">
      <c r="B228" s="77">
        <v>4688210.2420458402</v>
      </c>
      <c r="C228" s="76" t="s">
        <v>114</v>
      </c>
      <c r="D228" s="77"/>
    </row>
    <row r="229" spans="2:4" x14ac:dyDescent="0.25">
      <c r="B229" s="77">
        <v>712196.30225422245</v>
      </c>
      <c r="C229" s="76" t="s">
        <v>115</v>
      </c>
      <c r="D229" s="77"/>
    </row>
    <row r="230" spans="2:4" x14ac:dyDescent="0.25">
      <c r="B230" s="77">
        <v>53677.405404979996</v>
      </c>
      <c r="C230" s="76" t="s">
        <v>119</v>
      </c>
      <c r="D230" s="77"/>
    </row>
    <row r="231" spans="2:4" x14ac:dyDescent="0.25">
      <c r="B231" s="77"/>
      <c r="C231" s="76" t="s">
        <v>124</v>
      </c>
      <c r="D231" s="77">
        <v>10510438.818451062</v>
      </c>
    </row>
    <row r="232" spans="2:4" x14ac:dyDescent="0.25">
      <c r="B232" s="77"/>
      <c r="C232" s="76" t="s">
        <v>121</v>
      </c>
      <c r="D232" s="77">
        <v>15556490.985070495</v>
      </c>
    </row>
    <row r="233" spans="2:4" x14ac:dyDescent="0.25">
      <c r="B233" s="77"/>
      <c r="C233" s="76" t="s">
        <v>85</v>
      </c>
      <c r="D233" s="77">
        <v>6758826.2860394605</v>
      </c>
    </row>
    <row r="234" spans="2:4" x14ac:dyDescent="0.25">
      <c r="B234" s="77"/>
      <c r="C234" s="76" t="s">
        <v>125</v>
      </c>
      <c r="D234" s="77">
        <v>11849.599540954359</v>
      </c>
    </row>
    <row r="235" spans="2:4" x14ac:dyDescent="0.25">
      <c r="B235" s="77"/>
      <c r="C235" s="76" t="s">
        <v>123</v>
      </c>
      <c r="D235" s="77">
        <v>5906281.8704715883</v>
      </c>
    </row>
    <row r="236" spans="2:4" x14ac:dyDescent="0.25">
      <c r="B236" s="77">
        <v>38743887.559573561</v>
      </c>
      <c r="C236" s="76" t="s">
        <v>19</v>
      </c>
      <c r="D236" s="77">
        <v>38743887.559573561</v>
      </c>
    </row>
    <row r="237" spans="2:4" x14ac:dyDescent="0.25">
      <c r="B237" s="71"/>
      <c r="C237" s="70"/>
      <c r="D237" s="71"/>
    </row>
    <row r="238" spans="2:4" x14ac:dyDescent="0.25">
      <c r="B238" s="72" t="s">
        <v>23</v>
      </c>
      <c r="C238" s="42"/>
    </row>
    <row r="239" spans="2:4" x14ac:dyDescent="0.25">
      <c r="B239" s="64" t="s">
        <v>110</v>
      </c>
      <c r="C239" s="65" t="s">
        <v>111</v>
      </c>
      <c r="D239" s="64" t="s">
        <v>112</v>
      </c>
    </row>
    <row r="240" spans="2:4" x14ac:dyDescent="0.25">
      <c r="B240" s="238">
        <v>2018</v>
      </c>
      <c r="C240" s="238" t="s">
        <v>126</v>
      </c>
      <c r="D240" s="238" t="s">
        <v>126</v>
      </c>
    </row>
    <row r="241" spans="2:4" x14ac:dyDescent="0.25">
      <c r="B241" s="75">
        <v>41616913.661581784</v>
      </c>
      <c r="C241" s="76" t="s">
        <v>113</v>
      </c>
      <c r="D241" s="77"/>
    </row>
    <row r="242" spans="2:4" x14ac:dyDescent="0.25">
      <c r="B242" s="77">
        <v>6545766.65889729</v>
      </c>
      <c r="C242" s="76" t="s">
        <v>114</v>
      </c>
      <c r="D242" s="77"/>
    </row>
    <row r="243" spans="2:4" x14ac:dyDescent="0.25">
      <c r="B243" s="77">
        <v>939632.2912147101</v>
      </c>
      <c r="C243" s="76" t="s">
        <v>115</v>
      </c>
      <c r="D243" s="77"/>
    </row>
    <row r="244" spans="2:4" x14ac:dyDescent="0.25">
      <c r="B244" s="77">
        <v>48173.142954089999</v>
      </c>
      <c r="C244" s="76" t="s">
        <v>119</v>
      </c>
      <c r="D244" s="77"/>
    </row>
    <row r="245" spans="2:4" x14ac:dyDescent="0.25">
      <c r="B245" s="77"/>
      <c r="C245" s="76" t="s">
        <v>124</v>
      </c>
      <c r="D245" s="77">
        <v>13314591.685448783</v>
      </c>
    </row>
    <row r="246" spans="2:4" x14ac:dyDescent="0.25">
      <c r="B246" s="77"/>
      <c r="C246" s="76" t="s">
        <v>121</v>
      </c>
      <c r="D246" s="77">
        <v>18286696.17266044</v>
      </c>
    </row>
    <row r="247" spans="2:4" x14ac:dyDescent="0.25">
      <c r="B247" s="77"/>
      <c r="C247" s="76" t="s">
        <v>85</v>
      </c>
      <c r="D247" s="77">
        <v>6975595.2645994872</v>
      </c>
    </row>
    <row r="248" spans="2:4" x14ac:dyDescent="0.25">
      <c r="B248" s="77"/>
      <c r="C248" s="76" t="s">
        <v>125</v>
      </c>
      <c r="D248" s="77">
        <v>11837.283679417416</v>
      </c>
    </row>
    <row r="249" spans="2:4" x14ac:dyDescent="0.25">
      <c r="B249" s="77"/>
      <c r="C249" s="76" t="s">
        <v>123</v>
      </c>
      <c r="D249" s="77">
        <v>10465419.062351564</v>
      </c>
    </row>
    <row r="250" spans="2:4" x14ac:dyDescent="0.25">
      <c r="B250" s="77">
        <v>49054139.468739696</v>
      </c>
      <c r="C250" s="76" t="s">
        <v>19</v>
      </c>
      <c r="D250" s="77">
        <v>49054139.468739688</v>
      </c>
    </row>
    <row r="251" spans="2:4" x14ac:dyDescent="0.25">
      <c r="B251" s="71"/>
      <c r="C251" s="70"/>
      <c r="D251" s="71"/>
    </row>
    <row r="252" spans="2:4" x14ac:dyDescent="0.25">
      <c r="B252" s="72" t="s">
        <v>23</v>
      </c>
      <c r="C252" s="42"/>
    </row>
    <row r="254" spans="2:4" x14ac:dyDescent="0.25">
      <c r="B254" s="64" t="s">
        <v>110</v>
      </c>
      <c r="C254" s="65" t="s">
        <v>111</v>
      </c>
      <c r="D254" s="64" t="s">
        <v>112</v>
      </c>
    </row>
    <row r="255" spans="2:4" x14ac:dyDescent="0.25">
      <c r="B255" s="238">
        <v>2019</v>
      </c>
      <c r="C255" s="238" t="s">
        <v>126</v>
      </c>
      <c r="D255" s="238" t="s">
        <v>126</v>
      </c>
    </row>
    <row r="256" spans="2:4" x14ac:dyDescent="0.25">
      <c r="B256" s="75">
        <v>50186371.001146853</v>
      </c>
      <c r="C256" s="76" t="s">
        <v>113</v>
      </c>
      <c r="D256" s="77"/>
    </row>
    <row r="257" spans="2:4" x14ac:dyDescent="0.25">
      <c r="B257" s="77">
        <v>8135370.5256845905</v>
      </c>
      <c r="C257" s="76" t="s">
        <v>114</v>
      </c>
      <c r="D257" s="77"/>
    </row>
    <row r="258" spans="2:4" x14ac:dyDescent="0.25">
      <c r="B258" s="77">
        <v>814130.29810387013</v>
      </c>
      <c r="C258" s="76" t="s">
        <v>115</v>
      </c>
      <c r="D258" s="77"/>
    </row>
    <row r="259" spans="2:4" x14ac:dyDescent="0.25">
      <c r="B259" s="77">
        <v>35803.436061610002</v>
      </c>
      <c r="C259" s="76" t="s">
        <v>119</v>
      </c>
      <c r="D259" s="77"/>
    </row>
    <row r="260" spans="2:4" x14ac:dyDescent="0.25">
      <c r="B260" s="77"/>
      <c r="C260" s="76" t="s">
        <v>124</v>
      </c>
      <c r="D260" s="77">
        <v>16229663.032214573</v>
      </c>
    </row>
    <row r="261" spans="2:4" x14ac:dyDescent="0.25">
      <c r="B261" s="77"/>
      <c r="C261" s="76" t="s">
        <v>121</v>
      </c>
      <c r="D261" s="77">
        <v>21513137.368223906</v>
      </c>
    </row>
    <row r="262" spans="2:4" x14ac:dyDescent="0.25">
      <c r="B262" s="77"/>
      <c r="C262" s="76" t="s">
        <v>85</v>
      </c>
      <c r="D262" s="77">
        <v>8493186.9908031765</v>
      </c>
    </row>
    <row r="263" spans="2:4" x14ac:dyDescent="0.25">
      <c r="B263" s="77"/>
      <c r="C263" s="76" t="s">
        <v>125</v>
      </c>
      <c r="D263" s="77">
        <v>29457.052705045448</v>
      </c>
    </row>
    <row r="264" spans="2:4" x14ac:dyDescent="0.25">
      <c r="B264" s="77"/>
      <c r="C264" s="76" t="s">
        <v>123</v>
      </c>
      <c r="D264" s="77">
        <v>12834623.944927</v>
      </c>
    </row>
    <row r="265" spans="2:4" x14ac:dyDescent="0.25">
      <c r="B265" s="77">
        <v>59100068.388873696</v>
      </c>
      <c r="C265" s="76" t="s">
        <v>19</v>
      </c>
      <c r="D265" s="77">
        <v>59100068.388873696</v>
      </c>
    </row>
    <row r="266" spans="2:4" x14ac:dyDescent="0.25">
      <c r="B266" s="71"/>
      <c r="C266" s="70"/>
      <c r="D266" s="71"/>
    </row>
    <row r="267" spans="2:4" x14ac:dyDescent="0.25">
      <c r="B267" s="72" t="s">
        <v>23</v>
      </c>
      <c r="C267" s="42"/>
    </row>
    <row r="269" spans="2:4" x14ac:dyDescent="0.25">
      <c r="B269" s="64" t="s">
        <v>110</v>
      </c>
      <c r="C269" s="65" t="s">
        <v>111</v>
      </c>
      <c r="D269" s="64" t="s">
        <v>112</v>
      </c>
    </row>
    <row r="270" spans="2:4" x14ac:dyDescent="0.25">
      <c r="B270" s="238">
        <v>2020</v>
      </c>
      <c r="C270" s="238" t="s">
        <v>126</v>
      </c>
      <c r="D270" s="238" t="s">
        <v>126</v>
      </c>
    </row>
    <row r="271" spans="2:4" x14ac:dyDescent="0.25">
      <c r="B271" s="75">
        <v>55579583.154767819</v>
      </c>
      <c r="C271" s="76" t="s">
        <v>113</v>
      </c>
      <c r="D271" s="77"/>
    </row>
    <row r="272" spans="2:4" x14ac:dyDescent="0.25">
      <c r="B272" s="77">
        <v>8758126.7643143404</v>
      </c>
      <c r="C272" s="76" t="s">
        <v>114</v>
      </c>
      <c r="D272" s="77"/>
    </row>
    <row r="273" spans="2:4" x14ac:dyDescent="0.25">
      <c r="B273" s="77">
        <v>1463757.8480866</v>
      </c>
      <c r="C273" s="76" t="s">
        <v>115</v>
      </c>
      <c r="D273" s="77"/>
    </row>
    <row r="274" spans="2:4" x14ac:dyDescent="0.25">
      <c r="B274" s="77">
        <v>560671.89931941405</v>
      </c>
      <c r="C274" s="76" t="s">
        <v>119</v>
      </c>
      <c r="D274" s="77"/>
    </row>
    <row r="275" spans="2:4" x14ac:dyDescent="0.25">
      <c r="B275" s="81"/>
      <c r="C275" s="76" t="s">
        <v>124</v>
      </c>
      <c r="D275" s="77">
        <v>18239022.12814945</v>
      </c>
    </row>
    <row r="276" spans="2:4" x14ac:dyDescent="0.25">
      <c r="B276" s="81"/>
      <c r="C276" s="76" t="s">
        <v>121</v>
      </c>
      <c r="D276" s="77">
        <v>27299495.587905701</v>
      </c>
    </row>
    <row r="277" spans="2:4" x14ac:dyDescent="0.25">
      <c r="B277" s="81"/>
      <c r="C277" s="76" t="s">
        <v>85</v>
      </c>
      <c r="D277" s="77">
        <v>7520871.2311981246</v>
      </c>
    </row>
    <row r="278" spans="2:4" x14ac:dyDescent="0.25">
      <c r="B278" s="81"/>
      <c r="C278" s="76" t="s">
        <v>125</v>
      </c>
      <c r="D278" s="77">
        <v>35402.100070075001</v>
      </c>
    </row>
    <row r="279" spans="2:4" x14ac:dyDescent="0.25">
      <c r="B279" s="81"/>
      <c r="C279" s="76" t="s">
        <v>123</v>
      </c>
      <c r="D279" s="77">
        <v>12146004.820525996</v>
      </c>
    </row>
    <row r="280" spans="2:4" x14ac:dyDescent="0.25">
      <c r="B280" s="77">
        <v>65240795.86784935</v>
      </c>
      <c r="C280" s="76" t="s">
        <v>19</v>
      </c>
      <c r="D280" s="77">
        <v>65240795.86784935</v>
      </c>
    </row>
    <row r="281" spans="2:4" x14ac:dyDescent="0.25">
      <c r="B281" s="71"/>
      <c r="C281" s="70"/>
      <c r="D281" s="71"/>
    </row>
    <row r="282" spans="2:4" x14ac:dyDescent="0.25">
      <c r="B282" s="72" t="s">
        <v>23</v>
      </c>
      <c r="C282" s="42"/>
    </row>
    <row r="284" spans="2:4" x14ac:dyDescent="0.25">
      <c r="B284" s="64" t="s">
        <v>110</v>
      </c>
      <c r="C284" s="65" t="s">
        <v>111</v>
      </c>
      <c r="D284" s="64" t="s">
        <v>112</v>
      </c>
    </row>
    <row r="285" spans="2:4" x14ac:dyDescent="0.25">
      <c r="B285" s="238">
        <v>2021</v>
      </c>
      <c r="C285" s="238" t="s">
        <v>126</v>
      </c>
      <c r="D285" s="238" t="s">
        <v>126</v>
      </c>
    </row>
    <row r="286" spans="2:4" x14ac:dyDescent="0.25">
      <c r="B286" s="75">
        <v>78491020.722310945</v>
      </c>
      <c r="C286" s="76" t="s">
        <v>113</v>
      </c>
      <c r="D286" s="77"/>
    </row>
    <row r="287" spans="2:4" x14ac:dyDescent="0.25">
      <c r="B287" s="77">
        <v>11762036.122794701</v>
      </c>
      <c r="C287" s="76" t="s">
        <v>114</v>
      </c>
      <c r="D287" s="77"/>
    </row>
    <row r="288" spans="2:4" x14ac:dyDescent="0.25">
      <c r="B288" s="77">
        <v>1826380.4358501898</v>
      </c>
      <c r="C288" s="76" t="s">
        <v>115</v>
      </c>
      <c r="D288" s="77"/>
    </row>
    <row r="289" spans="2:4" x14ac:dyDescent="0.25">
      <c r="B289" s="77">
        <v>1251263.1963042</v>
      </c>
      <c r="C289" s="76" t="s">
        <v>119</v>
      </c>
      <c r="D289" s="77"/>
    </row>
    <row r="290" spans="2:4" x14ac:dyDescent="0.25">
      <c r="B290" s="77"/>
      <c r="C290" s="76" t="s">
        <v>124</v>
      </c>
      <c r="D290" s="77">
        <v>26642389.585756127</v>
      </c>
    </row>
    <row r="291" spans="2:4" x14ac:dyDescent="0.25">
      <c r="B291" s="77"/>
      <c r="C291" s="76" t="s">
        <v>121</v>
      </c>
      <c r="D291" s="77">
        <v>34651321.323271833</v>
      </c>
    </row>
    <row r="292" spans="2:4" x14ac:dyDescent="0.25">
      <c r="B292" s="77"/>
      <c r="C292" s="76" t="s">
        <v>85</v>
      </c>
      <c r="D292" s="77">
        <v>8502828.0301657896</v>
      </c>
    </row>
    <row r="293" spans="2:4" x14ac:dyDescent="0.25">
      <c r="B293" s="77"/>
      <c r="C293" s="76" t="s">
        <v>125</v>
      </c>
      <c r="D293" s="77">
        <v>13745.941870329709</v>
      </c>
    </row>
    <row r="294" spans="2:4" x14ac:dyDescent="0.25">
      <c r="B294" s="77"/>
      <c r="C294" s="76" t="s">
        <v>123</v>
      </c>
      <c r="D294" s="77">
        <v>21017889.203587566</v>
      </c>
    </row>
    <row r="295" spans="2:4" x14ac:dyDescent="0.25">
      <c r="B295" s="77">
        <v>90828174.084651634</v>
      </c>
      <c r="C295" s="76" t="s">
        <v>19</v>
      </c>
      <c r="D295" s="77">
        <v>90828174.084651649</v>
      </c>
    </row>
    <row r="296" spans="2:4" x14ac:dyDescent="0.25">
      <c r="B296" s="71"/>
      <c r="C296" s="70"/>
      <c r="D296" s="71"/>
    </row>
    <row r="297" spans="2:4" x14ac:dyDescent="0.25">
      <c r="B297" s="72" t="s">
        <v>23</v>
      </c>
      <c r="C297" s="42"/>
    </row>
    <row r="299" spans="2:4" x14ac:dyDescent="0.25">
      <c r="B299" s="64" t="s">
        <v>110</v>
      </c>
      <c r="C299" s="65" t="s">
        <v>111</v>
      </c>
      <c r="D299" s="64" t="s">
        <v>112</v>
      </c>
    </row>
    <row r="300" spans="2:4" x14ac:dyDescent="0.25">
      <c r="B300" s="238">
        <v>2022</v>
      </c>
      <c r="C300" s="238" t="s">
        <v>126</v>
      </c>
      <c r="D300" s="238" t="s">
        <v>126</v>
      </c>
    </row>
    <row r="301" spans="2:4" x14ac:dyDescent="0.25">
      <c r="B301" s="75">
        <v>97798263.04466401</v>
      </c>
      <c r="C301" s="76" t="s">
        <v>113</v>
      </c>
      <c r="D301" s="77"/>
    </row>
    <row r="302" spans="2:4" x14ac:dyDescent="0.25">
      <c r="B302" s="77">
        <v>13155742.214393901</v>
      </c>
      <c r="C302" s="76" t="s">
        <v>114</v>
      </c>
      <c r="D302" s="77"/>
    </row>
    <row r="303" spans="2:4" x14ac:dyDescent="0.25">
      <c r="B303" s="77">
        <v>2080833.7340851002</v>
      </c>
      <c r="C303" s="76" t="s">
        <v>115</v>
      </c>
      <c r="D303" s="77"/>
    </row>
    <row r="304" spans="2:4" x14ac:dyDescent="0.25">
      <c r="B304" s="77">
        <v>1990241.69541605</v>
      </c>
      <c r="C304" s="76" t="s">
        <v>119</v>
      </c>
      <c r="D304" s="77"/>
    </row>
    <row r="305" spans="2:4" x14ac:dyDescent="0.25">
      <c r="B305" s="81"/>
      <c r="C305" s="76" t="s">
        <v>124</v>
      </c>
      <c r="D305" s="77">
        <v>33791377.621896833</v>
      </c>
    </row>
    <row r="306" spans="2:4" x14ac:dyDescent="0.25">
      <c r="B306" s="81"/>
      <c r="C306" s="76" t="s">
        <v>121</v>
      </c>
      <c r="D306" s="77">
        <v>44871344.609868728</v>
      </c>
    </row>
    <row r="307" spans="2:4" x14ac:dyDescent="0.25">
      <c r="B307" s="81"/>
      <c r="C307" s="76" t="s">
        <v>85</v>
      </c>
      <c r="D307" s="77">
        <v>9271937.4786054809</v>
      </c>
    </row>
    <row r="308" spans="2:4" x14ac:dyDescent="0.25">
      <c r="B308" s="81"/>
      <c r="C308" s="76" t="s">
        <v>125</v>
      </c>
      <c r="D308" s="77">
        <v>26201.698215150052</v>
      </c>
    </row>
    <row r="309" spans="2:4" x14ac:dyDescent="0.25">
      <c r="B309" s="81"/>
      <c r="C309" s="76" t="s">
        <v>123</v>
      </c>
      <c r="D309" s="77">
        <v>23083735.889140781</v>
      </c>
    </row>
    <row r="310" spans="2:4" x14ac:dyDescent="0.25">
      <c r="B310" s="77">
        <v>111044597.29772696</v>
      </c>
      <c r="C310" s="76" t="s">
        <v>19</v>
      </c>
      <c r="D310" s="77">
        <v>111044597.29772699</v>
      </c>
    </row>
    <row r="311" spans="2:4" x14ac:dyDescent="0.25">
      <c r="B311" s="71"/>
      <c r="C311" s="70"/>
      <c r="D311" s="71"/>
    </row>
    <row r="312" spans="2:4" x14ac:dyDescent="0.25">
      <c r="B312" s="72" t="s">
        <v>23</v>
      </c>
      <c r="C312" s="42"/>
    </row>
    <row r="313" spans="2:4" x14ac:dyDescent="0.25">
      <c r="B313" s="64" t="s">
        <v>110</v>
      </c>
      <c r="C313" s="65" t="s">
        <v>111</v>
      </c>
      <c r="D313" s="64" t="s">
        <v>112</v>
      </c>
    </row>
    <row r="314" spans="2:4" x14ac:dyDescent="0.25">
      <c r="B314" s="238">
        <v>2023</v>
      </c>
      <c r="C314" s="238" t="s">
        <v>126</v>
      </c>
      <c r="D314" s="238" t="s">
        <v>126</v>
      </c>
    </row>
    <row r="315" spans="2:4" x14ac:dyDescent="0.25">
      <c r="B315" s="75">
        <v>118034353.82079528</v>
      </c>
      <c r="C315" s="76" t="s">
        <v>113</v>
      </c>
      <c r="D315" s="77"/>
    </row>
    <row r="316" spans="2:4" x14ac:dyDescent="0.25">
      <c r="B316" s="77">
        <v>16226643.502787936</v>
      </c>
      <c r="C316" s="76" t="s">
        <v>114</v>
      </c>
      <c r="D316" s="77"/>
    </row>
    <row r="317" spans="2:4" x14ac:dyDescent="0.25">
      <c r="B317" s="77">
        <v>2193461.2645629905</v>
      </c>
      <c r="C317" s="76" t="s">
        <v>115</v>
      </c>
      <c r="D317" s="77"/>
    </row>
    <row r="318" spans="2:4" x14ac:dyDescent="0.25">
      <c r="B318" s="77">
        <v>2321335.87132063</v>
      </c>
      <c r="C318" s="76" t="s">
        <v>119</v>
      </c>
      <c r="D318" s="77"/>
    </row>
    <row r="319" spans="2:4" x14ac:dyDescent="0.25">
      <c r="B319" s="81"/>
      <c r="C319" s="76" t="s">
        <v>124</v>
      </c>
      <c r="D319" s="77">
        <v>40406611.571392991</v>
      </c>
    </row>
    <row r="320" spans="2:4" x14ac:dyDescent="0.25">
      <c r="B320" s="81"/>
      <c r="C320" s="76" t="s">
        <v>121</v>
      </c>
      <c r="D320" s="77">
        <v>58767686.415394947</v>
      </c>
    </row>
    <row r="321" spans="2:4" x14ac:dyDescent="0.25">
      <c r="B321" s="81"/>
      <c r="C321" s="76" t="s">
        <v>85</v>
      </c>
      <c r="D321" s="77">
        <v>9626408.3565049637</v>
      </c>
    </row>
    <row r="322" spans="2:4" x14ac:dyDescent="0.25">
      <c r="B322" s="81"/>
      <c r="C322" s="76" t="s">
        <v>125</v>
      </c>
      <c r="D322" s="77">
        <v>13696.025525033656</v>
      </c>
    </row>
    <row r="323" spans="2:4" x14ac:dyDescent="0.25">
      <c r="B323" s="81"/>
      <c r="C323" s="76" t="s">
        <v>123</v>
      </c>
      <c r="D323" s="77">
        <v>25318720.348007627</v>
      </c>
    </row>
    <row r="324" spans="2:4" x14ac:dyDescent="0.25">
      <c r="B324" s="77">
        <v>134133122.71682557</v>
      </c>
      <c r="C324" s="76" t="s">
        <v>19</v>
      </c>
      <c r="D324" s="77">
        <v>134133122.71682557</v>
      </c>
    </row>
    <row r="325" spans="2:4" x14ac:dyDescent="0.25">
      <c r="B325" s="71"/>
      <c r="C325" s="70"/>
      <c r="D325" s="71"/>
    </row>
    <row r="326" spans="2:4" x14ac:dyDescent="0.25">
      <c r="B326" s="72" t="s">
        <v>23</v>
      </c>
      <c r="C326" s="42"/>
    </row>
    <row r="327" spans="2:4" x14ac:dyDescent="0.25">
      <c r="B327" s="64" t="s">
        <v>110</v>
      </c>
      <c r="C327" s="65" t="s">
        <v>111</v>
      </c>
      <c r="D327" s="64" t="s">
        <v>112</v>
      </c>
    </row>
    <row r="328" spans="2:4" x14ac:dyDescent="0.25">
      <c r="B328" s="238">
        <v>2024</v>
      </c>
      <c r="C328" s="238" t="s">
        <v>126</v>
      </c>
      <c r="D328" s="238" t="s">
        <v>126</v>
      </c>
    </row>
    <row r="329" spans="2:4" x14ac:dyDescent="0.25">
      <c r="B329" s="75">
        <v>155177836.78500468</v>
      </c>
      <c r="C329" s="76" t="s">
        <v>113</v>
      </c>
      <c r="D329" s="77"/>
    </row>
    <row r="330" spans="2:4" x14ac:dyDescent="0.25">
      <c r="B330" s="77">
        <v>19730309.21421846</v>
      </c>
      <c r="C330" s="76" t="s">
        <v>114</v>
      </c>
      <c r="D330" s="77"/>
    </row>
    <row r="331" spans="2:4" x14ac:dyDescent="0.25">
      <c r="B331" s="77">
        <v>2620111.792964471</v>
      </c>
      <c r="C331" s="76" t="s">
        <v>115</v>
      </c>
      <c r="D331" s="77"/>
    </row>
    <row r="332" spans="2:4" x14ac:dyDescent="0.25">
      <c r="B332" s="77">
        <v>2666351.6848179102</v>
      </c>
      <c r="C332" s="76" t="s">
        <v>119</v>
      </c>
      <c r="D332" s="77"/>
    </row>
    <row r="333" spans="2:4" x14ac:dyDescent="0.25">
      <c r="B333" s="81"/>
      <c r="C333" s="76" t="s">
        <v>124</v>
      </c>
      <c r="D333" s="77">
        <v>51120509.08457008</v>
      </c>
    </row>
    <row r="334" spans="2:4" x14ac:dyDescent="0.25">
      <c r="B334" s="81"/>
      <c r="C334" s="76" t="s">
        <v>121</v>
      </c>
      <c r="D334" s="77">
        <v>80558835.383340254</v>
      </c>
    </row>
    <row r="335" spans="2:4" x14ac:dyDescent="0.25">
      <c r="B335" s="81"/>
      <c r="C335" s="76" t="s">
        <v>85</v>
      </c>
      <c r="D335" s="77">
        <v>11048842.441862037</v>
      </c>
    </row>
    <row r="336" spans="2:4" x14ac:dyDescent="0.25">
      <c r="B336" s="81"/>
      <c r="C336" s="76" t="s">
        <v>125</v>
      </c>
      <c r="D336" s="77">
        <v>15592.554518644327</v>
      </c>
    </row>
    <row r="337" spans="2:4" x14ac:dyDescent="0.25">
      <c r="B337" s="81"/>
      <c r="C337" s="76" t="s">
        <v>123</v>
      </c>
      <c r="D337" s="77">
        <v>32118126.64307867</v>
      </c>
    </row>
    <row r="338" spans="2:4" x14ac:dyDescent="0.25">
      <c r="B338" s="77">
        <v>174861906.10736969</v>
      </c>
      <c r="C338" s="76" t="s">
        <v>19</v>
      </c>
      <c r="D338" s="77">
        <v>174861906.10736966</v>
      </c>
    </row>
    <row r="339" spans="2:4" x14ac:dyDescent="0.25">
      <c r="B339" s="72" t="s">
        <v>23</v>
      </c>
      <c r="C339" s="42"/>
    </row>
    <row r="340" spans="2:4" x14ac:dyDescent="0.25">
      <c r="B340" s="72"/>
    </row>
  </sheetData>
  <mergeCells count="24">
    <mergeCell ref="B211:D211"/>
    <mergeCell ref="B226:D226"/>
    <mergeCell ref="B240:D240"/>
    <mergeCell ref="B314:D314"/>
    <mergeCell ref="B328:D328"/>
    <mergeCell ref="B270:D270"/>
    <mergeCell ref="B285:D285"/>
    <mergeCell ref="B300:D300"/>
    <mergeCell ref="B255:D255"/>
    <mergeCell ref="B180:D180"/>
    <mergeCell ref="B196:D196"/>
    <mergeCell ref="B166:D166"/>
    <mergeCell ref="B1:D1"/>
    <mergeCell ref="B4:D4"/>
    <mergeCell ref="B19:D19"/>
    <mergeCell ref="B34:D34"/>
    <mergeCell ref="B50:D50"/>
    <mergeCell ref="B65:D65"/>
    <mergeCell ref="B80:D80"/>
    <mergeCell ref="B96:D96"/>
    <mergeCell ref="B112:D112"/>
    <mergeCell ref="B126:D126"/>
    <mergeCell ref="B139:D139"/>
    <mergeCell ref="B152:D15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B0E6-A483-411E-A7ED-913349201122}">
  <sheetPr>
    <tabColor theme="0"/>
  </sheetPr>
  <dimension ref="B1:D1152"/>
  <sheetViews>
    <sheetView showGridLines="0" zoomScale="115" zoomScaleNormal="115" workbookViewId="0">
      <pane xSplit="1" ySplit="3" topLeftCell="B237" activePane="bottomRight" state="frozen"/>
      <selection pane="topRight" activeCell="B1" sqref="B1"/>
      <selection pane="bottomLeft" activeCell="A4" sqref="A4"/>
      <selection pane="bottomRight" activeCell="G252" sqref="G252"/>
    </sheetView>
  </sheetViews>
  <sheetFormatPr defaultColWidth="8.85546875" defaultRowHeight="11.25" x14ac:dyDescent="0.2"/>
  <cols>
    <col min="1" max="1" width="6.42578125" style="221" customWidth="1"/>
    <col min="2" max="2" width="12.28515625" style="221" customWidth="1"/>
    <col min="3" max="3" width="43" style="221" customWidth="1"/>
    <col min="4" max="4" width="24.7109375" style="221" customWidth="1"/>
    <col min="5" max="16384" width="8.85546875" style="221"/>
  </cols>
  <sheetData>
    <row r="1" spans="2:4" x14ac:dyDescent="0.2">
      <c r="B1" s="251" t="s">
        <v>217</v>
      </c>
      <c r="C1" s="251"/>
      <c r="D1" s="251"/>
    </row>
    <row r="2" spans="2:4" x14ac:dyDescent="0.2">
      <c r="B2" s="222"/>
      <c r="C2" s="223" t="s">
        <v>109</v>
      </c>
      <c r="D2" s="224"/>
    </row>
    <row r="3" spans="2:4" x14ac:dyDescent="0.2">
      <c r="B3" s="203" t="s">
        <v>112</v>
      </c>
      <c r="C3" s="204" t="s">
        <v>111</v>
      </c>
      <c r="D3" s="203" t="s">
        <v>110</v>
      </c>
    </row>
    <row r="4" spans="2:4" x14ac:dyDescent="0.2">
      <c r="B4" s="205"/>
      <c r="C4" s="206">
        <v>2002</v>
      </c>
      <c r="D4" s="205"/>
    </row>
    <row r="5" spans="2:4" x14ac:dyDescent="0.2">
      <c r="B5" s="252" t="s">
        <v>127</v>
      </c>
      <c r="C5" s="252"/>
      <c r="D5" s="252"/>
    </row>
    <row r="6" spans="2:4" x14ac:dyDescent="0.2">
      <c r="B6" s="225"/>
      <c r="C6" s="226" t="s">
        <v>113</v>
      </c>
      <c r="D6" s="225">
        <v>1169123.5334933773</v>
      </c>
    </row>
    <row r="7" spans="2:4" x14ac:dyDescent="0.2">
      <c r="B7" s="225">
        <v>420923.81382571359</v>
      </c>
      <c r="C7" s="226" t="s">
        <v>120</v>
      </c>
      <c r="D7" s="225"/>
    </row>
    <row r="8" spans="2:4" x14ac:dyDescent="0.2">
      <c r="B8" s="225"/>
      <c r="C8" s="227" t="s">
        <v>115</v>
      </c>
      <c r="D8" s="225">
        <v>5374</v>
      </c>
    </row>
    <row r="9" spans="2:4" x14ac:dyDescent="0.2">
      <c r="B9" s="225"/>
      <c r="C9" s="227" t="s">
        <v>116</v>
      </c>
      <c r="D9" s="225">
        <v>9702</v>
      </c>
    </row>
    <row r="10" spans="2:4" x14ac:dyDescent="0.2">
      <c r="B10" s="225"/>
      <c r="C10" s="227" t="s">
        <v>117</v>
      </c>
      <c r="D10" s="225">
        <v>12611</v>
      </c>
    </row>
    <row r="11" spans="2:4" x14ac:dyDescent="0.2">
      <c r="B11" s="225"/>
      <c r="C11" s="227" t="s">
        <v>118</v>
      </c>
      <c r="D11" s="225">
        <v>78</v>
      </c>
    </row>
    <row r="12" spans="2:4" x14ac:dyDescent="0.2">
      <c r="B12" s="225"/>
      <c r="C12" s="227" t="s">
        <v>119</v>
      </c>
      <c r="D12" s="225">
        <v>17017</v>
      </c>
    </row>
    <row r="13" spans="2:4" x14ac:dyDescent="0.2">
      <c r="B13" s="225"/>
      <c r="C13" s="228"/>
      <c r="D13" s="225"/>
    </row>
    <row r="14" spans="2:4" x14ac:dyDescent="0.2">
      <c r="B14" s="182">
        <v>753573.71966766368</v>
      </c>
      <c r="C14" s="226" t="s">
        <v>24</v>
      </c>
      <c r="D14" s="205"/>
    </row>
    <row r="15" spans="2:4" x14ac:dyDescent="0.2">
      <c r="B15" s="252" t="s">
        <v>128</v>
      </c>
      <c r="C15" s="252"/>
      <c r="D15" s="252"/>
    </row>
    <row r="16" spans="2:4" x14ac:dyDescent="0.2">
      <c r="B16" s="225"/>
      <c r="C16" s="229" t="s">
        <v>129</v>
      </c>
      <c r="D16" s="225"/>
    </row>
    <row r="17" spans="2:4" x14ac:dyDescent="0.2">
      <c r="B17" s="225"/>
      <c r="C17" s="206" t="s">
        <v>130</v>
      </c>
      <c r="D17" s="225" t="s">
        <v>131</v>
      </c>
    </row>
    <row r="18" spans="2:4" x14ac:dyDescent="0.2">
      <c r="B18" s="225"/>
      <c r="C18" s="226" t="s">
        <v>132</v>
      </c>
      <c r="D18" s="225">
        <v>753573.71966766368</v>
      </c>
    </row>
    <row r="19" spans="2:4" x14ac:dyDescent="0.2">
      <c r="B19" s="225">
        <v>176700.62245567419</v>
      </c>
      <c r="C19" s="226" t="s">
        <v>133</v>
      </c>
      <c r="D19" s="225"/>
    </row>
    <row r="20" spans="2:4" x14ac:dyDescent="0.2">
      <c r="B20" s="225">
        <v>171311.03565796412</v>
      </c>
      <c r="C20" s="228" t="s">
        <v>134</v>
      </c>
      <c r="D20" s="225"/>
    </row>
    <row r="21" spans="2:4" x14ac:dyDescent="0.2">
      <c r="B21" s="225">
        <v>5389.5867977100661</v>
      </c>
      <c r="C21" s="228" t="s">
        <v>135</v>
      </c>
      <c r="D21" s="225"/>
    </row>
    <row r="22" spans="2:4" x14ac:dyDescent="0.2">
      <c r="B22" s="225">
        <v>9454.3226234773319</v>
      </c>
      <c r="C22" s="226" t="s">
        <v>136</v>
      </c>
      <c r="D22" s="225"/>
    </row>
    <row r="23" spans="2:4" x14ac:dyDescent="0.2">
      <c r="B23" s="225"/>
      <c r="C23" s="226"/>
      <c r="D23" s="225"/>
    </row>
    <row r="24" spans="2:4" x14ac:dyDescent="0.2">
      <c r="B24" s="182">
        <v>567418.77458851214</v>
      </c>
      <c r="C24" s="226" t="s">
        <v>26</v>
      </c>
      <c r="D24" s="205"/>
    </row>
    <row r="25" spans="2:4" x14ac:dyDescent="0.2">
      <c r="B25" s="225"/>
      <c r="C25" s="230" t="s">
        <v>137</v>
      </c>
      <c r="D25" s="225"/>
    </row>
    <row r="26" spans="2:4" x14ac:dyDescent="0.2">
      <c r="B26" s="225"/>
      <c r="C26" s="226" t="s">
        <v>26</v>
      </c>
      <c r="D26" s="225">
        <v>567418.77458851214</v>
      </c>
    </row>
    <row r="27" spans="2:4" x14ac:dyDescent="0.2">
      <c r="B27" s="225"/>
      <c r="C27" s="226" t="s">
        <v>133</v>
      </c>
      <c r="D27" s="225">
        <v>171311.03565796412</v>
      </c>
    </row>
    <row r="28" spans="2:4" x14ac:dyDescent="0.2">
      <c r="B28" s="225"/>
      <c r="C28" s="228" t="s">
        <v>134</v>
      </c>
      <c r="D28" s="225">
        <v>171311.03565796412</v>
      </c>
    </row>
    <row r="29" spans="2:4" x14ac:dyDescent="0.2">
      <c r="B29" s="225"/>
      <c r="C29" s="228" t="s">
        <v>135</v>
      </c>
      <c r="D29" s="225"/>
    </row>
    <row r="30" spans="2:4" x14ac:dyDescent="0.2">
      <c r="B30" s="225"/>
      <c r="C30" s="226" t="s">
        <v>136</v>
      </c>
      <c r="D30" s="225">
        <v>9454.3226234773319</v>
      </c>
    </row>
    <row r="31" spans="2:4" x14ac:dyDescent="0.2">
      <c r="B31" s="225">
        <v>66824.800894568092</v>
      </c>
      <c r="C31" s="227" t="s">
        <v>138</v>
      </c>
      <c r="D31" s="225">
        <v>773.22618944117187</v>
      </c>
    </row>
    <row r="32" spans="2:4" x14ac:dyDescent="0.2">
      <c r="B32" s="225"/>
      <c r="C32" s="227"/>
      <c r="D32" s="225"/>
    </row>
    <row r="33" spans="2:4" x14ac:dyDescent="0.2">
      <c r="B33" s="182">
        <v>682132.55816482659</v>
      </c>
      <c r="C33" s="227" t="s">
        <v>139</v>
      </c>
      <c r="D33" s="231"/>
    </row>
    <row r="34" spans="2:4" x14ac:dyDescent="0.2">
      <c r="B34" s="225"/>
      <c r="C34" s="229" t="s">
        <v>140</v>
      </c>
      <c r="D34" s="225"/>
    </row>
    <row r="35" spans="2:4" x14ac:dyDescent="0.2">
      <c r="B35" s="225"/>
      <c r="C35" s="226" t="s">
        <v>139</v>
      </c>
      <c r="D35" s="225">
        <v>682132.55816482659</v>
      </c>
    </row>
    <row r="36" spans="2:4" x14ac:dyDescent="0.2">
      <c r="B36" s="225">
        <v>4820.2116781000013</v>
      </c>
      <c r="C36" s="226" t="s">
        <v>141</v>
      </c>
      <c r="D36" s="225">
        <v>6218.6989073416671</v>
      </c>
    </row>
    <row r="37" spans="2:4" x14ac:dyDescent="0.2">
      <c r="B37" s="225"/>
      <c r="C37" s="226"/>
      <c r="D37" s="225"/>
    </row>
    <row r="38" spans="2:4" x14ac:dyDescent="0.2">
      <c r="B38" s="182">
        <v>683531.04539406823</v>
      </c>
      <c r="C38" s="226" t="s">
        <v>142</v>
      </c>
      <c r="D38" s="231"/>
    </row>
    <row r="39" spans="2:4" x14ac:dyDescent="0.2">
      <c r="B39" s="225"/>
      <c r="C39" s="229" t="s">
        <v>143</v>
      </c>
      <c r="D39" s="225"/>
    </row>
    <row r="40" spans="2:4" x14ac:dyDescent="0.2">
      <c r="B40" s="225"/>
      <c r="C40" s="226" t="s">
        <v>144</v>
      </c>
      <c r="D40" s="225">
        <v>683531.04539406823</v>
      </c>
    </row>
    <row r="41" spans="2:4" x14ac:dyDescent="0.2">
      <c r="B41" s="225">
        <v>465720.44337236998</v>
      </c>
      <c r="C41" s="226" t="s">
        <v>121</v>
      </c>
      <c r="D41" s="225"/>
    </row>
    <row r="42" spans="2:4" x14ac:dyDescent="0.2">
      <c r="B42" s="225"/>
      <c r="C42" s="226"/>
      <c r="D42" s="225"/>
    </row>
    <row r="43" spans="2:4" x14ac:dyDescent="0.2">
      <c r="B43" s="182">
        <v>217810.60202169826</v>
      </c>
      <c r="C43" s="226" t="s">
        <v>145</v>
      </c>
      <c r="D43" s="231"/>
    </row>
    <row r="44" spans="2:4" x14ac:dyDescent="0.2">
      <c r="B44" s="252" t="s">
        <v>146</v>
      </c>
      <c r="C44" s="252"/>
      <c r="D44" s="252"/>
    </row>
    <row r="45" spans="2:4" x14ac:dyDescent="0.2">
      <c r="B45" s="225"/>
      <c r="C45" s="229" t="s">
        <v>147</v>
      </c>
      <c r="D45" s="225" t="s">
        <v>131</v>
      </c>
    </row>
    <row r="46" spans="2:4" x14ac:dyDescent="0.2">
      <c r="B46" s="225"/>
      <c r="C46" s="226" t="s">
        <v>148</v>
      </c>
      <c r="D46" s="225">
        <v>217810.60202169826</v>
      </c>
    </row>
    <row r="47" spans="2:4" x14ac:dyDescent="0.2">
      <c r="B47" s="225">
        <v>235641.68337628728</v>
      </c>
      <c r="C47" s="226" t="s">
        <v>85</v>
      </c>
      <c r="D47" s="225"/>
    </row>
    <row r="48" spans="2:4" x14ac:dyDescent="0.2">
      <c r="B48" s="225">
        <v>-11271.386286625639</v>
      </c>
      <c r="C48" s="226" t="s">
        <v>122</v>
      </c>
      <c r="D48" s="225"/>
    </row>
    <row r="49" spans="2:4" x14ac:dyDescent="0.2">
      <c r="B49" s="225">
        <v>0</v>
      </c>
      <c r="C49" s="226" t="s">
        <v>149</v>
      </c>
      <c r="D49" s="225"/>
    </row>
    <row r="50" spans="2:4" x14ac:dyDescent="0.2">
      <c r="B50" s="225"/>
      <c r="C50" s="226"/>
      <c r="D50" s="225"/>
    </row>
    <row r="51" spans="2:4" x14ac:dyDescent="0.2">
      <c r="B51" s="178">
        <v>-6559.6950679633883</v>
      </c>
      <c r="C51" s="183" t="s">
        <v>150</v>
      </c>
      <c r="D51" s="179"/>
    </row>
    <row r="52" spans="2:4" x14ac:dyDescent="0.2">
      <c r="B52" s="231" t="s">
        <v>23</v>
      </c>
      <c r="C52" s="232"/>
      <c r="D52" s="231"/>
    </row>
    <row r="53" spans="2:4" x14ac:dyDescent="0.2">
      <c r="B53" s="231"/>
      <c r="C53" s="232"/>
      <c r="D53" s="231"/>
    </row>
    <row r="54" spans="2:4" x14ac:dyDescent="0.2">
      <c r="B54" s="251" t="s">
        <v>151</v>
      </c>
      <c r="C54" s="251"/>
      <c r="D54" s="251"/>
    </row>
    <row r="55" spans="2:4" x14ac:dyDescent="0.2">
      <c r="B55" s="205"/>
      <c r="C55" s="223" t="s">
        <v>109</v>
      </c>
      <c r="D55" s="225"/>
    </row>
    <row r="56" spans="2:4" x14ac:dyDescent="0.2">
      <c r="B56" s="203" t="s">
        <v>112</v>
      </c>
      <c r="C56" s="204" t="s">
        <v>111</v>
      </c>
      <c r="D56" s="203" t="s">
        <v>110</v>
      </c>
    </row>
    <row r="57" spans="2:4" x14ac:dyDescent="0.2">
      <c r="B57" s="205"/>
      <c r="C57" s="206">
        <v>2003</v>
      </c>
      <c r="D57" s="205"/>
    </row>
    <row r="58" spans="2:4" x14ac:dyDescent="0.2">
      <c r="B58" s="252" t="s">
        <v>127</v>
      </c>
      <c r="C58" s="252"/>
      <c r="D58" s="252"/>
    </row>
    <row r="59" spans="2:4" x14ac:dyDescent="0.2">
      <c r="B59" s="225"/>
      <c r="C59" s="226" t="s">
        <v>113</v>
      </c>
      <c r="D59" s="225">
        <v>2341485.5670884852</v>
      </c>
    </row>
    <row r="60" spans="2:4" x14ac:dyDescent="0.2">
      <c r="B60" s="225">
        <v>827610.63418589742</v>
      </c>
      <c r="C60" s="226" t="s">
        <v>120</v>
      </c>
      <c r="D60" s="225"/>
    </row>
    <row r="61" spans="2:4" x14ac:dyDescent="0.2">
      <c r="B61" s="225"/>
      <c r="C61" s="227" t="s">
        <v>115</v>
      </c>
      <c r="D61" s="225">
        <v>3776</v>
      </c>
    </row>
    <row r="62" spans="2:4" x14ac:dyDescent="0.2">
      <c r="B62" s="225"/>
      <c r="C62" s="227" t="s">
        <v>116</v>
      </c>
      <c r="D62" s="225">
        <v>21971</v>
      </c>
    </row>
    <row r="63" spans="2:4" x14ac:dyDescent="0.2">
      <c r="B63" s="225"/>
      <c r="C63" s="227" t="s">
        <v>117</v>
      </c>
      <c r="D63" s="225">
        <v>30356</v>
      </c>
    </row>
    <row r="64" spans="2:4" x14ac:dyDescent="0.2">
      <c r="B64" s="225"/>
      <c r="C64" s="227" t="s">
        <v>118</v>
      </c>
      <c r="D64" s="225">
        <v>424</v>
      </c>
    </row>
    <row r="65" spans="2:4" x14ac:dyDescent="0.2">
      <c r="B65" s="225"/>
      <c r="C65" s="227" t="s">
        <v>119</v>
      </c>
      <c r="D65" s="225">
        <v>48975</v>
      </c>
    </row>
    <row r="66" spans="2:4" x14ac:dyDescent="0.2">
      <c r="B66" s="225"/>
      <c r="C66" s="228"/>
      <c r="D66" s="225"/>
    </row>
    <row r="67" spans="2:4" x14ac:dyDescent="0.2">
      <c r="B67" s="182">
        <v>1517650.9329025878</v>
      </c>
      <c r="C67" s="226" t="s">
        <v>24</v>
      </c>
      <c r="D67" s="205"/>
    </row>
    <row r="68" spans="2:4" x14ac:dyDescent="0.2">
      <c r="B68" s="252" t="s">
        <v>128</v>
      </c>
      <c r="C68" s="252"/>
      <c r="D68" s="252"/>
    </row>
    <row r="69" spans="2:4" x14ac:dyDescent="0.2">
      <c r="B69" s="225"/>
      <c r="C69" s="229" t="s">
        <v>129</v>
      </c>
      <c r="D69" s="225"/>
    </row>
    <row r="70" spans="2:4" x14ac:dyDescent="0.2">
      <c r="B70" s="225"/>
      <c r="C70" s="206" t="s">
        <v>130</v>
      </c>
      <c r="D70" s="225" t="s">
        <v>131</v>
      </c>
    </row>
    <row r="71" spans="2:4" x14ac:dyDescent="0.2">
      <c r="B71" s="225"/>
      <c r="C71" s="226" t="s">
        <v>132</v>
      </c>
      <c r="D71" s="225">
        <v>1517650.9329025878</v>
      </c>
    </row>
    <row r="72" spans="2:4" x14ac:dyDescent="0.2">
      <c r="B72" s="225">
        <v>361048.10719931219</v>
      </c>
      <c r="C72" s="226" t="s">
        <v>133</v>
      </c>
      <c r="D72" s="225"/>
    </row>
    <row r="73" spans="2:4" x14ac:dyDescent="0.2">
      <c r="B73" s="225">
        <v>350495.99356214551</v>
      </c>
      <c r="C73" s="228" t="s">
        <v>134</v>
      </c>
      <c r="D73" s="225"/>
    </row>
    <row r="74" spans="2:4" x14ac:dyDescent="0.2">
      <c r="B74" s="225">
        <v>10552.113637166667</v>
      </c>
      <c r="C74" s="228" t="s">
        <v>135</v>
      </c>
      <c r="D74" s="225"/>
    </row>
    <row r="75" spans="2:4" x14ac:dyDescent="0.2">
      <c r="B75" s="225">
        <v>7113.0334114686411</v>
      </c>
      <c r="C75" s="226" t="s">
        <v>136</v>
      </c>
      <c r="D75" s="225"/>
    </row>
    <row r="76" spans="2:4" x14ac:dyDescent="0.2">
      <c r="B76" s="225"/>
      <c r="C76" s="226"/>
      <c r="D76" s="225"/>
    </row>
    <row r="77" spans="2:4" x14ac:dyDescent="0.2">
      <c r="B77" s="182">
        <v>1149489.792291807</v>
      </c>
      <c r="C77" s="226" t="s">
        <v>26</v>
      </c>
      <c r="D77" s="205"/>
    </row>
    <row r="78" spans="2:4" x14ac:dyDescent="0.2">
      <c r="B78" s="225"/>
      <c r="C78" s="230" t="s">
        <v>137</v>
      </c>
      <c r="D78" s="225"/>
    </row>
    <row r="79" spans="2:4" x14ac:dyDescent="0.2">
      <c r="B79" s="225"/>
      <c r="C79" s="226" t="s">
        <v>26</v>
      </c>
      <c r="D79" s="225">
        <v>1149489.792291807</v>
      </c>
    </row>
    <row r="80" spans="2:4" x14ac:dyDescent="0.2">
      <c r="B80" s="225"/>
      <c r="C80" s="226" t="s">
        <v>133</v>
      </c>
      <c r="D80" s="225">
        <v>350495.99356214551</v>
      </c>
    </row>
    <row r="81" spans="2:4" x14ac:dyDescent="0.2">
      <c r="B81" s="225"/>
      <c r="C81" s="228" t="s">
        <v>134</v>
      </c>
      <c r="D81" s="225">
        <v>350495.99356214551</v>
      </c>
    </row>
    <row r="82" spans="2:4" x14ac:dyDescent="0.2">
      <c r="B82" s="225"/>
      <c r="C82" s="228" t="s">
        <v>135</v>
      </c>
      <c r="D82" s="225"/>
    </row>
    <row r="83" spans="2:4" x14ac:dyDescent="0.2">
      <c r="B83" s="225"/>
      <c r="C83" s="226" t="s">
        <v>136</v>
      </c>
      <c r="D83" s="225">
        <v>7113.0334114686411</v>
      </c>
    </row>
    <row r="84" spans="2:4" x14ac:dyDescent="0.2">
      <c r="B84" s="225">
        <v>118719.51467110167</v>
      </c>
      <c r="C84" s="227" t="s">
        <v>138</v>
      </c>
      <c r="D84" s="225">
        <v>911.50889753666672</v>
      </c>
    </row>
    <row r="85" spans="2:4" x14ac:dyDescent="0.2">
      <c r="B85" s="225"/>
      <c r="C85" s="227"/>
      <c r="D85" s="225"/>
    </row>
    <row r="86" spans="2:4" x14ac:dyDescent="0.2">
      <c r="B86" s="182">
        <v>1389290.8134918562</v>
      </c>
      <c r="C86" s="227" t="s">
        <v>139</v>
      </c>
      <c r="D86" s="231"/>
    </row>
    <row r="87" spans="2:4" x14ac:dyDescent="0.2">
      <c r="B87" s="225"/>
      <c r="C87" s="229" t="s">
        <v>140</v>
      </c>
      <c r="D87" s="225"/>
    </row>
    <row r="88" spans="2:4" x14ac:dyDescent="0.2">
      <c r="B88" s="225"/>
      <c r="C88" s="226" t="s">
        <v>139</v>
      </c>
      <c r="D88" s="225">
        <v>1389290.8134918562</v>
      </c>
    </row>
    <row r="89" spans="2:4" x14ac:dyDescent="0.2">
      <c r="B89" s="225">
        <v>6488.5562280650011</v>
      </c>
      <c r="C89" s="226" t="s">
        <v>141</v>
      </c>
      <c r="D89" s="225">
        <v>13842.795877026336</v>
      </c>
    </row>
    <row r="90" spans="2:4" x14ac:dyDescent="0.2">
      <c r="B90" s="225"/>
      <c r="C90" s="226"/>
      <c r="D90" s="225"/>
    </row>
    <row r="91" spans="2:4" x14ac:dyDescent="0.2">
      <c r="B91" s="182">
        <v>1396645.0531408177</v>
      </c>
      <c r="C91" s="226" t="s">
        <v>142</v>
      </c>
      <c r="D91" s="231"/>
    </row>
    <row r="92" spans="2:4" x14ac:dyDescent="0.2">
      <c r="B92" s="225"/>
      <c r="C92" s="229" t="s">
        <v>143</v>
      </c>
      <c r="D92" s="225"/>
    </row>
    <row r="93" spans="2:4" x14ac:dyDescent="0.2">
      <c r="B93" s="225"/>
      <c r="C93" s="226" t="s">
        <v>144</v>
      </c>
      <c r="D93" s="225">
        <v>1396645.0531408177</v>
      </c>
    </row>
    <row r="94" spans="2:4" x14ac:dyDescent="0.2">
      <c r="B94" s="225">
        <v>997777.16207372735</v>
      </c>
      <c r="C94" s="226" t="s">
        <v>121</v>
      </c>
      <c r="D94" s="225"/>
    </row>
    <row r="95" spans="2:4" x14ac:dyDescent="0.2">
      <c r="B95" s="225"/>
      <c r="C95" s="226"/>
      <c r="D95" s="225"/>
    </row>
    <row r="96" spans="2:4" x14ac:dyDescent="0.2">
      <c r="B96" s="182">
        <v>398867.89106709033</v>
      </c>
      <c r="C96" s="226" t="s">
        <v>145</v>
      </c>
      <c r="D96" s="231"/>
    </row>
    <row r="97" spans="2:4" x14ac:dyDescent="0.2">
      <c r="B97" s="252" t="s">
        <v>146</v>
      </c>
      <c r="C97" s="252"/>
      <c r="D97" s="252"/>
    </row>
    <row r="98" spans="2:4" x14ac:dyDescent="0.2">
      <c r="B98" s="225"/>
      <c r="C98" s="229" t="s">
        <v>147</v>
      </c>
      <c r="D98" s="225" t="s">
        <v>131</v>
      </c>
    </row>
    <row r="99" spans="2:4" x14ac:dyDescent="0.2">
      <c r="B99" s="225"/>
      <c r="C99" s="226" t="s">
        <v>148</v>
      </c>
      <c r="D99" s="225">
        <v>398867.89106709033</v>
      </c>
    </row>
    <row r="100" spans="2:4" x14ac:dyDescent="0.2">
      <c r="B100" s="225">
        <v>460518.92945736711</v>
      </c>
      <c r="C100" s="226" t="s">
        <v>85</v>
      </c>
      <c r="D100" s="225"/>
    </row>
    <row r="101" spans="2:4" x14ac:dyDescent="0.2">
      <c r="B101" s="225">
        <v>-8153.3946693427861</v>
      </c>
      <c r="C101" s="226" t="s">
        <v>122</v>
      </c>
      <c r="D101" s="225"/>
    </row>
    <row r="102" spans="2:4" x14ac:dyDescent="0.2">
      <c r="B102" s="225">
        <v>0</v>
      </c>
      <c r="C102" s="226" t="s">
        <v>149</v>
      </c>
      <c r="D102" s="225">
        <v>1632.6783069912938</v>
      </c>
    </row>
    <row r="103" spans="2:4" x14ac:dyDescent="0.2">
      <c r="B103" s="225"/>
      <c r="C103" s="226"/>
      <c r="D103" s="225"/>
    </row>
    <row r="104" spans="2:4" x14ac:dyDescent="0.2">
      <c r="B104" s="178">
        <v>-51864.9654139427</v>
      </c>
      <c r="C104" s="183" t="s">
        <v>150</v>
      </c>
      <c r="D104" s="179"/>
    </row>
    <row r="105" spans="2:4" x14ac:dyDescent="0.2">
      <c r="B105" s="231" t="s">
        <v>23</v>
      </c>
      <c r="C105" s="232"/>
      <c r="D105" s="231"/>
    </row>
    <row r="106" spans="2:4" x14ac:dyDescent="0.2">
      <c r="B106" s="231"/>
      <c r="C106" s="232"/>
      <c r="D106" s="231"/>
    </row>
    <row r="107" spans="2:4" x14ac:dyDescent="0.2">
      <c r="B107" s="251" t="s">
        <v>152</v>
      </c>
      <c r="C107" s="251"/>
      <c r="D107" s="251"/>
    </row>
    <row r="108" spans="2:4" x14ac:dyDescent="0.2">
      <c r="B108" s="184"/>
      <c r="C108" s="185" t="s">
        <v>109</v>
      </c>
      <c r="D108" s="182"/>
    </row>
    <row r="109" spans="2:4" x14ac:dyDescent="0.2">
      <c r="B109" s="203" t="s">
        <v>112</v>
      </c>
      <c r="C109" s="204" t="s">
        <v>111</v>
      </c>
      <c r="D109" s="203" t="s">
        <v>110</v>
      </c>
    </row>
    <row r="110" spans="2:4" x14ac:dyDescent="0.2">
      <c r="B110" s="205"/>
      <c r="C110" s="206">
        <v>2004</v>
      </c>
      <c r="D110" s="205"/>
    </row>
    <row r="111" spans="2:4" x14ac:dyDescent="0.2">
      <c r="B111" s="252" t="s">
        <v>127</v>
      </c>
      <c r="C111" s="252"/>
      <c r="D111" s="252"/>
    </row>
    <row r="112" spans="2:4" x14ac:dyDescent="0.2">
      <c r="B112" s="225"/>
      <c r="C112" s="183" t="s">
        <v>113</v>
      </c>
      <c r="D112" s="225">
        <v>3405693.1332969205</v>
      </c>
    </row>
    <row r="113" spans="2:4" x14ac:dyDescent="0.2">
      <c r="B113" s="225">
        <v>1141784.2615717181</v>
      </c>
      <c r="C113" s="183" t="s">
        <v>120</v>
      </c>
      <c r="D113" s="225"/>
    </row>
    <row r="114" spans="2:4" x14ac:dyDescent="0.2">
      <c r="B114" s="225"/>
      <c r="C114" s="186" t="s">
        <v>115</v>
      </c>
      <c r="D114" s="225">
        <v>-8461</v>
      </c>
    </row>
    <row r="115" spans="2:4" x14ac:dyDescent="0.2">
      <c r="B115" s="225"/>
      <c r="C115" s="186" t="s">
        <v>116</v>
      </c>
      <c r="D115" s="225">
        <v>31812</v>
      </c>
    </row>
    <row r="116" spans="2:4" x14ac:dyDescent="0.2">
      <c r="B116" s="225"/>
      <c r="C116" s="186" t="s">
        <v>117</v>
      </c>
      <c r="D116" s="225">
        <v>41760</v>
      </c>
    </row>
    <row r="117" spans="2:4" x14ac:dyDescent="0.2">
      <c r="B117" s="225"/>
      <c r="C117" s="186" t="s">
        <v>118</v>
      </c>
      <c r="D117" s="225">
        <v>488</v>
      </c>
    </row>
    <row r="118" spans="2:4" x14ac:dyDescent="0.2">
      <c r="B118" s="225"/>
      <c r="C118" s="186" t="s">
        <v>119</v>
      </c>
      <c r="D118" s="225">
        <v>82521</v>
      </c>
    </row>
    <row r="119" spans="2:4" x14ac:dyDescent="0.2">
      <c r="B119" s="225"/>
      <c r="C119" s="187"/>
      <c r="D119" s="225"/>
    </row>
    <row r="120" spans="2:4" x14ac:dyDescent="0.2">
      <c r="B120" s="182">
        <v>2255447.8717252025</v>
      </c>
      <c r="C120" s="183" t="s">
        <v>24</v>
      </c>
      <c r="D120" s="205"/>
    </row>
    <row r="121" spans="2:4" x14ac:dyDescent="0.2">
      <c r="B121" s="252" t="s">
        <v>128</v>
      </c>
      <c r="C121" s="252"/>
      <c r="D121" s="252"/>
    </row>
    <row r="122" spans="2:4" x14ac:dyDescent="0.2">
      <c r="B122" s="225"/>
      <c r="C122" s="188" t="s">
        <v>129</v>
      </c>
      <c r="D122" s="225"/>
    </row>
    <row r="123" spans="2:4" x14ac:dyDescent="0.2">
      <c r="B123" s="225"/>
      <c r="C123" s="189" t="s">
        <v>130</v>
      </c>
      <c r="D123" s="225" t="s">
        <v>131</v>
      </c>
    </row>
    <row r="124" spans="2:4" x14ac:dyDescent="0.2">
      <c r="B124" s="225"/>
      <c r="C124" s="183" t="s">
        <v>132</v>
      </c>
      <c r="D124" s="225">
        <v>2255447.8717252025</v>
      </c>
    </row>
    <row r="125" spans="2:4" x14ac:dyDescent="0.2">
      <c r="B125" s="225">
        <v>500204.81026802032</v>
      </c>
      <c r="C125" s="183" t="s">
        <v>133</v>
      </c>
      <c r="D125" s="225"/>
    </row>
    <row r="126" spans="2:4" x14ac:dyDescent="0.2">
      <c r="B126" s="225">
        <v>485306.25795331231</v>
      </c>
      <c r="C126" s="187" t="s">
        <v>134</v>
      </c>
      <c r="D126" s="225"/>
    </row>
    <row r="127" spans="2:4" x14ac:dyDescent="0.2">
      <c r="B127" s="225">
        <v>14898.552314708035</v>
      </c>
      <c r="C127" s="187" t="s">
        <v>135</v>
      </c>
      <c r="D127" s="225"/>
    </row>
    <row r="128" spans="2:4" x14ac:dyDescent="0.2">
      <c r="B128" s="225">
        <v>-5289.9339999999938</v>
      </c>
      <c r="C128" s="183" t="s">
        <v>136</v>
      </c>
      <c r="D128" s="225"/>
    </row>
    <row r="129" spans="2:4" x14ac:dyDescent="0.2">
      <c r="B129" s="225"/>
      <c r="C129" s="183"/>
      <c r="D129" s="225"/>
    </row>
    <row r="130" spans="2:4" x14ac:dyDescent="0.2">
      <c r="B130" s="182">
        <v>1760532.9954571822</v>
      </c>
      <c r="C130" s="183" t="s">
        <v>26</v>
      </c>
      <c r="D130" s="205"/>
    </row>
    <row r="131" spans="2:4" x14ac:dyDescent="0.2">
      <c r="B131" s="225"/>
      <c r="C131" s="190" t="s">
        <v>137</v>
      </c>
      <c r="D131" s="225"/>
    </row>
    <row r="132" spans="2:4" x14ac:dyDescent="0.2">
      <c r="B132" s="225"/>
      <c r="C132" s="183" t="s">
        <v>26</v>
      </c>
      <c r="D132" s="225">
        <v>1760532.9954571822</v>
      </c>
    </row>
    <row r="133" spans="2:4" x14ac:dyDescent="0.2">
      <c r="B133" s="225"/>
      <c r="C133" s="183" t="s">
        <v>133</v>
      </c>
      <c r="D133" s="225">
        <v>485306.25795331231</v>
      </c>
    </row>
    <row r="134" spans="2:4" x14ac:dyDescent="0.2">
      <c r="B134" s="225"/>
      <c r="C134" s="187" t="s">
        <v>134</v>
      </c>
      <c r="D134" s="225">
        <v>485306.25795331231</v>
      </c>
    </row>
    <row r="135" spans="2:4" x14ac:dyDescent="0.2">
      <c r="B135" s="225"/>
      <c r="C135" s="187" t="s">
        <v>135</v>
      </c>
      <c r="D135" s="225"/>
    </row>
    <row r="136" spans="2:4" x14ac:dyDescent="0.2">
      <c r="B136" s="225"/>
      <c r="C136" s="183" t="s">
        <v>136</v>
      </c>
      <c r="D136" s="225">
        <v>-5289.9339999999938</v>
      </c>
    </row>
    <row r="137" spans="2:4" x14ac:dyDescent="0.2">
      <c r="B137" s="225">
        <v>195087.31560426723</v>
      </c>
      <c r="C137" s="186" t="s">
        <v>138</v>
      </c>
      <c r="D137" s="225">
        <v>2754.3036295834499</v>
      </c>
    </row>
    <row r="138" spans="2:4" x14ac:dyDescent="0.2">
      <c r="B138" s="225"/>
      <c r="C138" s="186"/>
      <c r="D138" s="225"/>
    </row>
    <row r="139" spans="2:4" x14ac:dyDescent="0.2">
      <c r="B139" s="182">
        <v>2048216.307435811</v>
      </c>
      <c r="C139" s="186" t="s">
        <v>139</v>
      </c>
      <c r="D139" s="231"/>
    </row>
    <row r="140" spans="2:4" x14ac:dyDescent="0.2">
      <c r="B140" s="225"/>
      <c r="C140" s="188" t="s">
        <v>140</v>
      </c>
      <c r="D140" s="225"/>
    </row>
    <row r="141" spans="2:4" x14ac:dyDescent="0.2">
      <c r="B141" s="225"/>
      <c r="C141" s="183" t="s">
        <v>139</v>
      </c>
      <c r="D141" s="225">
        <v>2048216.307435811</v>
      </c>
    </row>
    <row r="142" spans="2:4" x14ac:dyDescent="0.2">
      <c r="B142" s="225">
        <v>9833.3750477140493</v>
      </c>
      <c r="C142" s="183" t="s">
        <v>141</v>
      </c>
      <c r="D142" s="225">
        <v>10379.429696024148</v>
      </c>
    </row>
    <row r="143" spans="2:4" x14ac:dyDescent="0.2">
      <c r="B143" s="225"/>
      <c r="C143" s="183"/>
      <c r="D143" s="225"/>
    </row>
    <row r="144" spans="2:4" x14ac:dyDescent="0.2">
      <c r="B144" s="182">
        <v>2048762.3620841212</v>
      </c>
      <c r="C144" s="183" t="s">
        <v>142</v>
      </c>
      <c r="D144" s="231"/>
    </row>
    <row r="145" spans="2:4" x14ac:dyDescent="0.2">
      <c r="B145" s="225"/>
      <c r="C145" s="188" t="s">
        <v>143</v>
      </c>
      <c r="D145" s="225"/>
    </row>
    <row r="146" spans="2:4" x14ac:dyDescent="0.2">
      <c r="B146" s="225"/>
      <c r="C146" s="183" t="s">
        <v>144</v>
      </c>
      <c r="D146" s="225">
        <v>2048762.3620841212</v>
      </c>
    </row>
    <row r="147" spans="2:4" x14ac:dyDescent="0.2">
      <c r="B147" s="225">
        <v>1253901.5922121366</v>
      </c>
      <c r="C147" s="183" t="s">
        <v>121</v>
      </c>
      <c r="D147" s="191"/>
    </row>
    <row r="148" spans="2:4" x14ac:dyDescent="0.2">
      <c r="B148" s="225"/>
      <c r="C148" s="183"/>
      <c r="D148" s="225"/>
    </row>
    <row r="149" spans="2:4" x14ac:dyDescent="0.2">
      <c r="B149" s="182">
        <v>794860.76987198461</v>
      </c>
      <c r="C149" s="183" t="s">
        <v>145</v>
      </c>
      <c r="D149" s="231"/>
    </row>
    <row r="150" spans="2:4" x14ac:dyDescent="0.2">
      <c r="B150" s="252" t="s">
        <v>146</v>
      </c>
      <c r="C150" s="252"/>
      <c r="D150" s="252"/>
    </row>
    <row r="151" spans="2:4" x14ac:dyDescent="0.2">
      <c r="B151" s="225"/>
      <c r="C151" s="188" t="s">
        <v>147</v>
      </c>
      <c r="D151" s="225" t="s">
        <v>131</v>
      </c>
    </row>
    <row r="152" spans="2:4" x14ac:dyDescent="0.2">
      <c r="B152" s="225"/>
      <c r="C152" s="183" t="s">
        <v>148</v>
      </c>
      <c r="D152" s="225">
        <v>794860.76987198461</v>
      </c>
    </row>
    <row r="153" spans="2:4" x14ac:dyDescent="0.2">
      <c r="B153" s="225">
        <v>703260.61052890948</v>
      </c>
      <c r="C153" s="183" t="s">
        <v>85</v>
      </c>
      <c r="D153" s="225"/>
    </row>
    <row r="154" spans="2:4" x14ac:dyDescent="0.2">
      <c r="B154" s="225">
        <v>34346.047596309334</v>
      </c>
      <c r="C154" s="183" t="s">
        <v>122</v>
      </c>
      <c r="D154" s="225"/>
    </row>
    <row r="155" spans="2:4" x14ac:dyDescent="0.2">
      <c r="B155" s="225">
        <v>0</v>
      </c>
      <c r="C155" s="183" t="s">
        <v>149</v>
      </c>
      <c r="D155" s="225">
        <v>887.30126254129289</v>
      </c>
    </row>
    <row r="156" spans="2:4" x14ac:dyDescent="0.2">
      <c r="B156" s="225"/>
      <c r="C156" s="183"/>
      <c r="D156" s="225"/>
    </row>
    <row r="157" spans="2:4" x14ac:dyDescent="0.2">
      <c r="B157" s="178">
        <v>58141.413009307085</v>
      </c>
      <c r="C157" s="183" t="s">
        <v>150</v>
      </c>
      <c r="D157" s="179"/>
    </row>
    <row r="158" spans="2:4" x14ac:dyDescent="0.2">
      <c r="B158" s="193" t="s">
        <v>23</v>
      </c>
      <c r="C158" s="192"/>
      <c r="D158" s="182"/>
    </row>
    <row r="159" spans="2:4" x14ac:dyDescent="0.2">
      <c r="B159" s="193"/>
      <c r="C159" s="194"/>
      <c r="D159" s="193"/>
    </row>
    <row r="160" spans="2:4" x14ac:dyDescent="0.2">
      <c r="B160" s="251" t="s">
        <v>153</v>
      </c>
      <c r="C160" s="251"/>
      <c r="D160" s="251"/>
    </row>
    <row r="161" spans="2:4" x14ac:dyDescent="0.2">
      <c r="B161" s="184"/>
      <c r="C161" s="185" t="s">
        <v>109</v>
      </c>
      <c r="D161" s="182"/>
    </row>
    <row r="162" spans="2:4" x14ac:dyDescent="0.2">
      <c r="B162" s="203" t="s">
        <v>112</v>
      </c>
      <c r="C162" s="204" t="s">
        <v>111</v>
      </c>
      <c r="D162" s="203" t="s">
        <v>110</v>
      </c>
    </row>
    <row r="163" spans="2:4" x14ac:dyDescent="0.2">
      <c r="B163" s="205"/>
      <c r="C163" s="206">
        <v>2005</v>
      </c>
      <c r="D163" s="205"/>
    </row>
    <row r="164" spans="2:4" x14ac:dyDescent="0.2">
      <c r="B164" s="252" t="s">
        <v>127</v>
      </c>
      <c r="C164" s="252"/>
      <c r="D164" s="252"/>
    </row>
    <row r="165" spans="2:4" x14ac:dyDescent="0.2">
      <c r="B165" s="225"/>
      <c r="C165" s="183" t="s">
        <v>113</v>
      </c>
      <c r="D165" s="225">
        <v>5350434.1607401818</v>
      </c>
    </row>
    <row r="166" spans="2:4" x14ac:dyDescent="0.2">
      <c r="B166" s="225">
        <v>1735519.8518794479</v>
      </c>
      <c r="C166" s="183" t="s">
        <v>120</v>
      </c>
      <c r="D166" s="225"/>
    </row>
    <row r="167" spans="2:4" x14ac:dyDescent="0.2">
      <c r="B167" s="225"/>
      <c r="C167" s="186" t="s">
        <v>115</v>
      </c>
      <c r="D167" s="225">
        <v>-6819</v>
      </c>
    </row>
    <row r="168" spans="2:4" x14ac:dyDescent="0.2">
      <c r="B168" s="225"/>
      <c r="C168" s="186" t="s">
        <v>116</v>
      </c>
      <c r="D168" s="225">
        <v>44758</v>
      </c>
    </row>
    <row r="169" spans="2:4" x14ac:dyDescent="0.2">
      <c r="B169" s="225"/>
      <c r="C169" s="186" t="s">
        <v>117</v>
      </c>
      <c r="D169" s="225">
        <v>50723</v>
      </c>
    </row>
    <row r="170" spans="2:4" x14ac:dyDescent="0.2">
      <c r="B170" s="225"/>
      <c r="C170" s="186" t="s">
        <v>118</v>
      </c>
      <c r="D170" s="225">
        <v>144</v>
      </c>
    </row>
    <row r="171" spans="2:4" x14ac:dyDescent="0.2">
      <c r="B171" s="225"/>
      <c r="C171" s="186" t="s">
        <v>119</v>
      </c>
      <c r="D171" s="225">
        <v>102444</v>
      </c>
    </row>
    <row r="172" spans="2:4" x14ac:dyDescent="0.2">
      <c r="B172" s="225"/>
      <c r="C172" s="187"/>
      <c r="D172" s="225"/>
    </row>
    <row r="173" spans="2:4" x14ac:dyDescent="0.2">
      <c r="B173" s="182">
        <v>3608095.3088607341</v>
      </c>
      <c r="C173" s="183" t="s">
        <v>24</v>
      </c>
      <c r="D173" s="205"/>
    </row>
    <row r="174" spans="2:4" x14ac:dyDescent="0.2">
      <c r="B174" s="252" t="s">
        <v>128</v>
      </c>
      <c r="C174" s="252"/>
      <c r="D174" s="252"/>
    </row>
    <row r="175" spans="2:4" x14ac:dyDescent="0.2">
      <c r="B175" s="225"/>
      <c r="C175" s="188" t="s">
        <v>129</v>
      </c>
      <c r="D175" s="225"/>
    </row>
    <row r="176" spans="2:4" x14ac:dyDescent="0.2">
      <c r="B176" s="225"/>
      <c r="C176" s="189" t="s">
        <v>130</v>
      </c>
      <c r="D176" s="225" t="s">
        <v>131</v>
      </c>
    </row>
    <row r="177" spans="2:4" x14ac:dyDescent="0.2">
      <c r="B177" s="225"/>
      <c r="C177" s="183" t="s">
        <v>132</v>
      </c>
      <c r="D177" s="225">
        <v>3608095.3088607341</v>
      </c>
    </row>
    <row r="178" spans="2:4" x14ac:dyDescent="0.2">
      <c r="B178" s="225">
        <v>692774.40219145478</v>
      </c>
      <c r="C178" s="183" t="s">
        <v>133</v>
      </c>
      <c r="D178" s="225"/>
    </row>
    <row r="179" spans="2:4" x14ac:dyDescent="0.2">
      <c r="B179" s="225">
        <v>684251.05527572939</v>
      </c>
      <c r="C179" s="187" t="s">
        <v>134</v>
      </c>
      <c r="D179" s="225"/>
    </row>
    <row r="180" spans="2:4" x14ac:dyDescent="0.2">
      <c r="B180" s="225">
        <v>8523.346915725353</v>
      </c>
      <c r="C180" s="187" t="s">
        <v>135</v>
      </c>
      <c r="D180" s="225"/>
    </row>
    <row r="181" spans="2:4" x14ac:dyDescent="0.2">
      <c r="B181" s="225">
        <v>-193</v>
      </c>
      <c r="C181" s="183" t="s">
        <v>136</v>
      </c>
      <c r="D181" s="225"/>
    </row>
    <row r="182" spans="2:4" x14ac:dyDescent="0.2">
      <c r="B182" s="225"/>
      <c r="C182" s="183"/>
      <c r="D182" s="225"/>
    </row>
    <row r="183" spans="2:4" x14ac:dyDescent="0.2">
      <c r="B183" s="182">
        <v>2915513.9066692796</v>
      </c>
      <c r="C183" s="183" t="s">
        <v>26</v>
      </c>
      <c r="D183" s="205"/>
    </row>
    <row r="184" spans="2:4" x14ac:dyDescent="0.2">
      <c r="B184" s="225"/>
      <c r="C184" s="190" t="s">
        <v>137</v>
      </c>
      <c r="D184" s="225"/>
    </row>
    <row r="185" spans="2:4" x14ac:dyDescent="0.2">
      <c r="B185" s="225"/>
      <c r="C185" s="183" t="s">
        <v>26</v>
      </c>
      <c r="D185" s="225">
        <v>2915513.9066692796</v>
      </c>
    </row>
    <row r="186" spans="2:4" x14ac:dyDescent="0.2">
      <c r="B186" s="225"/>
      <c r="C186" s="183" t="s">
        <v>133</v>
      </c>
      <c r="D186" s="225">
        <v>684251.05527572939</v>
      </c>
    </row>
    <row r="187" spans="2:4" x14ac:dyDescent="0.2">
      <c r="B187" s="225"/>
      <c r="C187" s="187" t="s">
        <v>134</v>
      </c>
      <c r="D187" s="225">
        <v>684251.05527572939</v>
      </c>
    </row>
    <row r="188" spans="2:4" x14ac:dyDescent="0.2">
      <c r="B188" s="225"/>
      <c r="C188" s="187" t="s">
        <v>135</v>
      </c>
      <c r="D188" s="225"/>
    </row>
    <row r="189" spans="2:4" x14ac:dyDescent="0.2">
      <c r="B189" s="225"/>
      <c r="C189" s="183" t="s">
        <v>136</v>
      </c>
      <c r="D189" s="225">
        <v>-193</v>
      </c>
    </row>
    <row r="190" spans="2:4" x14ac:dyDescent="0.2">
      <c r="B190" s="225">
        <v>345387.91232078953</v>
      </c>
      <c r="C190" s="186" t="s">
        <v>138</v>
      </c>
      <c r="D190" s="225">
        <v>2246.5546003248078</v>
      </c>
    </row>
    <row r="191" spans="2:4" x14ac:dyDescent="0.2">
      <c r="B191" s="225"/>
      <c r="C191" s="186"/>
      <c r="D191" s="225"/>
    </row>
    <row r="192" spans="2:4" x14ac:dyDescent="0.2">
      <c r="B192" s="182">
        <v>3256430.6042245445</v>
      </c>
      <c r="C192" s="186" t="s">
        <v>139</v>
      </c>
      <c r="D192" s="231"/>
    </row>
    <row r="193" spans="2:4" x14ac:dyDescent="0.2">
      <c r="B193" s="225"/>
      <c r="C193" s="188" t="s">
        <v>140</v>
      </c>
      <c r="D193" s="225"/>
    </row>
    <row r="194" spans="2:4" x14ac:dyDescent="0.2">
      <c r="B194" s="225"/>
      <c r="C194" s="183" t="s">
        <v>139</v>
      </c>
      <c r="D194" s="225">
        <v>3256430.6042245445</v>
      </c>
    </row>
    <row r="195" spans="2:4" x14ac:dyDescent="0.2">
      <c r="B195" s="225">
        <v>12716.995880362969</v>
      </c>
      <c r="C195" s="183" t="s">
        <v>141</v>
      </c>
      <c r="D195" s="225">
        <v>15051.1942719452</v>
      </c>
    </row>
    <row r="196" spans="2:4" x14ac:dyDescent="0.2">
      <c r="B196" s="225"/>
      <c r="C196" s="183"/>
      <c r="D196" s="225"/>
    </row>
    <row r="197" spans="2:4" x14ac:dyDescent="0.2">
      <c r="B197" s="182">
        <v>3258764.8026161268</v>
      </c>
      <c r="C197" s="183" t="s">
        <v>142</v>
      </c>
      <c r="D197" s="231"/>
    </row>
    <row r="198" spans="2:4" x14ac:dyDescent="0.2">
      <c r="B198" s="225"/>
      <c r="C198" s="188" t="s">
        <v>143</v>
      </c>
      <c r="D198" s="225"/>
    </row>
    <row r="199" spans="2:4" x14ac:dyDescent="0.2">
      <c r="B199" s="225"/>
      <c r="C199" s="183" t="s">
        <v>144</v>
      </c>
      <c r="D199" s="225">
        <v>3258764.8026161268</v>
      </c>
    </row>
    <row r="200" spans="2:4" x14ac:dyDescent="0.2">
      <c r="B200" s="225">
        <v>1799751.5681219287</v>
      </c>
      <c r="C200" s="183" t="s">
        <v>121</v>
      </c>
      <c r="D200" s="191"/>
    </row>
    <row r="201" spans="2:4" x14ac:dyDescent="0.2">
      <c r="B201" s="225"/>
      <c r="C201" s="183"/>
      <c r="D201" s="225"/>
    </row>
    <row r="202" spans="2:4" x14ac:dyDescent="0.2">
      <c r="B202" s="182">
        <v>1459013.2344941981</v>
      </c>
      <c r="C202" s="183" t="s">
        <v>145</v>
      </c>
      <c r="D202" s="231"/>
    </row>
    <row r="203" spans="2:4" x14ac:dyDescent="0.2">
      <c r="B203" s="252" t="s">
        <v>146</v>
      </c>
      <c r="C203" s="252"/>
      <c r="D203" s="252"/>
    </row>
    <row r="204" spans="2:4" x14ac:dyDescent="0.2">
      <c r="B204" s="225"/>
      <c r="C204" s="188" t="s">
        <v>147</v>
      </c>
      <c r="D204" s="225" t="s">
        <v>131</v>
      </c>
    </row>
    <row r="205" spans="2:4" x14ac:dyDescent="0.2">
      <c r="B205" s="225"/>
      <c r="C205" s="183" t="s">
        <v>148</v>
      </c>
      <c r="D205" s="225">
        <v>1459013.2344941981</v>
      </c>
    </row>
    <row r="206" spans="2:4" x14ac:dyDescent="0.2">
      <c r="B206" s="225">
        <v>1045806.3052554963</v>
      </c>
      <c r="C206" s="183" t="s">
        <v>85</v>
      </c>
      <c r="D206" s="225"/>
    </row>
    <row r="207" spans="2:4" x14ac:dyDescent="0.2">
      <c r="B207" s="225">
        <v>-35034.669536172412</v>
      </c>
      <c r="C207" s="183" t="s">
        <v>122</v>
      </c>
      <c r="D207" s="225"/>
    </row>
    <row r="208" spans="2:4" x14ac:dyDescent="0.2">
      <c r="B208" s="225">
        <v>0</v>
      </c>
      <c r="C208" s="183" t="s">
        <v>149</v>
      </c>
      <c r="D208" s="225">
        <v>678.27341545902823</v>
      </c>
    </row>
    <row r="209" spans="2:4" x14ac:dyDescent="0.2">
      <c r="B209" s="225"/>
      <c r="C209" s="183"/>
      <c r="D209" s="225"/>
    </row>
    <row r="210" spans="2:4" x14ac:dyDescent="0.2">
      <c r="B210" s="178">
        <v>448919.87219033326</v>
      </c>
      <c r="C210" s="183" t="s">
        <v>150</v>
      </c>
      <c r="D210" s="179"/>
    </row>
    <row r="211" spans="2:4" x14ac:dyDescent="0.2">
      <c r="B211" s="193" t="s">
        <v>23</v>
      </c>
      <c r="C211" s="192"/>
      <c r="D211" s="182"/>
    </row>
    <row r="212" spans="2:4" x14ac:dyDescent="0.2">
      <c r="B212" s="193"/>
      <c r="C212" s="194"/>
      <c r="D212" s="193"/>
    </row>
    <row r="213" spans="2:4" x14ac:dyDescent="0.2">
      <c r="B213" s="251" t="s">
        <v>154</v>
      </c>
      <c r="C213" s="251"/>
      <c r="D213" s="251"/>
    </row>
    <row r="214" spans="2:4" x14ac:dyDescent="0.2">
      <c r="B214" s="184"/>
      <c r="C214" s="185" t="s">
        <v>109</v>
      </c>
      <c r="D214" s="182"/>
    </row>
    <row r="215" spans="2:4" x14ac:dyDescent="0.2">
      <c r="B215" s="203" t="s">
        <v>112</v>
      </c>
      <c r="C215" s="204" t="s">
        <v>111</v>
      </c>
      <c r="D215" s="203" t="s">
        <v>110</v>
      </c>
    </row>
    <row r="216" spans="2:4" x14ac:dyDescent="0.2">
      <c r="B216" s="205"/>
      <c r="C216" s="206">
        <v>2006</v>
      </c>
      <c r="D216" s="205"/>
    </row>
    <row r="217" spans="2:4" x14ac:dyDescent="0.2">
      <c r="B217" s="252" t="s">
        <v>127</v>
      </c>
      <c r="C217" s="252"/>
      <c r="D217" s="252"/>
    </row>
    <row r="218" spans="2:4" x14ac:dyDescent="0.2">
      <c r="B218" s="225"/>
      <c r="C218" s="183" t="s">
        <v>113</v>
      </c>
      <c r="D218" s="225">
        <v>6787589.0509170387</v>
      </c>
    </row>
    <row r="219" spans="2:4" x14ac:dyDescent="0.2">
      <c r="B219" s="225">
        <v>2082833.4826041108</v>
      </c>
      <c r="C219" s="183" t="s">
        <v>120</v>
      </c>
      <c r="D219" s="225"/>
    </row>
    <row r="220" spans="2:4" x14ac:dyDescent="0.2">
      <c r="B220" s="225"/>
      <c r="C220" s="186" t="s">
        <v>115</v>
      </c>
      <c r="D220" s="225">
        <v>9126</v>
      </c>
    </row>
    <row r="221" spans="2:4" x14ac:dyDescent="0.2">
      <c r="B221" s="225"/>
      <c r="C221" s="186" t="s">
        <v>116</v>
      </c>
      <c r="D221" s="225">
        <v>55298</v>
      </c>
    </row>
    <row r="222" spans="2:4" x14ac:dyDescent="0.2">
      <c r="B222" s="225"/>
      <c r="C222" s="186" t="s">
        <v>117</v>
      </c>
      <c r="D222" s="225">
        <v>67697</v>
      </c>
    </row>
    <row r="223" spans="2:4" x14ac:dyDescent="0.2">
      <c r="B223" s="225"/>
      <c r="C223" s="186" t="s">
        <v>118</v>
      </c>
      <c r="D223" s="225">
        <v>87</v>
      </c>
    </row>
    <row r="224" spans="2:4" x14ac:dyDescent="0.2">
      <c r="B224" s="225"/>
      <c r="C224" s="186" t="s">
        <v>119</v>
      </c>
      <c r="D224" s="225">
        <v>113956</v>
      </c>
    </row>
    <row r="225" spans="2:4" x14ac:dyDescent="0.2">
      <c r="B225" s="225"/>
      <c r="C225" s="187"/>
      <c r="D225" s="225"/>
    </row>
    <row r="226" spans="2:4" x14ac:dyDescent="0.2">
      <c r="B226" s="182">
        <v>4713881.5683129281</v>
      </c>
      <c r="C226" s="183" t="s">
        <v>24</v>
      </c>
      <c r="D226" s="205"/>
    </row>
    <row r="227" spans="2:4" x14ac:dyDescent="0.2">
      <c r="B227" s="252" t="s">
        <v>128</v>
      </c>
      <c r="C227" s="252"/>
      <c r="D227" s="252"/>
    </row>
    <row r="228" spans="2:4" x14ac:dyDescent="0.2">
      <c r="B228" s="225"/>
      <c r="C228" s="188" t="s">
        <v>129</v>
      </c>
      <c r="D228" s="225"/>
    </row>
    <row r="229" spans="2:4" x14ac:dyDescent="0.2">
      <c r="B229" s="225"/>
      <c r="C229" s="189" t="s">
        <v>130</v>
      </c>
      <c r="D229" s="225" t="s">
        <v>131</v>
      </c>
    </row>
    <row r="230" spans="2:4" x14ac:dyDescent="0.2">
      <c r="B230" s="225"/>
      <c r="C230" s="183" t="s">
        <v>132</v>
      </c>
      <c r="D230" s="225">
        <v>4713881.5683129281</v>
      </c>
    </row>
    <row r="231" spans="2:4" x14ac:dyDescent="0.2">
      <c r="B231" s="225">
        <v>920917.64609182812</v>
      </c>
      <c r="C231" s="183" t="s">
        <v>133</v>
      </c>
      <c r="D231" s="225"/>
    </row>
    <row r="232" spans="2:4" x14ac:dyDescent="0.2">
      <c r="B232" s="225">
        <v>901568.59089587466</v>
      </c>
      <c r="C232" s="187" t="s">
        <v>134</v>
      </c>
      <c r="D232" s="225"/>
    </row>
    <row r="233" spans="2:4" x14ac:dyDescent="0.2">
      <c r="B233" s="225">
        <v>19349.055195953453</v>
      </c>
      <c r="C233" s="187" t="s">
        <v>135</v>
      </c>
      <c r="D233" s="225"/>
    </row>
    <row r="234" spans="2:4" x14ac:dyDescent="0.2">
      <c r="B234" s="225">
        <v>20349</v>
      </c>
      <c r="C234" s="183" t="s">
        <v>136</v>
      </c>
      <c r="D234" s="225"/>
    </row>
    <row r="235" spans="2:4" x14ac:dyDescent="0.2">
      <c r="B235" s="225"/>
      <c r="C235" s="183"/>
      <c r="D235" s="225"/>
    </row>
    <row r="236" spans="2:4" x14ac:dyDescent="0.2">
      <c r="B236" s="182">
        <v>3772614.9222211</v>
      </c>
      <c r="C236" s="183" t="s">
        <v>26</v>
      </c>
      <c r="D236" s="205"/>
    </row>
    <row r="237" spans="2:4" x14ac:dyDescent="0.2">
      <c r="B237" s="225"/>
      <c r="C237" s="190" t="s">
        <v>137</v>
      </c>
      <c r="D237" s="225"/>
    </row>
    <row r="238" spans="2:4" x14ac:dyDescent="0.2">
      <c r="B238" s="225"/>
      <c r="C238" s="183" t="s">
        <v>26</v>
      </c>
      <c r="D238" s="225">
        <v>3772614.9222211</v>
      </c>
    </row>
    <row r="239" spans="2:4" x14ac:dyDescent="0.2">
      <c r="B239" s="225"/>
      <c r="C239" s="183" t="s">
        <v>133</v>
      </c>
      <c r="D239" s="225">
        <v>901568.59089587466</v>
      </c>
    </row>
    <row r="240" spans="2:4" x14ac:dyDescent="0.2">
      <c r="B240" s="225"/>
      <c r="C240" s="187" t="s">
        <v>134</v>
      </c>
      <c r="D240" s="225">
        <v>901568.59089587466</v>
      </c>
    </row>
    <row r="241" spans="2:4" x14ac:dyDescent="0.2">
      <c r="B241" s="225"/>
      <c r="C241" s="187" t="s">
        <v>135</v>
      </c>
      <c r="D241" s="225"/>
    </row>
    <row r="242" spans="2:4" x14ac:dyDescent="0.2">
      <c r="B242" s="225"/>
      <c r="C242" s="183" t="s">
        <v>136</v>
      </c>
      <c r="D242" s="225">
        <v>20349</v>
      </c>
    </row>
    <row r="243" spans="2:4" x14ac:dyDescent="0.2">
      <c r="B243" s="225">
        <v>488812.94559441245</v>
      </c>
      <c r="C243" s="186" t="s">
        <v>138</v>
      </c>
      <c r="D243" s="225">
        <v>11657.291749697635</v>
      </c>
    </row>
    <row r="244" spans="2:4" x14ac:dyDescent="0.2">
      <c r="B244" s="225"/>
      <c r="C244" s="186"/>
      <c r="D244" s="225"/>
    </row>
    <row r="245" spans="2:4" x14ac:dyDescent="0.2">
      <c r="B245" s="182">
        <v>4217376.8592722593</v>
      </c>
      <c r="C245" s="186" t="s">
        <v>139</v>
      </c>
      <c r="D245" s="231"/>
    </row>
    <row r="246" spans="2:4" x14ac:dyDescent="0.2">
      <c r="B246" s="225"/>
      <c r="C246" s="188" t="s">
        <v>140</v>
      </c>
      <c r="D246" s="225"/>
    </row>
    <row r="247" spans="2:4" x14ac:dyDescent="0.2">
      <c r="B247" s="225"/>
      <c r="C247" s="183" t="s">
        <v>139</v>
      </c>
      <c r="D247" s="225">
        <v>4217376.8592722593</v>
      </c>
    </row>
    <row r="248" spans="2:4" x14ac:dyDescent="0.2">
      <c r="B248" s="225">
        <v>20053.059614843263</v>
      </c>
      <c r="C248" s="183" t="s">
        <v>141</v>
      </c>
      <c r="D248" s="225">
        <v>4785.8642260009037</v>
      </c>
    </row>
    <row r="249" spans="2:4" x14ac:dyDescent="0.2">
      <c r="B249" s="225"/>
      <c r="C249" s="183"/>
      <c r="D249" s="225"/>
    </row>
    <row r="250" spans="2:4" x14ac:dyDescent="0.2">
      <c r="B250" s="182">
        <v>4202109.6638834169</v>
      </c>
      <c r="C250" s="183" t="s">
        <v>142</v>
      </c>
      <c r="D250" s="231"/>
    </row>
    <row r="251" spans="2:4" x14ac:dyDescent="0.2">
      <c r="B251" s="225"/>
      <c r="C251" s="188" t="s">
        <v>143</v>
      </c>
      <c r="D251" s="225"/>
    </row>
    <row r="252" spans="2:4" x14ac:dyDescent="0.2">
      <c r="B252" s="225"/>
      <c r="C252" s="183" t="s">
        <v>144</v>
      </c>
      <c r="D252" s="225">
        <v>4202109.6638834169</v>
      </c>
    </row>
    <row r="253" spans="2:4" x14ac:dyDescent="0.2">
      <c r="B253" s="225">
        <v>2205597.1579990825</v>
      </c>
      <c r="C253" s="183" t="s">
        <v>121</v>
      </c>
      <c r="D253" s="191"/>
    </row>
    <row r="254" spans="2:4" x14ac:dyDescent="0.2">
      <c r="B254" s="225"/>
      <c r="C254" s="183"/>
      <c r="D254" s="225"/>
    </row>
    <row r="255" spans="2:4" x14ac:dyDescent="0.2">
      <c r="B255" s="182">
        <v>1996512.5058843344</v>
      </c>
      <c r="C255" s="183" t="s">
        <v>145</v>
      </c>
      <c r="D255" s="231"/>
    </row>
    <row r="256" spans="2:4" x14ac:dyDescent="0.2">
      <c r="B256" s="252" t="s">
        <v>146</v>
      </c>
      <c r="C256" s="252"/>
      <c r="D256" s="252"/>
    </row>
    <row r="257" spans="2:4" x14ac:dyDescent="0.2">
      <c r="B257" s="225"/>
      <c r="C257" s="188" t="s">
        <v>147</v>
      </c>
      <c r="D257" s="225" t="s">
        <v>131</v>
      </c>
    </row>
    <row r="258" spans="2:4" x14ac:dyDescent="0.2">
      <c r="B258" s="225"/>
      <c r="C258" s="183" t="s">
        <v>148</v>
      </c>
      <c r="D258" s="225">
        <v>1996512.5058843344</v>
      </c>
    </row>
    <row r="259" spans="2:4" x14ac:dyDescent="0.2">
      <c r="B259" s="225">
        <v>1078947.4129185455</v>
      </c>
      <c r="C259" s="183" t="s">
        <v>85</v>
      </c>
      <c r="D259" s="225"/>
    </row>
    <row r="260" spans="2:4" x14ac:dyDescent="0.2">
      <c r="B260" s="225">
        <v>58442.517803004012</v>
      </c>
      <c r="C260" s="183" t="s">
        <v>122</v>
      </c>
      <c r="D260" s="225"/>
    </row>
    <row r="261" spans="2:4" x14ac:dyDescent="0.2">
      <c r="B261" s="225">
        <v>0</v>
      </c>
      <c r="C261" s="183" t="s">
        <v>149</v>
      </c>
      <c r="D261" s="225">
        <v>115.491178350249</v>
      </c>
    </row>
    <row r="262" spans="2:4" x14ac:dyDescent="0.2">
      <c r="B262" s="225"/>
      <c r="C262" s="183"/>
      <c r="D262" s="225"/>
    </row>
    <row r="263" spans="2:4" x14ac:dyDescent="0.2">
      <c r="B263" s="178">
        <v>859238.06634113519</v>
      </c>
      <c r="C263" s="183" t="s">
        <v>150</v>
      </c>
      <c r="D263" s="179"/>
    </row>
    <row r="264" spans="2:4" x14ac:dyDescent="0.2">
      <c r="B264" s="193" t="s">
        <v>23</v>
      </c>
      <c r="C264" s="192"/>
      <c r="D264" s="182"/>
    </row>
    <row r="265" spans="2:4" x14ac:dyDescent="0.2">
      <c r="B265" s="193"/>
      <c r="C265" s="194"/>
      <c r="D265" s="193"/>
    </row>
    <row r="266" spans="2:4" x14ac:dyDescent="0.2">
      <c r="B266" s="251" t="s">
        <v>155</v>
      </c>
      <c r="C266" s="251"/>
      <c r="D266" s="251"/>
    </row>
    <row r="267" spans="2:4" x14ac:dyDescent="0.2">
      <c r="B267" s="184"/>
      <c r="C267" s="185" t="s">
        <v>109</v>
      </c>
      <c r="D267" s="182"/>
    </row>
    <row r="268" spans="2:4" x14ac:dyDescent="0.2">
      <c r="B268" s="203" t="s">
        <v>112</v>
      </c>
      <c r="C268" s="204" t="s">
        <v>111</v>
      </c>
      <c r="D268" s="203" t="s">
        <v>110</v>
      </c>
    </row>
    <row r="269" spans="2:4" x14ac:dyDescent="0.2">
      <c r="B269" s="205"/>
      <c r="C269" s="206">
        <v>2007</v>
      </c>
      <c r="D269" s="205"/>
    </row>
    <row r="270" spans="2:4" x14ac:dyDescent="0.2">
      <c r="B270" s="252" t="s">
        <v>127</v>
      </c>
      <c r="C270" s="252"/>
      <c r="D270" s="252"/>
    </row>
    <row r="271" spans="2:4" x14ac:dyDescent="0.2">
      <c r="B271" s="225"/>
      <c r="C271" s="183" t="s">
        <v>113</v>
      </c>
      <c r="D271" s="225">
        <v>8347419.9566926295</v>
      </c>
    </row>
    <row r="272" spans="2:4" x14ac:dyDescent="0.2">
      <c r="B272" s="225">
        <v>2710330.3435760806</v>
      </c>
      <c r="C272" s="183" t="s">
        <v>120</v>
      </c>
      <c r="D272" s="225"/>
    </row>
    <row r="273" spans="2:4" x14ac:dyDescent="0.2">
      <c r="B273" s="225"/>
      <c r="C273" s="186" t="s">
        <v>115</v>
      </c>
      <c r="D273" s="225">
        <v>-34640</v>
      </c>
    </row>
    <row r="274" spans="2:4" x14ac:dyDescent="0.2">
      <c r="B274" s="225"/>
      <c r="C274" s="186" t="s">
        <v>116</v>
      </c>
      <c r="D274" s="225">
        <v>74894</v>
      </c>
    </row>
    <row r="275" spans="2:4" x14ac:dyDescent="0.2">
      <c r="B275" s="225"/>
      <c r="C275" s="186" t="s">
        <v>117</v>
      </c>
      <c r="D275" s="225">
        <v>92495</v>
      </c>
    </row>
    <row r="276" spans="2:4" x14ac:dyDescent="0.2">
      <c r="B276" s="225"/>
      <c r="C276" s="186" t="s">
        <v>118</v>
      </c>
      <c r="D276" s="225">
        <v>71</v>
      </c>
    </row>
    <row r="277" spans="2:4" x14ac:dyDescent="0.2">
      <c r="B277" s="225"/>
      <c r="C277" s="186" t="s">
        <v>119</v>
      </c>
      <c r="D277" s="225">
        <v>202100</v>
      </c>
    </row>
    <row r="278" spans="2:4" x14ac:dyDescent="0.2">
      <c r="B278" s="225"/>
      <c r="C278" s="187"/>
      <c r="D278" s="225"/>
    </row>
    <row r="279" spans="2:4" x14ac:dyDescent="0.2">
      <c r="B279" s="182">
        <v>5602449.6131165493</v>
      </c>
      <c r="C279" s="183" t="s">
        <v>24</v>
      </c>
      <c r="D279" s="205"/>
    </row>
    <row r="280" spans="2:4" x14ac:dyDescent="0.2">
      <c r="B280" s="252" t="s">
        <v>128</v>
      </c>
      <c r="C280" s="252"/>
      <c r="D280" s="225" t="s">
        <v>131</v>
      </c>
    </row>
    <row r="281" spans="2:4" x14ac:dyDescent="0.2">
      <c r="B281" s="225"/>
      <c r="C281" s="188" t="s">
        <v>129</v>
      </c>
      <c r="D281" s="225"/>
    </row>
    <row r="282" spans="2:4" x14ac:dyDescent="0.2">
      <c r="B282" s="225"/>
      <c r="C282" s="189" t="s">
        <v>130</v>
      </c>
      <c r="D282" s="225" t="s">
        <v>131</v>
      </c>
    </row>
    <row r="283" spans="2:4" x14ac:dyDescent="0.2">
      <c r="B283" s="225"/>
      <c r="C283" s="183" t="s">
        <v>132</v>
      </c>
      <c r="D283" s="225">
        <v>5602449.6131165493</v>
      </c>
    </row>
    <row r="284" spans="2:4" x14ac:dyDescent="0.2">
      <c r="B284" s="225">
        <v>1140356.6985510355</v>
      </c>
      <c r="C284" s="183" t="s">
        <v>133</v>
      </c>
      <c r="D284" s="225"/>
    </row>
    <row r="285" spans="2:4" x14ac:dyDescent="0.2">
      <c r="B285" s="225">
        <v>1111636.5345824119</v>
      </c>
      <c r="C285" s="187" t="s">
        <v>134</v>
      </c>
      <c r="D285" s="225"/>
    </row>
    <row r="286" spans="2:4" x14ac:dyDescent="0.2">
      <c r="B286" s="225">
        <v>28720.163968623678</v>
      </c>
      <c r="C286" s="187" t="s">
        <v>135</v>
      </c>
      <c r="D286" s="225"/>
    </row>
    <row r="287" spans="2:4" x14ac:dyDescent="0.2">
      <c r="B287" s="225">
        <v>-9532</v>
      </c>
      <c r="C287" s="183" t="s">
        <v>136</v>
      </c>
      <c r="D287" s="225"/>
    </row>
    <row r="288" spans="2:4" x14ac:dyDescent="0.2">
      <c r="B288" s="225"/>
      <c r="C288" s="183"/>
      <c r="D288" s="225"/>
    </row>
    <row r="289" spans="2:4" x14ac:dyDescent="0.2">
      <c r="B289" s="182">
        <v>4471624.9145655138</v>
      </c>
      <c r="C289" s="183" t="s">
        <v>26</v>
      </c>
      <c r="D289" s="205"/>
    </row>
    <row r="290" spans="2:4" x14ac:dyDescent="0.2">
      <c r="B290" s="225"/>
      <c r="C290" s="190" t="s">
        <v>137</v>
      </c>
      <c r="D290" s="225"/>
    </row>
    <row r="291" spans="2:4" x14ac:dyDescent="0.2">
      <c r="B291" s="225"/>
      <c r="C291" s="183" t="s">
        <v>26</v>
      </c>
      <c r="D291" s="225">
        <v>4471624.9145655138</v>
      </c>
    </row>
    <row r="292" spans="2:4" x14ac:dyDescent="0.2">
      <c r="B292" s="225"/>
      <c r="C292" s="183" t="s">
        <v>133</v>
      </c>
      <c r="D292" s="225">
        <v>1111636.5345824119</v>
      </c>
    </row>
    <row r="293" spans="2:4" x14ac:dyDescent="0.2">
      <c r="B293" s="225"/>
      <c r="C293" s="187" t="s">
        <v>134</v>
      </c>
      <c r="D293" s="225">
        <v>1111636.5345824119</v>
      </c>
    </row>
    <row r="294" spans="2:4" x14ac:dyDescent="0.2">
      <c r="B294" s="225"/>
      <c r="C294" s="187" t="s">
        <v>135</v>
      </c>
      <c r="D294" s="225"/>
    </row>
    <row r="295" spans="2:4" x14ac:dyDescent="0.2">
      <c r="B295" s="225"/>
      <c r="C295" s="183" t="s">
        <v>136</v>
      </c>
      <c r="D295" s="225">
        <v>-9532</v>
      </c>
    </row>
    <row r="296" spans="2:4" x14ac:dyDescent="0.2">
      <c r="B296" s="225">
        <v>601922.94015395991</v>
      </c>
      <c r="C296" s="186" t="s">
        <v>138</v>
      </c>
      <c r="D296" s="225">
        <v>47753.886497668413</v>
      </c>
    </row>
    <row r="297" spans="2:4" x14ac:dyDescent="0.2">
      <c r="B297" s="225"/>
      <c r="C297" s="186"/>
      <c r="D297" s="225"/>
    </row>
    <row r="298" spans="2:4" x14ac:dyDescent="0.2">
      <c r="B298" s="182">
        <v>5019560.3954916336</v>
      </c>
      <c r="C298" s="186" t="s">
        <v>139</v>
      </c>
      <c r="D298" s="231"/>
    </row>
    <row r="299" spans="2:4" x14ac:dyDescent="0.2">
      <c r="B299" s="225"/>
      <c r="C299" s="188" t="s">
        <v>140</v>
      </c>
      <c r="D299" s="225"/>
    </row>
    <row r="300" spans="2:4" x14ac:dyDescent="0.2">
      <c r="B300" s="225"/>
      <c r="C300" s="183" t="s">
        <v>139</v>
      </c>
      <c r="D300" s="225">
        <v>5019560.3954916336</v>
      </c>
    </row>
    <row r="301" spans="2:4" x14ac:dyDescent="0.2">
      <c r="B301" s="225">
        <v>20527.88178662592</v>
      </c>
      <c r="C301" s="183" t="s">
        <v>141</v>
      </c>
      <c r="D301" s="225">
        <v>3505.4609169832001</v>
      </c>
    </row>
    <row r="302" spans="2:4" x14ac:dyDescent="0.2">
      <c r="B302" s="225"/>
      <c r="C302" s="183"/>
      <c r="D302" s="225"/>
    </row>
    <row r="303" spans="2:4" x14ac:dyDescent="0.2">
      <c r="B303" s="182">
        <v>5002537.9746219907</v>
      </c>
      <c r="C303" s="183" t="s">
        <v>142</v>
      </c>
      <c r="D303" s="231"/>
    </row>
    <row r="304" spans="2:4" x14ac:dyDescent="0.2">
      <c r="B304" s="225"/>
      <c r="C304" s="188" t="s">
        <v>143</v>
      </c>
      <c r="D304" s="225"/>
    </row>
    <row r="305" spans="2:4" x14ac:dyDescent="0.2">
      <c r="B305" s="225"/>
      <c r="C305" s="183" t="s">
        <v>144</v>
      </c>
      <c r="D305" s="225">
        <v>5002537.9746219907</v>
      </c>
    </row>
    <row r="306" spans="2:4" x14ac:dyDescent="0.2">
      <c r="B306" s="225">
        <v>2685382.5583293503</v>
      </c>
      <c r="C306" s="183" t="s">
        <v>121</v>
      </c>
      <c r="D306" s="191"/>
    </row>
    <row r="307" spans="2:4" x14ac:dyDescent="0.2">
      <c r="B307" s="225"/>
      <c r="C307" s="183"/>
      <c r="D307" s="225"/>
    </row>
    <row r="308" spans="2:4" x14ac:dyDescent="0.2">
      <c r="B308" s="182">
        <v>2317155.4162926404</v>
      </c>
      <c r="C308" s="183" t="s">
        <v>145</v>
      </c>
      <c r="D308" s="231"/>
    </row>
    <row r="309" spans="2:4" x14ac:dyDescent="0.2">
      <c r="B309" s="252" t="s">
        <v>146</v>
      </c>
      <c r="C309" s="252"/>
      <c r="D309" s="252"/>
    </row>
    <row r="310" spans="2:4" x14ac:dyDescent="0.2">
      <c r="B310" s="225"/>
      <c r="C310" s="188" t="s">
        <v>147</v>
      </c>
      <c r="D310" s="225" t="s">
        <v>131</v>
      </c>
    </row>
    <row r="311" spans="2:4" x14ac:dyDescent="0.2">
      <c r="B311" s="225"/>
      <c r="C311" s="183" t="s">
        <v>148</v>
      </c>
      <c r="D311" s="225">
        <v>2317155.4162926404</v>
      </c>
    </row>
    <row r="312" spans="2:4" x14ac:dyDescent="0.2">
      <c r="B312" s="225">
        <v>1470664.0949731101</v>
      </c>
      <c r="C312" s="183" t="s">
        <v>85</v>
      </c>
      <c r="D312" s="225"/>
    </row>
    <row r="313" spans="2:4" x14ac:dyDescent="0.2">
      <c r="B313" s="225">
        <v>34844.130930891261</v>
      </c>
      <c r="C313" s="183" t="s">
        <v>122</v>
      </c>
      <c r="D313" s="225"/>
    </row>
    <row r="314" spans="2:4" x14ac:dyDescent="0.2">
      <c r="B314" s="225">
        <v>0</v>
      </c>
      <c r="C314" s="183" t="s">
        <v>149</v>
      </c>
      <c r="D314" s="225">
        <v>550.34876059071996</v>
      </c>
    </row>
    <row r="315" spans="2:4" x14ac:dyDescent="0.2">
      <c r="B315" s="225"/>
      <c r="C315" s="183"/>
      <c r="D315" s="225"/>
    </row>
    <row r="316" spans="2:4" x14ac:dyDescent="0.2">
      <c r="B316" s="178">
        <v>812197.53914922976</v>
      </c>
      <c r="C316" s="183" t="s">
        <v>150</v>
      </c>
      <c r="D316" s="179"/>
    </row>
    <row r="317" spans="2:4" x14ac:dyDescent="0.2">
      <c r="B317" s="193"/>
      <c r="C317" s="194"/>
      <c r="D317" s="193"/>
    </row>
    <row r="318" spans="2:4" x14ac:dyDescent="0.2">
      <c r="B318" s="251" t="s">
        <v>156</v>
      </c>
      <c r="C318" s="251"/>
      <c r="D318" s="251"/>
    </row>
    <row r="319" spans="2:4" x14ac:dyDescent="0.2">
      <c r="B319" s="184"/>
      <c r="C319" s="185" t="s">
        <v>109</v>
      </c>
      <c r="D319" s="182"/>
    </row>
    <row r="320" spans="2:4" x14ac:dyDescent="0.2">
      <c r="B320" s="203" t="s">
        <v>112</v>
      </c>
      <c r="C320" s="204" t="s">
        <v>111</v>
      </c>
      <c r="D320" s="203" t="s">
        <v>110</v>
      </c>
    </row>
    <row r="321" spans="2:4" x14ac:dyDescent="0.2">
      <c r="B321" s="205"/>
      <c r="C321" s="206">
        <v>2008</v>
      </c>
      <c r="D321" s="205"/>
    </row>
    <row r="322" spans="2:4" x14ac:dyDescent="0.2">
      <c r="B322" s="250" t="s">
        <v>127</v>
      </c>
      <c r="C322" s="250"/>
      <c r="D322" s="250"/>
    </row>
    <row r="323" spans="2:4" x14ac:dyDescent="0.2">
      <c r="B323" s="193"/>
      <c r="C323" s="183" t="s">
        <v>113</v>
      </c>
      <c r="D323" s="177">
        <v>11379173.348549157</v>
      </c>
    </row>
    <row r="324" spans="2:4" x14ac:dyDescent="0.2">
      <c r="B324" s="178">
        <v>4096505.8182417275</v>
      </c>
      <c r="C324" s="183" t="s">
        <v>120</v>
      </c>
      <c r="D324" s="179"/>
    </row>
    <row r="325" spans="2:4" x14ac:dyDescent="0.2">
      <c r="B325" s="179"/>
      <c r="C325" s="186" t="s">
        <v>115</v>
      </c>
      <c r="D325" s="179">
        <v>129910</v>
      </c>
    </row>
    <row r="326" spans="2:4" x14ac:dyDescent="0.2">
      <c r="B326" s="179"/>
      <c r="C326" s="186" t="s">
        <v>116</v>
      </c>
      <c r="D326" s="178">
        <v>131131</v>
      </c>
    </row>
    <row r="327" spans="2:4" x14ac:dyDescent="0.2">
      <c r="B327" s="179"/>
      <c r="C327" s="186" t="s">
        <v>117</v>
      </c>
      <c r="D327" s="178">
        <v>136725</v>
      </c>
    </row>
    <row r="328" spans="2:4" x14ac:dyDescent="0.2">
      <c r="B328" s="179"/>
      <c r="C328" s="186" t="s">
        <v>118</v>
      </c>
      <c r="D328" s="178">
        <v>10</v>
      </c>
    </row>
    <row r="329" spans="2:4" x14ac:dyDescent="0.2">
      <c r="B329" s="179"/>
      <c r="C329" s="186" t="s">
        <v>119</v>
      </c>
      <c r="D329" s="178">
        <v>137956</v>
      </c>
    </row>
    <row r="330" spans="2:4" x14ac:dyDescent="0.2">
      <c r="B330" s="179"/>
      <c r="C330" s="187"/>
      <c r="D330" s="179"/>
    </row>
    <row r="331" spans="2:4" x14ac:dyDescent="0.2">
      <c r="B331" s="178">
        <v>7412577.5303074298</v>
      </c>
      <c r="C331" s="183" t="s">
        <v>24</v>
      </c>
      <c r="D331" s="179"/>
    </row>
    <row r="332" spans="2:4" x14ac:dyDescent="0.2">
      <c r="B332" s="252" t="s">
        <v>128</v>
      </c>
      <c r="C332" s="252"/>
      <c r="D332" s="233"/>
    </row>
    <row r="333" spans="2:4" x14ac:dyDescent="0.2">
      <c r="B333" s="225"/>
      <c r="C333" s="188" t="s">
        <v>129</v>
      </c>
      <c r="D333" s="225"/>
    </row>
    <row r="334" spans="2:4" x14ac:dyDescent="0.2">
      <c r="B334" s="225"/>
      <c r="C334" s="189" t="s">
        <v>130</v>
      </c>
      <c r="D334" s="225" t="s">
        <v>131</v>
      </c>
    </row>
    <row r="335" spans="2:4" x14ac:dyDescent="0.2">
      <c r="B335" s="178"/>
      <c r="C335" s="183" t="s">
        <v>132</v>
      </c>
      <c r="D335" s="178">
        <v>7412577.5303074298</v>
      </c>
    </row>
    <row r="336" spans="2:4" x14ac:dyDescent="0.2">
      <c r="B336" s="178">
        <v>1595032.4789649367</v>
      </c>
      <c r="C336" s="183" t="s">
        <v>133</v>
      </c>
      <c r="D336" s="178"/>
    </row>
    <row r="337" spans="2:4" x14ac:dyDescent="0.2">
      <c r="B337" s="178">
        <v>1561491.7335168726</v>
      </c>
      <c r="C337" s="187" t="s">
        <v>134</v>
      </c>
      <c r="D337" s="178"/>
    </row>
    <row r="338" spans="2:4" x14ac:dyDescent="0.2">
      <c r="B338" s="178">
        <v>33540.745448064001</v>
      </c>
      <c r="C338" s="187" t="s">
        <v>135</v>
      </c>
      <c r="D338" s="178"/>
    </row>
    <row r="339" spans="2:4" x14ac:dyDescent="0.2">
      <c r="B339" s="178">
        <v>156427.50272201703</v>
      </c>
      <c r="C339" s="183" t="s">
        <v>136</v>
      </c>
      <c r="D339" s="178"/>
    </row>
    <row r="340" spans="2:4" x14ac:dyDescent="0.2">
      <c r="B340" s="178"/>
      <c r="C340" s="183"/>
      <c r="D340" s="179"/>
    </row>
    <row r="341" spans="2:4" x14ac:dyDescent="0.2">
      <c r="B341" s="179">
        <v>5661117.5486204755</v>
      </c>
      <c r="C341" s="183" t="s">
        <v>26</v>
      </c>
      <c r="D341" s="179"/>
    </row>
    <row r="342" spans="2:4" x14ac:dyDescent="0.2">
      <c r="B342" s="179"/>
      <c r="C342" s="190" t="s">
        <v>137</v>
      </c>
      <c r="D342" s="179"/>
    </row>
    <row r="343" spans="2:4" x14ac:dyDescent="0.2">
      <c r="B343" s="180"/>
      <c r="C343" s="183" t="s">
        <v>26</v>
      </c>
      <c r="D343" s="179">
        <v>5661117.5486204755</v>
      </c>
    </row>
    <row r="344" spans="2:4" x14ac:dyDescent="0.2">
      <c r="B344" s="180"/>
      <c r="C344" s="183" t="s">
        <v>133</v>
      </c>
      <c r="D344" s="179">
        <v>1561491.7335168726</v>
      </c>
    </row>
    <row r="345" spans="2:4" x14ac:dyDescent="0.2">
      <c r="B345" s="180"/>
      <c r="C345" s="187" t="s">
        <v>134</v>
      </c>
      <c r="D345" s="178">
        <v>1561491.7335168726</v>
      </c>
    </row>
    <row r="346" spans="2:4" x14ac:dyDescent="0.2">
      <c r="B346" s="180"/>
      <c r="C346" s="187" t="s">
        <v>135</v>
      </c>
      <c r="D346" s="178"/>
    </row>
    <row r="347" spans="2:4" x14ac:dyDescent="0.2">
      <c r="B347" s="178"/>
      <c r="C347" s="183" t="s">
        <v>136</v>
      </c>
      <c r="D347" s="178">
        <v>156427.50272201703</v>
      </c>
    </row>
    <row r="348" spans="2:4" x14ac:dyDescent="0.2">
      <c r="B348" s="178">
        <v>1027427.7612018511</v>
      </c>
      <c r="C348" s="186" t="s">
        <v>138</v>
      </c>
      <c r="D348" s="178">
        <v>31686.799434871878</v>
      </c>
    </row>
    <row r="349" spans="2:4" x14ac:dyDescent="0.2">
      <c r="B349" s="180"/>
      <c r="C349" s="186"/>
      <c r="D349" s="179"/>
    </row>
    <row r="350" spans="2:4" x14ac:dyDescent="0.2">
      <c r="B350" s="178">
        <v>6383295.8230923861</v>
      </c>
      <c r="C350" s="186" t="s">
        <v>139</v>
      </c>
      <c r="D350" s="179"/>
    </row>
    <row r="351" spans="2:4" x14ac:dyDescent="0.2">
      <c r="B351" s="179"/>
      <c r="C351" s="188" t="s">
        <v>140</v>
      </c>
      <c r="D351" s="179"/>
    </row>
    <row r="352" spans="2:4" x14ac:dyDescent="0.2">
      <c r="B352" s="179"/>
      <c r="C352" s="183" t="s">
        <v>139</v>
      </c>
      <c r="D352" s="179">
        <v>6383295.8230923861</v>
      </c>
    </row>
    <row r="353" spans="2:4" x14ac:dyDescent="0.2">
      <c r="B353" s="179">
        <v>27352.664778470204</v>
      </c>
      <c r="C353" s="183" t="s">
        <v>141</v>
      </c>
      <c r="D353" s="179">
        <v>11590.588376398622</v>
      </c>
    </row>
    <row r="354" spans="2:4" x14ac:dyDescent="0.2">
      <c r="B354" s="179"/>
      <c r="C354" s="183"/>
      <c r="D354" s="179"/>
    </row>
    <row r="355" spans="2:4" x14ac:dyDescent="0.2">
      <c r="B355" s="178">
        <v>6367533.7466903143</v>
      </c>
      <c r="C355" s="183" t="s">
        <v>142</v>
      </c>
      <c r="D355" s="179"/>
    </row>
    <row r="356" spans="2:4" x14ac:dyDescent="0.2">
      <c r="B356" s="179"/>
      <c r="C356" s="188" t="s">
        <v>143</v>
      </c>
      <c r="D356" s="179"/>
    </row>
    <row r="357" spans="2:4" x14ac:dyDescent="0.2">
      <c r="B357" s="179"/>
      <c r="C357" s="183" t="s">
        <v>144</v>
      </c>
      <c r="D357" s="179">
        <v>6367533.7466903143</v>
      </c>
    </row>
    <row r="358" spans="2:4" x14ac:dyDescent="0.2">
      <c r="B358" s="179">
        <v>3526287.6688592695</v>
      </c>
      <c r="C358" s="183" t="s">
        <v>121</v>
      </c>
      <c r="D358" s="179"/>
    </row>
    <row r="359" spans="2:4" x14ac:dyDescent="0.2">
      <c r="B359" s="179"/>
      <c r="C359" s="183"/>
      <c r="D359" s="179"/>
    </row>
    <row r="360" spans="2:4" x14ac:dyDescent="0.2">
      <c r="B360" s="178">
        <v>2841246.0778310448</v>
      </c>
      <c r="C360" s="183" t="s">
        <v>145</v>
      </c>
      <c r="D360" s="179"/>
    </row>
    <row r="361" spans="2:4" x14ac:dyDescent="0.2">
      <c r="B361" s="253" t="s">
        <v>146</v>
      </c>
      <c r="C361" s="253"/>
      <c r="D361" s="253"/>
    </row>
    <row r="362" spans="2:4" x14ac:dyDescent="0.2">
      <c r="B362" s="179"/>
      <c r="C362" s="188" t="s">
        <v>147</v>
      </c>
      <c r="D362" s="179" t="s">
        <v>131</v>
      </c>
    </row>
    <row r="363" spans="2:4" x14ac:dyDescent="0.2">
      <c r="B363" s="179"/>
      <c r="C363" s="183" t="s">
        <v>148</v>
      </c>
      <c r="D363" s="179">
        <v>2841246.0778310448</v>
      </c>
    </row>
    <row r="364" spans="2:4" x14ac:dyDescent="0.2">
      <c r="B364" s="225">
        <v>2266844.7575758914</v>
      </c>
      <c r="C364" s="183" t="s">
        <v>85</v>
      </c>
      <c r="D364" s="196"/>
    </row>
    <row r="365" spans="2:4" x14ac:dyDescent="0.2">
      <c r="B365" s="225">
        <v>34587.428563564084</v>
      </c>
      <c r="C365" s="183" t="s">
        <v>122</v>
      </c>
      <c r="D365" s="196"/>
    </row>
    <row r="366" spans="2:4" x14ac:dyDescent="0.2">
      <c r="B366" s="225">
        <v>0</v>
      </c>
      <c r="C366" s="183" t="s">
        <v>149</v>
      </c>
      <c r="D366" s="179">
        <v>865.45901538946009</v>
      </c>
    </row>
    <row r="367" spans="2:4" x14ac:dyDescent="0.2">
      <c r="B367" s="179"/>
      <c r="C367" s="183"/>
      <c r="D367" s="179"/>
    </row>
    <row r="368" spans="2:4" x14ac:dyDescent="0.2">
      <c r="B368" s="178">
        <v>540679.3507069787</v>
      </c>
      <c r="C368" s="183" t="s">
        <v>150</v>
      </c>
      <c r="D368" s="179"/>
    </row>
    <row r="369" spans="2:4" x14ac:dyDescent="0.2">
      <c r="B369" s="193" t="s">
        <v>23</v>
      </c>
      <c r="C369" s="197"/>
      <c r="D369" s="196"/>
    </row>
    <row r="370" spans="2:4" x14ac:dyDescent="0.2">
      <c r="B370" s="193"/>
      <c r="C370" s="194"/>
      <c r="D370" s="193"/>
    </row>
    <row r="371" spans="2:4" x14ac:dyDescent="0.2">
      <c r="B371" s="251" t="s">
        <v>157</v>
      </c>
      <c r="C371" s="251"/>
      <c r="D371" s="251"/>
    </row>
    <row r="372" spans="2:4" x14ac:dyDescent="0.2">
      <c r="B372" s="184"/>
      <c r="C372" s="185" t="s">
        <v>109</v>
      </c>
      <c r="D372" s="182"/>
    </row>
    <row r="373" spans="2:4" x14ac:dyDescent="0.2">
      <c r="B373" s="203" t="s">
        <v>112</v>
      </c>
      <c r="C373" s="204" t="s">
        <v>111</v>
      </c>
      <c r="D373" s="203" t="s">
        <v>110</v>
      </c>
    </row>
    <row r="374" spans="2:4" x14ac:dyDescent="0.2">
      <c r="B374" s="205"/>
      <c r="C374" s="206">
        <v>2009</v>
      </c>
      <c r="D374" s="205"/>
    </row>
    <row r="375" spans="2:4" x14ac:dyDescent="0.2">
      <c r="B375" s="250" t="s">
        <v>127</v>
      </c>
      <c r="C375" s="250"/>
      <c r="D375" s="250"/>
    </row>
    <row r="376" spans="2:4" x14ac:dyDescent="0.2">
      <c r="B376" s="193"/>
      <c r="C376" s="183" t="s">
        <v>113</v>
      </c>
      <c r="D376" s="177">
        <v>10635342.449299892</v>
      </c>
    </row>
    <row r="377" spans="2:4" x14ac:dyDescent="0.2">
      <c r="B377" s="178">
        <v>4283730.6497388929</v>
      </c>
      <c r="C377" s="183" t="s">
        <v>120</v>
      </c>
      <c r="D377" s="179"/>
    </row>
    <row r="378" spans="2:4" x14ac:dyDescent="0.2">
      <c r="B378" s="179"/>
      <c r="C378" s="186" t="s">
        <v>115</v>
      </c>
      <c r="D378" s="179">
        <v>267866</v>
      </c>
    </row>
    <row r="379" spans="2:4" x14ac:dyDescent="0.2">
      <c r="B379" s="179"/>
      <c r="C379" s="186" t="s">
        <v>119</v>
      </c>
      <c r="D379" s="179">
        <v>137956</v>
      </c>
    </row>
    <row r="380" spans="2:4" x14ac:dyDescent="0.2">
      <c r="B380" s="179"/>
      <c r="C380" s="186"/>
      <c r="D380" s="178"/>
    </row>
    <row r="381" spans="2:4" x14ac:dyDescent="0.2">
      <c r="B381" s="179">
        <v>6481521.7995609995</v>
      </c>
      <c r="C381" s="186" t="s">
        <v>24</v>
      </c>
      <c r="D381" s="178"/>
    </row>
    <row r="382" spans="2:4" x14ac:dyDescent="0.2">
      <c r="B382" s="179" t="s">
        <v>128</v>
      </c>
      <c r="C382" s="186"/>
      <c r="D382" s="178"/>
    </row>
    <row r="383" spans="2:4" x14ac:dyDescent="0.2">
      <c r="B383" s="179"/>
      <c r="C383" s="187" t="s">
        <v>129</v>
      </c>
      <c r="D383" s="179"/>
    </row>
    <row r="384" spans="2:4" x14ac:dyDescent="0.2">
      <c r="B384" s="178"/>
      <c r="C384" s="183" t="s">
        <v>130</v>
      </c>
      <c r="D384" s="179" t="s">
        <v>131</v>
      </c>
    </row>
    <row r="385" spans="2:4" x14ac:dyDescent="0.2">
      <c r="B385" s="234"/>
      <c r="C385" s="234" t="s">
        <v>132</v>
      </c>
      <c r="D385" s="233">
        <v>6481521.7995609995</v>
      </c>
    </row>
    <row r="386" spans="2:4" x14ac:dyDescent="0.2">
      <c r="B386" s="225">
        <v>1893564.5291618742</v>
      </c>
      <c r="C386" s="188" t="s">
        <v>133</v>
      </c>
      <c r="D386" s="225"/>
    </row>
    <row r="387" spans="2:4" x14ac:dyDescent="0.2">
      <c r="B387" s="225">
        <v>1868024.1476277332</v>
      </c>
      <c r="C387" s="189" t="s">
        <v>134</v>
      </c>
      <c r="D387" s="225"/>
    </row>
    <row r="388" spans="2:4" x14ac:dyDescent="0.2">
      <c r="B388" s="178">
        <v>25540.381534140961</v>
      </c>
      <c r="C388" s="183" t="s">
        <v>135</v>
      </c>
      <c r="D388" s="178"/>
    </row>
    <row r="389" spans="2:4" x14ac:dyDescent="0.2">
      <c r="B389" s="178">
        <v>162622.18095193614</v>
      </c>
      <c r="C389" s="183" t="s">
        <v>136</v>
      </c>
      <c r="D389" s="178"/>
    </row>
    <row r="390" spans="2:4" x14ac:dyDescent="0.2">
      <c r="B390" s="178"/>
      <c r="C390" s="187"/>
      <c r="D390" s="178"/>
    </row>
    <row r="391" spans="2:4" x14ac:dyDescent="0.2">
      <c r="B391" s="179">
        <v>4425335.0894471891</v>
      </c>
      <c r="C391" s="183" t="s">
        <v>26</v>
      </c>
      <c r="D391" s="179"/>
    </row>
    <row r="392" spans="2:4" x14ac:dyDescent="0.2">
      <c r="B392" s="178"/>
      <c r="C392" s="183" t="s">
        <v>137</v>
      </c>
      <c r="D392" s="178"/>
    </row>
    <row r="393" spans="2:4" x14ac:dyDescent="0.2">
      <c r="B393" s="178"/>
      <c r="C393" s="183" t="s">
        <v>26</v>
      </c>
      <c r="D393" s="179">
        <v>4425335.0894471891</v>
      </c>
    </row>
    <row r="394" spans="2:4" x14ac:dyDescent="0.2">
      <c r="B394" s="178"/>
      <c r="C394" s="183" t="s">
        <v>133</v>
      </c>
      <c r="D394" s="178">
        <v>1868024.1476277332</v>
      </c>
    </row>
    <row r="395" spans="2:4" x14ac:dyDescent="0.2">
      <c r="B395" s="179"/>
      <c r="C395" s="190" t="s">
        <v>134</v>
      </c>
      <c r="D395" s="179">
        <v>1868024.1476277332</v>
      </c>
    </row>
    <row r="396" spans="2:4" x14ac:dyDescent="0.2">
      <c r="B396" s="180"/>
      <c r="C396" s="183" t="s">
        <v>135</v>
      </c>
      <c r="D396" s="179">
        <v>0</v>
      </c>
    </row>
    <row r="397" spans="2:4" x14ac:dyDescent="0.2">
      <c r="B397" s="180"/>
      <c r="C397" s="183" t="s">
        <v>136</v>
      </c>
      <c r="D397" s="179">
        <v>162622.18095193614</v>
      </c>
    </row>
    <row r="398" spans="2:4" x14ac:dyDescent="0.2">
      <c r="B398" s="180">
        <v>527959.37425923941</v>
      </c>
      <c r="C398" s="187" t="s">
        <v>138</v>
      </c>
      <c r="D398" s="178">
        <v>10452.710709055324</v>
      </c>
    </row>
    <row r="399" spans="2:4" x14ac:dyDescent="0.2">
      <c r="B399" s="180"/>
      <c r="C399" s="187"/>
      <c r="D399" s="178"/>
    </row>
    <row r="400" spans="2:4" x14ac:dyDescent="0.2">
      <c r="B400" s="179">
        <v>5938474.7544766748</v>
      </c>
      <c r="C400" s="183" t="s">
        <v>139</v>
      </c>
      <c r="D400" s="179"/>
    </row>
    <row r="401" spans="2:4" x14ac:dyDescent="0.2">
      <c r="B401" s="178"/>
      <c r="C401" s="186" t="s">
        <v>140</v>
      </c>
      <c r="D401" s="178"/>
    </row>
    <row r="402" spans="2:4" x14ac:dyDescent="0.2">
      <c r="B402" s="180"/>
      <c r="C402" s="186" t="s">
        <v>139</v>
      </c>
      <c r="D402" s="179">
        <v>5938474.7544766748</v>
      </c>
    </row>
    <row r="403" spans="2:4" x14ac:dyDescent="0.2">
      <c r="B403" s="178">
        <v>33995.470431596863</v>
      </c>
      <c r="C403" s="183" t="s">
        <v>141</v>
      </c>
      <c r="D403" s="178">
        <v>4523.0560435615089</v>
      </c>
    </row>
    <row r="404" spans="2:4" x14ac:dyDescent="0.2">
      <c r="B404" s="179"/>
      <c r="C404" s="188"/>
      <c r="D404" s="179"/>
    </row>
    <row r="405" spans="2:4" x14ac:dyDescent="0.2">
      <c r="B405" s="178">
        <v>5909002.3400886394</v>
      </c>
      <c r="C405" s="183" t="s">
        <v>142</v>
      </c>
      <c r="D405" s="179"/>
    </row>
    <row r="406" spans="2:4" x14ac:dyDescent="0.2">
      <c r="B406" s="179"/>
      <c r="C406" s="183" t="s">
        <v>143</v>
      </c>
      <c r="D406" s="179"/>
    </row>
    <row r="407" spans="2:4" x14ac:dyDescent="0.2">
      <c r="B407" s="179"/>
      <c r="C407" s="183" t="s">
        <v>144</v>
      </c>
      <c r="D407" s="179">
        <v>5909002.3400886394</v>
      </c>
    </row>
    <row r="408" spans="2:4" x14ac:dyDescent="0.2">
      <c r="B408" s="178">
        <v>3782081.2328544408</v>
      </c>
      <c r="C408" s="183" t="s">
        <v>121</v>
      </c>
      <c r="D408" s="178"/>
    </row>
    <row r="409" spans="2:4" x14ac:dyDescent="0.2">
      <c r="B409" s="179"/>
      <c r="C409" s="188"/>
      <c r="D409" s="179"/>
    </row>
    <row r="410" spans="2:4" x14ac:dyDescent="0.2">
      <c r="B410" s="178">
        <v>2126921.1072341986</v>
      </c>
      <c r="C410" s="183" t="s">
        <v>145</v>
      </c>
      <c r="D410" s="179"/>
    </row>
    <row r="411" spans="2:4" x14ac:dyDescent="0.2">
      <c r="B411" s="179" t="s">
        <v>146</v>
      </c>
      <c r="C411" s="183"/>
      <c r="D411" s="179"/>
    </row>
    <row r="412" spans="2:4" x14ac:dyDescent="0.2">
      <c r="B412" s="179"/>
      <c r="C412" s="183" t="s">
        <v>147</v>
      </c>
      <c r="D412" s="179" t="s">
        <v>131</v>
      </c>
    </row>
    <row r="413" spans="2:4" x14ac:dyDescent="0.2">
      <c r="B413" s="178"/>
      <c r="C413" s="183" t="s">
        <v>148</v>
      </c>
      <c r="D413" s="178">
        <v>2126921.1072341986</v>
      </c>
    </row>
    <row r="414" spans="2:4" x14ac:dyDescent="0.2">
      <c r="B414" s="179">
        <v>2787080.114590439</v>
      </c>
      <c r="C414" s="188" t="s">
        <v>85</v>
      </c>
      <c r="D414" s="179"/>
    </row>
    <row r="415" spans="2:4" x14ac:dyDescent="0.2">
      <c r="B415" s="179">
        <v>-57538.682213911787</v>
      </c>
      <c r="C415" s="188" t="s">
        <v>122</v>
      </c>
      <c r="D415" s="179"/>
    </row>
    <row r="416" spans="2:4" x14ac:dyDescent="0.2">
      <c r="B416" s="179"/>
      <c r="C416" s="183" t="s">
        <v>149</v>
      </c>
      <c r="D416" s="179">
        <v>329.44865657862471</v>
      </c>
    </row>
    <row r="417" spans="2:4" x14ac:dyDescent="0.2">
      <c r="B417" s="225"/>
      <c r="C417" s="183"/>
      <c r="D417" s="196"/>
    </row>
    <row r="418" spans="2:4" x14ac:dyDescent="0.2">
      <c r="B418" s="225">
        <v>-602290.87648575008</v>
      </c>
      <c r="C418" s="183" t="s">
        <v>150</v>
      </c>
      <c r="D418" s="196"/>
    </row>
    <row r="419" spans="2:4" x14ac:dyDescent="0.2">
      <c r="B419" s="193" t="s">
        <v>23</v>
      </c>
      <c r="C419" s="183"/>
      <c r="D419" s="179"/>
    </row>
    <row r="420" spans="2:4" x14ac:dyDescent="0.2">
      <c r="B420" s="196"/>
      <c r="C420" s="198"/>
      <c r="D420" s="191"/>
    </row>
    <row r="421" spans="2:4" x14ac:dyDescent="0.2">
      <c r="B421" s="251" t="s">
        <v>158</v>
      </c>
      <c r="C421" s="251"/>
      <c r="D421" s="251"/>
    </row>
    <row r="422" spans="2:4" x14ac:dyDescent="0.2">
      <c r="B422" s="184"/>
      <c r="C422" s="185" t="s">
        <v>109</v>
      </c>
      <c r="D422" s="182"/>
    </row>
    <row r="423" spans="2:4" x14ac:dyDescent="0.2">
      <c r="B423" s="203" t="s">
        <v>112</v>
      </c>
      <c r="C423" s="204" t="s">
        <v>111</v>
      </c>
      <c r="D423" s="203" t="s">
        <v>110</v>
      </c>
    </row>
    <row r="424" spans="2:4" x14ac:dyDescent="0.2">
      <c r="B424" s="205"/>
      <c r="C424" s="206">
        <v>2010</v>
      </c>
      <c r="D424" s="205"/>
    </row>
    <row r="425" spans="2:4" x14ac:dyDescent="0.2">
      <c r="B425" s="250" t="s">
        <v>127</v>
      </c>
      <c r="C425" s="250"/>
      <c r="D425" s="250"/>
    </row>
    <row r="426" spans="2:4" x14ac:dyDescent="0.2">
      <c r="B426" s="193"/>
      <c r="C426" s="183" t="s">
        <v>113</v>
      </c>
      <c r="D426" s="177">
        <v>13675895.874291895</v>
      </c>
    </row>
    <row r="427" spans="2:4" x14ac:dyDescent="0.2">
      <c r="B427" s="178">
        <v>4978243.3409960652</v>
      </c>
      <c r="C427" s="183" t="s">
        <v>120</v>
      </c>
      <c r="D427" s="179"/>
    </row>
    <row r="428" spans="2:4" x14ac:dyDescent="0.2">
      <c r="B428" s="179"/>
      <c r="C428" s="186" t="s">
        <v>115</v>
      </c>
      <c r="D428" s="179">
        <v>294851.92054790258</v>
      </c>
    </row>
    <row r="429" spans="2:4" x14ac:dyDescent="0.2">
      <c r="B429" s="179"/>
      <c r="C429" s="186" t="s">
        <v>119</v>
      </c>
      <c r="D429" s="179">
        <v>211196</v>
      </c>
    </row>
    <row r="430" spans="2:4" x14ac:dyDescent="0.2">
      <c r="B430" s="179"/>
      <c r="C430" s="186"/>
      <c r="D430" s="178"/>
    </row>
    <row r="431" spans="2:4" x14ac:dyDescent="0.2">
      <c r="B431" s="179">
        <v>8781308.4538437314</v>
      </c>
      <c r="C431" s="186" t="s">
        <v>24</v>
      </c>
      <c r="D431" s="178"/>
    </row>
    <row r="432" spans="2:4" x14ac:dyDescent="0.2">
      <c r="B432" s="179" t="s">
        <v>128</v>
      </c>
      <c r="C432" s="186"/>
      <c r="D432" s="178"/>
    </row>
    <row r="433" spans="2:4" x14ac:dyDescent="0.2">
      <c r="B433" s="179"/>
      <c r="C433" s="187" t="s">
        <v>129</v>
      </c>
      <c r="D433" s="179"/>
    </row>
    <row r="434" spans="2:4" x14ac:dyDescent="0.2">
      <c r="B434" s="178"/>
      <c r="C434" s="183" t="s">
        <v>130</v>
      </c>
      <c r="D434" s="179" t="s">
        <v>131</v>
      </c>
    </row>
    <row r="435" spans="2:4" x14ac:dyDescent="0.2">
      <c r="B435" s="234"/>
      <c r="C435" s="234" t="s">
        <v>132</v>
      </c>
      <c r="D435" s="233">
        <v>8781308.4538437314</v>
      </c>
    </row>
    <row r="436" spans="2:4" x14ac:dyDescent="0.2">
      <c r="B436" s="225">
        <v>2152297.4904069221</v>
      </c>
      <c r="C436" s="188" t="s">
        <v>133</v>
      </c>
      <c r="D436" s="225"/>
    </row>
    <row r="437" spans="2:4" x14ac:dyDescent="0.2">
      <c r="B437" s="225">
        <v>2124341.7540380047</v>
      </c>
      <c r="C437" s="189" t="s">
        <v>134</v>
      </c>
      <c r="D437" s="225"/>
    </row>
    <row r="438" spans="2:4" x14ac:dyDescent="0.2">
      <c r="B438" s="178">
        <v>27955.736368917602</v>
      </c>
      <c r="C438" s="183" t="s">
        <v>135</v>
      </c>
      <c r="D438" s="178"/>
    </row>
    <row r="439" spans="2:4" x14ac:dyDescent="0.2">
      <c r="B439" s="178">
        <v>111178.00315158635</v>
      </c>
      <c r="C439" s="183" t="s">
        <v>136</v>
      </c>
      <c r="D439" s="178"/>
    </row>
    <row r="440" spans="2:4" x14ac:dyDescent="0.2">
      <c r="B440" s="178"/>
      <c r="C440" s="187"/>
      <c r="D440" s="178"/>
    </row>
    <row r="441" spans="2:4" x14ac:dyDescent="0.2">
      <c r="B441" s="179">
        <v>6517832.9602852231</v>
      </c>
      <c r="C441" s="183" t="s">
        <v>26</v>
      </c>
      <c r="D441" s="179"/>
    </row>
    <row r="442" spans="2:4" x14ac:dyDescent="0.2">
      <c r="B442" s="178"/>
      <c r="C442" s="183" t="s">
        <v>137</v>
      </c>
      <c r="D442" s="178"/>
    </row>
    <row r="443" spans="2:4" x14ac:dyDescent="0.2">
      <c r="B443" s="178"/>
      <c r="C443" s="183" t="s">
        <v>26</v>
      </c>
      <c r="D443" s="179">
        <v>6517832.9602852231</v>
      </c>
    </row>
    <row r="444" spans="2:4" x14ac:dyDescent="0.2">
      <c r="B444" s="178"/>
      <c r="C444" s="183" t="s">
        <v>133</v>
      </c>
      <c r="D444" s="178">
        <v>2124341.7540380047</v>
      </c>
    </row>
    <row r="445" spans="2:4" x14ac:dyDescent="0.2">
      <c r="B445" s="179"/>
      <c r="C445" s="190" t="s">
        <v>134</v>
      </c>
      <c r="D445" s="179">
        <v>2124341.7540380047</v>
      </c>
    </row>
    <row r="446" spans="2:4" x14ac:dyDescent="0.2">
      <c r="B446" s="180"/>
      <c r="C446" s="183" t="s">
        <v>135</v>
      </c>
      <c r="D446" s="179">
        <v>0</v>
      </c>
    </row>
    <row r="447" spans="2:4" x14ac:dyDescent="0.2">
      <c r="B447" s="180"/>
      <c r="C447" s="183" t="s">
        <v>136</v>
      </c>
      <c r="D447" s="179">
        <v>111178.00315158635</v>
      </c>
    </row>
    <row r="448" spans="2:4" x14ac:dyDescent="0.2">
      <c r="B448" s="180">
        <v>728192.72667508607</v>
      </c>
      <c r="C448" s="187" t="s">
        <v>138</v>
      </c>
      <c r="D448" s="178">
        <v>12328.325774471072</v>
      </c>
    </row>
    <row r="449" spans="2:4" x14ac:dyDescent="0.2">
      <c r="B449" s="180"/>
      <c r="C449" s="187"/>
      <c r="D449" s="178"/>
    </row>
    <row r="450" spans="2:4" x14ac:dyDescent="0.2">
      <c r="B450" s="179">
        <v>8037488.3165741991</v>
      </c>
      <c r="C450" s="183" t="s">
        <v>139</v>
      </c>
      <c r="D450" s="179"/>
    </row>
    <row r="451" spans="2:4" x14ac:dyDescent="0.2">
      <c r="B451" s="178"/>
      <c r="C451" s="186" t="s">
        <v>140</v>
      </c>
      <c r="D451" s="178"/>
    </row>
    <row r="452" spans="2:4" x14ac:dyDescent="0.2">
      <c r="B452" s="180"/>
      <c r="C452" s="186" t="s">
        <v>139</v>
      </c>
      <c r="D452" s="179">
        <v>8037488.3165741991</v>
      </c>
    </row>
    <row r="453" spans="2:4" x14ac:dyDescent="0.2">
      <c r="B453" s="178">
        <v>45633.597858594345</v>
      </c>
      <c r="C453" s="183" t="s">
        <v>141</v>
      </c>
      <c r="D453" s="178">
        <v>5375.2128452962897</v>
      </c>
    </row>
    <row r="454" spans="2:4" x14ac:dyDescent="0.2">
      <c r="B454" s="179"/>
      <c r="C454" s="188"/>
      <c r="D454" s="179"/>
    </row>
    <row r="455" spans="2:4" x14ac:dyDescent="0.2">
      <c r="B455" s="178">
        <v>7997229.931560901</v>
      </c>
      <c r="C455" s="183" t="s">
        <v>142</v>
      </c>
      <c r="D455" s="179"/>
    </row>
    <row r="456" spans="2:4" x14ac:dyDescent="0.2">
      <c r="B456" s="179"/>
      <c r="C456" s="183" t="s">
        <v>143</v>
      </c>
      <c r="D456" s="179"/>
    </row>
    <row r="457" spans="2:4" x14ac:dyDescent="0.2">
      <c r="B457" s="179"/>
      <c r="C457" s="183" t="s">
        <v>144</v>
      </c>
      <c r="D457" s="179">
        <v>7997229.931560901</v>
      </c>
    </row>
    <row r="458" spans="2:4" x14ac:dyDescent="0.2">
      <c r="B458" s="178">
        <v>4693187.6969971275</v>
      </c>
      <c r="C458" s="183" t="s">
        <v>121</v>
      </c>
      <c r="D458" s="178"/>
    </row>
    <row r="459" spans="2:4" x14ac:dyDescent="0.2">
      <c r="B459" s="179"/>
      <c r="C459" s="188"/>
      <c r="D459" s="179"/>
    </row>
    <row r="460" spans="2:4" x14ac:dyDescent="0.2">
      <c r="B460" s="178">
        <v>3304042.2345637735</v>
      </c>
      <c r="C460" s="183" t="s">
        <v>145</v>
      </c>
      <c r="D460" s="179"/>
    </row>
    <row r="461" spans="2:4" x14ac:dyDescent="0.2">
      <c r="B461" s="179" t="s">
        <v>146</v>
      </c>
      <c r="C461" s="183"/>
      <c r="D461" s="179"/>
    </row>
    <row r="462" spans="2:4" x14ac:dyDescent="0.2">
      <c r="B462" s="179"/>
      <c r="C462" s="183" t="s">
        <v>147</v>
      </c>
      <c r="D462" s="179" t="s">
        <v>131</v>
      </c>
    </row>
    <row r="463" spans="2:4" x14ac:dyDescent="0.2">
      <c r="B463" s="178"/>
      <c r="C463" s="183" t="s">
        <v>148</v>
      </c>
      <c r="D463" s="178">
        <v>3304042.2345637735</v>
      </c>
    </row>
    <row r="464" spans="2:4" x14ac:dyDescent="0.2">
      <c r="B464" s="179">
        <v>2539506.2737966143</v>
      </c>
      <c r="C464" s="188" t="s">
        <v>85</v>
      </c>
      <c r="D464" s="179"/>
    </row>
    <row r="465" spans="2:4" x14ac:dyDescent="0.2">
      <c r="B465" s="179">
        <v>74147.691490277648</v>
      </c>
      <c r="C465" s="188" t="s">
        <v>122</v>
      </c>
      <c r="D465" s="179"/>
    </row>
    <row r="466" spans="2:4" x14ac:dyDescent="0.2">
      <c r="B466" s="179">
        <v>0</v>
      </c>
      <c r="C466" s="183" t="s">
        <v>149</v>
      </c>
      <c r="D466" s="179">
        <v>85.901436929618981</v>
      </c>
    </row>
    <row r="467" spans="2:4" x14ac:dyDescent="0.2">
      <c r="B467" s="225"/>
      <c r="C467" s="183"/>
      <c r="D467" s="196"/>
    </row>
    <row r="468" spans="2:4" x14ac:dyDescent="0.2">
      <c r="B468" s="225">
        <v>690474.17071381118</v>
      </c>
      <c r="C468" s="183" t="s">
        <v>150</v>
      </c>
      <c r="D468" s="196"/>
    </row>
    <row r="469" spans="2:4" x14ac:dyDescent="0.2">
      <c r="B469" s="193" t="s">
        <v>23</v>
      </c>
      <c r="C469" s="198"/>
      <c r="D469" s="191"/>
    </row>
    <row r="470" spans="2:4" x14ac:dyDescent="0.2">
      <c r="B470" s="196"/>
      <c r="C470" s="198"/>
      <c r="D470" s="191"/>
    </row>
    <row r="471" spans="2:4" x14ac:dyDescent="0.2">
      <c r="B471" s="251" t="s">
        <v>159</v>
      </c>
      <c r="C471" s="251"/>
      <c r="D471" s="251"/>
    </row>
    <row r="472" spans="2:4" x14ac:dyDescent="0.2">
      <c r="B472" s="184"/>
      <c r="C472" s="185" t="s">
        <v>109</v>
      </c>
      <c r="D472" s="182"/>
    </row>
    <row r="473" spans="2:4" x14ac:dyDescent="0.2">
      <c r="B473" s="203" t="s">
        <v>112</v>
      </c>
      <c r="C473" s="204" t="s">
        <v>111</v>
      </c>
      <c r="D473" s="203" t="s">
        <v>110</v>
      </c>
    </row>
    <row r="474" spans="2:4" x14ac:dyDescent="0.2">
      <c r="B474" s="205"/>
      <c r="C474" s="206">
        <v>2011</v>
      </c>
      <c r="D474" s="205"/>
    </row>
    <row r="475" spans="2:4" x14ac:dyDescent="0.2">
      <c r="B475" s="250" t="s">
        <v>127</v>
      </c>
      <c r="C475" s="250"/>
      <c r="D475" s="250"/>
    </row>
    <row r="476" spans="2:4" x14ac:dyDescent="0.2">
      <c r="B476" s="193"/>
      <c r="C476" s="183" t="s">
        <v>113</v>
      </c>
      <c r="D476" s="177">
        <v>17943312.957916867</v>
      </c>
    </row>
    <row r="477" spans="2:4" x14ac:dyDescent="0.2">
      <c r="B477" s="178">
        <v>6202158.7702675052</v>
      </c>
      <c r="C477" s="183" t="s">
        <v>120</v>
      </c>
      <c r="D477" s="179"/>
    </row>
    <row r="478" spans="2:4" x14ac:dyDescent="0.2">
      <c r="B478" s="179"/>
      <c r="C478" s="186" t="s">
        <v>115</v>
      </c>
      <c r="D478" s="179">
        <v>310398.230406655</v>
      </c>
    </row>
    <row r="479" spans="2:4" x14ac:dyDescent="0.2">
      <c r="B479" s="179"/>
      <c r="C479" s="186" t="s">
        <v>119</v>
      </c>
      <c r="D479" s="179">
        <v>257891</v>
      </c>
    </row>
    <row r="480" spans="2:4" x14ac:dyDescent="0.2">
      <c r="B480" s="179"/>
      <c r="C480" s="186"/>
      <c r="D480" s="178"/>
    </row>
    <row r="481" spans="2:4" x14ac:dyDescent="0.2">
      <c r="B481" s="179">
        <v>11793661.418056017</v>
      </c>
      <c r="C481" s="186" t="s">
        <v>24</v>
      </c>
      <c r="D481" s="178"/>
    </row>
    <row r="482" spans="2:4" x14ac:dyDescent="0.2">
      <c r="B482" s="179" t="s">
        <v>128</v>
      </c>
      <c r="C482" s="186"/>
      <c r="D482" s="178"/>
    </row>
    <row r="483" spans="2:4" x14ac:dyDescent="0.2">
      <c r="B483" s="179"/>
      <c r="C483" s="187" t="s">
        <v>129</v>
      </c>
      <c r="D483" s="179"/>
    </row>
    <row r="484" spans="2:4" x14ac:dyDescent="0.2">
      <c r="B484" s="178"/>
      <c r="C484" s="183" t="s">
        <v>130</v>
      </c>
      <c r="D484" s="179" t="s">
        <v>131</v>
      </c>
    </row>
    <row r="485" spans="2:4" x14ac:dyDescent="0.2">
      <c r="B485" s="234"/>
      <c r="C485" s="234" t="s">
        <v>132</v>
      </c>
      <c r="D485" s="233">
        <v>11793661.418056017</v>
      </c>
    </row>
    <row r="486" spans="2:4" x14ac:dyDescent="0.2">
      <c r="B486" s="225">
        <v>2832465.7217086283</v>
      </c>
      <c r="C486" s="188" t="s">
        <v>133</v>
      </c>
      <c r="D486" s="225"/>
    </row>
    <row r="487" spans="2:4" x14ac:dyDescent="0.2">
      <c r="B487" s="225">
        <v>2801180.0592649658</v>
      </c>
      <c r="C487" s="189" t="s">
        <v>134</v>
      </c>
      <c r="D487" s="225"/>
    </row>
    <row r="488" spans="2:4" x14ac:dyDescent="0.2">
      <c r="B488" s="178">
        <v>31285.662443662546</v>
      </c>
      <c r="C488" s="183" t="s">
        <v>135</v>
      </c>
      <c r="D488" s="178"/>
    </row>
    <row r="489" spans="2:4" x14ac:dyDescent="0.2">
      <c r="B489" s="178">
        <v>80351.103842988596</v>
      </c>
      <c r="C489" s="183" t="s">
        <v>136</v>
      </c>
      <c r="D489" s="178"/>
    </row>
    <row r="490" spans="2:4" x14ac:dyDescent="0.2">
      <c r="B490" s="178"/>
      <c r="C490" s="187"/>
      <c r="D490" s="178"/>
    </row>
    <row r="491" spans="2:4" x14ac:dyDescent="0.2">
      <c r="B491" s="179">
        <v>8880844.5925044008</v>
      </c>
      <c r="C491" s="183" t="s">
        <v>26</v>
      </c>
      <c r="D491" s="179"/>
    </row>
    <row r="492" spans="2:4" x14ac:dyDescent="0.2">
      <c r="B492" s="178"/>
      <c r="C492" s="183" t="s">
        <v>137</v>
      </c>
      <c r="D492" s="178"/>
    </row>
    <row r="493" spans="2:4" x14ac:dyDescent="0.2">
      <c r="B493" s="178"/>
      <c r="C493" s="183" t="s">
        <v>26</v>
      </c>
      <c r="D493" s="179">
        <v>8880844.5925044008</v>
      </c>
    </row>
    <row r="494" spans="2:4" x14ac:dyDescent="0.2">
      <c r="B494" s="178"/>
      <c r="C494" s="183" t="s">
        <v>133</v>
      </c>
      <c r="D494" s="178">
        <v>2801180.0592649658</v>
      </c>
    </row>
    <row r="495" spans="2:4" x14ac:dyDescent="0.2">
      <c r="B495" s="179"/>
      <c r="C495" s="190" t="s">
        <v>134</v>
      </c>
      <c r="D495" s="179">
        <v>2801180.0592649658</v>
      </c>
    </row>
    <row r="496" spans="2:4" x14ac:dyDescent="0.2">
      <c r="B496" s="180"/>
      <c r="C496" s="183" t="s">
        <v>135</v>
      </c>
      <c r="D496" s="179">
        <v>0</v>
      </c>
    </row>
    <row r="497" spans="2:4" x14ac:dyDescent="0.2">
      <c r="B497" s="180"/>
      <c r="C497" s="183" t="s">
        <v>136</v>
      </c>
      <c r="D497" s="179">
        <v>80351.103842988596</v>
      </c>
    </row>
    <row r="498" spans="2:4" x14ac:dyDescent="0.2">
      <c r="B498" s="180">
        <v>898062.47439736931</v>
      </c>
      <c r="C498" s="187" t="s">
        <v>138</v>
      </c>
      <c r="D498" s="178">
        <v>19681.62604600819</v>
      </c>
    </row>
    <row r="499" spans="2:4" x14ac:dyDescent="0.2">
      <c r="B499" s="180"/>
      <c r="C499" s="187"/>
      <c r="D499" s="178"/>
    </row>
    <row r="500" spans="2:4" x14ac:dyDescent="0.2">
      <c r="B500" s="179">
        <v>10883994.907260993</v>
      </c>
      <c r="C500" s="183" t="s">
        <v>139</v>
      </c>
      <c r="D500" s="179"/>
    </row>
    <row r="501" spans="2:4" x14ac:dyDescent="0.2">
      <c r="B501" s="178"/>
      <c r="C501" s="186" t="s">
        <v>140</v>
      </c>
      <c r="D501" s="178"/>
    </row>
    <row r="502" spans="2:4" x14ac:dyDescent="0.2">
      <c r="B502" s="180"/>
      <c r="C502" s="186" t="s">
        <v>139</v>
      </c>
      <c r="D502" s="179">
        <v>10883994.907260993</v>
      </c>
    </row>
    <row r="503" spans="2:4" x14ac:dyDescent="0.2">
      <c r="B503" s="178">
        <v>138628.33516511606</v>
      </c>
      <c r="C503" s="183" t="s">
        <v>141</v>
      </c>
      <c r="D503" s="178">
        <v>10841.45469198498</v>
      </c>
    </row>
    <row r="504" spans="2:4" x14ac:dyDescent="0.2">
      <c r="B504" s="179"/>
      <c r="C504" s="188"/>
      <c r="D504" s="179"/>
    </row>
    <row r="505" spans="2:4" x14ac:dyDescent="0.2">
      <c r="B505" s="178">
        <v>10756208.026787862</v>
      </c>
      <c r="C505" s="183" t="s">
        <v>142</v>
      </c>
      <c r="D505" s="179"/>
    </row>
    <row r="506" spans="2:4" x14ac:dyDescent="0.2">
      <c r="B506" s="179"/>
      <c r="C506" s="183" t="s">
        <v>143</v>
      </c>
      <c r="D506" s="179"/>
    </row>
    <row r="507" spans="2:4" x14ac:dyDescent="0.2">
      <c r="B507" s="179"/>
      <c r="C507" s="183" t="s">
        <v>144</v>
      </c>
      <c r="D507" s="179">
        <v>10756208.026787862</v>
      </c>
    </row>
    <row r="508" spans="2:4" x14ac:dyDescent="0.2">
      <c r="B508" s="178">
        <v>6301310.1220284207</v>
      </c>
      <c r="C508" s="183" t="s">
        <v>121</v>
      </c>
      <c r="D508" s="178"/>
    </row>
    <row r="509" spans="2:4" x14ac:dyDescent="0.2">
      <c r="B509" s="179"/>
      <c r="C509" s="188"/>
      <c r="D509" s="179"/>
    </row>
    <row r="510" spans="2:4" x14ac:dyDescent="0.2">
      <c r="B510" s="178">
        <v>4454897.9047594415</v>
      </c>
      <c r="C510" s="183" t="s">
        <v>145</v>
      </c>
      <c r="D510" s="179"/>
    </row>
    <row r="511" spans="2:4" x14ac:dyDescent="0.2">
      <c r="B511" s="179" t="s">
        <v>146</v>
      </c>
      <c r="C511" s="183"/>
      <c r="D511" s="179"/>
    </row>
    <row r="512" spans="2:4" x14ac:dyDescent="0.2">
      <c r="B512" s="179"/>
      <c r="C512" s="183" t="s">
        <v>147</v>
      </c>
      <c r="D512" s="179" t="s">
        <v>131</v>
      </c>
    </row>
    <row r="513" spans="2:4" x14ac:dyDescent="0.2">
      <c r="B513" s="178"/>
      <c r="C513" s="183" t="s">
        <v>148</v>
      </c>
      <c r="D513" s="178">
        <v>4454897.9047594415</v>
      </c>
    </row>
    <row r="514" spans="2:4" x14ac:dyDescent="0.2">
      <c r="B514" s="179">
        <v>3236397.8029328776</v>
      </c>
      <c r="C514" s="188" t="s">
        <v>85</v>
      </c>
      <c r="D514" s="179"/>
    </row>
    <row r="515" spans="2:4" x14ac:dyDescent="0.2">
      <c r="B515" s="179">
        <v>-8915.471299758181</v>
      </c>
      <c r="C515" s="188" t="s">
        <v>122</v>
      </c>
      <c r="D515" s="179"/>
    </row>
    <row r="516" spans="2:4" x14ac:dyDescent="0.2">
      <c r="B516" s="179">
        <v>0</v>
      </c>
      <c r="C516" s="183" t="s">
        <v>149</v>
      </c>
      <c r="D516" s="179">
        <v>214.66589469278676</v>
      </c>
    </row>
    <row r="517" spans="2:4" x14ac:dyDescent="0.2">
      <c r="B517" s="225"/>
      <c r="C517" s="183"/>
      <c r="D517" s="196"/>
    </row>
    <row r="518" spans="2:4" x14ac:dyDescent="0.2">
      <c r="B518" s="225">
        <v>1227630.2390210149</v>
      </c>
      <c r="C518" s="183" t="s">
        <v>150</v>
      </c>
      <c r="D518" s="196"/>
    </row>
    <row r="519" spans="2:4" x14ac:dyDescent="0.2">
      <c r="B519" s="193" t="s">
        <v>23</v>
      </c>
      <c r="C519" s="199"/>
      <c r="D519" s="181"/>
    </row>
    <row r="520" spans="2:4" x14ac:dyDescent="0.2">
      <c r="B520" s="191"/>
      <c r="C520" s="198"/>
      <c r="D520" s="191"/>
    </row>
    <row r="521" spans="2:4" x14ac:dyDescent="0.2">
      <c r="B521" s="251" t="s">
        <v>160</v>
      </c>
      <c r="C521" s="251"/>
      <c r="D521" s="251"/>
    </row>
    <row r="522" spans="2:4" x14ac:dyDescent="0.2">
      <c r="B522" s="184" t="s">
        <v>109</v>
      </c>
      <c r="C522" s="185"/>
      <c r="D522" s="182"/>
    </row>
    <row r="523" spans="2:4" x14ac:dyDescent="0.2">
      <c r="B523" s="203" t="s">
        <v>112</v>
      </c>
      <c r="C523" s="204" t="s">
        <v>111</v>
      </c>
      <c r="D523" s="203" t="s">
        <v>110</v>
      </c>
    </row>
    <row r="524" spans="2:4" x14ac:dyDescent="0.2">
      <c r="B524" s="205"/>
      <c r="C524" s="206">
        <v>2012</v>
      </c>
      <c r="D524" s="205"/>
    </row>
    <row r="525" spans="2:4" x14ac:dyDescent="0.2">
      <c r="B525" s="250" t="s">
        <v>127</v>
      </c>
      <c r="C525" s="250"/>
      <c r="D525" s="250"/>
    </row>
    <row r="526" spans="2:4" x14ac:dyDescent="0.2">
      <c r="B526" s="193"/>
      <c r="C526" s="183" t="s">
        <v>113</v>
      </c>
      <c r="D526" s="177">
        <v>20776623.842132233</v>
      </c>
    </row>
    <row r="527" spans="2:4" x14ac:dyDescent="0.2">
      <c r="B527" s="178">
        <v>6904027.9670322482</v>
      </c>
      <c r="C527" s="183" t="s">
        <v>120</v>
      </c>
      <c r="D527" s="179"/>
    </row>
    <row r="528" spans="2:4" x14ac:dyDescent="0.2">
      <c r="B528" s="179"/>
      <c r="C528" s="186" t="s">
        <v>115</v>
      </c>
      <c r="D528" s="179">
        <v>316064</v>
      </c>
    </row>
    <row r="529" spans="2:4" x14ac:dyDescent="0.2">
      <c r="B529" s="179"/>
      <c r="C529" s="186" t="s">
        <v>119</v>
      </c>
      <c r="D529" s="179">
        <v>482048</v>
      </c>
    </row>
    <row r="530" spans="2:4" x14ac:dyDescent="0.2">
      <c r="B530" s="179"/>
      <c r="C530" s="186"/>
      <c r="D530" s="178"/>
    </row>
    <row r="531" spans="2:4" x14ac:dyDescent="0.2">
      <c r="B531" s="179">
        <v>13706611.875099985</v>
      </c>
      <c r="C531" s="186" t="s">
        <v>24</v>
      </c>
      <c r="D531" s="178"/>
    </row>
    <row r="532" spans="2:4" x14ac:dyDescent="0.2">
      <c r="B532" s="179" t="s">
        <v>128</v>
      </c>
      <c r="C532" s="186"/>
      <c r="D532" s="178"/>
    </row>
    <row r="533" spans="2:4" x14ac:dyDescent="0.2">
      <c r="B533" s="179"/>
      <c r="C533" s="187" t="s">
        <v>129</v>
      </c>
      <c r="D533" s="179"/>
    </row>
    <row r="534" spans="2:4" x14ac:dyDescent="0.2">
      <c r="B534" s="178"/>
      <c r="C534" s="183" t="s">
        <v>130</v>
      </c>
      <c r="D534" s="179" t="s">
        <v>131</v>
      </c>
    </row>
    <row r="535" spans="2:4" x14ac:dyDescent="0.2">
      <c r="B535" s="234"/>
      <c r="C535" s="234" t="s">
        <v>132</v>
      </c>
      <c r="D535" s="233">
        <v>13706611.875099985</v>
      </c>
    </row>
    <row r="536" spans="2:4" x14ac:dyDescent="0.2">
      <c r="B536" s="225">
        <v>3264095.3236554302</v>
      </c>
      <c r="C536" s="188" t="s">
        <v>133</v>
      </c>
      <c r="D536" s="225"/>
    </row>
    <row r="537" spans="2:4" x14ac:dyDescent="0.2">
      <c r="B537" s="225">
        <v>3235718.2579954895</v>
      </c>
      <c r="C537" s="189" t="s">
        <v>134</v>
      </c>
      <c r="D537" s="225"/>
    </row>
    <row r="538" spans="2:4" x14ac:dyDescent="0.2">
      <c r="B538" s="178">
        <v>28377.065659940919</v>
      </c>
      <c r="C538" s="183" t="s">
        <v>135</v>
      </c>
      <c r="D538" s="178"/>
    </row>
    <row r="539" spans="2:4" x14ac:dyDescent="0.2">
      <c r="B539" s="178">
        <v>-106687.76501051975</v>
      </c>
      <c r="C539" s="183" t="s">
        <v>136</v>
      </c>
      <c r="D539" s="178"/>
    </row>
    <row r="540" spans="2:4" x14ac:dyDescent="0.2">
      <c r="B540" s="178"/>
      <c r="C540" s="187"/>
      <c r="D540" s="178"/>
    </row>
    <row r="541" spans="2:4" x14ac:dyDescent="0.2">
      <c r="B541" s="179">
        <v>10549204.316455074</v>
      </c>
      <c r="C541" s="183" t="s">
        <v>26</v>
      </c>
      <c r="D541" s="179"/>
    </row>
    <row r="542" spans="2:4" x14ac:dyDescent="0.2">
      <c r="B542" s="178"/>
      <c r="C542" s="183" t="s">
        <v>137</v>
      </c>
      <c r="D542" s="178"/>
    </row>
    <row r="543" spans="2:4" x14ac:dyDescent="0.2">
      <c r="B543" s="178"/>
      <c r="C543" s="183" t="s">
        <v>26</v>
      </c>
      <c r="D543" s="179">
        <v>10549204.316455074</v>
      </c>
    </row>
    <row r="544" spans="2:4" x14ac:dyDescent="0.2">
      <c r="B544" s="178"/>
      <c r="C544" s="183" t="s">
        <v>133</v>
      </c>
      <c r="D544" s="178">
        <v>3235718.2579954895</v>
      </c>
    </row>
    <row r="545" spans="2:4" x14ac:dyDescent="0.2">
      <c r="B545" s="179"/>
      <c r="C545" s="190" t="s">
        <v>134</v>
      </c>
      <c r="D545" s="179">
        <v>3235718.2579954895</v>
      </c>
    </row>
    <row r="546" spans="2:4" x14ac:dyDescent="0.2">
      <c r="B546" s="180"/>
      <c r="C546" s="183" t="s">
        <v>135</v>
      </c>
      <c r="D546" s="179">
        <v>0</v>
      </c>
    </row>
    <row r="547" spans="2:4" x14ac:dyDescent="0.2">
      <c r="B547" s="180"/>
      <c r="C547" s="183" t="s">
        <v>136</v>
      </c>
      <c r="D547" s="179">
        <v>-106687.76501051975</v>
      </c>
    </row>
    <row r="548" spans="2:4" x14ac:dyDescent="0.2">
      <c r="B548" s="180">
        <v>990690.29957389133</v>
      </c>
      <c r="C548" s="187" t="s">
        <v>138</v>
      </c>
      <c r="D548" s="178">
        <v>24787.964050398623</v>
      </c>
    </row>
    <row r="549" spans="2:4" x14ac:dyDescent="0.2">
      <c r="B549" s="180"/>
      <c r="C549" s="187"/>
      <c r="D549" s="178"/>
    </row>
    <row r="550" spans="2:4" x14ac:dyDescent="0.2">
      <c r="B550" s="179">
        <v>12712332.473916553</v>
      </c>
      <c r="C550" s="183" t="s">
        <v>139</v>
      </c>
      <c r="D550" s="179"/>
    </row>
    <row r="551" spans="2:4" x14ac:dyDescent="0.2">
      <c r="B551" s="178"/>
      <c r="C551" s="186" t="s">
        <v>140</v>
      </c>
      <c r="D551" s="178"/>
    </row>
    <row r="552" spans="2:4" x14ac:dyDescent="0.2">
      <c r="B552" s="180"/>
      <c r="C552" s="186" t="s">
        <v>139</v>
      </c>
      <c r="D552" s="179">
        <v>12712332.473916553</v>
      </c>
    </row>
    <row r="553" spans="2:4" x14ac:dyDescent="0.2">
      <c r="B553" s="178">
        <v>174498.94154258331</v>
      </c>
      <c r="C553" s="183" t="s">
        <v>141</v>
      </c>
      <c r="D553" s="178">
        <v>6382.1857259517283</v>
      </c>
    </row>
    <row r="554" spans="2:4" x14ac:dyDescent="0.2">
      <c r="B554" s="179"/>
      <c r="C554" s="188"/>
      <c r="D554" s="179"/>
    </row>
    <row r="555" spans="2:4" x14ac:dyDescent="0.2">
      <c r="B555" s="178">
        <v>12544215.718099922</v>
      </c>
      <c r="C555" s="183" t="s">
        <v>142</v>
      </c>
      <c r="D555" s="179"/>
    </row>
    <row r="556" spans="2:4" x14ac:dyDescent="0.2">
      <c r="B556" s="179"/>
      <c r="C556" s="183" t="s">
        <v>143</v>
      </c>
      <c r="D556" s="179"/>
    </row>
    <row r="557" spans="2:4" x14ac:dyDescent="0.2">
      <c r="B557" s="179"/>
      <c r="C557" s="183" t="s">
        <v>144</v>
      </c>
      <c r="D557" s="179">
        <v>12544215.718099922</v>
      </c>
    </row>
    <row r="558" spans="2:4" x14ac:dyDescent="0.2">
      <c r="B558" s="178">
        <v>7390165.9251080491</v>
      </c>
      <c r="C558" s="183" t="s">
        <v>121</v>
      </c>
      <c r="D558" s="178"/>
    </row>
    <row r="559" spans="2:4" x14ac:dyDescent="0.2">
      <c r="B559" s="179"/>
      <c r="C559" s="188"/>
      <c r="D559" s="179"/>
    </row>
    <row r="560" spans="2:4" x14ac:dyDescent="0.2">
      <c r="B560" s="178">
        <v>5154049.7929918729</v>
      </c>
      <c r="C560" s="183" t="s">
        <v>145</v>
      </c>
      <c r="D560" s="179"/>
    </row>
    <row r="561" spans="2:4" x14ac:dyDescent="0.2">
      <c r="B561" s="179" t="s">
        <v>146</v>
      </c>
      <c r="C561" s="183"/>
      <c r="D561" s="179"/>
    </row>
    <row r="562" spans="2:4" x14ac:dyDescent="0.2">
      <c r="B562" s="179"/>
      <c r="C562" s="183" t="s">
        <v>147</v>
      </c>
      <c r="D562" s="179" t="s">
        <v>131</v>
      </c>
    </row>
    <row r="563" spans="2:4" x14ac:dyDescent="0.2">
      <c r="B563" s="178"/>
      <c r="C563" s="183" t="s">
        <v>148</v>
      </c>
      <c r="D563" s="178">
        <v>5154049.7929918729</v>
      </c>
    </row>
    <row r="564" spans="2:4" x14ac:dyDescent="0.2">
      <c r="B564" s="179">
        <v>3808914.0858213175</v>
      </c>
      <c r="C564" s="188" t="s">
        <v>85</v>
      </c>
      <c r="D564" s="179"/>
    </row>
    <row r="565" spans="2:4" x14ac:dyDescent="0.2">
      <c r="B565" s="179">
        <v>24628.072452299297</v>
      </c>
      <c r="C565" s="188" t="s">
        <v>122</v>
      </c>
      <c r="D565" s="179"/>
    </row>
    <row r="566" spans="2:4" x14ac:dyDescent="0.2">
      <c r="B566" s="179">
        <v>0</v>
      </c>
      <c r="C566" s="183" t="s">
        <v>149</v>
      </c>
      <c r="D566" s="179">
        <v>368.88560758531662</v>
      </c>
    </row>
    <row r="567" spans="2:4" x14ac:dyDescent="0.2">
      <c r="B567" s="225"/>
      <c r="C567" s="183"/>
      <c r="D567" s="196"/>
    </row>
    <row r="568" spans="2:4" x14ac:dyDescent="0.2">
      <c r="B568" s="225">
        <v>1320876.5203258414</v>
      </c>
      <c r="C568" s="183" t="s">
        <v>150</v>
      </c>
      <c r="D568" s="196"/>
    </row>
    <row r="569" spans="2:4" x14ac:dyDescent="0.2">
      <c r="B569" s="193" t="s">
        <v>23</v>
      </c>
      <c r="C569" s="198"/>
      <c r="D569" s="191"/>
    </row>
    <row r="570" spans="2:4" x14ac:dyDescent="0.2">
      <c r="B570" s="193"/>
      <c r="C570" s="198"/>
      <c r="D570" s="191"/>
    </row>
    <row r="571" spans="2:4" x14ac:dyDescent="0.2">
      <c r="B571" s="251" t="s">
        <v>161</v>
      </c>
      <c r="C571" s="251"/>
      <c r="D571" s="251"/>
    </row>
    <row r="572" spans="2:4" x14ac:dyDescent="0.2">
      <c r="B572" s="184" t="s">
        <v>109</v>
      </c>
      <c r="C572" s="185"/>
      <c r="D572" s="182"/>
    </row>
    <row r="573" spans="2:4" x14ac:dyDescent="0.2">
      <c r="B573" s="203" t="s">
        <v>112</v>
      </c>
      <c r="C573" s="204" t="s">
        <v>111</v>
      </c>
      <c r="D573" s="203" t="s">
        <v>110</v>
      </c>
    </row>
    <row r="574" spans="2:4" x14ac:dyDescent="0.2">
      <c r="B574" s="205"/>
      <c r="C574" s="206">
        <v>2013</v>
      </c>
      <c r="D574" s="205"/>
    </row>
    <row r="575" spans="2:4" x14ac:dyDescent="0.2">
      <c r="B575" s="250" t="s">
        <v>127</v>
      </c>
      <c r="C575" s="250"/>
      <c r="D575" s="250"/>
    </row>
    <row r="576" spans="2:4" x14ac:dyDescent="0.2">
      <c r="B576" s="193"/>
      <c r="C576" s="183" t="s">
        <v>113</v>
      </c>
      <c r="D576" s="177">
        <v>23107584.317890022</v>
      </c>
    </row>
    <row r="577" spans="2:4" x14ac:dyDescent="0.2">
      <c r="B577" s="178">
        <v>8087848.8441445548</v>
      </c>
      <c r="C577" s="183" t="s">
        <v>120</v>
      </c>
      <c r="D577" s="179"/>
    </row>
    <row r="578" spans="2:4" x14ac:dyDescent="0.2">
      <c r="B578" s="179"/>
      <c r="C578" s="186" t="s">
        <v>115</v>
      </c>
      <c r="D578" s="179">
        <v>373928</v>
      </c>
    </row>
    <row r="579" spans="2:4" x14ac:dyDescent="0.2">
      <c r="B579" s="179"/>
      <c r="C579" s="186" t="s">
        <v>119</v>
      </c>
      <c r="D579" s="179">
        <v>552903</v>
      </c>
    </row>
    <row r="580" spans="2:4" x14ac:dyDescent="0.2">
      <c r="B580" s="179"/>
      <c r="C580" s="186"/>
      <c r="D580" s="178"/>
    </row>
    <row r="581" spans="2:4" x14ac:dyDescent="0.2">
      <c r="B581" s="179">
        <v>14840760.473745467</v>
      </c>
      <c r="C581" s="186" t="s">
        <v>24</v>
      </c>
      <c r="D581" s="178"/>
    </row>
    <row r="582" spans="2:4" x14ac:dyDescent="0.2">
      <c r="B582" s="179" t="s">
        <v>128</v>
      </c>
      <c r="C582" s="186"/>
      <c r="D582" s="178"/>
    </row>
    <row r="583" spans="2:4" x14ac:dyDescent="0.2">
      <c r="B583" s="179"/>
      <c r="C583" s="187" t="s">
        <v>129</v>
      </c>
      <c r="D583" s="179"/>
    </row>
    <row r="584" spans="2:4" x14ac:dyDescent="0.2">
      <c r="B584" s="178"/>
      <c r="C584" s="183" t="s">
        <v>130</v>
      </c>
      <c r="D584" s="179" t="s">
        <v>131</v>
      </c>
    </row>
    <row r="585" spans="2:4" x14ac:dyDescent="0.2">
      <c r="B585" s="234"/>
      <c r="C585" s="234" t="s">
        <v>132</v>
      </c>
      <c r="D585" s="233">
        <v>14840760.473745467</v>
      </c>
    </row>
    <row r="586" spans="2:4" x14ac:dyDescent="0.2">
      <c r="B586" s="225">
        <v>3442557.187746007</v>
      </c>
      <c r="C586" s="188" t="s">
        <v>133</v>
      </c>
      <c r="D586" s="225"/>
    </row>
    <row r="587" spans="2:4" x14ac:dyDescent="0.2">
      <c r="B587" s="225">
        <v>3413809.4736431269</v>
      </c>
      <c r="C587" s="189" t="s">
        <v>134</v>
      </c>
      <c r="D587" s="225"/>
    </row>
    <row r="588" spans="2:4" x14ac:dyDescent="0.2">
      <c r="B588" s="178">
        <v>28747.714102879989</v>
      </c>
      <c r="C588" s="183" t="s">
        <v>135</v>
      </c>
      <c r="D588" s="178"/>
    </row>
    <row r="589" spans="2:4" x14ac:dyDescent="0.2">
      <c r="B589" s="178">
        <v>-147268.69760564083</v>
      </c>
      <c r="C589" s="183" t="s">
        <v>136</v>
      </c>
      <c r="D589" s="178"/>
    </row>
    <row r="590" spans="2:4" x14ac:dyDescent="0.2">
      <c r="B590" s="178"/>
      <c r="C590" s="187"/>
      <c r="D590" s="178"/>
    </row>
    <row r="591" spans="2:4" x14ac:dyDescent="0.2">
      <c r="B591" s="179">
        <v>11545471.983605102</v>
      </c>
      <c r="C591" s="183" t="s">
        <v>26</v>
      </c>
      <c r="D591" s="179"/>
    </row>
    <row r="592" spans="2:4" x14ac:dyDescent="0.2">
      <c r="B592" s="178"/>
      <c r="C592" s="183" t="s">
        <v>137</v>
      </c>
      <c r="D592" s="178"/>
    </row>
    <row r="593" spans="2:4" x14ac:dyDescent="0.2">
      <c r="B593" s="178"/>
      <c r="C593" s="183" t="s">
        <v>26</v>
      </c>
      <c r="D593" s="179">
        <v>11545471.983605102</v>
      </c>
    </row>
    <row r="594" spans="2:4" x14ac:dyDescent="0.2">
      <c r="B594" s="178"/>
      <c r="C594" s="183" t="s">
        <v>133</v>
      </c>
      <c r="D594" s="178">
        <v>3413809.4736431269</v>
      </c>
    </row>
    <row r="595" spans="2:4" x14ac:dyDescent="0.2">
      <c r="B595" s="179"/>
      <c r="C595" s="190" t="s">
        <v>134</v>
      </c>
      <c r="D595" s="179">
        <v>3413809.4736431269</v>
      </c>
    </row>
    <row r="596" spans="2:4" x14ac:dyDescent="0.2">
      <c r="B596" s="180"/>
      <c r="C596" s="183" t="s">
        <v>135</v>
      </c>
      <c r="D596" s="179">
        <v>0</v>
      </c>
    </row>
    <row r="597" spans="2:4" x14ac:dyDescent="0.2">
      <c r="B597" s="180"/>
      <c r="C597" s="183" t="s">
        <v>136</v>
      </c>
      <c r="D597" s="179">
        <v>-147268.69760564083</v>
      </c>
    </row>
    <row r="598" spans="2:4" x14ac:dyDescent="0.2">
      <c r="B598" s="180">
        <v>1005582.1395636168</v>
      </c>
      <c r="C598" s="187" t="s">
        <v>138</v>
      </c>
      <c r="D598" s="178">
        <v>78964.778063975245</v>
      </c>
    </row>
    <row r="599" spans="2:4" x14ac:dyDescent="0.2">
      <c r="B599" s="180"/>
      <c r="C599" s="187"/>
      <c r="D599" s="178"/>
    </row>
    <row r="600" spans="2:4" x14ac:dyDescent="0.2">
      <c r="B600" s="179">
        <v>13885395.398142947</v>
      </c>
      <c r="C600" s="183" t="s">
        <v>139</v>
      </c>
      <c r="D600" s="179"/>
    </row>
    <row r="601" spans="2:4" x14ac:dyDescent="0.2">
      <c r="B601" s="178"/>
      <c r="C601" s="186" t="s">
        <v>140</v>
      </c>
      <c r="D601" s="178"/>
    </row>
    <row r="602" spans="2:4" x14ac:dyDescent="0.2">
      <c r="B602" s="180"/>
      <c r="C602" s="186" t="s">
        <v>139</v>
      </c>
      <c r="D602" s="179">
        <v>13885395.398142947</v>
      </c>
    </row>
    <row r="603" spans="2:4" x14ac:dyDescent="0.2">
      <c r="B603" s="178">
        <v>211495.0325711887</v>
      </c>
      <c r="C603" s="183" t="s">
        <v>141</v>
      </c>
      <c r="D603" s="178">
        <v>6525.0404079535328</v>
      </c>
    </row>
    <row r="604" spans="2:4" x14ac:dyDescent="0.2">
      <c r="B604" s="179"/>
      <c r="C604" s="188"/>
      <c r="D604" s="179"/>
    </row>
    <row r="605" spans="2:4" x14ac:dyDescent="0.2">
      <c r="B605" s="178">
        <v>13680425.405979712</v>
      </c>
      <c r="C605" s="183" t="s">
        <v>142</v>
      </c>
      <c r="D605" s="179"/>
    </row>
    <row r="606" spans="2:4" x14ac:dyDescent="0.2">
      <c r="B606" s="179"/>
      <c r="C606" s="183" t="s">
        <v>143</v>
      </c>
      <c r="D606" s="179"/>
    </row>
    <row r="607" spans="2:4" x14ac:dyDescent="0.2">
      <c r="B607" s="179"/>
      <c r="C607" s="183" t="s">
        <v>144</v>
      </c>
      <c r="D607" s="179">
        <v>13680425.405979712</v>
      </c>
    </row>
    <row r="608" spans="2:4" x14ac:dyDescent="0.2">
      <c r="B608" s="178">
        <v>8888338.6958683971</v>
      </c>
      <c r="C608" s="183" t="s">
        <v>121</v>
      </c>
      <c r="D608" s="178"/>
    </row>
    <row r="609" spans="2:4" x14ac:dyDescent="0.2">
      <c r="B609" s="179"/>
      <c r="C609" s="188"/>
      <c r="D609" s="179"/>
    </row>
    <row r="610" spans="2:4" x14ac:dyDescent="0.2">
      <c r="B610" s="178">
        <v>4792086.7101113144</v>
      </c>
      <c r="C610" s="183" t="s">
        <v>145</v>
      </c>
      <c r="D610" s="179"/>
    </row>
    <row r="611" spans="2:4" x14ac:dyDescent="0.2">
      <c r="B611" s="179" t="s">
        <v>146</v>
      </c>
      <c r="C611" s="183"/>
      <c r="D611" s="179"/>
    </row>
    <row r="612" spans="2:4" x14ac:dyDescent="0.2">
      <c r="B612" s="179"/>
      <c r="C612" s="183" t="s">
        <v>147</v>
      </c>
      <c r="D612" s="179" t="s">
        <v>131</v>
      </c>
    </row>
    <row r="613" spans="2:4" x14ac:dyDescent="0.2">
      <c r="B613" s="178"/>
      <c r="C613" s="183" t="s">
        <v>148</v>
      </c>
      <c r="D613" s="178">
        <v>4792086.7101113144</v>
      </c>
    </row>
    <row r="614" spans="2:4" x14ac:dyDescent="0.2">
      <c r="B614" s="179">
        <v>4030667.213453942</v>
      </c>
      <c r="C614" s="188" t="s">
        <v>85</v>
      </c>
      <c r="D614" s="179"/>
    </row>
    <row r="615" spans="2:4" x14ac:dyDescent="0.2">
      <c r="B615" s="179">
        <v>-24587.495928453282</v>
      </c>
      <c r="C615" s="188" t="s">
        <v>122</v>
      </c>
      <c r="D615" s="179"/>
    </row>
    <row r="616" spans="2:4" x14ac:dyDescent="0.2">
      <c r="B616" s="179">
        <v>0</v>
      </c>
      <c r="C616" s="183" t="s">
        <v>149</v>
      </c>
      <c r="D616" s="179">
        <v>59.604538549836278</v>
      </c>
    </row>
    <row r="617" spans="2:4" x14ac:dyDescent="0.2">
      <c r="B617" s="225"/>
      <c r="C617" s="183"/>
      <c r="D617" s="196"/>
    </row>
    <row r="618" spans="2:4" x14ac:dyDescent="0.2">
      <c r="B618" s="225">
        <v>786066.5971243754</v>
      </c>
      <c r="C618" s="183" t="s">
        <v>150</v>
      </c>
      <c r="D618" s="196"/>
    </row>
    <row r="619" spans="2:4" x14ac:dyDescent="0.2">
      <c r="B619" s="193" t="s">
        <v>23</v>
      </c>
      <c r="C619" s="193"/>
      <c r="D619" s="193"/>
    </row>
    <row r="620" spans="2:4" x14ac:dyDescent="0.2">
      <c r="B620" s="184"/>
      <c r="C620" s="185"/>
      <c r="D620" s="182"/>
    </row>
    <row r="621" spans="2:4" x14ac:dyDescent="0.2">
      <c r="B621" s="235" t="s">
        <v>162</v>
      </c>
      <c r="C621" s="204"/>
      <c r="D621" s="203"/>
    </row>
    <row r="622" spans="2:4" x14ac:dyDescent="0.2">
      <c r="B622" s="203"/>
      <c r="C622" s="204"/>
      <c r="D622" s="203"/>
    </row>
    <row r="623" spans="2:4" x14ac:dyDescent="0.2">
      <c r="B623" s="205" t="s">
        <v>109</v>
      </c>
      <c r="C623" s="206"/>
      <c r="D623" s="205"/>
    </row>
    <row r="624" spans="2:4" x14ac:dyDescent="0.2">
      <c r="B624" s="250" t="s">
        <v>112</v>
      </c>
      <c r="C624" s="250" t="s">
        <v>111</v>
      </c>
      <c r="D624" s="250" t="s">
        <v>110</v>
      </c>
    </row>
    <row r="625" spans="2:4" x14ac:dyDescent="0.2">
      <c r="B625" s="250"/>
      <c r="C625" s="250" t="s">
        <v>163</v>
      </c>
      <c r="D625" s="250"/>
    </row>
    <row r="626" spans="2:4" x14ac:dyDescent="0.2">
      <c r="B626" s="193" t="s">
        <v>127</v>
      </c>
      <c r="C626" s="183"/>
      <c r="D626" s="177"/>
    </row>
    <row r="627" spans="2:4" x14ac:dyDescent="0.2">
      <c r="B627" s="193"/>
      <c r="C627" s="183" t="s">
        <v>113</v>
      </c>
      <c r="D627" s="177">
        <v>24139235.500804182</v>
      </c>
    </row>
    <row r="628" spans="2:4" x14ac:dyDescent="0.2">
      <c r="B628" s="178">
        <v>8049855.7286729524</v>
      </c>
      <c r="C628" s="183" t="s">
        <v>120</v>
      </c>
      <c r="D628" s="179"/>
    </row>
    <row r="629" spans="2:4" x14ac:dyDescent="0.2">
      <c r="B629" s="179"/>
      <c r="C629" s="186" t="s">
        <v>115</v>
      </c>
      <c r="D629" s="179">
        <v>430590.58713054383</v>
      </c>
    </row>
    <row r="630" spans="2:4" x14ac:dyDescent="0.2">
      <c r="B630" s="179"/>
      <c r="C630" s="186" t="s">
        <v>119</v>
      </c>
      <c r="D630" s="179">
        <v>354302.538115868</v>
      </c>
    </row>
    <row r="631" spans="2:4" x14ac:dyDescent="0.2">
      <c r="B631" s="179"/>
      <c r="C631" s="186"/>
      <c r="D631" s="178"/>
    </row>
    <row r="632" spans="2:4" ht="15" customHeight="1" x14ac:dyDescent="0.2">
      <c r="B632" s="179">
        <v>16165667.821145907</v>
      </c>
      <c r="C632" s="186" t="s">
        <v>24</v>
      </c>
      <c r="D632" s="178"/>
    </row>
    <row r="633" spans="2:4" x14ac:dyDescent="0.2">
      <c r="B633" s="179" t="s">
        <v>128</v>
      </c>
      <c r="C633" s="186"/>
      <c r="D633" s="178"/>
    </row>
    <row r="634" spans="2:4" x14ac:dyDescent="0.2">
      <c r="B634" s="179"/>
      <c r="C634" s="187" t="s">
        <v>129</v>
      </c>
      <c r="D634" s="179"/>
    </row>
    <row r="635" spans="2:4" x14ac:dyDescent="0.2">
      <c r="B635" s="178"/>
      <c r="C635" s="183" t="s">
        <v>130</v>
      </c>
      <c r="D635" s="179" t="s">
        <v>131</v>
      </c>
    </row>
    <row r="636" spans="2:4" x14ac:dyDescent="0.2">
      <c r="B636" s="234"/>
      <c r="C636" s="234" t="s">
        <v>132</v>
      </c>
      <c r="D636" s="233">
        <v>16165667.821145907</v>
      </c>
    </row>
    <row r="637" spans="2:4" x14ac:dyDescent="0.2">
      <c r="B637" s="225">
        <v>3601062.1799923582</v>
      </c>
      <c r="C637" s="188" t="s">
        <v>133</v>
      </c>
      <c r="D637" s="225"/>
    </row>
    <row r="638" spans="2:4" x14ac:dyDescent="0.2">
      <c r="B638" s="225">
        <v>3544090.8490618225</v>
      </c>
      <c r="C638" s="189" t="s">
        <v>134</v>
      </c>
      <c r="D638" s="225"/>
    </row>
    <row r="639" spans="2:4" x14ac:dyDescent="0.2">
      <c r="B639" s="178">
        <v>56971.330930535907</v>
      </c>
      <c r="C639" s="183" t="s">
        <v>135</v>
      </c>
      <c r="D639" s="178"/>
    </row>
    <row r="640" spans="2:4" x14ac:dyDescent="0.2">
      <c r="B640" s="178">
        <v>-231255.28892213249</v>
      </c>
      <c r="C640" s="183" t="s">
        <v>136</v>
      </c>
      <c r="D640" s="178"/>
    </row>
    <row r="641" spans="2:4" x14ac:dyDescent="0.2">
      <c r="B641" s="178"/>
      <c r="C641" s="187"/>
      <c r="D641" s="178"/>
    </row>
    <row r="642" spans="2:4" x14ac:dyDescent="0.2">
      <c r="B642" s="179">
        <v>12795860.930075681</v>
      </c>
      <c r="C642" s="183" t="s">
        <v>26</v>
      </c>
      <c r="D642" s="179"/>
    </row>
    <row r="643" spans="2:4" x14ac:dyDescent="0.2">
      <c r="B643" s="178"/>
      <c r="C643" s="183" t="s">
        <v>137</v>
      </c>
      <c r="D643" s="178"/>
    </row>
    <row r="644" spans="2:4" x14ac:dyDescent="0.2">
      <c r="B644" s="178"/>
      <c r="C644" s="183" t="s">
        <v>26</v>
      </c>
      <c r="D644" s="179">
        <v>12795860.930075681</v>
      </c>
    </row>
    <row r="645" spans="2:4" x14ac:dyDescent="0.2">
      <c r="B645" s="178"/>
      <c r="C645" s="183" t="s">
        <v>133</v>
      </c>
      <c r="D645" s="178">
        <v>3544090.8490618225</v>
      </c>
    </row>
    <row r="646" spans="2:4" x14ac:dyDescent="0.2">
      <c r="B646" s="179"/>
      <c r="C646" s="190" t="s">
        <v>134</v>
      </c>
      <c r="D646" s="179">
        <v>3544090.8490618225</v>
      </c>
    </row>
    <row r="647" spans="2:4" x14ac:dyDescent="0.2">
      <c r="B647" s="180"/>
      <c r="C647" s="183" t="s">
        <v>135</v>
      </c>
      <c r="D647" s="179">
        <v>0</v>
      </c>
    </row>
    <row r="648" spans="2:4" x14ac:dyDescent="0.2">
      <c r="B648" s="180"/>
      <c r="C648" s="183" t="s">
        <v>136</v>
      </c>
      <c r="D648" s="179">
        <v>-231255.28892213249</v>
      </c>
    </row>
    <row r="649" spans="2:4" x14ac:dyDescent="0.2">
      <c r="B649" s="180">
        <v>876735.17107127979</v>
      </c>
      <c r="C649" s="187" t="s">
        <v>138</v>
      </c>
      <c r="D649" s="178">
        <v>63479.429542450191</v>
      </c>
    </row>
    <row r="650" spans="2:4" x14ac:dyDescent="0.2">
      <c r="B650" s="180"/>
      <c r="C650" s="187"/>
      <c r="D650" s="178"/>
    </row>
    <row r="651" spans="2:4" x14ac:dyDescent="0.2">
      <c r="B651" s="179">
        <v>15295440.748686541</v>
      </c>
      <c r="C651" s="183" t="s">
        <v>139</v>
      </c>
      <c r="D651" s="179"/>
    </row>
    <row r="652" spans="2:4" x14ac:dyDescent="0.2">
      <c r="B652" s="178"/>
      <c r="C652" s="186" t="s">
        <v>140</v>
      </c>
      <c r="D652" s="178"/>
    </row>
    <row r="653" spans="2:4" x14ac:dyDescent="0.2">
      <c r="B653" s="180"/>
      <c r="C653" s="186" t="s">
        <v>139</v>
      </c>
      <c r="D653" s="179">
        <v>15295440.748686541</v>
      </c>
    </row>
    <row r="654" spans="2:4" x14ac:dyDescent="0.2">
      <c r="B654" s="178">
        <v>222651.25506705587</v>
      </c>
      <c r="C654" s="183" t="s">
        <v>141</v>
      </c>
      <c r="D654" s="178">
        <v>5246.536239021546</v>
      </c>
    </row>
    <row r="655" spans="2:4" x14ac:dyDescent="0.2">
      <c r="B655" s="179"/>
      <c r="C655" s="188"/>
      <c r="D655" s="179"/>
    </row>
    <row r="656" spans="2:4" x14ac:dyDescent="0.2">
      <c r="B656" s="178">
        <v>15078036.029858507</v>
      </c>
      <c r="C656" s="183" t="s">
        <v>142</v>
      </c>
      <c r="D656" s="179"/>
    </row>
    <row r="657" spans="2:4" x14ac:dyDescent="0.2">
      <c r="B657" s="179"/>
      <c r="C657" s="183" t="s">
        <v>143</v>
      </c>
      <c r="D657" s="179"/>
    </row>
    <row r="658" spans="2:4" x14ac:dyDescent="0.2">
      <c r="B658" s="179"/>
      <c r="C658" s="183" t="s">
        <v>144</v>
      </c>
      <c r="D658" s="179">
        <v>15078036.029858507</v>
      </c>
    </row>
    <row r="659" spans="2:4" x14ac:dyDescent="0.2">
      <c r="B659" s="178">
        <v>10778945.728653407</v>
      </c>
      <c r="C659" s="183" t="s">
        <v>121</v>
      </c>
      <c r="D659" s="178"/>
    </row>
    <row r="660" spans="2:4" x14ac:dyDescent="0.2">
      <c r="B660" s="179"/>
      <c r="C660" s="188"/>
      <c r="D660" s="179"/>
    </row>
    <row r="661" spans="2:4" x14ac:dyDescent="0.2">
      <c r="B661" s="178">
        <v>4299090.3012051005</v>
      </c>
      <c r="C661" s="183" t="s">
        <v>145</v>
      </c>
      <c r="D661" s="179"/>
    </row>
    <row r="662" spans="2:4" x14ac:dyDescent="0.2">
      <c r="B662" s="179" t="s">
        <v>146</v>
      </c>
      <c r="C662" s="183"/>
      <c r="D662" s="179"/>
    </row>
    <row r="663" spans="2:4" x14ac:dyDescent="0.2">
      <c r="B663" s="179"/>
      <c r="C663" s="183" t="s">
        <v>147</v>
      </c>
      <c r="D663" s="179" t="s">
        <v>131</v>
      </c>
    </row>
    <row r="664" spans="2:4" x14ac:dyDescent="0.2">
      <c r="B664" s="178"/>
      <c r="C664" s="183" t="s">
        <v>148</v>
      </c>
      <c r="D664" s="178">
        <v>4299090.3012051005</v>
      </c>
    </row>
    <row r="665" spans="2:4" x14ac:dyDescent="0.2">
      <c r="B665" s="179">
        <v>4596345.1064498508</v>
      </c>
      <c r="C665" s="188" t="s">
        <v>85</v>
      </c>
      <c r="D665" s="179"/>
    </row>
    <row r="666" spans="2:4" x14ac:dyDescent="0.2">
      <c r="B666" s="179">
        <v>71245.466613486409</v>
      </c>
      <c r="C666" s="188" t="s">
        <v>122</v>
      </c>
      <c r="D666" s="179"/>
    </row>
    <row r="667" spans="2:4" x14ac:dyDescent="0.2">
      <c r="B667" s="179">
        <v>0</v>
      </c>
      <c r="C667" s="183" t="s">
        <v>149</v>
      </c>
      <c r="D667" s="179">
        <v>161.55877471237073</v>
      </c>
    </row>
    <row r="668" spans="2:4" x14ac:dyDescent="0.2">
      <c r="B668" s="225"/>
      <c r="C668" s="183"/>
      <c r="D668" s="196"/>
    </row>
    <row r="669" spans="2:4" x14ac:dyDescent="0.2">
      <c r="B669" s="225">
        <v>-368338.71308352426</v>
      </c>
      <c r="C669" s="183" t="s">
        <v>150</v>
      </c>
      <c r="D669" s="196"/>
    </row>
    <row r="670" spans="2:4" x14ac:dyDescent="0.2">
      <c r="B670" s="193" t="s">
        <v>23</v>
      </c>
      <c r="C670" s="198"/>
      <c r="D670" s="191"/>
    </row>
    <row r="671" spans="2:4" x14ac:dyDescent="0.2">
      <c r="B671" s="191"/>
      <c r="C671" s="198"/>
      <c r="D671" s="191"/>
    </row>
    <row r="672" spans="2:4" x14ac:dyDescent="0.2">
      <c r="B672" s="251" t="s">
        <v>164</v>
      </c>
      <c r="C672" s="251"/>
      <c r="D672" s="251"/>
    </row>
    <row r="673" spans="2:4" x14ac:dyDescent="0.2">
      <c r="B673" s="184" t="s">
        <v>109</v>
      </c>
      <c r="C673" s="185"/>
      <c r="D673" s="182"/>
    </row>
    <row r="674" spans="2:4" x14ac:dyDescent="0.2">
      <c r="B674" s="203" t="s">
        <v>112</v>
      </c>
      <c r="C674" s="204" t="s">
        <v>111</v>
      </c>
      <c r="D674" s="203" t="s">
        <v>110</v>
      </c>
    </row>
    <row r="675" spans="2:4" x14ac:dyDescent="0.2">
      <c r="B675" s="205"/>
      <c r="C675" s="206">
        <v>2015</v>
      </c>
      <c r="D675" s="205"/>
    </row>
    <row r="676" spans="2:4" x14ac:dyDescent="0.2">
      <c r="B676" s="250" t="s">
        <v>127</v>
      </c>
      <c r="C676" s="250"/>
      <c r="D676" s="250"/>
    </row>
    <row r="677" spans="2:4" x14ac:dyDescent="0.2">
      <c r="B677" s="193"/>
      <c r="C677" s="183" t="s">
        <v>113</v>
      </c>
      <c r="D677" s="177">
        <v>22945882.83597881</v>
      </c>
    </row>
    <row r="678" spans="2:4" x14ac:dyDescent="0.2">
      <c r="B678" s="178">
        <v>7385224.9190804688</v>
      </c>
      <c r="C678" s="183" t="s">
        <v>120</v>
      </c>
      <c r="D678" s="179"/>
    </row>
    <row r="679" spans="2:4" x14ac:dyDescent="0.2">
      <c r="B679" s="179"/>
      <c r="C679" s="186" t="s">
        <v>115</v>
      </c>
      <c r="D679" s="179">
        <v>471057.30780678283</v>
      </c>
    </row>
    <row r="680" spans="2:4" x14ac:dyDescent="0.2">
      <c r="B680" s="179"/>
      <c r="C680" s="186" t="s">
        <v>119</v>
      </c>
      <c r="D680" s="179">
        <v>224397.89211851</v>
      </c>
    </row>
    <row r="681" spans="2:4" x14ac:dyDescent="0.2">
      <c r="B681" s="179"/>
      <c r="C681" s="186"/>
      <c r="D681" s="178"/>
    </row>
    <row r="682" spans="2:4" x14ac:dyDescent="0.2">
      <c r="B682" s="179">
        <v>15807317.332586613</v>
      </c>
      <c r="C682" s="186" t="s">
        <v>24</v>
      </c>
      <c r="D682" s="178"/>
    </row>
    <row r="683" spans="2:4" x14ac:dyDescent="0.2">
      <c r="B683" s="179" t="s">
        <v>128</v>
      </c>
      <c r="C683" s="186"/>
      <c r="D683" s="178"/>
    </row>
    <row r="684" spans="2:4" x14ac:dyDescent="0.2">
      <c r="B684" s="179"/>
      <c r="C684" s="187" t="s">
        <v>129</v>
      </c>
      <c r="D684" s="179"/>
    </row>
    <row r="685" spans="2:4" x14ac:dyDescent="0.2">
      <c r="B685" s="178"/>
      <c r="C685" s="183" t="s">
        <v>130</v>
      </c>
      <c r="D685" s="179" t="s">
        <v>131</v>
      </c>
    </row>
    <row r="686" spans="2:4" x14ac:dyDescent="0.2">
      <c r="B686" s="234"/>
      <c r="C686" s="234" t="s">
        <v>132</v>
      </c>
      <c r="D686" s="233">
        <v>15807317.332586613</v>
      </c>
    </row>
    <row r="687" spans="2:4" x14ac:dyDescent="0.2">
      <c r="B687" s="225">
        <v>4186175.1059864564</v>
      </c>
      <c r="C687" s="188" t="s">
        <v>133</v>
      </c>
      <c r="D687" s="225"/>
    </row>
    <row r="688" spans="2:4" x14ac:dyDescent="0.2">
      <c r="B688" s="225">
        <v>4126775.9354886725</v>
      </c>
      <c r="C688" s="189" t="s">
        <v>134</v>
      </c>
      <c r="D688" s="225"/>
    </row>
    <row r="689" spans="2:4" x14ac:dyDescent="0.2">
      <c r="B689" s="178">
        <v>59399.170497783867</v>
      </c>
      <c r="C689" s="183" t="s">
        <v>135</v>
      </c>
      <c r="D689" s="178"/>
    </row>
    <row r="690" spans="2:4" x14ac:dyDescent="0.2">
      <c r="B690" s="178">
        <v>351274.53518959496</v>
      </c>
      <c r="C690" s="183" t="s">
        <v>136</v>
      </c>
      <c r="D690" s="178"/>
    </row>
    <row r="691" spans="2:4" x14ac:dyDescent="0.2">
      <c r="B691" s="178"/>
      <c r="C691" s="187"/>
      <c r="D691" s="178"/>
    </row>
    <row r="692" spans="2:4" x14ac:dyDescent="0.2">
      <c r="B692" s="179">
        <v>11269867.69141056</v>
      </c>
      <c r="C692" s="183" t="s">
        <v>26</v>
      </c>
      <c r="D692" s="179"/>
    </row>
    <row r="693" spans="2:4" x14ac:dyDescent="0.2">
      <c r="B693" s="178"/>
      <c r="C693" s="183" t="s">
        <v>137</v>
      </c>
      <c r="D693" s="178"/>
    </row>
    <row r="694" spans="2:4" x14ac:dyDescent="0.2">
      <c r="B694" s="178"/>
      <c r="C694" s="183" t="s">
        <v>26</v>
      </c>
      <c r="D694" s="179">
        <v>11269867.69141056</v>
      </c>
    </row>
    <row r="695" spans="2:4" x14ac:dyDescent="0.2">
      <c r="B695" s="178"/>
      <c r="C695" s="183" t="s">
        <v>133</v>
      </c>
      <c r="D695" s="178">
        <v>4126775.9354886725</v>
      </c>
    </row>
    <row r="696" spans="2:4" x14ac:dyDescent="0.2">
      <c r="B696" s="179"/>
      <c r="C696" s="190" t="s">
        <v>134</v>
      </c>
      <c r="D696" s="179">
        <v>4126775.9354886725</v>
      </c>
    </row>
    <row r="697" spans="2:4" x14ac:dyDescent="0.2">
      <c r="B697" s="180"/>
      <c r="C697" s="183" t="s">
        <v>135</v>
      </c>
      <c r="D697" s="179">
        <v>0</v>
      </c>
    </row>
    <row r="698" spans="2:4" x14ac:dyDescent="0.2">
      <c r="B698" s="180"/>
      <c r="C698" s="183" t="s">
        <v>136</v>
      </c>
      <c r="D698" s="179">
        <v>351274.53518959496</v>
      </c>
    </row>
    <row r="699" spans="2:4" x14ac:dyDescent="0.2">
      <c r="B699" s="180">
        <v>669638.96929585584</v>
      </c>
      <c r="C699" s="187" t="s">
        <v>138</v>
      </c>
      <c r="D699" s="178">
        <v>19967.139897496298</v>
      </c>
    </row>
    <row r="700" spans="2:4" x14ac:dyDescent="0.2">
      <c r="B700" s="180"/>
      <c r="C700" s="187"/>
      <c r="D700" s="178"/>
    </row>
    <row r="701" spans="2:4" x14ac:dyDescent="0.2">
      <c r="B701" s="179">
        <v>15098246.332690468</v>
      </c>
      <c r="C701" s="183" t="s">
        <v>139</v>
      </c>
      <c r="D701" s="179"/>
    </row>
    <row r="702" spans="2:4" x14ac:dyDescent="0.2">
      <c r="B702" s="178"/>
      <c r="C702" s="186" t="s">
        <v>140</v>
      </c>
      <c r="D702" s="178"/>
    </row>
    <row r="703" spans="2:4" x14ac:dyDescent="0.2">
      <c r="B703" s="180"/>
      <c r="C703" s="186" t="s">
        <v>139</v>
      </c>
      <c r="D703" s="179">
        <v>15098246.332690468</v>
      </c>
    </row>
    <row r="704" spans="2:4" x14ac:dyDescent="0.2">
      <c r="B704" s="178">
        <v>103470.44402016686</v>
      </c>
      <c r="C704" s="183" t="s">
        <v>141</v>
      </c>
      <c r="D704" s="178">
        <v>3387.2142531378399</v>
      </c>
    </row>
    <row r="705" spans="2:4" x14ac:dyDescent="0.2">
      <c r="B705" s="179"/>
      <c r="C705" s="188"/>
      <c r="D705" s="179"/>
    </row>
    <row r="706" spans="2:4" x14ac:dyDescent="0.2">
      <c r="B706" s="178">
        <v>14998163.10292344</v>
      </c>
      <c r="C706" s="183" t="s">
        <v>142</v>
      </c>
      <c r="D706" s="179"/>
    </row>
    <row r="707" spans="2:4" x14ac:dyDescent="0.2">
      <c r="B707" s="179"/>
      <c r="C707" s="183" t="s">
        <v>143</v>
      </c>
      <c r="D707" s="179"/>
    </row>
    <row r="708" spans="2:4" x14ac:dyDescent="0.2">
      <c r="B708" s="179"/>
      <c r="C708" s="183" t="s">
        <v>144</v>
      </c>
      <c r="D708" s="179">
        <v>14998163.10292344</v>
      </c>
    </row>
    <row r="709" spans="2:4" x14ac:dyDescent="0.2">
      <c r="B709" s="178">
        <v>11629903.016161188</v>
      </c>
      <c r="C709" s="183" t="s">
        <v>121</v>
      </c>
      <c r="D709" s="178"/>
    </row>
    <row r="710" spans="2:4" x14ac:dyDescent="0.2">
      <c r="B710" s="179"/>
      <c r="C710" s="188"/>
      <c r="D710" s="179"/>
    </row>
    <row r="711" spans="2:4" x14ac:dyDescent="0.2">
      <c r="B711" s="178">
        <v>3368260.0867622513</v>
      </c>
      <c r="C711" s="183" t="s">
        <v>145</v>
      </c>
      <c r="D711" s="179"/>
    </row>
    <row r="712" spans="2:4" x14ac:dyDescent="0.2">
      <c r="B712" s="179" t="s">
        <v>146</v>
      </c>
      <c r="C712" s="183"/>
      <c r="D712" s="179"/>
    </row>
    <row r="713" spans="2:4" x14ac:dyDescent="0.2">
      <c r="B713" s="179"/>
      <c r="C713" s="183" t="s">
        <v>147</v>
      </c>
      <c r="D713" s="179" t="s">
        <v>131</v>
      </c>
    </row>
    <row r="714" spans="2:4" x14ac:dyDescent="0.2">
      <c r="B714" s="178"/>
      <c r="C714" s="183" t="s">
        <v>148</v>
      </c>
      <c r="D714" s="178">
        <v>3368260.0867622513</v>
      </c>
    </row>
    <row r="715" spans="2:4" x14ac:dyDescent="0.2">
      <c r="B715" s="179">
        <v>4595522.382694521</v>
      </c>
      <c r="C715" s="188" t="s">
        <v>85</v>
      </c>
      <c r="D715" s="179"/>
    </row>
    <row r="716" spans="2:4" x14ac:dyDescent="0.2">
      <c r="B716" s="179">
        <v>5767.9068658282877</v>
      </c>
      <c r="C716" s="188" t="s">
        <v>122</v>
      </c>
      <c r="D716" s="179"/>
    </row>
    <row r="717" spans="2:4" x14ac:dyDescent="0.2">
      <c r="B717" s="179">
        <v>0</v>
      </c>
      <c r="C717" s="183" t="s">
        <v>149</v>
      </c>
      <c r="D717" s="179">
        <v>753.26341015575304</v>
      </c>
    </row>
    <row r="718" spans="2:4" x14ac:dyDescent="0.2">
      <c r="B718" s="225"/>
      <c r="C718" s="183"/>
      <c r="D718" s="196"/>
    </row>
    <row r="719" spans="2:4" x14ac:dyDescent="0.2">
      <c r="B719" s="225">
        <v>-1232276.9393879422</v>
      </c>
      <c r="C719" s="183" t="s">
        <v>150</v>
      </c>
      <c r="D719" s="196"/>
    </row>
    <row r="720" spans="2:4" x14ac:dyDescent="0.2">
      <c r="B720" s="193" t="s">
        <v>23</v>
      </c>
    </row>
    <row r="722" spans="2:4" x14ac:dyDescent="0.2">
      <c r="B722" s="203" t="s">
        <v>112</v>
      </c>
      <c r="C722" s="204" t="s">
        <v>111</v>
      </c>
      <c r="D722" s="203" t="s">
        <v>110</v>
      </c>
    </row>
    <row r="723" spans="2:4" x14ac:dyDescent="0.2">
      <c r="B723" s="205"/>
      <c r="C723" s="206">
        <v>2016</v>
      </c>
      <c r="D723" s="205"/>
    </row>
    <row r="724" spans="2:4" x14ac:dyDescent="0.2">
      <c r="B724" s="250" t="s">
        <v>127</v>
      </c>
      <c r="C724" s="250"/>
      <c r="D724" s="250"/>
    </row>
    <row r="725" spans="2:4" x14ac:dyDescent="0.2">
      <c r="B725" s="193"/>
      <c r="C725" s="183" t="s">
        <v>113</v>
      </c>
      <c r="D725" s="177">
        <v>27348448.071868815</v>
      </c>
    </row>
    <row r="726" spans="2:4" x14ac:dyDescent="0.2">
      <c r="B726" s="178">
        <v>8794148.3653429095</v>
      </c>
      <c r="C726" s="183" t="s">
        <v>120</v>
      </c>
      <c r="D726" s="179"/>
    </row>
    <row r="727" spans="2:4" x14ac:dyDescent="0.2">
      <c r="B727" s="179"/>
      <c r="C727" s="186" t="s">
        <v>115</v>
      </c>
      <c r="D727" s="179">
        <v>578391.97297271993</v>
      </c>
    </row>
    <row r="728" spans="2:4" x14ac:dyDescent="0.2">
      <c r="B728" s="179"/>
      <c r="C728" s="186" t="s">
        <v>119</v>
      </c>
      <c r="D728" s="179">
        <v>71147.677938869994</v>
      </c>
    </row>
    <row r="729" spans="2:4" x14ac:dyDescent="0.2">
      <c r="B729" s="179"/>
      <c r="C729" s="186"/>
      <c r="D729" s="178"/>
    </row>
    <row r="730" spans="2:4" x14ac:dyDescent="0.2">
      <c r="B730" s="179">
        <v>19061544.001559757</v>
      </c>
      <c r="C730" s="186" t="s">
        <v>24</v>
      </c>
      <c r="D730" s="178"/>
    </row>
    <row r="731" spans="2:4" x14ac:dyDescent="0.2">
      <c r="B731" s="179" t="s">
        <v>128</v>
      </c>
      <c r="C731" s="186"/>
      <c r="D731" s="178"/>
    </row>
    <row r="732" spans="2:4" x14ac:dyDescent="0.2">
      <c r="B732" s="179"/>
      <c r="C732" s="187" t="s">
        <v>129</v>
      </c>
      <c r="D732" s="179"/>
    </row>
    <row r="733" spans="2:4" x14ac:dyDescent="0.2">
      <c r="B733" s="178"/>
      <c r="C733" s="183" t="s">
        <v>130</v>
      </c>
      <c r="D733" s="179" t="s">
        <v>131</v>
      </c>
    </row>
    <row r="734" spans="2:4" x14ac:dyDescent="0.2">
      <c r="B734" s="234"/>
      <c r="C734" s="234" t="s">
        <v>132</v>
      </c>
      <c r="D734" s="233">
        <v>19061544.001559757</v>
      </c>
    </row>
    <row r="735" spans="2:4" x14ac:dyDescent="0.2">
      <c r="B735" s="225">
        <v>4651109.2082326049</v>
      </c>
      <c r="C735" s="188" t="s">
        <v>133</v>
      </c>
      <c r="D735" s="225"/>
    </row>
    <row r="736" spans="2:4" x14ac:dyDescent="0.2">
      <c r="B736" s="225">
        <v>4526181.3117173761</v>
      </c>
      <c r="C736" s="189" t="s">
        <v>134</v>
      </c>
      <c r="D736" s="225"/>
    </row>
    <row r="737" spans="2:4" x14ac:dyDescent="0.2">
      <c r="B737" s="178">
        <v>124927.89651522889</v>
      </c>
      <c r="C737" s="183" t="s">
        <v>135</v>
      </c>
      <c r="D737" s="178"/>
    </row>
    <row r="738" spans="2:4" x14ac:dyDescent="0.2">
      <c r="B738" s="178">
        <v>418872.06752229482</v>
      </c>
      <c r="C738" s="183" t="s">
        <v>136</v>
      </c>
      <c r="D738" s="178"/>
    </row>
    <row r="739" spans="2:4" x14ac:dyDescent="0.2">
      <c r="B739" s="178"/>
      <c r="C739" s="187"/>
      <c r="D739" s="178"/>
    </row>
    <row r="740" spans="2:4" x14ac:dyDescent="0.2">
      <c r="B740" s="179">
        <v>13991562.725804858</v>
      </c>
      <c r="C740" s="183" t="s">
        <v>26</v>
      </c>
      <c r="D740" s="179"/>
    </row>
    <row r="741" spans="2:4" x14ac:dyDescent="0.2">
      <c r="B741" s="178"/>
      <c r="C741" s="183" t="s">
        <v>137</v>
      </c>
      <c r="D741" s="178"/>
    </row>
    <row r="742" spans="2:4" x14ac:dyDescent="0.2">
      <c r="B742" s="178"/>
      <c r="C742" s="183" t="s">
        <v>26</v>
      </c>
      <c r="D742" s="179">
        <v>13991562.725804858</v>
      </c>
    </row>
    <row r="743" spans="2:4" x14ac:dyDescent="0.2">
      <c r="B743" s="178"/>
      <c r="C743" s="183" t="s">
        <v>133</v>
      </c>
      <c r="D743" s="178">
        <v>4526181.3117173761</v>
      </c>
    </row>
    <row r="744" spans="2:4" x14ac:dyDescent="0.2">
      <c r="B744" s="179"/>
      <c r="C744" s="190" t="s">
        <v>134</v>
      </c>
      <c r="D744" s="179">
        <v>4526181.3117173761</v>
      </c>
    </row>
    <row r="745" spans="2:4" x14ac:dyDescent="0.2">
      <c r="B745" s="180"/>
      <c r="C745" s="183" t="s">
        <v>135</v>
      </c>
      <c r="D745" s="179">
        <v>0</v>
      </c>
    </row>
    <row r="746" spans="2:4" x14ac:dyDescent="0.2">
      <c r="B746" s="180"/>
      <c r="C746" s="183" t="s">
        <v>136</v>
      </c>
      <c r="D746" s="179">
        <v>418872.06752229482</v>
      </c>
    </row>
    <row r="747" spans="2:4" x14ac:dyDescent="0.2">
      <c r="B747" s="180">
        <v>793916.72603168711</v>
      </c>
      <c r="C747" s="187" t="s">
        <v>138</v>
      </c>
      <c r="D747" s="178">
        <v>55772.409350592032</v>
      </c>
    </row>
    <row r="748" spans="2:4" x14ac:dyDescent="0.2">
      <c r="B748" s="180"/>
      <c r="C748" s="187"/>
      <c r="D748" s="178"/>
    </row>
    <row r="749" spans="2:4" x14ac:dyDescent="0.2">
      <c r="B749" s="179">
        <v>18198471.788363434</v>
      </c>
      <c r="C749" s="183" t="s">
        <v>139</v>
      </c>
      <c r="D749" s="179"/>
    </row>
    <row r="750" spans="2:4" x14ac:dyDescent="0.2">
      <c r="B750" s="178"/>
      <c r="C750" s="186" t="s">
        <v>140</v>
      </c>
      <c r="D750" s="178"/>
    </row>
    <row r="751" spans="2:4" x14ac:dyDescent="0.2">
      <c r="B751" s="180"/>
      <c r="C751" s="186" t="s">
        <v>139</v>
      </c>
      <c r="D751" s="179">
        <v>18198471.788363434</v>
      </c>
    </row>
    <row r="752" spans="2:4" x14ac:dyDescent="0.2">
      <c r="B752" s="178">
        <v>78638.950808652851</v>
      </c>
      <c r="C752" s="183" t="s">
        <v>141</v>
      </c>
      <c r="D752" s="178">
        <v>4298.1034766038028</v>
      </c>
    </row>
    <row r="753" spans="2:4" x14ac:dyDescent="0.2">
      <c r="B753" s="179"/>
      <c r="C753" s="188"/>
      <c r="D753" s="179"/>
    </row>
    <row r="754" spans="2:4" x14ac:dyDescent="0.2">
      <c r="B754" s="178">
        <v>18124130.941031385</v>
      </c>
      <c r="C754" s="183" t="s">
        <v>142</v>
      </c>
      <c r="D754" s="179"/>
    </row>
    <row r="755" spans="2:4" x14ac:dyDescent="0.2">
      <c r="B755" s="179"/>
      <c r="C755" s="183" t="s">
        <v>143</v>
      </c>
      <c r="D755" s="179"/>
    </row>
    <row r="756" spans="2:4" x14ac:dyDescent="0.2">
      <c r="B756" s="179"/>
      <c r="C756" s="183" t="s">
        <v>144</v>
      </c>
      <c r="D756" s="179">
        <v>18124130.941031385</v>
      </c>
    </row>
    <row r="757" spans="2:4" x14ac:dyDescent="0.2">
      <c r="B757" s="178">
        <v>12969275.484536789</v>
      </c>
      <c r="C757" s="183" t="s">
        <v>121</v>
      </c>
      <c r="D757" s="178"/>
    </row>
    <row r="758" spans="2:4" x14ac:dyDescent="0.2">
      <c r="B758" s="179"/>
      <c r="C758" s="188"/>
      <c r="D758" s="179"/>
    </row>
    <row r="759" spans="2:4" x14ac:dyDescent="0.2">
      <c r="B759" s="178">
        <v>5154855.4564945959</v>
      </c>
      <c r="C759" s="183" t="s">
        <v>145</v>
      </c>
      <c r="D759" s="179"/>
    </row>
    <row r="760" spans="2:4" x14ac:dyDescent="0.2">
      <c r="B760" s="179" t="s">
        <v>146</v>
      </c>
      <c r="C760" s="183"/>
      <c r="D760" s="179"/>
    </row>
    <row r="761" spans="2:4" x14ac:dyDescent="0.2">
      <c r="B761" s="179"/>
      <c r="C761" s="183" t="s">
        <v>147</v>
      </c>
      <c r="D761" s="179" t="s">
        <v>131</v>
      </c>
    </row>
    <row r="762" spans="2:4" x14ac:dyDescent="0.2">
      <c r="B762" s="178"/>
      <c r="C762" s="183" t="s">
        <v>148</v>
      </c>
      <c r="D762" s="178">
        <v>5154855.4564945959</v>
      </c>
    </row>
    <row r="763" spans="2:4" x14ac:dyDescent="0.2">
      <c r="B763" s="179">
        <v>5648852.0790749341</v>
      </c>
      <c r="C763" s="188" t="s">
        <v>85</v>
      </c>
      <c r="D763" s="179"/>
    </row>
    <row r="764" spans="2:4" x14ac:dyDescent="0.2">
      <c r="B764" s="179">
        <v>10915.471299758099</v>
      </c>
      <c r="C764" s="188" t="s">
        <v>122</v>
      </c>
      <c r="D764" s="179"/>
    </row>
    <row r="765" spans="2:4" x14ac:dyDescent="0.2">
      <c r="B765" s="179">
        <v>0</v>
      </c>
      <c r="C765" s="183" t="s">
        <v>149</v>
      </c>
      <c r="D765" s="179">
        <v>96.593023441443648</v>
      </c>
    </row>
    <row r="766" spans="2:4" x14ac:dyDescent="0.2">
      <c r="B766" s="225"/>
      <c r="C766" s="183"/>
      <c r="D766" s="196"/>
    </row>
    <row r="767" spans="2:4" x14ac:dyDescent="0.2">
      <c r="B767" s="225">
        <v>-504815.50085665466</v>
      </c>
      <c r="C767" s="183" t="s">
        <v>150</v>
      </c>
      <c r="D767" s="196"/>
    </row>
    <row r="768" spans="2:4" x14ac:dyDescent="0.2">
      <c r="B768" s="193" t="s">
        <v>23</v>
      </c>
    </row>
    <row r="770" spans="2:4" x14ac:dyDescent="0.2">
      <c r="B770" s="203" t="s">
        <v>112</v>
      </c>
      <c r="C770" s="204" t="s">
        <v>111</v>
      </c>
      <c r="D770" s="203" t="s">
        <v>110</v>
      </c>
    </row>
    <row r="771" spans="2:4" x14ac:dyDescent="0.2">
      <c r="B771" s="200"/>
      <c r="C771" s="195" t="s">
        <v>191</v>
      </c>
      <c r="D771" s="200"/>
    </row>
    <row r="772" spans="2:4" x14ac:dyDescent="0.2">
      <c r="B772" s="193" t="s">
        <v>127</v>
      </c>
      <c r="C772" s="183"/>
      <c r="D772" s="177"/>
    </row>
    <row r="773" spans="2:4" x14ac:dyDescent="0.2">
      <c r="B773" s="193"/>
      <c r="C773" s="183" t="s">
        <v>113</v>
      </c>
      <c r="D773" s="177">
        <v>33397158.420678478</v>
      </c>
    </row>
    <row r="774" spans="2:4" x14ac:dyDescent="0.2">
      <c r="B774" s="178">
        <v>10510438.818451062</v>
      </c>
      <c r="C774" s="183" t="s">
        <v>120</v>
      </c>
      <c r="D774" s="179"/>
    </row>
    <row r="775" spans="2:4" x14ac:dyDescent="0.2">
      <c r="B775" s="179"/>
      <c r="C775" s="186" t="s">
        <v>115</v>
      </c>
      <c r="D775" s="179">
        <v>712196.30225422245</v>
      </c>
    </row>
    <row r="776" spans="2:4" x14ac:dyDescent="0.2">
      <c r="B776" s="179"/>
      <c r="C776" s="186" t="s">
        <v>119</v>
      </c>
      <c r="D776" s="179">
        <v>53677.405404979996</v>
      </c>
    </row>
    <row r="777" spans="2:4" x14ac:dyDescent="0.2">
      <c r="B777" s="179"/>
      <c r="C777" s="186"/>
      <c r="D777" s="178"/>
    </row>
    <row r="778" spans="2:4" x14ac:dyDescent="0.2">
      <c r="B778" s="179">
        <v>23545238.499076657</v>
      </c>
      <c r="C778" s="186" t="s">
        <v>24</v>
      </c>
      <c r="D778" s="178"/>
    </row>
    <row r="779" spans="2:4" x14ac:dyDescent="0.2">
      <c r="B779" s="179" t="s">
        <v>128</v>
      </c>
      <c r="C779" s="186"/>
      <c r="D779" s="178"/>
    </row>
    <row r="780" spans="2:4" x14ac:dyDescent="0.2">
      <c r="B780" s="179"/>
      <c r="C780" s="187" t="s">
        <v>129</v>
      </c>
      <c r="D780" s="179"/>
    </row>
    <row r="781" spans="2:4" x14ac:dyDescent="0.2">
      <c r="B781" s="178"/>
      <c r="C781" s="183" t="s">
        <v>130</v>
      </c>
      <c r="D781" s="179" t="s">
        <v>131</v>
      </c>
    </row>
    <row r="782" spans="2:4" x14ac:dyDescent="0.2">
      <c r="B782" s="234"/>
      <c r="C782" s="234" t="s">
        <v>132</v>
      </c>
      <c r="D782" s="233">
        <v>23545238.499076657</v>
      </c>
    </row>
    <row r="783" spans="2:4" x14ac:dyDescent="0.2">
      <c r="B783" s="225">
        <v>5731307.6218827758</v>
      </c>
      <c r="C783" s="188" t="s">
        <v>133</v>
      </c>
      <c r="D783" s="225"/>
    </row>
    <row r="784" spans="2:4" x14ac:dyDescent="0.2">
      <c r="B784" s="225">
        <v>5646609.107965705</v>
      </c>
      <c r="C784" s="189" t="s">
        <v>134</v>
      </c>
      <c r="D784" s="225"/>
    </row>
    <row r="785" spans="2:4" x14ac:dyDescent="0.2">
      <c r="B785" s="178">
        <v>84698.513917070522</v>
      </c>
      <c r="C785" s="183" t="s">
        <v>135</v>
      </c>
      <c r="D785" s="178"/>
    </row>
    <row r="786" spans="2:4" x14ac:dyDescent="0.2">
      <c r="B786" s="178">
        <v>625065.27893111284</v>
      </c>
      <c r="C786" s="183" t="s">
        <v>136</v>
      </c>
      <c r="D786" s="178"/>
    </row>
    <row r="787" spans="2:4" x14ac:dyDescent="0.2">
      <c r="B787" s="178"/>
      <c r="C787" s="187"/>
      <c r="D787" s="178"/>
    </row>
    <row r="788" spans="2:4" x14ac:dyDescent="0.2">
      <c r="B788" s="179">
        <v>17188865.598262772</v>
      </c>
      <c r="C788" s="183" t="s">
        <v>26</v>
      </c>
      <c r="D788" s="179"/>
    </row>
    <row r="789" spans="2:4" x14ac:dyDescent="0.2">
      <c r="B789" s="178"/>
      <c r="C789" s="183" t="s">
        <v>137</v>
      </c>
      <c r="D789" s="178"/>
    </row>
    <row r="790" spans="2:4" x14ac:dyDescent="0.2">
      <c r="B790" s="178"/>
      <c r="C790" s="183" t="s">
        <v>26</v>
      </c>
      <c r="D790" s="179">
        <v>17188865.598262772</v>
      </c>
    </row>
    <row r="791" spans="2:4" x14ac:dyDescent="0.2">
      <c r="B791" s="178"/>
      <c r="C791" s="183" t="s">
        <v>133</v>
      </c>
      <c r="D791" s="178">
        <v>5646609.107965705</v>
      </c>
    </row>
    <row r="792" spans="2:4" x14ac:dyDescent="0.2">
      <c r="B792" s="179"/>
      <c r="C792" s="190" t="s">
        <v>134</v>
      </c>
      <c r="D792" s="179">
        <v>5646609.107965705</v>
      </c>
    </row>
    <row r="793" spans="2:4" x14ac:dyDescent="0.2">
      <c r="B793" s="180"/>
      <c r="C793" s="183" t="s">
        <v>135</v>
      </c>
      <c r="D793" s="179">
        <v>0</v>
      </c>
    </row>
    <row r="794" spans="2:4" x14ac:dyDescent="0.2">
      <c r="B794" s="180"/>
      <c r="C794" s="183" t="s">
        <v>136</v>
      </c>
      <c r="D794" s="179">
        <v>625065.27893111284</v>
      </c>
    </row>
    <row r="795" spans="2:4" x14ac:dyDescent="0.2">
      <c r="B795" s="180">
        <v>1200327.9426063949</v>
      </c>
      <c r="C795" s="187" t="s">
        <v>138</v>
      </c>
      <c r="D795" s="178">
        <v>39725.10331341745</v>
      </c>
    </row>
    <row r="796" spans="2:4" x14ac:dyDescent="0.2">
      <c r="B796" s="180"/>
      <c r="C796" s="187"/>
      <c r="D796" s="178"/>
    </row>
    <row r="797" spans="2:4" x14ac:dyDescent="0.2">
      <c r="B797" s="179">
        <v>22299937.14586661</v>
      </c>
      <c r="C797" s="183" t="s">
        <v>139</v>
      </c>
      <c r="D797" s="179"/>
    </row>
    <row r="798" spans="2:4" x14ac:dyDescent="0.2">
      <c r="B798" s="178"/>
      <c r="C798" s="186" t="s">
        <v>140</v>
      </c>
      <c r="D798" s="178"/>
    </row>
    <row r="799" spans="2:4" x14ac:dyDescent="0.2">
      <c r="B799" s="180"/>
      <c r="C799" s="186" t="s">
        <v>139</v>
      </c>
      <c r="D799" s="179">
        <v>22299937.14586661</v>
      </c>
    </row>
    <row r="800" spans="2:4" x14ac:dyDescent="0.2">
      <c r="B800" s="178">
        <v>83651.833178634726</v>
      </c>
      <c r="C800" s="183" t="s">
        <v>141</v>
      </c>
      <c r="D800" s="178">
        <v>5878.8034571379339</v>
      </c>
    </row>
    <row r="801" spans="2:4" x14ac:dyDescent="0.2">
      <c r="B801" s="179"/>
      <c r="C801" s="188"/>
      <c r="D801" s="179"/>
    </row>
    <row r="802" spans="2:4" x14ac:dyDescent="0.2">
      <c r="B802" s="178">
        <v>22222164.116145112</v>
      </c>
      <c r="C802" s="183" t="s">
        <v>142</v>
      </c>
      <c r="D802" s="179"/>
    </row>
    <row r="803" spans="2:4" x14ac:dyDescent="0.2">
      <c r="B803" s="179"/>
      <c r="C803" s="183" t="s">
        <v>143</v>
      </c>
      <c r="D803" s="179"/>
    </row>
    <row r="804" spans="2:4" x14ac:dyDescent="0.2">
      <c r="B804" s="179"/>
      <c r="C804" s="183" t="s">
        <v>144</v>
      </c>
      <c r="D804" s="179">
        <v>22222164.116145112</v>
      </c>
    </row>
    <row r="805" spans="2:4" x14ac:dyDescent="0.2">
      <c r="B805" s="178">
        <v>15556490.985070495</v>
      </c>
      <c r="C805" s="183" t="s">
        <v>121</v>
      </c>
      <c r="D805" s="178"/>
    </row>
    <row r="806" spans="2:4" x14ac:dyDescent="0.2">
      <c r="B806" s="179"/>
      <c r="C806" s="188"/>
      <c r="D806" s="179"/>
    </row>
    <row r="807" spans="2:4" x14ac:dyDescent="0.2">
      <c r="B807" s="178">
        <v>6665673.1310746167</v>
      </c>
      <c r="C807" s="183" t="s">
        <v>145</v>
      </c>
      <c r="D807" s="179"/>
    </row>
    <row r="808" spans="2:4" x14ac:dyDescent="0.2">
      <c r="B808" s="179" t="s">
        <v>146</v>
      </c>
      <c r="C808" s="183"/>
      <c r="D808" s="179"/>
    </row>
    <row r="809" spans="2:4" x14ac:dyDescent="0.2">
      <c r="B809" s="179"/>
      <c r="C809" s="183" t="s">
        <v>147</v>
      </c>
      <c r="D809" s="179" t="s">
        <v>131</v>
      </c>
    </row>
    <row r="810" spans="2:4" x14ac:dyDescent="0.2">
      <c r="B810" s="178"/>
      <c r="C810" s="183" t="s">
        <v>148</v>
      </c>
      <c r="D810" s="178">
        <v>6665673.1310746167</v>
      </c>
    </row>
    <row r="811" spans="2:4" x14ac:dyDescent="0.2">
      <c r="B811" s="179">
        <v>6758826.2860394605</v>
      </c>
      <c r="C811" s="188" t="s">
        <v>85</v>
      </c>
      <c r="D811" s="179"/>
    </row>
    <row r="812" spans="2:4" x14ac:dyDescent="0.2">
      <c r="B812" s="179">
        <v>11849.599540954359</v>
      </c>
      <c r="C812" s="188" t="s">
        <v>122</v>
      </c>
      <c r="D812" s="179"/>
    </row>
    <row r="813" spans="2:4" x14ac:dyDescent="0.2">
      <c r="B813" s="179">
        <v>0</v>
      </c>
      <c r="C813" s="183" t="s">
        <v>149</v>
      </c>
      <c r="D813" s="179">
        <v>435.63771368098304</v>
      </c>
    </row>
    <row r="814" spans="2:4" x14ac:dyDescent="0.2">
      <c r="B814" s="225"/>
      <c r="C814" s="183"/>
      <c r="D814" s="196"/>
    </row>
    <row r="815" spans="2:4" x14ac:dyDescent="0.2">
      <c r="B815" s="225">
        <v>-104567.11679211714</v>
      </c>
      <c r="C815" s="183" t="s">
        <v>150</v>
      </c>
      <c r="D815" s="196"/>
    </row>
    <row r="816" spans="2:4" x14ac:dyDescent="0.2">
      <c r="B816" s="193" t="s">
        <v>23</v>
      </c>
      <c r="C816" s="198"/>
      <c r="D816" s="191"/>
    </row>
    <row r="818" spans="2:4" x14ac:dyDescent="0.2">
      <c r="B818" s="203" t="s">
        <v>112</v>
      </c>
      <c r="C818" s="204" t="s">
        <v>111</v>
      </c>
      <c r="D818" s="203" t="s">
        <v>110</v>
      </c>
    </row>
    <row r="819" spans="2:4" x14ac:dyDescent="0.2">
      <c r="B819" s="205"/>
      <c r="C819" s="220">
        <v>2018</v>
      </c>
      <c r="D819" s="205"/>
    </row>
    <row r="820" spans="2:4" x14ac:dyDescent="0.2">
      <c r="B820" s="250" t="s">
        <v>127</v>
      </c>
      <c r="C820" s="250"/>
      <c r="D820" s="250"/>
    </row>
    <row r="821" spans="2:4" x14ac:dyDescent="0.2">
      <c r="B821" s="193"/>
      <c r="C821" s="183" t="s">
        <v>113</v>
      </c>
      <c r="D821" s="177">
        <v>41616913.661581784</v>
      </c>
    </row>
    <row r="822" spans="2:4" x14ac:dyDescent="0.2">
      <c r="B822" s="178">
        <v>13314591.685448783</v>
      </c>
      <c r="C822" s="183" t="s">
        <v>120</v>
      </c>
      <c r="D822" s="179"/>
    </row>
    <row r="823" spans="2:4" x14ac:dyDescent="0.2">
      <c r="B823" s="179"/>
      <c r="C823" s="186" t="s">
        <v>115</v>
      </c>
      <c r="D823" s="179">
        <v>939632.2912147101</v>
      </c>
    </row>
    <row r="824" spans="2:4" x14ac:dyDescent="0.2">
      <c r="B824" s="179"/>
      <c r="C824" s="186" t="s">
        <v>119</v>
      </c>
      <c r="D824" s="179">
        <v>48173.142954089999</v>
      </c>
    </row>
    <row r="825" spans="2:4" x14ac:dyDescent="0.2">
      <c r="B825" s="179"/>
      <c r="C825" s="186"/>
      <c r="D825" s="178"/>
    </row>
    <row r="826" spans="2:4" x14ac:dyDescent="0.2">
      <c r="B826" s="179">
        <v>29193781.124393627</v>
      </c>
      <c r="C826" s="186" t="s">
        <v>24</v>
      </c>
      <c r="D826" s="178"/>
    </row>
    <row r="827" spans="2:4" x14ac:dyDescent="0.2">
      <c r="B827" s="179" t="s">
        <v>128</v>
      </c>
      <c r="C827" s="186"/>
      <c r="D827" s="178"/>
    </row>
    <row r="828" spans="2:4" x14ac:dyDescent="0.2">
      <c r="B828" s="179"/>
      <c r="C828" s="187" t="s">
        <v>129</v>
      </c>
      <c r="D828" s="179"/>
    </row>
    <row r="829" spans="2:4" x14ac:dyDescent="0.2">
      <c r="B829" s="178"/>
      <c r="C829" s="183" t="s">
        <v>130</v>
      </c>
      <c r="D829" s="179" t="s">
        <v>131</v>
      </c>
    </row>
    <row r="830" spans="2:4" x14ac:dyDescent="0.2">
      <c r="B830" s="234"/>
      <c r="C830" s="234" t="s">
        <v>132</v>
      </c>
      <c r="D830" s="233">
        <v>29193781.124393627</v>
      </c>
    </row>
    <row r="831" spans="2:4" x14ac:dyDescent="0.2">
      <c r="B831" s="225">
        <v>7259519.5488165328</v>
      </c>
      <c r="C831" s="188" t="s">
        <v>133</v>
      </c>
      <c r="D831" s="225"/>
    </row>
    <row r="832" spans="2:4" x14ac:dyDescent="0.2">
      <c r="B832" s="225">
        <v>7137537.2358204015</v>
      </c>
      <c r="C832" s="189" t="s">
        <v>134</v>
      </c>
      <c r="D832" s="225"/>
    </row>
    <row r="833" spans="2:4" x14ac:dyDescent="0.2">
      <c r="B833" s="178">
        <v>121982.3129961317</v>
      </c>
      <c r="C833" s="183" t="s">
        <v>135</v>
      </c>
      <c r="D833" s="178"/>
    </row>
    <row r="834" spans="2:4" x14ac:dyDescent="0.2">
      <c r="B834" s="178">
        <v>857369.43730460014</v>
      </c>
      <c r="C834" s="183" t="s">
        <v>136</v>
      </c>
      <c r="D834" s="178"/>
    </row>
    <row r="835" spans="2:4" x14ac:dyDescent="0.2">
      <c r="B835" s="178"/>
      <c r="C835" s="187"/>
      <c r="D835" s="178"/>
    </row>
    <row r="836" spans="2:4" x14ac:dyDescent="0.2">
      <c r="B836" s="179">
        <v>21076892.138272494</v>
      </c>
      <c r="C836" s="183" t="s">
        <v>26</v>
      </c>
      <c r="D836" s="179"/>
    </row>
    <row r="837" spans="2:4" x14ac:dyDescent="0.2">
      <c r="B837" s="178"/>
      <c r="C837" s="183" t="s">
        <v>137</v>
      </c>
      <c r="D837" s="178"/>
    </row>
    <row r="838" spans="2:4" x14ac:dyDescent="0.2">
      <c r="B838" s="178"/>
      <c r="C838" s="183" t="s">
        <v>26</v>
      </c>
      <c r="D838" s="179">
        <v>21076892.138272494</v>
      </c>
    </row>
    <row r="839" spans="2:4" x14ac:dyDescent="0.2">
      <c r="B839" s="178"/>
      <c r="C839" s="183" t="s">
        <v>133</v>
      </c>
      <c r="D839" s="178">
        <v>7137537.2358204015</v>
      </c>
    </row>
    <row r="840" spans="2:4" x14ac:dyDescent="0.2">
      <c r="B840" s="179"/>
      <c r="C840" s="190" t="s">
        <v>134</v>
      </c>
      <c r="D840" s="179">
        <v>7137537.2358204015</v>
      </c>
    </row>
    <row r="841" spans="2:4" x14ac:dyDescent="0.2">
      <c r="B841" s="180"/>
      <c r="C841" s="183" t="s">
        <v>135</v>
      </c>
      <c r="D841" s="179">
        <v>0</v>
      </c>
    </row>
    <row r="842" spans="2:4" x14ac:dyDescent="0.2">
      <c r="B842" s="180"/>
      <c r="C842" s="183" t="s">
        <v>136</v>
      </c>
      <c r="D842" s="179">
        <v>857369.43730460014</v>
      </c>
    </row>
    <row r="843" spans="2:4" x14ac:dyDescent="0.2">
      <c r="B843" s="180">
        <v>1971161.7125786319</v>
      </c>
      <c r="C843" s="187" t="s">
        <v>138</v>
      </c>
      <c r="D843" s="178">
        <v>113397.93779340824</v>
      </c>
    </row>
    <row r="844" spans="2:4" x14ac:dyDescent="0.2">
      <c r="B844" s="180"/>
      <c r="C844" s="187"/>
      <c r="D844" s="178"/>
    </row>
    <row r="845" spans="2:4" x14ac:dyDescent="0.2">
      <c r="B845" s="179">
        <v>27214035.036612272</v>
      </c>
      <c r="C845" s="183" t="s">
        <v>139</v>
      </c>
      <c r="D845" s="179"/>
    </row>
    <row r="846" spans="2:4" x14ac:dyDescent="0.2">
      <c r="B846" s="178"/>
      <c r="C846" s="186" t="s">
        <v>140</v>
      </c>
      <c r="D846" s="178"/>
    </row>
    <row r="847" spans="2:4" x14ac:dyDescent="0.2">
      <c r="B847" s="180"/>
      <c r="C847" s="186" t="s">
        <v>139</v>
      </c>
      <c r="D847" s="179">
        <v>27214035.036612272</v>
      </c>
    </row>
    <row r="848" spans="2:4" x14ac:dyDescent="0.2">
      <c r="B848" s="178">
        <v>71612.277838669033</v>
      </c>
      <c r="C848" s="183" t="s">
        <v>141</v>
      </c>
      <c r="D848" s="178">
        <v>3497.5687587438024</v>
      </c>
    </row>
    <row r="849" spans="2:4" x14ac:dyDescent="0.2">
      <c r="B849" s="179"/>
      <c r="C849" s="188"/>
      <c r="D849" s="179"/>
    </row>
    <row r="850" spans="2:4" x14ac:dyDescent="0.2">
      <c r="B850" s="178">
        <v>27145920.327532347</v>
      </c>
      <c r="C850" s="183" t="s">
        <v>142</v>
      </c>
      <c r="D850" s="179"/>
    </row>
    <row r="851" spans="2:4" x14ac:dyDescent="0.2">
      <c r="B851" s="179"/>
      <c r="C851" s="183" t="s">
        <v>143</v>
      </c>
      <c r="D851" s="179"/>
    </row>
    <row r="852" spans="2:4" x14ac:dyDescent="0.2">
      <c r="B852" s="179"/>
      <c r="C852" s="183" t="s">
        <v>144</v>
      </c>
      <c r="D852" s="179">
        <v>27145920.327532347</v>
      </c>
    </row>
    <row r="853" spans="2:4" x14ac:dyDescent="0.2">
      <c r="B853" s="178">
        <v>18286696.17266044</v>
      </c>
      <c r="C853" s="183" t="s">
        <v>121</v>
      </c>
      <c r="D853" s="178"/>
    </row>
    <row r="854" spans="2:4" x14ac:dyDescent="0.2">
      <c r="B854" s="179"/>
      <c r="C854" s="188"/>
      <c r="D854" s="179"/>
    </row>
    <row r="855" spans="2:4" x14ac:dyDescent="0.2">
      <c r="B855" s="178">
        <v>8859224.1548719071</v>
      </c>
      <c r="C855" s="183" t="s">
        <v>145</v>
      </c>
      <c r="D855" s="179"/>
    </row>
    <row r="856" spans="2:4" x14ac:dyDescent="0.2">
      <c r="B856" s="179" t="s">
        <v>146</v>
      </c>
      <c r="C856" s="183"/>
      <c r="D856" s="179"/>
    </row>
    <row r="857" spans="2:4" x14ac:dyDescent="0.2">
      <c r="B857" s="179"/>
      <c r="C857" s="183" t="s">
        <v>147</v>
      </c>
      <c r="D857" s="179" t="s">
        <v>131</v>
      </c>
    </row>
    <row r="858" spans="2:4" x14ac:dyDescent="0.2">
      <c r="B858" s="178"/>
      <c r="C858" s="183" t="s">
        <v>148</v>
      </c>
      <c r="D858" s="178">
        <v>8859224.1548719071</v>
      </c>
    </row>
    <row r="859" spans="2:4" x14ac:dyDescent="0.2">
      <c r="B859" s="179">
        <v>6975595.2645994872</v>
      </c>
      <c r="C859" s="188" t="s">
        <v>85</v>
      </c>
      <c r="D859" s="179"/>
    </row>
    <row r="860" spans="2:4" x14ac:dyDescent="0.2">
      <c r="B860" s="179">
        <v>11837.283679417416</v>
      </c>
      <c r="C860" s="188" t="s">
        <v>122</v>
      </c>
      <c r="D860" s="179"/>
    </row>
    <row r="861" spans="2:4" x14ac:dyDescent="0.2">
      <c r="B861" s="179">
        <v>0</v>
      </c>
      <c r="C861" s="183" t="s">
        <v>149</v>
      </c>
      <c r="D861" s="179">
        <v>741.14447075221381</v>
      </c>
    </row>
    <row r="862" spans="2:4" x14ac:dyDescent="0.2">
      <c r="B862" s="225"/>
      <c r="C862" s="183"/>
      <c r="D862" s="196"/>
    </row>
    <row r="863" spans="2:4" x14ac:dyDescent="0.2">
      <c r="B863" s="225">
        <v>1872532.7510637539</v>
      </c>
      <c r="C863" s="183" t="s">
        <v>150</v>
      </c>
      <c r="D863" s="196"/>
    </row>
    <row r="864" spans="2:4" x14ac:dyDescent="0.2">
      <c r="B864" s="193" t="s">
        <v>23</v>
      </c>
      <c r="C864" s="198"/>
      <c r="D864" s="191"/>
    </row>
    <row r="866" spans="2:4" x14ac:dyDescent="0.2">
      <c r="B866" s="203" t="s">
        <v>112</v>
      </c>
      <c r="C866" s="204" t="s">
        <v>111</v>
      </c>
      <c r="D866" s="203" t="s">
        <v>110</v>
      </c>
    </row>
    <row r="867" spans="2:4" x14ac:dyDescent="0.2">
      <c r="B867" s="205"/>
      <c r="C867" s="220">
        <v>2019</v>
      </c>
      <c r="D867" s="205"/>
    </row>
    <row r="868" spans="2:4" x14ac:dyDescent="0.2">
      <c r="B868" s="250" t="s">
        <v>127</v>
      </c>
      <c r="C868" s="250"/>
      <c r="D868" s="250"/>
    </row>
    <row r="869" spans="2:4" x14ac:dyDescent="0.2">
      <c r="B869" s="193"/>
      <c r="C869" s="183" t="s">
        <v>113</v>
      </c>
      <c r="D869" s="177">
        <v>50186371.001146853</v>
      </c>
    </row>
    <row r="870" spans="2:4" x14ac:dyDescent="0.2">
      <c r="B870" s="178">
        <v>16229663.032214573</v>
      </c>
      <c r="C870" s="183" t="s">
        <v>120</v>
      </c>
      <c r="D870" s="179"/>
    </row>
    <row r="871" spans="2:4" x14ac:dyDescent="0.2">
      <c r="B871" s="179"/>
      <c r="C871" s="186" t="s">
        <v>115</v>
      </c>
      <c r="D871" s="179">
        <v>814130.29810387013</v>
      </c>
    </row>
    <row r="872" spans="2:4" x14ac:dyDescent="0.2">
      <c r="B872" s="179"/>
      <c r="C872" s="186" t="s">
        <v>119</v>
      </c>
      <c r="D872" s="179">
        <v>35803.436061610002</v>
      </c>
    </row>
    <row r="873" spans="2:4" x14ac:dyDescent="0.2">
      <c r="B873" s="179"/>
      <c r="C873" s="186"/>
      <c r="D873" s="178"/>
    </row>
    <row r="874" spans="2:4" x14ac:dyDescent="0.2">
      <c r="B874" s="179">
        <v>34735034.830974534</v>
      </c>
      <c r="C874" s="186" t="s">
        <v>24</v>
      </c>
      <c r="D874" s="178"/>
    </row>
    <row r="875" spans="2:4" x14ac:dyDescent="0.2">
      <c r="B875" s="179" t="s">
        <v>128</v>
      </c>
      <c r="C875" s="186"/>
      <c r="D875" s="178"/>
    </row>
    <row r="876" spans="2:4" x14ac:dyDescent="0.2">
      <c r="B876" s="179"/>
      <c r="C876" s="187" t="s">
        <v>129</v>
      </c>
      <c r="D876" s="179"/>
    </row>
    <row r="877" spans="2:4" x14ac:dyDescent="0.2">
      <c r="B877" s="178"/>
      <c r="C877" s="183" t="s">
        <v>130</v>
      </c>
      <c r="D877" s="179" t="s">
        <v>131</v>
      </c>
    </row>
    <row r="878" spans="2:4" x14ac:dyDescent="0.2">
      <c r="B878" s="234"/>
      <c r="C878" s="234" t="s">
        <v>132</v>
      </c>
      <c r="D878" s="233">
        <v>34735034.830974534</v>
      </c>
    </row>
    <row r="879" spans="2:4" x14ac:dyDescent="0.2">
      <c r="B879" s="225">
        <v>8637063.3458485212</v>
      </c>
      <c r="C879" s="188" t="s">
        <v>133</v>
      </c>
      <c r="D879" s="225"/>
    </row>
    <row r="880" spans="2:4" x14ac:dyDescent="0.2">
      <c r="B880" s="225">
        <v>8495031.2698863894</v>
      </c>
      <c r="C880" s="189" t="s">
        <v>134</v>
      </c>
      <c r="D880" s="225"/>
    </row>
    <row r="881" spans="2:4" x14ac:dyDescent="0.2">
      <c r="B881" s="178">
        <v>142032.07596213213</v>
      </c>
      <c r="C881" s="183" t="s">
        <v>135</v>
      </c>
      <c r="D881" s="178"/>
    </row>
    <row r="882" spans="2:4" x14ac:dyDescent="0.2">
      <c r="B882" s="178">
        <v>862644.64211648004</v>
      </c>
      <c r="C882" s="183" t="s">
        <v>136</v>
      </c>
      <c r="D882" s="178"/>
    </row>
    <row r="883" spans="2:4" x14ac:dyDescent="0.2">
      <c r="B883" s="178"/>
      <c r="C883" s="187"/>
      <c r="D883" s="178"/>
    </row>
    <row r="884" spans="2:4" x14ac:dyDescent="0.2">
      <c r="B884" s="179">
        <v>25235326.843009531</v>
      </c>
      <c r="C884" s="183" t="s">
        <v>26</v>
      </c>
      <c r="D884" s="179"/>
    </row>
    <row r="885" spans="2:4" x14ac:dyDescent="0.2">
      <c r="B885" s="178"/>
      <c r="C885" s="183" t="s">
        <v>137</v>
      </c>
      <c r="D885" s="178"/>
    </row>
    <row r="886" spans="2:4" x14ac:dyDescent="0.2">
      <c r="B886" s="178"/>
      <c r="C886" s="183" t="s">
        <v>26</v>
      </c>
      <c r="D886" s="179">
        <v>25235326.843009531</v>
      </c>
    </row>
    <row r="887" spans="2:4" x14ac:dyDescent="0.2">
      <c r="B887" s="178"/>
      <c r="C887" s="183" t="s">
        <v>133</v>
      </c>
      <c r="D887" s="178">
        <v>8495031.2698863894</v>
      </c>
    </row>
    <row r="888" spans="2:4" x14ac:dyDescent="0.2">
      <c r="B888" s="179"/>
      <c r="C888" s="190" t="s">
        <v>134</v>
      </c>
      <c r="D888" s="179">
        <v>8495031.2698863894</v>
      </c>
    </row>
    <row r="889" spans="2:4" x14ac:dyDescent="0.2">
      <c r="B889" s="180"/>
      <c r="C889" s="183" t="s">
        <v>135</v>
      </c>
      <c r="D889" s="179">
        <v>0</v>
      </c>
    </row>
    <row r="890" spans="2:4" x14ac:dyDescent="0.2">
      <c r="B890" s="180"/>
      <c r="C890" s="183" t="s">
        <v>136</v>
      </c>
      <c r="D890" s="179">
        <v>862644.64211648004</v>
      </c>
    </row>
    <row r="891" spans="2:4" x14ac:dyDescent="0.2">
      <c r="B891" s="180">
        <v>2852786.4578121896</v>
      </c>
      <c r="C891" s="187" t="s">
        <v>138</v>
      </c>
      <c r="D891" s="178">
        <v>252678.59859299692</v>
      </c>
    </row>
    <row r="892" spans="2:4" x14ac:dyDescent="0.2">
      <c r="B892" s="180"/>
      <c r="C892" s="187"/>
      <c r="D892" s="178"/>
    </row>
    <row r="893" spans="2:4" x14ac:dyDescent="0.2">
      <c r="B893" s="179">
        <v>31992894.895793207</v>
      </c>
      <c r="C893" s="183" t="s">
        <v>139</v>
      </c>
      <c r="D893" s="179"/>
    </row>
    <row r="894" spans="2:4" x14ac:dyDescent="0.2">
      <c r="B894" s="178"/>
      <c r="C894" s="186" t="s">
        <v>140</v>
      </c>
      <c r="D894" s="178"/>
    </row>
    <row r="895" spans="2:4" x14ac:dyDescent="0.2">
      <c r="B895" s="180"/>
      <c r="C895" s="186" t="s">
        <v>139</v>
      </c>
      <c r="D895" s="179">
        <v>31992894.895793207</v>
      </c>
    </row>
    <row r="896" spans="2:4" x14ac:dyDescent="0.2">
      <c r="B896" s="178">
        <v>87175.743957565646</v>
      </c>
      <c r="C896" s="183" t="s">
        <v>141</v>
      </c>
      <c r="D896" s="178">
        <v>4316.4825787071886</v>
      </c>
    </row>
    <row r="897" spans="2:4" x14ac:dyDescent="0.2">
      <c r="B897" s="179"/>
      <c r="C897" s="188"/>
      <c r="D897" s="179"/>
    </row>
    <row r="898" spans="2:4" x14ac:dyDescent="0.2">
      <c r="B898" s="178">
        <v>31910035.634414349</v>
      </c>
      <c r="C898" s="183" t="s">
        <v>142</v>
      </c>
      <c r="D898" s="179"/>
    </row>
    <row r="899" spans="2:4" x14ac:dyDescent="0.2">
      <c r="B899" s="179"/>
      <c r="C899" s="183" t="s">
        <v>143</v>
      </c>
      <c r="D899" s="179"/>
    </row>
    <row r="900" spans="2:4" x14ac:dyDescent="0.2">
      <c r="B900" s="179"/>
      <c r="C900" s="183" t="s">
        <v>144</v>
      </c>
      <c r="D900" s="179">
        <v>31910035.634414349</v>
      </c>
    </row>
    <row r="901" spans="2:4" x14ac:dyDescent="0.2">
      <c r="B901" s="178">
        <v>21513137.368223906</v>
      </c>
      <c r="C901" s="183" t="s">
        <v>121</v>
      </c>
      <c r="D901" s="178"/>
    </row>
    <row r="902" spans="2:4" x14ac:dyDescent="0.2">
      <c r="B902" s="179"/>
      <c r="C902" s="188"/>
      <c r="D902" s="179"/>
    </row>
    <row r="903" spans="2:4" x14ac:dyDescent="0.2">
      <c r="B903" s="178">
        <v>10396898.266190443</v>
      </c>
      <c r="C903" s="183" t="s">
        <v>145</v>
      </c>
      <c r="D903" s="179"/>
    </row>
    <row r="904" spans="2:4" x14ac:dyDescent="0.2">
      <c r="B904" s="179" t="s">
        <v>146</v>
      </c>
      <c r="C904" s="183"/>
      <c r="D904" s="179"/>
    </row>
    <row r="905" spans="2:4" x14ac:dyDescent="0.2">
      <c r="B905" s="179"/>
      <c r="C905" s="183" t="s">
        <v>147</v>
      </c>
      <c r="D905" s="179" t="s">
        <v>131</v>
      </c>
    </row>
    <row r="906" spans="2:4" x14ac:dyDescent="0.2">
      <c r="B906" s="178"/>
      <c r="C906" s="183" t="s">
        <v>148</v>
      </c>
      <c r="D906" s="178">
        <v>10396898.266190443</v>
      </c>
    </row>
    <row r="907" spans="2:4" x14ac:dyDescent="0.2">
      <c r="B907" s="179">
        <v>8493186.9908031765</v>
      </c>
      <c r="C907" s="188" t="s">
        <v>85</v>
      </c>
      <c r="D907" s="179"/>
    </row>
    <row r="908" spans="2:4" x14ac:dyDescent="0.2">
      <c r="B908" s="179">
        <v>29457.052705045448</v>
      </c>
      <c r="C908" s="188" t="s">
        <v>122</v>
      </c>
      <c r="D908" s="179"/>
    </row>
    <row r="909" spans="2:4" x14ac:dyDescent="0.2">
      <c r="B909" s="179">
        <v>0</v>
      </c>
      <c r="C909" s="183" t="s">
        <v>149</v>
      </c>
      <c r="D909" s="179">
        <v>746.13808808885938</v>
      </c>
    </row>
    <row r="910" spans="2:4" x14ac:dyDescent="0.2">
      <c r="B910" s="225"/>
      <c r="C910" s="183"/>
      <c r="D910" s="196"/>
    </row>
    <row r="911" spans="2:4" x14ac:dyDescent="0.2">
      <c r="B911" s="225">
        <v>1875000.3607703096</v>
      </c>
      <c r="C911" s="183" t="s">
        <v>150</v>
      </c>
      <c r="D911" s="196"/>
    </row>
    <row r="912" spans="2:4" x14ac:dyDescent="0.2">
      <c r="B912" s="193" t="s">
        <v>23</v>
      </c>
      <c r="C912" s="198"/>
      <c r="D912" s="191"/>
    </row>
    <row r="914" spans="2:4" x14ac:dyDescent="0.2">
      <c r="B914" s="203" t="s">
        <v>112</v>
      </c>
      <c r="C914" s="204" t="s">
        <v>111</v>
      </c>
      <c r="D914" s="203" t="s">
        <v>110</v>
      </c>
    </row>
    <row r="915" spans="2:4" x14ac:dyDescent="0.2">
      <c r="B915" s="205"/>
      <c r="C915" s="220">
        <v>2020</v>
      </c>
      <c r="D915" s="205"/>
    </row>
    <row r="916" spans="2:4" x14ac:dyDescent="0.2">
      <c r="B916" s="250" t="s">
        <v>127</v>
      </c>
      <c r="C916" s="250"/>
      <c r="D916" s="250"/>
    </row>
    <row r="917" spans="2:4" x14ac:dyDescent="0.2">
      <c r="B917" s="193"/>
      <c r="C917" s="183" t="s">
        <v>113</v>
      </c>
      <c r="D917" s="177">
        <v>55579583.154767819</v>
      </c>
    </row>
    <row r="918" spans="2:4" x14ac:dyDescent="0.2">
      <c r="B918" s="178">
        <v>18239022.12814945</v>
      </c>
      <c r="C918" s="183" t="s">
        <v>120</v>
      </c>
      <c r="D918" s="179"/>
    </row>
    <row r="919" spans="2:4" x14ac:dyDescent="0.2">
      <c r="B919" s="179"/>
      <c r="C919" s="186" t="s">
        <v>115</v>
      </c>
      <c r="D919" s="179">
        <v>1463757.8480866</v>
      </c>
    </row>
    <row r="920" spans="2:4" x14ac:dyDescent="0.2">
      <c r="B920" s="179"/>
      <c r="C920" s="186" t="s">
        <v>119</v>
      </c>
      <c r="D920" s="179">
        <v>560671.89931941405</v>
      </c>
    </row>
    <row r="921" spans="2:4" x14ac:dyDescent="0.2">
      <c r="B921" s="179"/>
      <c r="C921" s="186"/>
      <c r="D921" s="178"/>
    </row>
    <row r="922" spans="2:4" x14ac:dyDescent="0.2">
      <c r="B922" s="179">
        <v>38243646.975385562</v>
      </c>
      <c r="C922" s="186" t="s">
        <v>24</v>
      </c>
      <c r="D922" s="178"/>
    </row>
    <row r="923" spans="2:4" x14ac:dyDescent="0.2">
      <c r="B923" s="179" t="s">
        <v>128</v>
      </c>
      <c r="C923" s="186"/>
      <c r="D923" s="178"/>
    </row>
    <row r="924" spans="2:4" x14ac:dyDescent="0.2">
      <c r="B924" s="179"/>
      <c r="C924" s="187" t="s">
        <v>129</v>
      </c>
      <c r="D924" s="179"/>
    </row>
    <row r="925" spans="2:4" x14ac:dyDescent="0.2">
      <c r="B925" s="178"/>
      <c r="C925" s="183" t="s">
        <v>130</v>
      </c>
      <c r="D925" s="179" t="s">
        <v>131</v>
      </c>
    </row>
    <row r="926" spans="2:4" x14ac:dyDescent="0.2">
      <c r="B926" s="234"/>
      <c r="C926" s="234" t="s">
        <v>132</v>
      </c>
      <c r="D926" s="233">
        <v>38243646.975385562</v>
      </c>
    </row>
    <row r="927" spans="2:4" x14ac:dyDescent="0.2">
      <c r="B927" s="225">
        <v>9025560.464364823</v>
      </c>
      <c r="C927" s="188" t="s">
        <v>133</v>
      </c>
      <c r="D927" s="225"/>
    </row>
    <row r="928" spans="2:4" x14ac:dyDescent="0.2">
      <c r="B928" s="225">
        <v>8738929.4503331576</v>
      </c>
      <c r="C928" s="189" t="s">
        <v>134</v>
      </c>
      <c r="D928" s="225"/>
    </row>
    <row r="929" spans="2:4" x14ac:dyDescent="0.2">
      <c r="B929" s="178">
        <v>286631.01403166453</v>
      </c>
      <c r="C929" s="183" t="s">
        <v>135</v>
      </c>
      <c r="D929" s="178"/>
    </row>
    <row r="930" spans="2:4" x14ac:dyDescent="0.2">
      <c r="B930" s="178">
        <v>1449524.81833525</v>
      </c>
      <c r="C930" s="183" t="s">
        <v>136</v>
      </c>
      <c r="D930" s="178"/>
    </row>
    <row r="931" spans="2:4" x14ac:dyDescent="0.2">
      <c r="B931" s="178"/>
      <c r="C931" s="187"/>
      <c r="D931" s="178"/>
    </row>
    <row r="932" spans="2:4" x14ac:dyDescent="0.2">
      <c r="B932" s="179">
        <v>27768561.692685489</v>
      </c>
      <c r="C932" s="183" t="s">
        <v>26</v>
      </c>
      <c r="D932" s="179"/>
    </row>
    <row r="933" spans="2:4" x14ac:dyDescent="0.2">
      <c r="B933" s="178"/>
      <c r="C933" s="183" t="s">
        <v>137</v>
      </c>
      <c r="D933" s="178"/>
    </row>
    <row r="934" spans="2:4" x14ac:dyDescent="0.2">
      <c r="B934" s="178"/>
      <c r="C934" s="183" t="s">
        <v>26</v>
      </c>
      <c r="D934" s="179">
        <v>27768561.692685489</v>
      </c>
    </row>
    <row r="935" spans="2:4" x14ac:dyDescent="0.2">
      <c r="B935" s="178"/>
      <c r="C935" s="183" t="s">
        <v>133</v>
      </c>
      <c r="D935" s="178">
        <v>8738929.4503331576</v>
      </c>
    </row>
    <row r="936" spans="2:4" x14ac:dyDescent="0.2">
      <c r="B936" s="179"/>
      <c r="C936" s="190" t="s">
        <v>134</v>
      </c>
      <c r="D936" s="179">
        <v>8738929.4503331576</v>
      </c>
    </row>
    <row r="937" spans="2:4" x14ac:dyDescent="0.2">
      <c r="B937" s="180"/>
      <c r="C937" s="183" t="s">
        <v>135</v>
      </c>
      <c r="D937" s="179">
        <v>0</v>
      </c>
    </row>
    <row r="938" spans="2:4" x14ac:dyDescent="0.2">
      <c r="B938" s="180"/>
      <c r="C938" s="183" t="s">
        <v>136</v>
      </c>
      <c r="D938" s="179">
        <v>1449524.81833525</v>
      </c>
    </row>
    <row r="939" spans="2:4" x14ac:dyDescent="0.2">
      <c r="B939" s="180">
        <v>2870630.664096673</v>
      </c>
      <c r="C939" s="187" t="s">
        <v>138</v>
      </c>
      <c r="D939" s="178">
        <v>309824.70351959759</v>
      </c>
    </row>
    <row r="940" spans="2:4" x14ac:dyDescent="0.2">
      <c r="B940" s="180"/>
      <c r="C940" s="187"/>
      <c r="D940" s="178"/>
    </row>
    <row r="941" spans="2:4" x14ac:dyDescent="0.2">
      <c r="B941" s="179">
        <v>35396210.00077682</v>
      </c>
      <c r="C941" s="183" t="s">
        <v>139</v>
      </c>
      <c r="D941" s="179"/>
    </row>
    <row r="942" spans="2:4" x14ac:dyDescent="0.2">
      <c r="B942" s="178"/>
      <c r="C942" s="186" t="s">
        <v>140</v>
      </c>
      <c r="D942" s="178"/>
    </row>
    <row r="943" spans="2:4" x14ac:dyDescent="0.2">
      <c r="B943" s="180"/>
      <c r="C943" s="186" t="s">
        <v>139</v>
      </c>
      <c r="D943" s="179">
        <v>35396210.00077682</v>
      </c>
    </row>
    <row r="944" spans="2:4" x14ac:dyDescent="0.2">
      <c r="B944" s="178">
        <v>69140.136460367779</v>
      </c>
      <c r="C944" s="183" t="s">
        <v>141</v>
      </c>
      <c r="D944" s="178">
        <v>32893.196489424692</v>
      </c>
    </row>
    <row r="945" spans="2:4" x14ac:dyDescent="0.2">
      <c r="B945" s="179"/>
      <c r="C945" s="188"/>
      <c r="D945" s="179"/>
    </row>
    <row r="946" spans="2:4" x14ac:dyDescent="0.2">
      <c r="B946" s="178">
        <v>35359963.060805872</v>
      </c>
      <c r="C946" s="183" t="s">
        <v>142</v>
      </c>
      <c r="D946" s="179"/>
    </row>
    <row r="947" spans="2:4" x14ac:dyDescent="0.2">
      <c r="B947" s="179"/>
      <c r="C947" s="183" t="s">
        <v>143</v>
      </c>
      <c r="D947" s="179"/>
    </row>
    <row r="948" spans="2:4" x14ac:dyDescent="0.2">
      <c r="B948" s="179"/>
      <c r="C948" s="183" t="s">
        <v>144</v>
      </c>
      <c r="D948" s="179">
        <v>35359963.060805872</v>
      </c>
    </row>
    <row r="949" spans="2:4" x14ac:dyDescent="0.2">
      <c r="B949" s="178">
        <v>27299495.587905701</v>
      </c>
      <c r="C949" s="183" t="s">
        <v>121</v>
      </c>
      <c r="D949" s="178"/>
    </row>
    <row r="950" spans="2:4" x14ac:dyDescent="0.2">
      <c r="B950" s="179"/>
      <c r="C950" s="188"/>
      <c r="D950" s="179"/>
    </row>
    <row r="951" spans="2:4" x14ac:dyDescent="0.2">
      <c r="B951" s="178">
        <v>8060467.4729001708</v>
      </c>
      <c r="C951" s="183" t="s">
        <v>145</v>
      </c>
      <c r="D951" s="179"/>
    </row>
    <row r="952" spans="2:4" x14ac:dyDescent="0.2">
      <c r="B952" s="179" t="s">
        <v>146</v>
      </c>
      <c r="C952" s="183"/>
      <c r="D952" s="179"/>
    </row>
    <row r="953" spans="2:4" x14ac:dyDescent="0.2">
      <c r="B953" s="179"/>
      <c r="C953" s="183" t="s">
        <v>147</v>
      </c>
      <c r="D953" s="179" t="s">
        <v>131</v>
      </c>
    </row>
    <row r="954" spans="2:4" x14ac:dyDescent="0.2">
      <c r="B954" s="178"/>
      <c r="C954" s="183" t="s">
        <v>148</v>
      </c>
      <c r="D954" s="178">
        <v>8060467.4729001708</v>
      </c>
    </row>
    <row r="955" spans="2:4" x14ac:dyDescent="0.2">
      <c r="B955" s="179">
        <v>7520871.2311981246</v>
      </c>
      <c r="C955" s="188" t="s">
        <v>85</v>
      </c>
      <c r="D955" s="179"/>
    </row>
    <row r="956" spans="2:4" x14ac:dyDescent="0.2">
      <c r="B956" s="179">
        <v>35402.100070075001</v>
      </c>
      <c r="C956" s="188" t="s">
        <v>122</v>
      </c>
      <c r="D956" s="179"/>
    </row>
    <row r="957" spans="2:4" x14ac:dyDescent="0.2">
      <c r="B957" s="179">
        <v>0</v>
      </c>
      <c r="C957" s="183" t="s">
        <v>149</v>
      </c>
      <c r="D957" s="179">
        <v>703.11665940251851</v>
      </c>
    </row>
    <row r="958" spans="2:4" x14ac:dyDescent="0.2">
      <c r="B958" s="225"/>
      <c r="C958" s="183"/>
      <c r="D958" s="196"/>
    </row>
    <row r="959" spans="2:4" x14ac:dyDescent="0.2">
      <c r="B959" s="225">
        <v>504897.25829137408</v>
      </c>
      <c r="C959" s="183" t="s">
        <v>150</v>
      </c>
      <c r="D959" s="196"/>
    </row>
    <row r="960" spans="2:4" x14ac:dyDescent="0.2">
      <c r="B960" s="193" t="s">
        <v>23</v>
      </c>
      <c r="C960" s="198"/>
      <c r="D960" s="191"/>
    </row>
    <row r="962" spans="2:4" x14ac:dyDescent="0.2">
      <c r="B962" s="203" t="s">
        <v>112</v>
      </c>
      <c r="C962" s="204" t="s">
        <v>111</v>
      </c>
      <c r="D962" s="203" t="s">
        <v>110</v>
      </c>
    </row>
    <row r="963" spans="2:4" x14ac:dyDescent="0.2">
      <c r="B963" s="205"/>
      <c r="C963" s="220">
        <v>2021</v>
      </c>
      <c r="D963" s="205"/>
    </row>
    <row r="964" spans="2:4" x14ac:dyDescent="0.2">
      <c r="B964" s="250" t="s">
        <v>127</v>
      </c>
      <c r="C964" s="250"/>
      <c r="D964" s="250"/>
    </row>
    <row r="965" spans="2:4" x14ac:dyDescent="0.2">
      <c r="B965" s="193"/>
      <c r="C965" s="183" t="s">
        <v>113</v>
      </c>
      <c r="D965" s="177">
        <v>78491020.722310945</v>
      </c>
    </row>
    <row r="966" spans="2:4" x14ac:dyDescent="0.2">
      <c r="B966" s="178">
        <v>26642389.585756127</v>
      </c>
      <c r="C966" s="183" t="s">
        <v>120</v>
      </c>
      <c r="D966" s="179"/>
    </row>
    <row r="967" spans="2:4" x14ac:dyDescent="0.2">
      <c r="B967" s="179"/>
      <c r="C967" s="186" t="s">
        <v>115</v>
      </c>
      <c r="D967" s="179">
        <v>1826380.4358501898</v>
      </c>
    </row>
    <row r="968" spans="2:4" x14ac:dyDescent="0.2">
      <c r="B968" s="179"/>
      <c r="C968" s="186" t="s">
        <v>119</v>
      </c>
      <c r="D968" s="179">
        <v>1251263.1963042</v>
      </c>
    </row>
    <row r="969" spans="2:4" x14ac:dyDescent="0.2">
      <c r="B969" s="179"/>
      <c r="C969" s="186"/>
      <c r="D969" s="178"/>
    </row>
    <row r="970" spans="2:4" x14ac:dyDescent="0.2">
      <c r="B970" s="179">
        <v>52423748.376100808</v>
      </c>
      <c r="C970" s="186" t="s">
        <v>24</v>
      </c>
      <c r="D970" s="178"/>
    </row>
    <row r="971" spans="2:4" x14ac:dyDescent="0.2">
      <c r="B971" s="179" t="s">
        <v>128</v>
      </c>
      <c r="C971" s="186"/>
      <c r="D971" s="178"/>
    </row>
    <row r="972" spans="2:4" x14ac:dyDescent="0.2">
      <c r="B972" s="179"/>
      <c r="C972" s="187" t="s">
        <v>129</v>
      </c>
      <c r="D972" s="179"/>
    </row>
    <row r="973" spans="2:4" x14ac:dyDescent="0.2">
      <c r="B973" s="178"/>
      <c r="C973" s="183" t="s">
        <v>130</v>
      </c>
      <c r="D973" s="179" t="s">
        <v>131</v>
      </c>
    </row>
    <row r="974" spans="2:4" x14ac:dyDescent="0.2">
      <c r="B974" s="234"/>
      <c r="C974" s="234" t="s">
        <v>132</v>
      </c>
      <c r="D974" s="233">
        <v>52423748.376100808</v>
      </c>
    </row>
    <row r="975" spans="2:4" x14ac:dyDescent="0.2">
      <c r="B975" s="225">
        <v>12630207.570882987</v>
      </c>
      <c r="C975" s="188" t="s">
        <v>133</v>
      </c>
      <c r="D975" s="225"/>
    </row>
    <row r="976" spans="2:4" x14ac:dyDescent="0.2">
      <c r="B976" s="225">
        <v>12375596.434503527</v>
      </c>
      <c r="C976" s="189" t="s">
        <v>134</v>
      </c>
      <c r="D976" s="225"/>
    </row>
    <row r="977" spans="2:4" x14ac:dyDescent="0.2">
      <c r="B977" s="178">
        <v>254611.13637946028</v>
      </c>
      <c r="C977" s="183" t="s">
        <v>135</v>
      </c>
      <c r="D977" s="178"/>
    </row>
    <row r="978" spans="2:4" x14ac:dyDescent="0.2">
      <c r="B978" s="178">
        <v>1770174.5400872396</v>
      </c>
      <c r="C978" s="183" t="s">
        <v>136</v>
      </c>
      <c r="D978" s="178"/>
    </row>
    <row r="979" spans="2:4" x14ac:dyDescent="0.2">
      <c r="B979" s="178"/>
      <c r="C979" s="187"/>
      <c r="D979" s="178"/>
    </row>
    <row r="980" spans="2:4" x14ac:dyDescent="0.2">
      <c r="B980" s="179">
        <v>38023366.265130579</v>
      </c>
      <c r="C980" s="183" t="s">
        <v>26</v>
      </c>
      <c r="D980" s="179"/>
    </row>
    <row r="981" spans="2:4" x14ac:dyDescent="0.2">
      <c r="B981" s="178"/>
      <c r="C981" s="183" t="s">
        <v>137</v>
      </c>
      <c r="D981" s="178"/>
    </row>
    <row r="982" spans="2:4" x14ac:dyDescent="0.2">
      <c r="B982" s="178"/>
      <c r="C982" s="183" t="s">
        <v>26</v>
      </c>
      <c r="D982" s="179">
        <v>38023366.265130579</v>
      </c>
    </row>
    <row r="983" spans="2:4" x14ac:dyDescent="0.2">
      <c r="B983" s="178"/>
      <c r="C983" s="183" t="s">
        <v>133</v>
      </c>
      <c r="D983" s="178">
        <v>12375596.434503527</v>
      </c>
    </row>
    <row r="984" spans="2:4" x14ac:dyDescent="0.2">
      <c r="B984" s="179"/>
      <c r="C984" s="190" t="s">
        <v>134</v>
      </c>
      <c r="D984" s="179">
        <v>12375596.434503527</v>
      </c>
    </row>
    <row r="985" spans="2:4" x14ac:dyDescent="0.2">
      <c r="B985" s="180"/>
      <c r="C985" s="183" t="s">
        <v>135</v>
      </c>
      <c r="D985" s="179">
        <v>0</v>
      </c>
    </row>
    <row r="986" spans="2:4" x14ac:dyDescent="0.2">
      <c r="B986" s="180"/>
      <c r="C986" s="183" t="s">
        <v>136</v>
      </c>
      <c r="D986" s="179">
        <v>1770174.5400872396</v>
      </c>
    </row>
    <row r="987" spans="2:4" x14ac:dyDescent="0.2">
      <c r="B987" s="180">
        <v>3576820.6117603779</v>
      </c>
      <c r="C987" s="187" t="s">
        <v>138</v>
      </c>
      <c r="D987" s="178">
        <v>221441.11944991257</v>
      </c>
    </row>
    <row r="988" spans="2:4" x14ac:dyDescent="0.2">
      <c r="B988" s="180"/>
      <c r="C988" s="187"/>
      <c r="D988" s="178"/>
    </row>
    <row r="989" spans="2:4" x14ac:dyDescent="0.2">
      <c r="B989" s="179">
        <v>48813757.747410879</v>
      </c>
      <c r="C989" s="183" t="s">
        <v>139</v>
      </c>
      <c r="D989" s="179"/>
    </row>
    <row r="990" spans="2:4" x14ac:dyDescent="0.2">
      <c r="B990" s="178"/>
      <c r="C990" s="186" t="s">
        <v>140</v>
      </c>
      <c r="D990" s="178"/>
    </row>
    <row r="991" spans="2:4" x14ac:dyDescent="0.2">
      <c r="B991" s="180"/>
      <c r="C991" s="186" t="s">
        <v>139</v>
      </c>
      <c r="D991" s="179">
        <v>48813757.747410879</v>
      </c>
    </row>
    <row r="992" spans="2:4" x14ac:dyDescent="0.2">
      <c r="B992" s="178">
        <v>421655.17601233587</v>
      </c>
      <c r="C992" s="183" t="s">
        <v>141</v>
      </c>
      <c r="D992" s="178">
        <v>18220.145828102475</v>
      </c>
    </row>
    <row r="993" spans="2:4" x14ac:dyDescent="0.2">
      <c r="B993" s="179"/>
      <c r="C993" s="188"/>
      <c r="D993" s="179"/>
    </row>
    <row r="994" spans="2:4" x14ac:dyDescent="0.2">
      <c r="B994" s="178">
        <v>48410322.717226647</v>
      </c>
      <c r="C994" s="183" t="s">
        <v>142</v>
      </c>
      <c r="D994" s="179"/>
    </row>
    <row r="995" spans="2:4" x14ac:dyDescent="0.2">
      <c r="B995" s="179"/>
      <c r="C995" s="183" t="s">
        <v>143</v>
      </c>
      <c r="D995" s="179"/>
    </row>
    <row r="996" spans="2:4" x14ac:dyDescent="0.2">
      <c r="B996" s="179"/>
      <c r="C996" s="183" t="s">
        <v>144</v>
      </c>
      <c r="D996" s="179">
        <v>48410322.717226647</v>
      </c>
    </row>
    <row r="997" spans="2:4" x14ac:dyDescent="0.2">
      <c r="B997" s="178">
        <v>34651321.323271833</v>
      </c>
      <c r="C997" s="183" t="s">
        <v>121</v>
      </c>
      <c r="D997" s="178"/>
    </row>
    <row r="998" spans="2:4" x14ac:dyDescent="0.2">
      <c r="B998" s="179"/>
      <c r="C998" s="188"/>
      <c r="D998" s="179"/>
    </row>
    <row r="999" spans="2:4" x14ac:dyDescent="0.2">
      <c r="B999" s="178">
        <v>13759001.393954813</v>
      </c>
      <c r="C999" s="183" t="s">
        <v>145</v>
      </c>
      <c r="D999" s="179"/>
    </row>
    <row r="1000" spans="2:4" x14ac:dyDescent="0.2">
      <c r="B1000" s="179" t="s">
        <v>146</v>
      </c>
      <c r="C1000" s="183"/>
      <c r="D1000" s="179"/>
    </row>
    <row r="1001" spans="2:4" x14ac:dyDescent="0.2">
      <c r="B1001" s="179"/>
      <c r="C1001" s="183" t="s">
        <v>147</v>
      </c>
      <c r="D1001" s="179" t="s">
        <v>131</v>
      </c>
    </row>
    <row r="1002" spans="2:4" x14ac:dyDescent="0.2">
      <c r="B1002" s="178"/>
      <c r="C1002" s="183" t="s">
        <v>148</v>
      </c>
      <c r="D1002" s="178">
        <v>13759001.393954813</v>
      </c>
    </row>
    <row r="1003" spans="2:4" x14ac:dyDescent="0.2">
      <c r="B1003" s="179">
        <v>8502828.0301657896</v>
      </c>
      <c r="C1003" s="188" t="s">
        <v>85</v>
      </c>
      <c r="D1003" s="179"/>
    </row>
    <row r="1004" spans="2:4" x14ac:dyDescent="0.2">
      <c r="B1004" s="179">
        <v>13745.941870329709</v>
      </c>
      <c r="C1004" s="188" t="s">
        <v>122</v>
      </c>
      <c r="D1004" s="179"/>
    </row>
    <row r="1005" spans="2:4" x14ac:dyDescent="0.2">
      <c r="B1005" s="179">
        <v>0</v>
      </c>
      <c r="C1005" s="183" t="s">
        <v>149</v>
      </c>
      <c r="D1005" s="179">
        <v>1223.3772256936957</v>
      </c>
    </row>
    <row r="1006" spans="2:4" x14ac:dyDescent="0.2">
      <c r="B1006" s="225"/>
      <c r="C1006" s="183"/>
      <c r="D1006" s="196"/>
    </row>
    <row r="1007" spans="2:4" x14ac:dyDescent="0.2">
      <c r="B1007" s="225">
        <v>5243650.7991443872</v>
      </c>
      <c r="C1007" s="183" t="s">
        <v>150</v>
      </c>
      <c r="D1007" s="196"/>
    </row>
    <row r="1008" spans="2:4" x14ac:dyDescent="0.2">
      <c r="B1008" s="193" t="s">
        <v>23</v>
      </c>
      <c r="C1008" s="198"/>
      <c r="D1008" s="191"/>
    </row>
    <row r="1010" spans="2:4" x14ac:dyDescent="0.2">
      <c r="B1010" s="203" t="s">
        <v>112</v>
      </c>
      <c r="C1010" s="204" t="s">
        <v>111</v>
      </c>
      <c r="D1010" s="203" t="s">
        <v>110</v>
      </c>
    </row>
    <row r="1011" spans="2:4" x14ac:dyDescent="0.2">
      <c r="B1011" s="205"/>
      <c r="C1011" s="220">
        <v>2022</v>
      </c>
      <c r="D1011" s="205"/>
    </row>
    <row r="1012" spans="2:4" x14ac:dyDescent="0.2">
      <c r="B1012" s="250" t="s">
        <v>127</v>
      </c>
      <c r="C1012" s="250"/>
      <c r="D1012" s="250"/>
    </row>
    <row r="1013" spans="2:4" x14ac:dyDescent="0.2">
      <c r="B1013" s="193"/>
      <c r="C1013" s="183" t="s">
        <v>113</v>
      </c>
      <c r="D1013" s="177">
        <v>97798263.04466401</v>
      </c>
    </row>
    <row r="1014" spans="2:4" x14ac:dyDescent="0.2">
      <c r="B1014" s="178">
        <v>33791377.621896833</v>
      </c>
      <c r="C1014" s="183" t="s">
        <v>120</v>
      </c>
      <c r="D1014" s="179"/>
    </row>
    <row r="1015" spans="2:4" x14ac:dyDescent="0.2">
      <c r="B1015" s="179"/>
      <c r="C1015" s="186" t="s">
        <v>115</v>
      </c>
      <c r="D1015" s="179">
        <v>2080833.7340851002</v>
      </c>
    </row>
    <row r="1016" spans="2:4" x14ac:dyDescent="0.2">
      <c r="B1016" s="179"/>
      <c r="C1016" s="186" t="s">
        <v>119</v>
      </c>
      <c r="D1016" s="179">
        <v>1990241.69541605</v>
      </c>
    </row>
    <row r="1017" spans="2:4" x14ac:dyDescent="0.2">
      <c r="B1017" s="179"/>
      <c r="C1017" s="186"/>
      <c r="D1017" s="178"/>
    </row>
    <row r="1018" spans="2:4" x14ac:dyDescent="0.2">
      <c r="B1018" s="179">
        <v>64097477.461436227</v>
      </c>
      <c r="C1018" s="186" t="s">
        <v>24</v>
      </c>
      <c r="D1018" s="178"/>
    </row>
    <row r="1019" spans="2:4" x14ac:dyDescent="0.2">
      <c r="B1019" s="179" t="s">
        <v>128</v>
      </c>
      <c r="C1019" s="186"/>
      <c r="D1019" s="178"/>
    </row>
    <row r="1020" spans="2:4" x14ac:dyDescent="0.2">
      <c r="B1020" s="179"/>
      <c r="C1020" s="187" t="s">
        <v>129</v>
      </c>
      <c r="D1020" s="179"/>
    </row>
    <row r="1021" spans="2:4" x14ac:dyDescent="0.2">
      <c r="B1021" s="178"/>
      <c r="C1021" s="183" t="s">
        <v>130</v>
      </c>
      <c r="D1021" s="179" t="s">
        <v>131</v>
      </c>
    </row>
    <row r="1022" spans="2:4" x14ac:dyDescent="0.2">
      <c r="B1022" s="234"/>
      <c r="C1022" s="234" t="s">
        <v>132</v>
      </c>
      <c r="D1022" s="233">
        <v>64097477.461436227</v>
      </c>
    </row>
    <row r="1023" spans="2:4" x14ac:dyDescent="0.2">
      <c r="B1023" s="225">
        <v>15048707.536457255</v>
      </c>
      <c r="C1023" s="188" t="s">
        <v>133</v>
      </c>
      <c r="D1023" s="225"/>
    </row>
    <row r="1024" spans="2:4" x14ac:dyDescent="0.2">
      <c r="B1024" s="225">
        <v>14869004.330826603</v>
      </c>
      <c r="C1024" s="189" t="s">
        <v>134</v>
      </c>
      <c r="D1024" s="225"/>
    </row>
    <row r="1025" spans="2:4" x14ac:dyDescent="0.2">
      <c r="B1025" s="178">
        <v>179703.20563065191</v>
      </c>
      <c r="C1025" s="183" t="s">
        <v>135</v>
      </c>
      <c r="D1025" s="178"/>
    </row>
    <row r="1026" spans="2:4" x14ac:dyDescent="0.2">
      <c r="B1026" s="178">
        <v>2003418.7429266104</v>
      </c>
      <c r="C1026" s="183" t="s">
        <v>136</v>
      </c>
      <c r="D1026" s="178"/>
    </row>
    <row r="1027" spans="2:4" x14ac:dyDescent="0.2">
      <c r="B1027" s="178"/>
      <c r="C1027" s="187"/>
      <c r="D1027" s="178"/>
    </row>
    <row r="1028" spans="2:4" x14ac:dyDescent="0.2">
      <c r="B1028" s="179">
        <v>47045351.182052359</v>
      </c>
      <c r="C1028" s="183" t="s">
        <v>26</v>
      </c>
      <c r="D1028" s="179"/>
    </row>
    <row r="1029" spans="2:4" x14ac:dyDescent="0.2">
      <c r="B1029" s="178"/>
      <c r="C1029" s="183" t="s">
        <v>137</v>
      </c>
      <c r="D1029" s="178"/>
    </row>
    <row r="1030" spans="2:4" x14ac:dyDescent="0.2">
      <c r="B1030" s="178"/>
      <c r="C1030" s="183" t="s">
        <v>26</v>
      </c>
      <c r="D1030" s="179">
        <v>47045351.182052359</v>
      </c>
    </row>
    <row r="1031" spans="2:4" x14ac:dyDescent="0.2">
      <c r="B1031" s="178"/>
      <c r="C1031" s="183" t="s">
        <v>133</v>
      </c>
      <c r="D1031" s="178">
        <v>14869004.330826603</v>
      </c>
    </row>
    <row r="1032" spans="2:4" x14ac:dyDescent="0.2">
      <c r="B1032" s="179"/>
      <c r="C1032" s="190" t="s">
        <v>134</v>
      </c>
      <c r="D1032" s="179">
        <v>14869004.330826603</v>
      </c>
    </row>
    <row r="1033" spans="2:4" x14ac:dyDescent="0.2">
      <c r="B1033" s="180"/>
      <c r="C1033" s="183" t="s">
        <v>135</v>
      </c>
      <c r="D1033" s="179">
        <v>0</v>
      </c>
    </row>
    <row r="1034" spans="2:4" x14ac:dyDescent="0.2">
      <c r="B1034" s="180"/>
      <c r="C1034" s="183" t="s">
        <v>136</v>
      </c>
      <c r="D1034" s="179">
        <v>2003418.7429266104</v>
      </c>
    </row>
    <row r="1035" spans="2:4" x14ac:dyDescent="0.2">
      <c r="B1035" s="180">
        <v>3906935.9187176833</v>
      </c>
      <c r="C1035" s="187" t="s">
        <v>138</v>
      </c>
      <c r="D1035" s="178">
        <v>81483.722605844043</v>
      </c>
    </row>
    <row r="1036" spans="2:4" x14ac:dyDescent="0.2">
      <c r="B1036" s="180"/>
      <c r="C1036" s="187"/>
      <c r="D1036" s="178"/>
    </row>
    <row r="1037" spans="2:4" x14ac:dyDescent="0.2">
      <c r="B1037" s="179">
        <v>60092322.059693739</v>
      </c>
      <c r="C1037" s="183" t="s">
        <v>139</v>
      </c>
      <c r="D1037" s="179"/>
    </row>
    <row r="1038" spans="2:4" x14ac:dyDescent="0.2">
      <c r="B1038" s="178"/>
      <c r="C1038" s="186" t="s">
        <v>140</v>
      </c>
      <c r="D1038" s="178"/>
    </row>
    <row r="1039" spans="2:4" x14ac:dyDescent="0.2">
      <c r="B1039" s="180"/>
      <c r="C1039" s="186" t="s">
        <v>139</v>
      </c>
      <c r="D1039" s="179">
        <v>60092322.059693739</v>
      </c>
    </row>
    <row r="1040" spans="2:4" x14ac:dyDescent="0.2">
      <c r="B1040" s="178">
        <v>518182.81289007602</v>
      </c>
      <c r="C1040" s="183" t="s">
        <v>141</v>
      </c>
      <c r="D1040" s="178">
        <v>12944.677531809135</v>
      </c>
    </row>
    <row r="1041" spans="2:4" x14ac:dyDescent="0.2">
      <c r="B1041" s="179"/>
      <c r="C1041" s="188"/>
      <c r="D1041" s="179"/>
    </row>
    <row r="1042" spans="2:4" x14ac:dyDescent="0.2">
      <c r="B1042" s="178">
        <v>59587083.924335472</v>
      </c>
      <c r="C1042" s="183" t="s">
        <v>142</v>
      </c>
      <c r="D1042" s="179"/>
    </row>
    <row r="1043" spans="2:4" x14ac:dyDescent="0.2">
      <c r="B1043" s="179"/>
      <c r="C1043" s="183" t="s">
        <v>143</v>
      </c>
      <c r="D1043" s="179"/>
    </row>
    <row r="1044" spans="2:4" x14ac:dyDescent="0.2">
      <c r="B1044" s="179"/>
      <c r="C1044" s="183" t="s">
        <v>144</v>
      </c>
      <c r="D1044" s="179">
        <v>59587083.924335472</v>
      </c>
    </row>
    <row r="1045" spans="2:4" x14ac:dyDescent="0.2">
      <c r="B1045" s="178">
        <v>44871344.609868728</v>
      </c>
      <c r="C1045" s="183" t="s">
        <v>121</v>
      </c>
      <c r="D1045" s="178"/>
    </row>
    <row r="1046" spans="2:4" x14ac:dyDescent="0.2">
      <c r="B1046" s="179"/>
      <c r="C1046" s="188"/>
      <c r="D1046" s="179"/>
    </row>
    <row r="1047" spans="2:4" x14ac:dyDescent="0.2">
      <c r="B1047" s="178">
        <v>14715739.314466745</v>
      </c>
      <c r="C1047" s="183" t="s">
        <v>145</v>
      </c>
      <c r="D1047" s="179"/>
    </row>
    <row r="1048" spans="2:4" x14ac:dyDescent="0.2">
      <c r="B1048" s="179" t="s">
        <v>146</v>
      </c>
      <c r="C1048" s="183"/>
      <c r="D1048" s="179"/>
    </row>
    <row r="1049" spans="2:4" x14ac:dyDescent="0.2">
      <c r="B1049" s="179"/>
      <c r="C1049" s="183" t="s">
        <v>147</v>
      </c>
      <c r="D1049" s="179" t="s">
        <v>131</v>
      </c>
    </row>
    <row r="1050" spans="2:4" x14ac:dyDescent="0.2">
      <c r="B1050" s="178"/>
      <c r="C1050" s="183" t="s">
        <v>148</v>
      </c>
      <c r="D1050" s="178">
        <v>14715739.314466745</v>
      </c>
    </row>
    <row r="1051" spans="2:4" x14ac:dyDescent="0.2">
      <c r="B1051" s="179">
        <v>9271937.4786054809</v>
      </c>
      <c r="C1051" s="188" t="s">
        <v>85</v>
      </c>
      <c r="D1051" s="179"/>
    </row>
    <row r="1052" spans="2:4" x14ac:dyDescent="0.2">
      <c r="B1052" s="179">
        <v>26201.698215150052</v>
      </c>
      <c r="C1052" s="188" t="s">
        <v>122</v>
      </c>
      <c r="D1052" s="179"/>
    </row>
    <row r="1053" spans="2:4" x14ac:dyDescent="0.2">
      <c r="B1053" s="179">
        <v>990.46618512166276</v>
      </c>
      <c r="C1053" s="183" t="s">
        <v>149</v>
      </c>
      <c r="D1053" s="179"/>
    </row>
    <row r="1054" spans="2:4" x14ac:dyDescent="0.2">
      <c r="B1054" s="225"/>
      <c r="C1054" s="183"/>
      <c r="D1054" s="196"/>
    </row>
    <row r="1055" spans="2:4" x14ac:dyDescent="0.2">
      <c r="B1055" s="225">
        <v>5416609.6714609917</v>
      </c>
      <c r="C1055" s="183" t="s">
        <v>150</v>
      </c>
      <c r="D1055" s="196"/>
    </row>
    <row r="1056" spans="2:4" x14ac:dyDescent="0.2">
      <c r="B1056" s="193" t="s">
        <v>23</v>
      </c>
      <c r="C1056" s="198"/>
      <c r="D1056" s="191"/>
    </row>
    <row r="1057" spans="2:4" x14ac:dyDescent="0.2">
      <c r="B1057" s="203" t="s">
        <v>112</v>
      </c>
      <c r="C1057" s="204" t="s">
        <v>111</v>
      </c>
      <c r="D1057" s="203" t="s">
        <v>110</v>
      </c>
    </row>
    <row r="1058" spans="2:4" x14ac:dyDescent="0.2">
      <c r="B1058" s="205"/>
      <c r="C1058" s="220">
        <v>2023</v>
      </c>
      <c r="D1058" s="205"/>
    </row>
    <row r="1059" spans="2:4" x14ac:dyDescent="0.2">
      <c r="B1059" s="250" t="s">
        <v>127</v>
      </c>
      <c r="C1059" s="250"/>
      <c r="D1059" s="250"/>
    </row>
    <row r="1060" spans="2:4" x14ac:dyDescent="0.2">
      <c r="B1060" s="193"/>
      <c r="C1060" s="183" t="s">
        <v>113</v>
      </c>
      <c r="D1060" s="177">
        <v>118034353.82079528</v>
      </c>
    </row>
    <row r="1061" spans="2:4" x14ac:dyDescent="0.2">
      <c r="B1061" s="178">
        <v>40406611.571392991</v>
      </c>
      <c r="C1061" s="183" t="s">
        <v>120</v>
      </c>
      <c r="D1061" s="179"/>
    </row>
    <row r="1062" spans="2:4" x14ac:dyDescent="0.2">
      <c r="B1062" s="179"/>
      <c r="C1062" s="186" t="s">
        <v>115</v>
      </c>
      <c r="D1062" s="179">
        <v>2193461.2645629905</v>
      </c>
    </row>
    <row r="1063" spans="2:4" x14ac:dyDescent="0.2">
      <c r="B1063" s="179"/>
      <c r="C1063" s="186" t="s">
        <v>119</v>
      </c>
      <c r="D1063" s="179">
        <v>2321335.87132063</v>
      </c>
    </row>
    <row r="1064" spans="2:4" x14ac:dyDescent="0.2">
      <c r="B1064" s="179"/>
      <c r="C1064" s="186"/>
      <c r="D1064" s="178"/>
    </row>
    <row r="1065" spans="2:4" x14ac:dyDescent="0.2">
      <c r="B1065" s="179">
        <v>77499867.642644644</v>
      </c>
      <c r="C1065" s="186" t="s">
        <v>24</v>
      </c>
      <c r="D1065" s="178"/>
    </row>
    <row r="1066" spans="2:4" x14ac:dyDescent="0.2">
      <c r="B1066" s="179" t="s">
        <v>128</v>
      </c>
      <c r="C1066" s="186"/>
      <c r="D1066" s="178"/>
    </row>
    <row r="1067" spans="2:4" x14ac:dyDescent="0.2">
      <c r="B1067" s="179"/>
      <c r="C1067" s="187" t="s">
        <v>129</v>
      </c>
      <c r="D1067" s="179"/>
    </row>
    <row r="1068" spans="2:4" x14ac:dyDescent="0.2">
      <c r="B1068" s="178"/>
      <c r="C1068" s="183" t="s">
        <v>130</v>
      </c>
      <c r="D1068" s="179" t="s">
        <v>131</v>
      </c>
    </row>
    <row r="1069" spans="2:4" x14ac:dyDescent="0.2">
      <c r="B1069" s="234"/>
      <c r="C1069" s="234" t="s">
        <v>132</v>
      </c>
      <c r="D1069" s="233">
        <v>77499867.642644644</v>
      </c>
    </row>
    <row r="1070" spans="2:4" x14ac:dyDescent="0.2">
      <c r="B1070" s="225">
        <v>17038771.549412746</v>
      </c>
      <c r="C1070" s="188" t="s">
        <v>133</v>
      </c>
      <c r="D1070" s="225"/>
    </row>
    <row r="1071" spans="2:4" x14ac:dyDescent="0.2">
      <c r="B1071" s="225">
        <v>16830129.458600178</v>
      </c>
      <c r="C1071" s="189" t="s">
        <v>134</v>
      </c>
      <c r="D1071" s="225"/>
    </row>
    <row r="1072" spans="2:4" x14ac:dyDescent="0.2">
      <c r="B1072" s="178">
        <v>208642.09081256881</v>
      </c>
      <c r="C1072" s="183" t="s">
        <v>135</v>
      </c>
      <c r="D1072" s="178"/>
    </row>
    <row r="1073" spans="2:4" x14ac:dyDescent="0.2">
      <c r="B1073" s="178">
        <v>2153638.0280759106</v>
      </c>
      <c r="C1073" s="183" t="s">
        <v>136</v>
      </c>
      <c r="D1073" s="178"/>
    </row>
    <row r="1074" spans="2:4" x14ac:dyDescent="0.2">
      <c r="B1074" s="178"/>
      <c r="C1074" s="187"/>
      <c r="D1074" s="178"/>
    </row>
    <row r="1075" spans="2:4" x14ac:dyDescent="0.2">
      <c r="B1075" s="179">
        <v>58307458.06515599</v>
      </c>
      <c r="C1075" s="183" t="s">
        <v>26</v>
      </c>
      <c r="D1075" s="179"/>
    </row>
    <row r="1076" spans="2:4" x14ac:dyDescent="0.2">
      <c r="B1076" s="178"/>
      <c r="C1076" s="183" t="s">
        <v>137</v>
      </c>
      <c r="D1076" s="178"/>
    </row>
    <row r="1077" spans="2:4" x14ac:dyDescent="0.2">
      <c r="B1077" s="178"/>
      <c r="C1077" s="183" t="s">
        <v>26</v>
      </c>
      <c r="D1077" s="179">
        <v>58307458.06515599</v>
      </c>
    </row>
    <row r="1078" spans="2:4" x14ac:dyDescent="0.2">
      <c r="B1078" s="178"/>
      <c r="C1078" s="183" t="s">
        <v>133</v>
      </c>
      <c r="D1078" s="178">
        <v>16830129.458600178</v>
      </c>
    </row>
    <row r="1079" spans="2:4" x14ac:dyDescent="0.2">
      <c r="B1079" s="179"/>
      <c r="C1079" s="190" t="s">
        <v>134</v>
      </c>
      <c r="D1079" s="179">
        <v>16830129.458600178</v>
      </c>
    </row>
    <row r="1080" spans="2:4" x14ac:dyDescent="0.2">
      <c r="B1080" s="180"/>
      <c r="C1080" s="183" t="s">
        <v>135</v>
      </c>
      <c r="D1080" s="179">
        <v>0</v>
      </c>
    </row>
    <row r="1081" spans="2:4" x14ac:dyDescent="0.2">
      <c r="B1081" s="180"/>
      <c r="C1081" s="183" t="s">
        <v>136</v>
      </c>
      <c r="D1081" s="179">
        <v>2153638.0280759106</v>
      </c>
    </row>
    <row r="1082" spans="2:4" x14ac:dyDescent="0.2">
      <c r="B1082" s="180">
        <v>6073988.3293207288</v>
      </c>
      <c r="C1082" s="187" t="s">
        <v>138</v>
      </c>
      <c r="D1082" s="178">
        <v>398537.67169577192</v>
      </c>
    </row>
    <row r="1083" spans="2:4" x14ac:dyDescent="0.2">
      <c r="B1083" s="180"/>
      <c r="C1083" s="187"/>
      <c r="D1083" s="178"/>
    </row>
    <row r="1084" spans="2:4" x14ac:dyDescent="0.2">
      <c r="B1084" s="179">
        <v>71615774.89420712</v>
      </c>
      <c r="C1084" s="183" t="s">
        <v>139</v>
      </c>
      <c r="D1084" s="179"/>
    </row>
    <row r="1085" spans="2:4" x14ac:dyDescent="0.2">
      <c r="B1085" s="178"/>
      <c r="C1085" s="186" t="s">
        <v>140</v>
      </c>
      <c r="D1085" s="178"/>
    </row>
    <row r="1086" spans="2:4" x14ac:dyDescent="0.2">
      <c r="B1086" s="180"/>
      <c r="C1086" s="186" t="s">
        <v>139</v>
      </c>
      <c r="D1086" s="179">
        <v>71615774.89420712</v>
      </c>
    </row>
    <row r="1087" spans="2:4" x14ac:dyDescent="0.2">
      <c r="B1087" s="178">
        <v>343021.60784838779</v>
      </c>
      <c r="C1087" s="183" t="s">
        <v>141</v>
      </c>
      <c r="D1087" s="178">
        <v>10722.763794828754</v>
      </c>
    </row>
    <row r="1088" spans="2:4" x14ac:dyDescent="0.2">
      <c r="B1088" s="179"/>
      <c r="C1088" s="188"/>
      <c r="D1088" s="179"/>
    </row>
    <row r="1089" spans="2:4" x14ac:dyDescent="0.2">
      <c r="B1089" s="178">
        <v>71283476.050153553</v>
      </c>
      <c r="C1089" s="183" t="s">
        <v>142</v>
      </c>
      <c r="D1089" s="179"/>
    </row>
    <row r="1090" spans="2:4" x14ac:dyDescent="0.2">
      <c r="B1090" s="179"/>
      <c r="C1090" s="183" t="s">
        <v>143</v>
      </c>
      <c r="D1090" s="179"/>
    </row>
    <row r="1091" spans="2:4" x14ac:dyDescent="0.2">
      <c r="B1091" s="179"/>
      <c r="C1091" s="183" t="s">
        <v>144</v>
      </c>
      <c r="D1091" s="179">
        <v>71283476.050153553</v>
      </c>
    </row>
    <row r="1092" spans="2:4" x14ac:dyDescent="0.2">
      <c r="B1092" s="178">
        <v>58767686.415394947</v>
      </c>
      <c r="C1092" s="183" t="s">
        <v>121</v>
      </c>
      <c r="D1092" s="178"/>
    </row>
    <row r="1093" spans="2:4" x14ac:dyDescent="0.2">
      <c r="B1093" s="179"/>
      <c r="C1093" s="188"/>
      <c r="D1093" s="179"/>
    </row>
    <row r="1094" spans="2:4" x14ac:dyDescent="0.2">
      <c r="B1094" s="178">
        <v>12515789.634758607</v>
      </c>
      <c r="C1094" s="183" t="s">
        <v>145</v>
      </c>
      <c r="D1094" s="179"/>
    </row>
    <row r="1095" spans="2:4" x14ac:dyDescent="0.2">
      <c r="B1095" s="179" t="s">
        <v>146</v>
      </c>
      <c r="C1095" s="183"/>
      <c r="D1095" s="179"/>
    </row>
    <row r="1096" spans="2:4" x14ac:dyDescent="0.2">
      <c r="B1096" s="179"/>
      <c r="C1096" s="183" t="s">
        <v>147</v>
      </c>
      <c r="D1096" s="179" t="s">
        <v>131</v>
      </c>
    </row>
    <row r="1097" spans="2:4" x14ac:dyDescent="0.2">
      <c r="B1097" s="178"/>
      <c r="C1097" s="183" t="s">
        <v>148</v>
      </c>
      <c r="D1097" s="178">
        <v>12515789.634758607</v>
      </c>
    </row>
    <row r="1098" spans="2:4" x14ac:dyDescent="0.2">
      <c r="B1098" s="179">
        <v>9626408.3565049637</v>
      </c>
      <c r="C1098" s="188" t="s">
        <v>85</v>
      </c>
      <c r="D1098" s="179"/>
    </row>
    <row r="1099" spans="2:4" x14ac:dyDescent="0.2">
      <c r="B1099" s="179">
        <v>13696.025525033656</v>
      </c>
      <c r="C1099" s="188" t="s">
        <v>122</v>
      </c>
      <c r="D1099" s="179"/>
    </row>
    <row r="1100" spans="2:4" x14ac:dyDescent="0.2">
      <c r="B1100" s="179">
        <v>1654.7496080278593</v>
      </c>
      <c r="C1100" s="183" t="s">
        <v>149</v>
      </c>
      <c r="D1100" s="179"/>
    </row>
    <row r="1101" spans="2:4" x14ac:dyDescent="0.2">
      <c r="B1101" s="225"/>
      <c r="C1101" s="183"/>
      <c r="D1101" s="196"/>
    </row>
    <row r="1102" spans="2:4" x14ac:dyDescent="0.2">
      <c r="B1102" s="225">
        <v>2874030.5031205816</v>
      </c>
      <c r="C1102" s="183" t="s">
        <v>150</v>
      </c>
      <c r="D1102" s="196"/>
    </row>
    <row r="1103" spans="2:4" x14ac:dyDescent="0.2">
      <c r="B1103" s="193" t="s">
        <v>23</v>
      </c>
      <c r="C1103" s="198"/>
      <c r="D1103" s="191"/>
    </row>
    <row r="1104" spans="2:4" x14ac:dyDescent="0.2">
      <c r="B1104" s="203" t="s">
        <v>112</v>
      </c>
      <c r="C1104" s="204" t="s">
        <v>111</v>
      </c>
      <c r="D1104" s="203" t="s">
        <v>110</v>
      </c>
    </row>
    <row r="1105" spans="2:4" x14ac:dyDescent="0.2">
      <c r="B1105" s="205"/>
      <c r="C1105" s="220">
        <v>2024</v>
      </c>
      <c r="D1105" s="205"/>
    </row>
    <row r="1106" spans="2:4" x14ac:dyDescent="0.2">
      <c r="B1106" s="250" t="s">
        <v>127</v>
      </c>
      <c r="C1106" s="250"/>
      <c r="D1106" s="250"/>
    </row>
    <row r="1107" spans="2:4" x14ac:dyDescent="0.2">
      <c r="B1107" s="193"/>
      <c r="C1107" s="183" t="s">
        <v>113</v>
      </c>
      <c r="D1107" s="177">
        <v>155177836.78500468</v>
      </c>
    </row>
    <row r="1108" spans="2:4" x14ac:dyDescent="0.2">
      <c r="B1108" s="178">
        <v>51120509.08457008</v>
      </c>
      <c r="C1108" s="183" t="s">
        <v>120</v>
      </c>
      <c r="D1108" s="179"/>
    </row>
    <row r="1109" spans="2:4" x14ac:dyDescent="0.2">
      <c r="B1109" s="179"/>
      <c r="C1109" s="186" t="s">
        <v>115</v>
      </c>
      <c r="D1109" s="179">
        <v>2620111.792964471</v>
      </c>
    </row>
    <row r="1110" spans="2:4" x14ac:dyDescent="0.2">
      <c r="B1110" s="179"/>
      <c r="C1110" s="186" t="s">
        <v>119</v>
      </c>
      <c r="D1110" s="179">
        <v>2666351.6848179102</v>
      </c>
    </row>
    <row r="1111" spans="2:4" x14ac:dyDescent="0.2">
      <c r="B1111" s="179"/>
      <c r="C1111" s="186"/>
      <c r="D1111" s="178"/>
    </row>
    <row r="1112" spans="2:4" x14ac:dyDescent="0.2">
      <c r="B1112" s="179">
        <v>104011087.80858116</v>
      </c>
      <c r="C1112" s="186" t="s">
        <v>24</v>
      </c>
      <c r="D1112" s="178"/>
    </row>
    <row r="1113" spans="2:4" x14ac:dyDescent="0.2">
      <c r="B1113" s="179" t="s">
        <v>128</v>
      </c>
      <c r="C1113" s="186"/>
      <c r="D1113" s="178"/>
    </row>
    <row r="1114" spans="2:4" x14ac:dyDescent="0.2">
      <c r="B1114" s="179"/>
      <c r="C1114" s="187" t="s">
        <v>129</v>
      </c>
      <c r="D1114" s="179"/>
    </row>
    <row r="1115" spans="2:4" x14ac:dyDescent="0.2">
      <c r="B1115" s="178"/>
      <c r="C1115" s="183" t="s">
        <v>130</v>
      </c>
      <c r="D1115" s="179" t="s">
        <v>131</v>
      </c>
    </row>
    <row r="1116" spans="2:4" x14ac:dyDescent="0.2">
      <c r="B1116" s="234"/>
      <c r="C1116" s="234" t="s">
        <v>132</v>
      </c>
      <c r="D1116" s="233">
        <v>104011087.80858116</v>
      </c>
    </row>
    <row r="1117" spans="2:4" x14ac:dyDescent="0.2">
      <c r="B1117" s="225">
        <v>19834411.739379417</v>
      </c>
      <c r="C1117" s="188" t="s">
        <v>133</v>
      </c>
      <c r="D1117" s="225"/>
    </row>
    <row r="1118" spans="2:4" x14ac:dyDescent="0.2">
      <c r="B1118" s="225">
        <v>19523879.611392427</v>
      </c>
      <c r="C1118" s="189" t="s">
        <v>134</v>
      </c>
      <c r="D1118" s="225"/>
    </row>
    <row r="1119" spans="2:4" x14ac:dyDescent="0.2">
      <c r="B1119" s="178">
        <v>310532.12798699114</v>
      </c>
      <c r="C1119" s="183" t="s">
        <v>135</v>
      </c>
      <c r="D1119" s="178"/>
    </row>
    <row r="1120" spans="2:4" x14ac:dyDescent="0.2">
      <c r="B1120" s="178">
        <v>2570550.5433979407</v>
      </c>
      <c r="C1120" s="183" t="s">
        <v>136</v>
      </c>
      <c r="D1120" s="178"/>
    </row>
    <row r="1121" spans="2:4" x14ac:dyDescent="0.2">
      <c r="B1121" s="178"/>
      <c r="C1121" s="187"/>
      <c r="D1121" s="178"/>
    </row>
    <row r="1122" spans="2:4" x14ac:dyDescent="0.2">
      <c r="B1122" s="179">
        <v>81606125.525803804</v>
      </c>
      <c r="C1122" s="183" t="s">
        <v>26</v>
      </c>
      <c r="D1122" s="179"/>
    </row>
    <row r="1123" spans="2:4" x14ac:dyDescent="0.2">
      <c r="B1123" s="178"/>
      <c r="C1123" s="183" t="s">
        <v>137</v>
      </c>
      <c r="D1123" s="178"/>
    </row>
    <row r="1124" spans="2:4" x14ac:dyDescent="0.2">
      <c r="B1124" s="178"/>
      <c r="C1124" s="183" t="s">
        <v>26</v>
      </c>
      <c r="D1124" s="179">
        <v>81606125.525803804</v>
      </c>
    </row>
    <row r="1125" spans="2:4" x14ac:dyDescent="0.2">
      <c r="B1125" s="178"/>
      <c r="C1125" s="183" t="s">
        <v>133</v>
      </c>
      <c r="D1125" s="178">
        <v>19523879.611392427</v>
      </c>
    </row>
    <row r="1126" spans="2:4" x14ac:dyDescent="0.2">
      <c r="B1126" s="179"/>
      <c r="C1126" s="190" t="s">
        <v>134</v>
      </c>
      <c r="D1126" s="179">
        <v>19523879.611392427</v>
      </c>
    </row>
    <row r="1127" spans="2:4" x14ac:dyDescent="0.2">
      <c r="B1127" s="180"/>
      <c r="C1127" s="183" t="s">
        <v>135</v>
      </c>
      <c r="D1127" s="179">
        <v>0</v>
      </c>
    </row>
    <row r="1128" spans="2:4" x14ac:dyDescent="0.2">
      <c r="B1128" s="180"/>
      <c r="C1128" s="183" t="s">
        <v>136</v>
      </c>
      <c r="D1128" s="179">
        <v>2570550.5433979407</v>
      </c>
    </row>
    <row r="1129" spans="2:4" x14ac:dyDescent="0.2">
      <c r="B1129" s="180">
        <v>6922575.7815996157</v>
      </c>
      <c r="C1129" s="187" t="s">
        <v>138</v>
      </c>
      <c r="D1129" s="178">
        <v>551672.36812555476</v>
      </c>
    </row>
    <row r="1130" spans="2:4" x14ac:dyDescent="0.2">
      <c r="B1130" s="180"/>
      <c r="C1130" s="187"/>
      <c r="D1130" s="178"/>
    </row>
    <row r="1131" spans="2:4" x14ac:dyDescent="0.2">
      <c r="B1131" s="179">
        <v>97329652.267120123</v>
      </c>
      <c r="C1131" s="183" t="s">
        <v>139</v>
      </c>
      <c r="D1131" s="179"/>
    </row>
    <row r="1132" spans="2:4" x14ac:dyDescent="0.2">
      <c r="B1132" s="178"/>
      <c r="C1132" s="186" t="s">
        <v>140</v>
      </c>
      <c r="D1132" s="178"/>
    </row>
    <row r="1133" spans="2:4" x14ac:dyDescent="0.2">
      <c r="B1133" s="180"/>
      <c r="C1133" s="186" t="s">
        <v>139</v>
      </c>
      <c r="D1133" s="179">
        <v>97329652.267120123</v>
      </c>
    </row>
    <row r="1134" spans="2:4" x14ac:dyDescent="0.2">
      <c r="B1134" s="178">
        <v>269475.23393659329</v>
      </c>
      <c r="C1134" s="183" t="s">
        <v>141</v>
      </c>
      <c r="D1134" s="178">
        <v>19454.922829500327</v>
      </c>
    </row>
    <row r="1135" spans="2:4" x14ac:dyDescent="0.2">
      <c r="B1135" s="179"/>
      <c r="C1135" s="188"/>
      <c r="D1135" s="179"/>
    </row>
    <row r="1136" spans="2:4" x14ac:dyDescent="0.2">
      <c r="B1136" s="178">
        <v>97079631.956013024</v>
      </c>
      <c r="C1136" s="183" t="s">
        <v>142</v>
      </c>
      <c r="D1136" s="179"/>
    </row>
    <row r="1137" spans="2:4" x14ac:dyDescent="0.2">
      <c r="B1137" s="179"/>
      <c r="C1137" s="183" t="s">
        <v>143</v>
      </c>
      <c r="D1137" s="179"/>
    </row>
    <row r="1138" spans="2:4" x14ac:dyDescent="0.2">
      <c r="B1138" s="179"/>
      <c r="C1138" s="183" t="s">
        <v>144</v>
      </c>
      <c r="D1138" s="179">
        <v>97079631.956013024</v>
      </c>
    </row>
    <row r="1139" spans="2:4" x14ac:dyDescent="0.2">
      <c r="B1139" s="178">
        <v>80558835.383340254</v>
      </c>
      <c r="C1139" s="183" t="s">
        <v>121</v>
      </c>
      <c r="D1139" s="178"/>
    </row>
    <row r="1140" spans="2:4" x14ac:dyDescent="0.2">
      <c r="B1140" s="179"/>
      <c r="C1140" s="188"/>
      <c r="D1140" s="179"/>
    </row>
    <row r="1141" spans="2:4" x14ac:dyDescent="0.2">
      <c r="B1141" s="178">
        <v>16520796.572672769</v>
      </c>
      <c r="C1141" s="183" t="s">
        <v>145</v>
      </c>
      <c r="D1141" s="179"/>
    </row>
    <row r="1142" spans="2:4" x14ac:dyDescent="0.2">
      <c r="B1142" s="179" t="s">
        <v>146</v>
      </c>
      <c r="C1142" s="183"/>
      <c r="D1142" s="179"/>
    </row>
    <row r="1143" spans="2:4" x14ac:dyDescent="0.2">
      <c r="B1143" s="179"/>
      <c r="C1143" s="183" t="s">
        <v>147</v>
      </c>
      <c r="D1143" s="179" t="s">
        <v>131</v>
      </c>
    </row>
    <row r="1144" spans="2:4" x14ac:dyDescent="0.2">
      <c r="B1144" s="178"/>
      <c r="C1144" s="183" t="s">
        <v>148</v>
      </c>
      <c r="D1144" s="178">
        <v>16520796.572672769</v>
      </c>
    </row>
    <row r="1145" spans="2:4" x14ac:dyDescent="0.2">
      <c r="B1145" s="179">
        <v>11048842.441862037</v>
      </c>
      <c r="C1145" s="188" t="s">
        <v>85</v>
      </c>
      <c r="D1145" s="179"/>
    </row>
    <row r="1146" spans="2:4" x14ac:dyDescent="0.2">
      <c r="B1146" s="179">
        <v>15592.554518644327</v>
      </c>
      <c r="C1146" s="188" t="s">
        <v>122</v>
      </c>
      <c r="D1146" s="179"/>
    </row>
    <row r="1147" spans="2:4" x14ac:dyDescent="0.2">
      <c r="B1147" s="179">
        <v>95889.090303412391</v>
      </c>
      <c r="C1147" s="183" t="s">
        <v>149</v>
      </c>
      <c r="D1147" s="179">
        <v>1034.9643945613077</v>
      </c>
    </row>
    <row r="1148" spans="2:4" x14ac:dyDescent="0.2">
      <c r="B1148" s="225"/>
      <c r="C1148" s="183"/>
      <c r="D1148" s="196"/>
    </row>
    <row r="1149" spans="2:4" x14ac:dyDescent="0.2">
      <c r="B1149" s="225">
        <v>5361507.4503832366</v>
      </c>
      <c r="C1149" s="183" t="s">
        <v>150</v>
      </c>
      <c r="D1149" s="196"/>
    </row>
    <row r="1150" spans="2:4" x14ac:dyDescent="0.2">
      <c r="B1150" s="193" t="s">
        <v>23</v>
      </c>
      <c r="C1150" s="198"/>
      <c r="D1150" s="191"/>
    </row>
    <row r="1152" spans="2:4" x14ac:dyDescent="0.2">
      <c r="C1152" s="236"/>
    </row>
  </sheetData>
  <mergeCells count="50">
    <mergeCell ref="B58:D58"/>
    <mergeCell ref="B1:D1"/>
    <mergeCell ref="B5:D5"/>
    <mergeCell ref="B15:D15"/>
    <mergeCell ref="B44:D44"/>
    <mergeCell ref="B54:D54"/>
    <mergeCell ref="B217:D217"/>
    <mergeCell ref="B68:D68"/>
    <mergeCell ref="B97:D97"/>
    <mergeCell ref="B107:D107"/>
    <mergeCell ref="B111:D111"/>
    <mergeCell ref="B121:D121"/>
    <mergeCell ref="B150:D150"/>
    <mergeCell ref="B160:D160"/>
    <mergeCell ref="B164:D164"/>
    <mergeCell ref="B174:D174"/>
    <mergeCell ref="B203:D203"/>
    <mergeCell ref="B213:D213"/>
    <mergeCell ref="B375:D375"/>
    <mergeCell ref="B227:D227"/>
    <mergeCell ref="B256:D256"/>
    <mergeCell ref="B266:D266"/>
    <mergeCell ref="B270:D270"/>
    <mergeCell ref="B280:C280"/>
    <mergeCell ref="B309:D309"/>
    <mergeCell ref="B318:D318"/>
    <mergeCell ref="B322:D322"/>
    <mergeCell ref="B332:C332"/>
    <mergeCell ref="B361:D361"/>
    <mergeCell ref="B371:D371"/>
    <mergeCell ref="B676:D676"/>
    <mergeCell ref="B421:D421"/>
    <mergeCell ref="B425:D425"/>
    <mergeCell ref="B471:D471"/>
    <mergeCell ref="B475:D475"/>
    <mergeCell ref="B521:D521"/>
    <mergeCell ref="B525:D525"/>
    <mergeCell ref="B571:D571"/>
    <mergeCell ref="B575:D575"/>
    <mergeCell ref="B624:D624"/>
    <mergeCell ref="B625:D625"/>
    <mergeCell ref="B672:D672"/>
    <mergeCell ref="B1059:D1059"/>
    <mergeCell ref="B1106:D1106"/>
    <mergeCell ref="B724:D724"/>
    <mergeCell ref="B820:D820"/>
    <mergeCell ref="B868:D868"/>
    <mergeCell ref="B916:D916"/>
    <mergeCell ref="B964:D964"/>
    <mergeCell ref="B1012:D1012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3E5F-2901-4950-A76C-4A235E1D9025}">
  <dimension ref="B1:D670"/>
  <sheetViews>
    <sheetView showGridLines="0" zoomScale="160" zoomScaleNormal="160" workbookViewId="0">
      <pane xSplit="1" ySplit="4" topLeftCell="B179" activePane="bottomRight" state="frozen"/>
      <selection pane="topRight" activeCell="B1" sqref="B1"/>
      <selection pane="bottomLeft" activeCell="A5" sqref="A5"/>
      <selection pane="bottomRight" activeCell="D29" sqref="D29"/>
    </sheetView>
  </sheetViews>
  <sheetFormatPr defaultColWidth="8.85546875" defaultRowHeight="11.25" x14ac:dyDescent="0.2"/>
  <cols>
    <col min="1" max="1" width="5.42578125" style="202" customWidth="1"/>
    <col min="2" max="2" width="19.42578125" style="202" customWidth="1"/>
    <col min="3" max="3" width="43" style="202" customWidth="1"/>
    <col min="4" max="4" width="29.28515625" style="202" customWidth="1"/>
    <col min="5" max="16384" width="8.85546875" style="202"/>
  </cols>
  <sheetData>
    <row r="1" spans="2:4" x14ac:dyDescent="0.2">
      <c r="B1" s="259" t="s">
        <v>165</v>
      </c>
      <c r="C1" s="259"/>
      <c r="D1" s="259"/>
    </row>
    <row r="2" spans="2:4" x14ac:dyDescent="0.2">
      <c r="B2" s="260" t="s">
        <v>218</v>
      </c>
      <c r="C2" s="260"/>
      <c r="D2" s="260"/>
    </row>
    <row r="3" spans="2:4" x14ac:dyDescent="0.2">
      <c r="B3" s="261" t="s">
        <v>109</v>
      </c>
      <c r="C3" s="261"/>
      <c r="D3" s="261"/>
    </row>
    <row r="4" spans="2:4" x14ac:dyDescent="0.2">
      <c r="B4" s="203" t="s">
        <v>112</v>
      </c>
      <c r="C4" s="204" t="s">
        <v>111</v>
      </c>
      <c r="D4" s="203" t="s">
        <v>110</v>
      </c>
    </row>
    <row r="5" spans="2:4" x14ac:dyDescent="0.2">
      <c r="B5" s="205"/>
      <c r="C5" s="206">
        <v>2002</v>
      </c>
      <c r="D5" s="205"/>
    </row>
    <row r="6" spans="2:4" x14ac:dyDescent="0.2">
      <c r="B6" s="207" t="s">
        <v>166</v>
      </c>
      <c r="C6" s="208"/>
      <c r="D6" s="209"/>
    </row>
    <row r="7" spans="2:4" x14ac:dyDescent="0.2">
      <c r="B7" s="210">
        <v>373000.44187311677</v>
      </c>
      <c r="C7" s="211" t="s">
        <v>123</v>
      </c>
      <c r="D7" s="212"/>
    </row>
    <row r="8" spans="2:4" x14ac:dyDescent="0.2">
      <c r="B8" s="212"/>
      <c r="C8" s="211" t="s">
        <v>167</v>
      </c>
      <c r="D8" s="210">
        <v>309517.46266748483</v>
      </c>
    </row>
    <row r="9" spans="2:4" x14ac:dyDescent="0.2">
      <c r="B9" s="212"/>
      <c r="C9" s="211"/>
      <c r="D9" s="212"/>
    </row>
    <row r="10" spans="2:4" x14ac:dyDescent="0.2">
      <c r="B10" s="210">
        <v>-63482.979205631942</v>
      </c>
      <c r="C10" s="211" t="s">
        <v>168</v>
      </c>
      <c r="D10" s="212"/>
    </row>
    <row r="11" spans="2:4" x14ac:dyDescent="0.2">
      <c r="B11" s="207" t="s">
        <v>169</v>
      </c>
      <c r="C11" s="213"/>
      <c r="D11" s="209"/>
    </row>
    <row r="12" spans="2:4" x14ac:dyDescent="0.2">
      <c r="B12" s="212"/>
      <c r="C12" s="211" t="s">
        <v>168</v>
      </c>
      <c r="D12" s="212">
        <v>-63482.979205631942</v>
      </c>
    </row>
    <row r="13" spans="2:4" x14ac:dyDescent="0.2">
      <c r="B13" s="214"/>
      <c r="C13" s="211" t="s">
        <v>133</v>
      </c>
      <c r="D13" s="212">
        <v>5389.5867977100661</v>
      </c>
    </row>
    <row r="14" spans="2:4" x14ac:dyDescent="0.2">
      <c r="B14" s="214">
        <v>773.22618944117187</v>
      </c>
      <c r="C14" s="211" t="s">
        <v>170</v>
      </c>
      <c r="D14" s="212">
        <v>66824.800894568092</v>
      </c>
    </row>
    <row r="15" spans="2:4" x14ac:dyDescent="0.2">
      <c r="B15" s="214">
        <v>773.22618944117187</v>
      </c>
      <c r="C15" s="211" t="s">
        <v>171</v>
      </c>
      <c r="D15" s="212">
        <v>19783.989237334761</v>
      </c>
    </row>
    <row r="16" spans="2:4" x14ac:dyDescent="0.2">
      <c r="B16" s="214"/>
      <c r="C16" s="211" t="s">
        <v>172</v>
      </c>
      <c r="D16" s="212">
        <v>47040.811657233338</v>
      </c>
    </row>
    <row r="17" spans="2:4" x14ac:dyDescent="0.2">
      <c r="B17" s="214"/>
      <c r="C17" s="215" t="s">
        <v>173</v>
      </c>
      <c r="D17" s="212"/>
    </row>
    <row r="18" spans="2:4" x14ac:dyDescent="0.2">
      <c r="B18" s="214">
        <v>6218.6989073416671</v>
      </c>
      <c r="C18" s="211" t="s">
        <v>174</v>
      </c>
      <c r="D18" s="212">
        <v>4820.2116781000013</v>
      </c>
    </row>
    <row r="19" spans="2:4" x14ac:dyDescent="0.2">
      <c r="B19" s="214"/>
      <c r="C19" s="211" t="s">
        <v>175</v>
      </c>
      <c r="D19" s="212"/>
    </row>
    <row r="20" spans="2:4" x14ac:dyDescent="0.2">
      <c r="B20" s="214">
        <v>6218.6989073416671</v>
      </c>
      <c r="C20" s="211" t="s">
        <v>176</v>
      </c>
      <c r="D20" s="212">
        <v>4820.2116781000013</v>
      </c>
    </row>
    <row r="21" spans="2:4" x14ac:dyDescent="0.2">
      <c r="B21" s="214"/>
      <c r="C21" s="211"/>
      <c r="D21" s="212"/>
    </row>
    <row r="22" spans="2:4" x14ac:dyDescent="0.2">
      <c r="B22" s="210">
        <v>6559.6950679633765</v>
      </c>
      <c r="C22" s="211" t="s">
        <v>177</v>
      </c>
      <c r="D22" s="212"/>
    </row>
    <row r="23" spans="2:4" x14ac:dyDescent="0.2">
      <c r="B23" s="207" t="s">
        <v>178</v>
      </c>
      <c r="C23" s="213"/>
      <c r="D23" s="216"/>
    </row>
    <row r="24" spans="2:4" x14ac:dyDescent="0.2">
      <c r="B24" s="209"/>
      <c r="C24" s="217" t="s">
        <v>147</v>
      </c>
      <c r="D24" s="212"/>
    </row>
    <row r="25" spans="2:4" x14ac:dyDescent="0.2">
      <c r="B25" s="212"/>
      <c r="C25" s="211" t="s">
        <v>177</v>
      </c>
      <c r="D25" s="212">
        <v>6559.6950679633765</v>
      </c>
    </row>
    <row r="26" spans="2:4" x14ac:dyDescent="0.2">
      <c r="B26" s="212"/>
      <c r="C26" s="211" t="s">
        <v>179</v>
      </c>
      <c r="D26" s="212">
        <v>0</v>
      </c>
    </row>
    <row r="27" spans="2:4" x14ac:dyDescent="0.2">
      <c r="B27" s="212"/>
      <c r="C27" s="211" t="s">
        <v>180</v>
      </c>
      <c r="D27" s="212">
        <v>6559.6950679633765</v>
      </c>
    </row>
    <row r="28" spans="2:4" x14ac:dyDescent="0.2">
      <c r="B28" s="212"/>
      <c r="C28" s="211"/>
      <c r="D28" s="212"/>
    </row>
    <row r="29" spans="2:4" x14ac:dyDescent="0.2">
      <c r="B29" s="210">
        <v>6559.6950679633765</v>
      </c>
      <c r="C29" s="211" t="s">
        <v>150</v>
      </c>
      <c r="D29" s="212"/>
    </row>
    <row r="30" spans="2:4" x14ac:dyDescent="0.2">
      <c r="B30" s="216"/>
      <c r="C30" s="213"/>
      <c r="D30" s="218"/>
    </row>
    <row r="31" spans="2:4" x14ac:dyDescent="0.2">
      <c r="B31" s="205"/>
      <c r="C31" s="206">
        <v>2003</v>
      </c>
      <c r="D31" s="205"/>
    </row>
    <row r="32" spans="2:4" x14ac:dyDescent="0.2">
      <c r="B32" s="207" t="s">
        <v>166</v>
      </c>
      <c r="C32" s="208"/>
      <c r="D32" s="209"/>
    </row>
    <row r="33" spans="2:4" x14ac:dyDescent="0.2">
      <c r="B33" s="210">
        <v>721862.48557022144</v>
      </c>
      <c r="C33" s="211" t="s">
        <v>123</v>
      </c>
      <c r="D33" s="212"/>
    </row>
    <row r="34" spans="2:4" x14ac:dyDescent="0.2">
      <c r="B34" s="212"/>
      <c r="C34" s="211" t="s">
        <v>167</v>
      </c>
      <c r="D34" s="210">
        <v>654354.24952938501</v>
      </c>
    </row>
    <row r="35" spans="2:4" x14ac:dyDescent="0.2">
      <c r="B35" s="212"/>
      <c r="C35" s="211"/>
      <c r="D35" s="212"/>
    </row>
    <row r="36" spans="2:4" x14ac:dyDescent="0.2">
      <c r="B36" s="210">
        <v>-67508.236040836433</v>
      </c>
      <c r="C36" s="211" t="s">
        <v>168</v>
      </c>
      <c r="D36" s="212"/>
    </row>
    <row r="37" spans="2:4" x14ac:dyDescent="0.2">
      <c r="B37" s="207" t="s">
        <v>169</v>
      </c>
      <c r="C37" s="213"/>
      <c r="D37" s="209"/>
    </row>
    <row r="38" spans="2:4" x14ac:dyDescent="0.2">
      <c r="B38" s="212"/>
      <c r="C38" s="211" t="s">
        <v>168</v>
      </c>
      <c r="D38" s="212">
        <v>-67508.236040836433</v>
      </c>
    </row>
    <row r="39" spans="2:4" x14ac:dyDescent="0.2">
      <c r="B39" s="214"/>
      <c r="C39" s="211" t="s">
        <v>133</v>
      </c>
      <c r="D39" s="212">
        <v>10552.113637166667</v>
      </c>
    </row>
    <row r="40" spans="2:4" x14ac:dyDescent="0.2">
      <c r="B40" s="214">
        <v>911.50889753666672</v>
      </c>
      <c r="C40" s="211" t="s">
        <v>170</v>
      </c>
      <c r="D40" s="212">
        <v>118719.51467110167</v>
      </c>
    </row>
    <row r="41" spans="2:4" x14ac:dyDescent="0.2">
      <c r="B41" s="214">
        <v>911.50889753666672</v>
      </c>
      <c r="C41" s="211" t="s">
        <v>171</v>
      </c>
      <c r="D41" s="212">
        <v>25488.909332125</v>
      </c>
    </row>
    <row r="42" spans="2:4" x14ac:dyDescent="0.2">
      <c r="B42" s="214"/>
      <c r="C42" s="211" t="s">
        <v>172</v>
      </c>
      <c r="D42" s="212">
        <v>93230.605338976675</v>
      </c>
    </row>
    <row r="43" spans="2:4" x14ac:dyDescent="0.2">
      <c r="B43" s="214"/>
      <c r="C43" s="215" t="s">
        <v>173</v>
      </c>
      <c r="D43" s="212"/>
    </row>
    <row r="44" spans="2:4" x14ac:dyDescent="0.2">
      <c r="B44" s="214">
        <v>13842.795877026336</v>
      </c>
      <c r="C44" s="211" t="s">
        <v>174</v>
      </c>
      <c r="D44" s="212">
        <v>6488.5562280650011</v>
      </c>
    </row>
    <row r="45" spans="2:4" x14ac:dyDescent="0.2">
      <c r="B45" s="214"/>
      <c r="C45" s="211" t="s">
        <v>175</v>
      </c>
      <c r="D45" s="212"/>
    </row>
    <row r="46" spans="2:4" x14ac:dyDescent="0.2">
      <c r="B46" s="214">
        <v>13842.795877026336</v>
      </c>
      <c r="C46" s="211" t="s">
        <v>176</v>
      </c>
      <c r="D46" s="212">
        <v>6488.5562280650011</v>
      </c>
    </row>
    <row r="47" spans="2:4" x14ac:dyDescent="0.2">
      <c r="B47" s="214"/>
      <c r="C47" s="211"/>
      <c r="D47" s="212"/>
    </row>
    <row r="48" spans="2:4" x14ac:dyDescent="0.2">
      <c r="B48" s="210">
        <v>53497.643720933906</v>
      </c>
      <c r="C48" s="211" t="s">
        <v>177</v>
      </c>
      <c r="D48" s="212"/>
    </row>
    <row r="49" spans="2:4" x14ac:dyDescent="0.2">
      <c r="B49" s="207" t="s">
        <v>178</v>
      </c>
      <c r="C49" s="213"/>
      <c r="D49" s="216"/>
    </row>
    <row r="50" spans="2:4" x14ac:dyDescent="0.2">
      <c r="B50" s="209"/>
      <c r="C50" s="217" t="s">
        <v>147</v>
      </c>
      <c r="D50" s="212"/>
    </row>
    <row r="51" spans="2:4" x14ac:dyDescent="0.2">
      <c r="B51" s="212"/>
      <c r="C51" s="211" t="s">
        <v>177</v>
      </c>
      <c r="D51" s="212">
        <v>53497.643720933906</v>
      </c>
    </row>
    <row r="52" spans="2:4" x14ac:dyDescent="0.2">
      <c r="B52" s="212">
        <v>1632.6783069912938</v>
      </c>
      <c r="C52" s="211" t="s">
        <v>179</v>
      </c>
      <c r="D52" s="212"/>
    </row>
    <row r="53" spans="2:4" x14ac:dyDescent="0.2">
      <c r="B53" s="212"/>
      <c r="C53" s="211" t="s">
        <v>180</v>
      </c>
      <c r="D53" s="212">
        <v>51864.965413942613</v>
      </c>
    </row>
    <row r="54" spans="2:4" x14ac:dyDescent="0.2">
      <c r="B54" s="212"/>
      <c r="C54" s="211"/>
      <c r="D54" s="212"/>
    </row>
    <row r="55" spans="2:4" x14ac:dyDescent="0.2">
      <c r="B55" s="210">
        <v>51864.965413942613</v>
      </c>
      <c r="C55" s="211" t="s">
        <v>150</v>
      </c>
      <c r="D55" s="212"/>
    </row>
    <row r="56" spans="2:4" x14ac:dyDescent="0.2">
      <c r="B56" s="216"/>
      <c r="C56" s="213"/>
      <c r="D56" s="218"/>
    </row>
    <row r="57" spans="2:4" x14ac:dyDescent="0.2">
      <c r="B57" s="205"/>
      <c r="C57" s="206">
        <v>2004</v>
      </c>
      <c r="D57" s="205"/>
    </row>
    <row r="58" spans="2:4" x14ac:dyDescent="0.2">
      <c r="B58" s="207" t="s">
        <v>166</v>
      </c>
      <c r="C58" s="208"/>
      <c r="D58" s="209"/>
    </row>
    <row r="59" spans="2:4" x14ac:dyDescent="0.2">
      <c r="B59" s="210">
        <v>1151274.8012359864</v>
      </c>
      <c r="C59" s="211" t="s">
        <v>123</v>
      </c>
      <c r="D59" s="212"/>
    </row>
    <row r="60" spans="2:4" x14ac:dyDescent="0.2">
      <c r="B60" s="212"/>
      <c r="C60" s="211" t="s">
        <v>167</v>
      </c>
      <c r="D60" s="210">
        <v>887335.17984813952</v>
      </c>
    </row>
    <row r="61" spans="2:4" x14ac:dyDescent="0.2">
      <c r="B61" s="212"/>
      <c r="C61" s="211"/>
      <c r="D61" s="212"/>
    </row>
    <row r="62" spans="2:4" x14ac:dyDescent="0.2">
      <c r="B62" s="210">
        <v>-263939.62138784688</v>
      </c>
      <c r="C62" s="211" t="s">
        <v>168</v>
      </c>
      <c r="D62" s="212"/>
    </row>
    <row r="63" spans="2:4" x14ac:dyDescent="0.2">
      <c r="B63" s="207" t="s">
        <v>169</v>
      </c>
      <c r="C63" s="213"/>
      <c r="D63" s="209"/>
    </row>
    <row r="64" spans="2:4" x14ac:dyDescent="0.2">
      <c r="B64" s="212"/>
      <c r="C64" s="211" t="s">
        <v>168</v>
      </c>
      <c r="D64" s="212">
        <v>-263939.62138784688</v>
      </c>
    </row>
    <row r="65" spans="2:4" x14ac:dyDescent="0.2">
      <c r="B65" s="214"/>
      <c r="C65" s="211" t="s">
        <v>133</v>
      </c>
      <c r="D65" s="212">
        <v>14898.552314708035</v>
      </c>
    </row>
    <row r="66" spans="2:4" x14ac:dyDescent="0.2">
      <c r="B66" s="214">
        <v>2754.3036295834499</v>
      </c>
      <c r="C66" s="211" t="s">
        <v>170</v>
      </c>
      <c r="D66" s="212">
        <v>195087.31560426723</v>
      </c>
    </row>
    <row r="67" spans="2:4" x14ac:dyDescent="0.2">
      <c r="B67" s="214">
        <v>2754.3036295834499</v>
      </c>
      <c r="C67" s="211" t="s">
        <v>171</v>
      </c>
      <c r="D67" s="212">
        <v>32473.307613000958</v>
      </c>
    </row>
    <row r="68" spans="2:4" x14ac:dyDescent="0.2">
      <c r="B68" s="214"/>
      <c r="C68" s="211" t="s">
        <v>172</v>
      </c>
      <c r="D68" s="212">
        <v>162614.00799126629</v>
      </c>
    </row>
    <row r="69" spans="2:4" x14ac:dyDescent="0.2">
      <c r="B69" s="214"/>
      <c r="C69" s="215" t="s">
        <v>173</v>
      </c>
      <c r="D69" s="212"/>
    </row>
    <row r="70" spans="2:4" x14ac:dyDescent="0.2">
      <c r="B70" s="214">
        <v>10379.429696024148</v>
      </c>
      <c r="C70" s="211" t="s">
        <v>174</v>
      </c>
      <c r="D70" s="212">
        <v>9833.3750477140493</v>
      </c>
    </row>
    <row r="71" spans="2:4" x14ac:dyDescent="0.2">
      <c r="B71" s="214"/>
      <c r="C71" s="211" t="s">
        <v>175</v>
      </c>
      <c r="D71" s="212"/>
    </row>
    <row r="72" spans="2:4" x14ac:dyDescent="0.2">
      <c r="B72" s="214">
        <v>10379.429696024148</v>
      </c>
      <c r="C72" s="211" t="s">
        <v>176</v>
      </c>
      <c r="D72" s="212">
        <v>9833.3750477140493</v>
      </c>
    </row>
    <row r="73" spans="2:4" x14ac:dyDescent="0.2">
      <c r="B73" s="214"/>
      <c r="C73" s="211"/>
      <c r="D73" s="212"/>
    </row>
    <row r="74" spans="2:4" x14ac:dyDescent="0.2">
      <c r="B74" s="210">
        <v>-57254.111746765164</v>
      </c>
      <c r="C74" s="211" t="s">
        <v>177</v>
      </c>
      <c r="D74" s="212"/>
    </row>
    <row r="75" spans="2:4" x14ac:dyDescent="0.2">
      <c r="B75" s="207" t="s">
        <v>178</v>
      </c>
      <c r="C75" s="213"/>
      <c r="D75" s="216"/>
    </row>
    <row r="76" spans="2:4" x14ac:dyDescent="0.2">
      <c r="B76" s="209"/>
      <c r="C76" s="217" t="s">
        <v>147</v>
      </c>
      <c r="D76" s="212"/>
    </row>
    <row r="77" spans="2:4" x14ac:dyDescent="0.2">
      <c r="B77" s="212"/>
      <c r="C77" s="211" t="s">
        <v>177</v>
      </c>
      <c r="D77" s="212">
        <v>-57254.111746765164</v>
      </c>
    </row>
    <row r="78" spans="2:4" x14ac:dyDescent="0.2">
      <c r="B78" s="212">
        <v>887.30126254129289</v>
      </c>
      <c r="C78" s="211" t="s">
        <v>179</v>
      </c>
      <c r="D78" s="212"/>
    </row>
    <row r="79" spans="2:4" x14ac:dyDescent="0.2">
      <c r="B79" s="212"/>
      <c r="C79" s="211" t="s">
        <v>180</v>
      </c>
      <c r="D79" s="212">
        <v>-58141.41300930646</v>
      </c>
    </row>
    <row r="80" spans="2:4" x14ac:dyDescent="0.2">
      <c r="B80" s="212"/>
      <c r="C80" s="211"/>
      <c r="D80" s="212"/>
    </row>
    <row r="81" spans="2:4" x14ac:dyDescent="0.2">
      <c r="B81" s="210">
        <v>-58141.41300930646</v>
      </c>
      <c r="C81" s="211" t="s">
        <v>150</v>
      </c>
      <c r="D81" s="212"/>
    </row>
    <row r="82" spans="2:4" x14ac:dyDescent="0.2">
      <c r="B82" s="216" t="s">
        <v>23</v>
      </c>
      <c r="C82" s="213"/>
      <c r="D82" s="218"/>
    </row>
    <row r="83" spans="2:4" x14ac:dyDescent="0.2">
      <c r="B83" s="212"/>
      <c r="C83" s="213"/>
      <c r="D83" s="218"/>
    </row>
    <row r="84" spans="2:4" x14ac:dyDescent="0.2">
      <c r="B84" s="259" t="s">
        <v>165</v>
      </c>
      <c r="C84" s="259"/>
      <c r="D84" s="259"/>
    </row>
    <row r="85" spans="2:4" x14ac:dyDescent="0.2">
      <c r="B85" s="260" t="s">
        <v>181</v>
      </c>
      <c r="C85" s="260"/>
      <c r="D85" s="260"/>
    </row>
    <row r="86" spans="2:4" x14ac:dyDescent="0.2">
      <c r="B86" s="261" t="s">
        <v>109</v>
      </c>
      <c r="C86" s="261"/>
      <c r="D86" s="261"/>
    </row>
    <row r="87" spans="2:4" x14ac:dyDescent="0.2">
      <c r="B87" s="203" t="s">
        <v>112</v>
      </c>
      <c r="C87" s="204" t="s">
        <v>111</v>
      </c>
      <c r="D87" s="203" t="s">
        <v>110</v>
      </c>
    </row>
    <row r="88" spans="2:4" x14ac:dyDescent="0.2">
      <c r="B88" s="205"/>
      <c r="C88" s="206">
        <v>2005</v>
      </c>
      <c r="D88" s="205"/>
    </row>
    <row r="89" spans="2:4" x14ac:dyDescent="0.2">
      <c r="B89" s="207" t="s">
        <v>166</v>
      </c>
      <c r="C89" s="208"/>
      <c r="D89" s="209"/>
    </row>
    <row r="90" spans="2:4" x14ac:dyDescent="0.2">
      <c r="B90" s="210">
        <v>2118791.4125030711</v>
      </c>
      <c r="C90" s="211" t="s">
        <v>123</v>
      </c>
      <c r="D90" s="212"/>
    </row>
    <row r="91" spans="2:4" x14ac:dyDescent="0.2">
      <c r="B91" s="212"/>
      <c r="C91" s="211" t="s">
        <v>167</v>
      </c>
      <c r="D91" s="210">
        <v>1321219.3074835902</v>
      </c>
    </row>
    <row r="92" spans="2:4" x14ac:dyDescent="0.2">
      <c r="B92" s="212"/>
      <c r="C92" s="211"/>
      <c r="D92" s="212"/>
    </row>
    <row r="93" spans="2:4" x14ac:dyDescent="0.2">
      <c r="B93" s="210">
        <v>-797572.10501948092</v>
      </c>
      <c r="C93" s="211" t="s">
        <v>168</v>
      </c>
      <c r="D93" s="212"/>
    </row>
    <row r="94" spans="2:4" x14ac:dyDescent="0.2">
      <c r="B94" s="207" t="s">
        <v>169</v>
      </c>
      <c r="C94" s="213"/>
      <c r="D94" s="209"/>
    </row>
    <row r="95" spans="2:4" x14ac:dyDescent="0.2">
      <c r="B95" s="212"/>
      <c r="C95" s="211" t="s">
        <v>168</v>
      </c>
      <c r="D95" s="212">
        <v>-797572.10501948092</v>
      </c>
    </row>
    <row r="96" spans="2:4" x14ac:dyDescent="0.2">
      <c r="B96" s="214"/>
      <c r="C96" s="211" t="s">
        <v>133</v>
      </c>
      <c r="D96" s="212">
        <v>8523.346915725353</v>
      </c>
    </row>
    <row r="97" spans="2:4" x14ac:dyDescent="0.2">
      <c r="B97" s="214">
        <v>2246.5546003248078</v>
      </c>
      <c r="C97" s="211" t="s">
        <v>170</v>
      </c>
      <c r="D97" s="212">
        <v>345387.91232078953</v>
      </c>
    </row>
    <row r="98" spans="2:4" x14ac:dyDescent="0.2">
      <c r="B98" s="214">
        <v>2246.5546003248078</v>
      </c>
      <c r="C98" s="211" t="s">
        <v>171</v>
      </c>
      <c r="D98" s="212">
        <v>48418.837199054571</v>
      </c>
    </row>
    <row r="99" spans="2:4" x14ac:dyDescent="0.2">
      <c r="B99" s="214"/>
      <c r="C99" s="211" t="s">
        <v>172</v>
      </c>
      <c r="D99" s="212">
        <v>296969.07512173499</v>
      </c>
    </row>
    <row r="100" spans="2:4" x14ac:dyDescent="0.2">
      <c r="B100" s="214"/>
      <c r="C100" s="215" t="s">
        <v>173</v>
      </c>
      <c r="D100" s="212"/>
    </row>
    <row r="101" spans="2:4" x14ac:dyDescent="0.2">
      <c r="B101" s="214">
        <v>15051.1942719452</v>
      </c>
      <c r="C101" s="211" t="s">
        <v>174</v>
      </c>
      <c r="D101" s="212">
        <v>12716.995880362969</v>
      </c>
    </row>
    <row r="102" spans="2:4" x14ac:dyDescent="0.2">
      <c r="B102" s="214"/>
      <c r="C102" s="211" t="s">
        <v>175</v>
      </c>
      <c r="D102" s="212"/>
    </row>
    <row r="103" spans="2:4" x14ac:dyDescent="0.2">
      <c r="B103" s="214">
        <v>15051.1942719452</v>
      </c>
      <c r="C103" s="211" t="s">
        <v>176</v>
      </c>
      <c r="D103" s="212">
        <v>12716.995880362969</v>
      </c>
    </row>
    <row r="104" spans="2:4" x14ac:dyDescent="0.2">
      <c r="B104" s="214"/>
      <c r="C104" s="211"/>
      <c r="D104" s="212"/>
    </row>
    <row r="105" spans="2:4" x14ac:dyDescent="0.2">
      <c r="B105" s="210">
        <v>-448241.59877487307</v>
      </c>
      <c r="C105" s="211" t="s">
        <v>177</v>
      </c>
      <c r="D105" s="212"/>
    </row>
    <row r="106" spans="2:4" x14ac:dyDescent="0.2">
      <c r="B106" s="207" t="s">
        <v>178</v>
      </c>
      <c r="C106" s="213"/>
      <c r="D106" s="216"/>
    </row>
    <row r="107" spans="2:4" x14ac:dyDescent="0.2">
      <c r="B107" s="209"/>
      <c r="C107" s="217" t="s">
        <v>147</v>
      </c>
      <c r="D107" s="212"/>
    </row>
    <row r="108" spans="2:4" x14ac:dyDescent="0.2">
      <c r="B108" s="212"/>
      <c r="C108" s="211" t="s">
        <v>177</v>
      </c>
      <c r="D108" s="212">
        <v>-448241.59877487307</v>
      </c>
    </row>
    <row r="109" spans="2:4" x14ac:dyDescent="0.2">
      <c r="B109" s="212">
        <v>678.27341545902823</v>
      </c>
      <c r="C109" s="211" t="s">
        <v>179</v>
      </c>
      <c r="D109" s="212"/>
    </row>
    <row r="110" spans="2:4" x14ac:dyDescent="0.2">
      <c r="B110" s="212"/>
      <c r="C110" s="211" t="s">
        <v>180</v>
      </c>
      <c r="D110" s="212">
        <v>-448919.8721903321</v>
      </c>
    </row>
    <row r="111" spans="2:4" x14ac:dyDescent="0.2">
      <c r="B111" s="212"/>
      <c r="C111" s="211"/>
      <c r="D111" s="212"/>
    </row>
    <row r="112" spans="2:4" x14ac:dyDescent="0.2">
      <c r="B112" s="210">
        <v>-448919.8721903321</v>
      </c>
      <c r="C112" s="211" t="s">
        <v>150</v>
      </c>
      <c r="D112" s="212"/>
    </row>
    <row r="113" spans="2:4" x14ac:dyDescent="0.2">
      <c r="B113" s="216"/>
      <c r="C113" s="213"/>
      <c r="D113" s="218"/>
    </row>
    <row r="114" spans="2:4" x14ac:dyDescent="0.2">
      <c r="B114" s="205"/>
      <c r="C114" s="206">
        <v>2006</v>
      </c>
      <c r="D114" s="205"/>
    </row>
    <row r="115" spans="2:4" x14ac:dyDescent="0.2">
      <c r="B115" s="207" t="s">
        <v>166</v>
      </c>
      <c r="C115" s="208"/>
      <c r="D115" s="209"/>
    </row>
    <row r="116" spans="2:4" x14ac:dyDescent="0.2">
      <c r="B116" s="207" t="s">
        <v>166</v>
      </c>
      <c r="C116" s="208"/>
      <c r="D116" s="209"/>
    </row>
    <row r="117" spans="2:4" x14ac:dyDescent="0.2">
      <c r="B117" s="210">
        <v>2679999.0476643043</v>
      </c>
      <c r="C117" s="211" t="s">
        <v>123</v>
      </c>
      <c r="D117" s="212"/>
    </row>
    <row r="118" spans="2:4" x14ac:dyDescent="0.2">
      <c r="B118" s="212"/>
      <c r="C118" s="211" t="s">
        <v>167</v>
      </c>
      <c r="D118" s="210">
        <v>1309104.5680720084</v>
      </c>
    </row>
    <row r="119" spans="2:4" x14ac:dyDescent="0.2">
      <c r="B119" s="212"/>
      <c r="C119" s="211"/>
      <c r="D119" s="212"/>
    </row>
    <row r="120" spans="2:4" x14ac:dyDescent="0.2">
      <c r="B120" s="210">
        <v>-1370894.4795922958</v>
      </c>
      <c r="C120" s="211" t="s">
        <v>168</v>
      </c>
      <c r="D120" s="212"/>
    </row>
    <row r="121" spans="2:4" x14ac:dyDescent="0.2">
      <c r="B121" s="207" t="s">
        <v>169</v>
      </c>
      <c r="C121" s="213"/>
      <c r="D121" s="209"/>
    </row>
    <row r="122" spans="2:4" x14ac:dyDescent="0.2">
      <c r="B122" s="212"/>
      <c r="C122" s="211" t="s">
        <v>168</v>
      </c>
      <c r="D122" s="212">
        <v>-1370894.4795922958</v>
      </c>
    </row>
    <row r="123" spans="2:4" x14ac:dyDescent="0.2">
      <c r="B123" s="214"/>
      <c r="C123" s="211" t="s">
        <v>133</v>
      </c>
      <c r="D123" s="212">
        <v>19349.055195953453</v>
      </c>
    </row>
    <row r="124" spans="2:4" x14ac:dyDescent="0.2">
      <c r="B124" s="214">
        <v>11657.291749697635</v>
      </c>
      <c r="C124" s="211" t="s">
        <v>170</v>
      </c>
      <c r="D124" s="212">
        <v>488812.94559441245</v>
      </c>
    </row>
    <row r="125" spans="2:4" x14ac:dyDescent="0.2">
      <c r="B125" s="214">
        <v>11657.291749697635</v>
      </c>
      <c r="C125" s="211" t="s">
        <v>171</v>
      </c>
      <c r="D125" s="212">
        <v>64706.587886056477</v>
      </c>
    </row>
    <row r="126" spans="2:4" x14ac:dyDescent="0.2">
      <c r="B126" s="214"/>
      <c r="C126" s="211" t="s">
        <v>172</v>
      </c>
      <c r="D126" s="212">
        <v>424106.35770835599</v>
      </c>
    </row>
    <row r="127" spans="2:4" x14ac:dyDescent="0.2">
      <c r="B127" s="214"/>
      <c r="C127" s="215" t="s">
        <v>173</v>
      </c>
      <c r="D127" s="212"/>
    </row>
    <row r="128" spans="2:4" x14ac:dyDescent="0.2">
      <c r="B128" s="214">
        <v>4785.8642260009037</v>
      </c>
      <c r="C128" s="211" t="s">
        <v>174</v>
      </c>
      <c r="D128" s="212">
        <v>20053.059614843263</v>
      </c>
    </row>
    <row r="129" spans="2:4" x14ac:dyDescent="0.2">
      <c r="B129" s="214"/>
      <c r="C129" s="211" t="s">
        <v>175</v>
      </c>
      <c r="D129" s="212"/>
    </row>
    <row r="130" spans="2:4" x14ac:dyDescent="0.2">
      <c r="B130" s="214">
        <v>4785.8642260009037</v>
      </c>
      <c r="C130" s="211" t="s">
        <v>176</v>
      </c>
      <c r="D130" s="212">
        <v>20053.059614843263</v>
      </c>
    </row>
    <row r="131" spans="2:4" x14ac:dyDescent="0.2">
      <c r="B131" s="214"/>
      <c r="C131" s="211"/>
      <c r="D131" s="212"/>
    </row>
    <row r="132" spans="2:4" x14ac:dyDescent="0.2">
      <c r="B132" s="210">
        <v>-859122.57516278513</v>
      </c>
      <c r="C132" s="211" t="s">
        <v>177</v>
      </c>
      <c r="D132" s="212"/>
    </row>
    <row r="133" spans="2:4" x14ac:dyDescent="0.2">
      <c r="B133" s="207" t="s">
        <v>178</v>
      </c>
      <c r="C133" s="213"/>
      <c r="D133" s="216"/>
    </row>
    <row r="134" spans="2:4" x14ac:dyDescent="0.2">
      <c r="B134" s="209"/>
      <c r="C134" s="217" t="s">
        <v>147</v>
      </c>
      <c r="D134" s="212"/>
    </row>
    <row r="135" spans="2:4" x14ac:dyDescent="0.2">
      <c r="B135" s="212"/>
      <c r="C135" s="211" t="s">
        <v>177</v>
      </c>
      <c r="D135" s="212">
        <v>-859122.57516278513</v>
      </c>
    </row>
    <row r="136" spans="2:4" x14ac:dyDescent="0.2">
      <c r="B136" s="212">
        <v>115.491178350249</v>
      </c>
      <c r="C136" s="211" t="s">
        <v>179</v>
      </c>
      <c r="D136" s="212"/>
    </row>
    <row r="137" spans="2:4" x14ac:dyDescent="0.2">
      <c r="B137" s="212"/>
      <c r="C137" s="211" t="s">
        <v>180</v>
      </c>
      <c r="D137" s="212">
        <v>-859238.06634113542</v>
      </c>
    </row>
    <row r="138" spans="2:4" x14ac:dyDescent="0.2">
      <c r="B138" s="212"/>
      <c r="C138" s="211"/>
      <c r="D138" s="212"/>
    </row>
    <row r="139" spans="2:4" x14ac:dyDescent="0.2">
      <c r="B139" s="210">
        <v>-859238.06634113542</v>
      </c>
      <c r="C139" s="211" t="s">
        <v>150</v>
      </c>
      <c r="D139" s="212"/>
    </row>
    <row r="140" spans="2:4" x14ac:dyDescent="0.2">
      <c r="B140" s="205"/>
      <c r="C140" s="206">
        <v>2007</v>
      </c>
      <c r="D140" s="205"/>
    </row>
    <row r="141" spans="2:4" x14ac:dyDescent="0.2">
      <c r="B141" s="207" t="s">
        <v>166</v>
      </c>
      <c r="C141" s="208"/>
      <c r="D141" s="209"/>
    </row>
    <row r="142" spans="2:4" x14ac:dyDescent="0.2">
      <c r="B142" s="210">
        <v>3429287.8999426155</v>
      </c>
      <c r="C142" s="211" t="s">
        <v>123</v>
      </c>
      <c r="D142" s="212"/>
    </row>
    <row r="143" spans="2:4" x14ac:dyDescent="0.2">
      <c r="B143" s="212"/>
      <c r="C143" s="211" t="s">
        <v>167</v>
      </c>
      <c r="D143" s="210">
        <v>2017729.0710594181</v>
      </c>
    </row>
    <row r="144" spans="2:4" x14ac:dyDescent="0.2">
      <c r="B144" s="212"/>
      <c r="C144" s="211"/>
      <c r="D144" s="212"/>
    </row>
    <row r="145" spans="2:4" x14ac:dyDescent="0.2">
      <c r="B145" s="210">
        <v>-1411558.8288831974</v>
      </c>
      <c r="C145" s="211" t="s">
        <v>168</v>
      </c>
      <c r="D145" s="212"/>
    </row>
    <row r="146" spans="2:4" x14ac:dyDescent="0.2">
      <c r="B146" s="207" t="s">
        <v>169</v>
      </c>
      <c r="C146" s="213"/>
      <c r="D146" s="209"/>
    </row>
    <row r="147" spans="2:4" x14ac:dyDescent="0.2">
      <c r="B147" s="212"/>
      <c r="C147" s="211" t="s">
        <v>168</v>
      </c>
      <c r="D147" s="212">
        <v>-1411558.8288831974</v>
      </c>
    </row>
    <row r="148" spans="2:4" x14ac:dyDescent="0.2">
      <c r="B148" s="214"/>
      <c r="C148" s="211" t="s">
        <v>133</v>
      </c>
      <c r="D148" s="212">
        <v>28720.163968623678</v>
      </c>
    </row>
    <row r="149" spans="2:4" x14ac:dyDescent="0.2">
      <c r="B149" s="214">
        <v>47753.886497668413</v>
      </c>
      <c r="C149" s="211" t="s">
        <v>170</v>
      </c>
      <c r="D149" s="212">
        <v>601922.94015395991</v>
      </c>
    </row>
    <row r="150" spans="2:4" x14ac:dyDescent="0.2">
      <c r="B150" s="214">
        <v>47753.886497668413</v>
      </c>
      <c r="C150" s="211" t="s">
        <v>171</v>
      </c>
      <c r="D150" s="212">
        <v>44409.1089221199</v>
      </c>
    </row>
    <row r="151" spans="2:4" x14ac:dyDescent="0.2">
      <c r="B151" s="214"/>
      <c r="C151" s="211" t="s">
        <v>172</v>
      </c>
      <c r="D151" s="212">
        <v>557513.83123183995</v>
      </c>
    </row>
    <row r="152" spans="2:4" x14ac:dyDescent="0.2">
      <c r="B152" s="214"/>
      <c r="C152" s="215" t="s">
        <v>173</v>
      </c>
      <c r="D152" s="212"/>
    </row>
    <row r="153" spans="2:4" x14ac:dyDescent="0.2">
      <c r="B153" s="214">
        <v>3505.4609169832001</v>
      </c>
      <c r="C153" s="211" t="s">
        <v>174</v>
      </c>
      <c r="D153" s="212">
        <v>20527.88178662592</v>
      </c>
    </row>
    <row r="154" spans="2:4" x14ac:dyDescent="0.2">
      <c r="B154" s="214"/>
      <c r="C154" s="211" t="s">
        <v>175</v>
      </c>
      <c r="D154" s="212"/>
    </row>
    <row r="155" spans="2:4" x14ac:dyDescent="0.2">
      <c r="B155" s="214">
        <v>3505.4609169832001</v>
      </c>
      <c r="C155" s="211" t="s">
        <v>176</v>
      </c>
      <c r="D155" s="212">
        <v>20527.88178662592</v>
      </c>
    </row>
    <row r="156" spans="2:4" x14ac:dyDescent="0.2">
      <c r="B156" s="214"/>
      <c r="C156" s="211"/>
      <c r="D156" s="212"/>
    </row>
    <row r="157" spans="2:4" x14ac:dyDescent="0.2">
      <c r="B157" s="210">
        <v>-811647.19038863957</v>
      </c>
      <c r="C157" s="211" t="s">
        <v>177</v>
      </c>
      <c r="D157" s="212"/>
    </row>
    <row r="158" spans="2:4" x14ac:dyDescent="0.2">
      <c r="B158" s="207" t="s">
        <v>178</v>
      </c>
      <c r="C158" s="213"/>
      <c r="D158" s="216"/>
    </row>
    <row r="159" spans="2:4" x14ac:dyDescent="0.2">
      <c r="B159" s="209"/>
      <c r="C159" s="217" t="s">
        <v>147</v>
      </c>
      <c r="D159" s="212"/>
    </row>
    <row r="160" spans="2:4" x14ac:dyDescent="0.2">
      <c r="B160" s="212"/>
      <c r="C160" s="211" t="s">
        <v>177</v>
      </c>
      <c r="D160" s="212">
        <v>-811647.19038863957</v>
      </c>
    </row>
    <row r="161" spans="2:4" x14ac:dyDescent="0.2">
      <c r="B161" s="212">
        <v>550.34876059071996</v>
      </c>
      <c r="C161" s="211" t="s">
        <v>179</v>
      </c>
      <c r="D161" s="212"/>
    </row>
    <row r="162" spans="2:4" x14ac:dyDescent="0.2">
      <c r="B162" s="212"/>
      <c r="C162" s="211" t="s">
        <v>180</v>
      </c>
      <c r="D162" s="212">
        <v>-812197.53914923035</v>
      </c>
    </row>
    <row r="163" spans="2:4" x14ac:dyDescent="0.2">
      <c r="B163" s="212"/>
      <c r="C163" s="211"/>
      <c r="D163" s="212"/>
    </row>
    <row r="164" spans="2:4" x14ac:dyDescent="0.2">
      <c r="B164" s="210">
        <v>-812197.53914923035</v>
      </c>
      <c r="C164" s="211" t="s">
        <v>150</v>
      </c>
      <c r="D164" s="212"/>
    </row>
    <row r="165" spans="2:4" x14ac:dyDescent="0.2">
      <c r="B165" s="212"/>
      <c r="C165" s="213"/>
      <c r="D165" s="218"/>
    </row>
    <row r="166" spans="2:4" x14ac:dyDescent="0.2">
      <c r="B166" s="216"/>
      <c r="C166" s="219"/>
      <c r="D166" s="216"/>
    </row>
    <row r="167" spans="2:4" x14ac:dyDescent="0.2">
      <c r="B167" s="257" t="s">
        <v>165</v>
      </c>
      <c r="C167" s="257"/>
      <c r="D167" s="257"/>
    </row>
    <row r="168" spans="2:4" x14ac:dyDescent="0.2">
      <c r="B168" s="258" t="s">
        <v>182</v>
      </c>
      <c r="C168" s="258"/>
      <c r="D168" s="258"/>
    </row>
    <row r="169" spans="2:4" x14ac:dyDescent="0.2">
      <c r="B169" s="256" t="s">
        <v>109</v>
      </c>
      <c r="C169" s="256"/>
      <c r="D169" s="256"/>
    </row>
    <row r="170" spans="2:4" x14ac:dyDescent="0.2">
      <c r="B170" s="203" t="s">
        <v>112</v>
      </c>
      <c r="C170" s="204" t="s">
        <v>111</v>
      </c>
      <c r="D170" s="203" t="s">
        <v>110</v>
      </c>
    </row>
    <row r="171" spans="2:4" x14ac:dyDescent="0.2">
      <c r="B171" s="205"/>
      <c r="C171" s="206">
        <v>2008</v>
      </c>
      <c r="D171" s="205"/>
    </row>
    <row r="172" spans="2:4" x14ac:dyDescent="0.2">
      <c r="B172" s="207" t="s">
        <v>166</v>
      </c>
      <c r="C172" s="208"/>
      <c r="D172" s="209"/>
    </row>
    <row r="173" spans="2:4" x14ac:dyDescent="0.2">
      <c r="B173" s="210">
        <v>4820438.6167819714</v>
      </c>
      <c r="C173" s="211" t="s">
        <v>123</v>
      </c>
      <c r="D173" s="212"/>
    </row>
    <row r="174" spans="2:4" x14ac:dyDescent="0.2">
      <c r="B174" s="212"/>
      <c r="C174" s="211" t="s">
        <v>167</v>
      </c>
      <c r="D174" s="210">
        <v>3235580.9414732652</v>
      </c>
    </row>
    <row r="175" spans="2:4" x14ac:dyDescent="0.2">
      <c r="B175" s="212"/>
      <c r="C175" s="211"/>
      <c r="D175" s="212"/>
    </row>
    <row r="176" spans="2:4" x14ac:dyDescent="0.2">
      <c r="B176" s="210">
        <v>-1584857.6753087062</v>
      </c>
      <c r="C176" s="211" t="s">
        <v>168</v>
      </c>
      <c r="D176" s="212"/>
    </row>
    <row r="177" spans="2:4" x14ac:dyDescent="0.2">
      <c r="B177" s="207" t="s">
        <v>169</v>
      </c>
      <c r="C177" s="213"/>
      <c r="D177" s="209"/>
    </row>
    <row r="178" spans="2:4" x14ac:dyDescent="0.2">
      <c r="B178" s="212"/>
      <c r="C178" s="211" t="s">
        <v>168</v>
      </c>
      <c r="D178" s="212">
        <v>-1584857.6753087062</v>
      </c>
    </row>
    <row r="179" spans="2:4" x14ac:dyDescent="0.2">
      <c r="B179" s="214"/>
      <c r="C179" s="211" t="s">
        <v>133</v>
      </c>
      <c r="D179" s="212">
        <v>33540.745448064001</v>
      </c>
    </row>
    <row r="180" spans="2:4" x14ac:dyDescent="0.2">
      <c r="B180" s="214">
        <v>31686.799434871878</v>
      </c>
      <c r="C180" s="211" t="s">
        <v>170</v>
      </c>
      <c r="D180" s="212">
        <v>1027427.7612018511</v>
      </c>
    </row>
    <row r="181" spans="2:4" x14ac:dyDescent="0.2">
      <c r="B181" s="214">
        <v>31686.799434871878</v>
      </c>
      <c r="C181" s="211" t="s">
        <v>171</v>
      </c>
      <c r="D181" s="212">
        <v>38137.858330491028</v>
      </c>
    </row>
    <row r="182" spans="2:4" x14ac:dyDescent="0.2">
      <c r="B182" s="214"/>
      <c r="C182" s="211" t="s">
        <v>172</v>
      </c>
      <c r="D182" s="212">
        <v>989289.90287136007</v>
      </c>
    </row>
    <row r="183" spans="2:4" x14ac:dyDescent="0.2">
      <c r="B183" s="214"/>
      <c r="C183" s="215" t="s">
        <v>173</v>
      </c>
      <c r="D183" s="212"/>
    </row>
    <row r="184" spans="2:4" x14ac:dyDescent="0.2">
      <c r="B184" s="214">
        <v>11590.588376398622</v>
      </c>
      <c r="C184" s="211" t="s">
        <v>174</v>
      </c>
      <c r="D184" s="212">
        <v>27352.664778470204</v>
      </c>
    </row>
    <row r="185" spans="2:4" x14ac:dyDescent="0.2">
      <c r="B185" s="214"/>
      <c r="C185" s="211" t="s">
        <v>175</v>
      </c>
      <c r="D185" s="212"/>
    </row>
    <row r="186" spans="2:4" x14ac:dyDescent="0.2">
      <c r="B186" s="214">
        <v>11590.588376398622</v>
      </c>
      <c r="C186" s="211" t="s">
        <v>176</v>
      </c>
      <c r="D186" s="212">
        <v>27352.664778470204</v>
      </c>
    </row>
    <row r="187" spans="2:4" x14ac:dyDescent="0.2">
      <c r="B187" s="214"/>
      <c r="C187" s="211"/>
      <c r="D187" s="212"/>
    </row>
    <row r="188" spans="2:4" x14ac:dyDescent="0.2">
      <c r="B188" s="210">
        <v>-539813.89169159147</v>
      </c>
      <c r="C188" s="211" t="s">
        <v>177</v>
      </c>
      <c r="D188" s="212"/>
    </row>
    <row r="189" spans="2:4" x14ac:dyDescent="0.2">
      <c r="B189" s="207" t="s">
        <v>178</v>
      </c>
      <c r="C189" s="213"/>
      <c r="D189" s="216"/>
    </row>
    <row r="190" spans="2:4" x14ac:dyDescent="0.2">
      <c r="B190" s="209"/>
      <c r="C190" s="217" t="s">
        <v>147</v>
      </c>
      <c r="D190" s="212"/>
    </row>
    <row r="191" spans="2:4" x14ac:dyDescent="0.2">
      <c r="B191" s="212"/>
      <c r="C191" s="211" t="s">
        <v>177</v>
      </c>
      <c r="D191" s="212">
        <v>-539813.89169159147</v>
      </c>
    </row>
    <row r="192" spans="2:4" x14ac:dyDescent="0.2">
      <c r="B192" s="212">
        <v>865.45901538946009</v>
      </c>
      <c r="C192" s="211" t="s">
        <v>179</v>
      </c>
      <c r="D192" s="212"/>
    </row>
    <row r="193" spans="2:4" x14ac:dyDescent="0.2">
      <c r="B193" s="212"/>
      <c r="C193" s="211" t="s">
        <v>180</v>
      </c>
      <c r="D193" s="212">
        <v>-540679.35070698091</v>
      </c>
    </row>
    <row r="194" spans="2:4" x14ac:dyDescent="0.2">
      <c r="B194" s="212"/>
      <c r="C194" s="211"/>
      <c r="D194" s="212"/>
    </row>
    <row r="195" spans="2:4" x14ac:dyDescent="0.2">
      <c r="B195" s="210">
        <v>-540679.35070698091</v>
      </c>
      <c r="C195" s="211" t="s">
        <v>150</v>
      </c>
      <c r="D195" s="212"/>
    </row>
    <row r="196" spans="2:4" x14ac:dyDescent="0.2">
      <c r="B196" s="216"/>
      <c r="C196" s="219"/>
      <c r="D196" s="216"/>
    </row>
    <row r="197" spans="2:4" x14ac:dyDescent="0.2">
      <c r="B197" s="257" t="s">
        <v>165</v>
      </c>
      <c r="C197" s="257"/>
      <c r="D197" s="257"/>
    </row>
    <row r="198" spans="2:4" x14ac:dyDescent="0.2">
      <c r="B198" s="258" t="s">
        <v>183</v>
      </c>
      <c r="C198" s="258"/>
      <c r="D198" s="258"/>
    </row>
    <row r="199" spans="2:4" x14ac:dyDescent="0.2">
      <c r="B199" s="256" t="s">
        <v>109</v>
      </c>
      <c r="C199" s="256"/>
      <c r="D199" s="256"/>
    </row>
    <row r="200" spans="2:4" x14ac:dyDescent="0.2">
      <c r="B200" s="203" t="s">
        <v>112</v>
      </c>
      <c r="C200" s="204" t="s">
        <v>111</v>
      </c>
      <c r="D200" s="203" t="s">
        <v>110</v>
      </c>
    </row>
    <row r="201" spans="2:4" x14ac:dyDescent="0.2">
      <c r="B201" s="205"/>
      <c r="C201" s="206">
        <v>2009</v>
      </c>
      <c r="D201" s="205"/>
    </row>
    <row r="202" spans="2:4" x14ac:dyDescent="0.2">
      <c r="B202" s="207" t="s">
        <v>166</v>
      </c>
      <c r="C202" s="208"/>
      <c r="D202" s="209"/>
    </row>
    <row r="203" spans="2:4" x14ac:dyDescent="0.2">
      <c r="B203" s="210">
        <v>3299054.8250607057</v>
      </c>
      <c r="C203" s="211" t="s">
        <v>123</v>
      </c>
      <c r="D203" s="212"/>
    </row>
    <row r="204" spans="2:4" x14ac:dyDescent="0.2">
      <c r="B204" s="212"/>
      <c r="C204" s="211" t="s">
        <v>167</v>
      </c>
      <c r="D204" s="210">
        <v>3329155.6907306733</v>
      </c>
    </row>
    <row r="205" spans="2:4" x14ac:dyDescent="0.2">
      <c r="B205" s="212"/>
      <c r="C205" s="211"/>
      <c r="D205" s="212"/>
    </row>
    <row r="206" spans="2:4" x14ac:dyDescent="0.2">
      <c r="B206" s="210">
        <v>30100.865669967607</v>
      </c>
      <c r="C206" s="211" t="s">
        <v>168</v>
      </c>
      <c r="D206" s="212"/>
    </row>
    <row r="207" spans="2:4" x14ac:dyDescent="0.2">
      <c r="B207" s="207" t="s">
        <v>169</v>
      </c>
      <c r="C207" s="213"/>
      <c r="D207" s="209"/>
    </row>
    <row r="208" spans="2:4" x14ac:dyDescent="0.2">
      <c r="B208" s="212"/>
      <c r="C208" s="211" t="s">
        <v>168</v>
      </c>
      <c r="D208" s="212">
        <v>30100.865669967607</v>
      </c>
    </row>
    <row r="209" spans="2:4" x14ac:dyDescent="0.2">
      <c r="B209" s="214"/>
      <c r="C209" s="211" t="s">
        <v>133</v>
      </c>
      <c r="D209" s="212">
        <v>25540.381534140961</v>
      </c>
    </row>
    <row r="210" spans="2:4" x14ac:dyDescent="0.2">
      <c r="B210" s="214">
        <v>10452.710709055324</v>
      </c>
      <c r="C210" s="211" t="s">
        <v>170</v>
      </c>
      <c r="D210" s="212">
        <v>527959.37425923941</v>
      </c>
    </row>
    <row r="211" spans="2:4" x14ac:dyDescent="0.2">
      <c r="B211" s="214">
        <v>10452.710709055324</v>
      </c>
      <c r="C211" s="211" t="s">
        <v>171</v>
      </c>
      <c r="D211" s="212">
        <v>40074.106706828359</v>
      </c>
    </row>
    <row r="212" spans="2:4" x14ac:dyDescent="0.2">
      <c r="B212" s="214"/>
      <c r="C212" s="211" t="s">
        <v>172</v>
      </c>
      <c r="D212" s="212">
        <v>487885.26755241101</v>
      </c>
    </row>
    <row r="213" spans="2:4" x14ac:dyDescent="0.2">
      <c r="B213" s="214"/>
      <c r="C213" s="215" t="s">
        <v>173</v>
      </c>
      <c r="D213" s="212"/>
    </row>
    <row r="214" spans="2:4" x14ac:dyDescent="0.2">
      <c r="B214" s="214">
        <v>4523.0560435615089</v>
      </c>
      <c r="C214" s="211" t="s">
        <v>174</v>
      </c>
      <c r="D214" s="212">
        <v>33995.470431596863</v>
      </c>
    </row>
    <row r="215" spans="2:4" x14ac:dyDescent="0.2">
      <c r="B215" s="214"/>
      <c r="C215" s="211" t="s">
        <v>175</v>
      </c>
      <c r="D215" s="212"/>
    </row>
    <row r="216" spans="2:4" x14ac:dyDescent="0.2">
      <c r="B216" s="214">
        <v>4523.0560435615089</v>
      </c>
      <c r="C216" s="211" t="s">
        <v>176</v>
      </c>
      <c r="D216" s="212">
        <v>33995.470431596863</v>
      </c>
    </row>
    <row r="217" spans="2:4" x14ac:dyDescent="0.2">
      <c r="B217" s="214"/>
      <c r="C217" s="211"/>
      <c r="D217" s="212"/>
    </row>
    <row r="218" spans="2:4" x14ac:dyDescent="0.2">
      <c r="B218" s="210">
        <v>602620.32514232793</v>
      </c>
      <c r="C218" s="211" t="s">
        <v>177</v>
      </c>
      <c r="D218" s="212"/>
    </row>
    <row r="219" spans="2:4" x14ac:dyDescent="0.2">
      <c r="B219" s="207" t="s">
        <v>178</v>
      </c>
      <c r="C219" s="213"/>
      <c r="D219" s="216"/>
    </row>
    <row r="220" spans="2:4" x14ac:dyDescent="0.2">
      <c r="B220" s="209"/>
      <c r="C220" s="217" t="s">
        <v>147</v>
      </c>
      <c r="D220" s="212"/>
    </row>
    <row r="221" spans="2:4" x14ac:dyDescent="0.2">
      <c r="B221" s="212"/>
      <c r="C221" s="211" t="s">
        <v>177</v>
      </c>
      <c r="D221" s="212">
        <v>602620.32514232793</v>
      </c>
    </row>
    <row r="222" spans="2:4" x14ac:dyDescent="0.2">
      <c r="B222" s="212">
        <v>329.44865657862471</v>
      </c>
      <c r="C222" s="211" t="s">
        <v>179</v>
      </c>
      <c r="D222" s="212"/>
    </row>
    <row r="223" spans="2:4" x14ac:dyDescent="0.2">
      <c r="B223" s="212"/>
      <c r="C223" s="211" t="s">
        <v>180</v>
      </c>
      <c r="D223" s="212">
        <v>602290.87648574926</v>
      </c>
    </row>
    <row r="224" spans="2:4" x14ac:dyDescent="0.2">
      <c r="B224" s="212"/>
      <c r="C224" s="211"/>
      <c r="D224" s="212"/>
    </row>
    <row r="225" spans="2:4" x14ac:dyDescent="0.2">
      <c r="B225" s="210">
        <v>602290.87648574926</v>
      </c>
      <c r="C225" s="211" t="s">
        <v>150</v>
      </c>
      <c r="D225" s="212"/>
    </row>
    <row r="226" spans="2:4" x14ac:dyDescent="0.2">
      <c r="B226" s="210"/>
      <c r="C226" s="211"/>
      <c r="D226" s="212"/>
    </row>
    <row r="227" spans="2:4" x14ac:dyDescent="0.2">
      <c r="B227" s="257" t="s">
        <v>165</v>
      </c>
      <c r="C227" s="257"/>
      <c r="D227" s="257"/>
    </row>
    <row r="228" spans="2:4" x14ac:dyDescent="0.2">
      <c r="B228" s="258" t="s">
        <v>184</v>
      </c>
      <c r="C228" s="258"/>
      <c r="D228" s="258"/>
    </row>
    <row r="229" spans="2:4" x14ac:dyDescent="0.2">
      <c r="B229" s="256" t="s">
        <v>109</v>
      </c>
      <c r="C229" s="256"/>
      <c r="D229" s="256"/>
    </row>
    <row r="230" spans="2:4" x14ac:dyDescent="0.2">
      <c r="B230" s="203" t="s">
        <v>112</v>
      </c>
      <c r="C230" s="204" t="s">
        <v>111</v>
      </c>
      <c r="D230" s="203" t="s">
        <v>110</v>
      </c>
    </row>
    <row r="231" spans="2:4" x14ac:dyDescent="0.2">
      <c r="B231" s="205"/>
      <c r="C231" s="206">
        <v>2010</v>
      </c>
      <c r="D231" s="205"/>
    </row>
    <row r="232" spans="2:4" x14ac:dyDescent="0.2">
      <c r="B232" s="207" t="s">
        <v>166</v>
      </c>
      <c r="C232" s="208"/>
      <c r="D232" s="209"/>
    </row>
    <row r="233" spans="2:4" x14ac:dyDescent="0.2">
      <c r="B233" s="210">
        <v>4732468.0750871189</v>
      </c>
      <c r="C233" s="211" t="s">
        <v>123</v>
      </c>
      <c r="D233" s="212"/>
    </row>
    <row r="234" spans="2:4" x14ac:dyDescent="0.2">
      <c r="B234" s="212"/>
      <c r="C234" s="211" t="s">
        <v>167</v>
      </c>
      <c r="D234" s="210">
        <v>3258001.2835274069</v>
      </c>
    </row>
    <row r="235" spans="2:4" x14ac:dyDescent="0.2">
      <c r="B235" s="212"/>
      <c r="C235" s="211"/>
      <c r="D235" s="212"/>
    </row>
    <row r="236" spans="2:4" x14ac:dyDescent="0.2">
      <c r="B236" s="210">
        <v>-1474466.791559712</v>
      </c>
      <c r="C236" s="211" t="s">
        <v>168</v>
      </c>
      <c r="D236" s="212"/>
    </row>
    <row r="237" spans="2:4" x14ac:dyDescent="0.2">
      <c r="B237" s="207" t="s">
        <v>169</v>
      </c>
      <c r="C237" s="213"/>
      <c r="D237" s="209"/>
    </row>
    <row r="238" spans="2:4" x14ac:dyDescent="0.2">
      <c r="B238" s="212"/>
      <c r="C238" s="211" t="s">
        <v>168</v>
      </c>
      <c r="D238" s="212">
        <v>-1474466.791559712</v>
      </c>
    </row>
    <row r="239" spans="2:4" x14ac:dyDescent="0.2">
      <c r="B239" s="214"/>
      <c r="C239" s="211" t="s">
        <v>133</v>
      </c>
      <c r="D239" s="212">
        <v>27955.736368917602</v>
      </c>
    </row>
    <row r="240" spans="2:4" x14ac:dyDescent="0.2">
      <c r="B240" s="214">
        <v>12328.325774471072</v>
      </c>
      <c r="C240" s="211" t="s">
        <v>170</v>
      </c>
      <c r="D240" s="212">
        <v>728192.72667508607</v>
      </c>
    </row>
    <row r="241" spans="2:4" x14ac:dyDescent="0.2">
      <c r="B241" s="214">
        <v>12328.325774471072</v>
      </c>
      <c r="C241" s="211" t="s">
        <v>171</v>
      </c>
      <c r="D241" s="212">
        <v>36072.14277100574</v>
      </c>
    </row>
    <row r="242" spans="2:4" x14ac:dyDescent="0.2">
      <c r="B242" s="214"/>
      <c r="C242" s="211" t="s">
        <v>172</v>
      </c>
      <c r="D242" s="212">
        <v>692120.58390408033</v>
      </c>
    </row>
    <row r="243" spans="2:4" x14ac:dyDescent="0.2">
      <c r="B243" s="214"/>
      <c r="C243" s="215" t="s">
        <v>173</v>
      </c>
      <c r="D243" s="212"/>
    </row>
    <row r="244" spans="2:4" x14ac:dyDescent="0.2">
      <c r="B244" s="214">
        <v>5375.2128452962897</v>
      </c>
      <c r="C244" s="211" t="s">
        <v>174</v>
      </c>
      <c r="D244" s="212">
        <v>45633.597858594345</v>
      </c>
    </row>
    <row r="245" spans="2:4" x14ac:dyDescent="0.2">
      <c r="B245" s="214"/>
      <c r="C245" s="211" t="s">
        <v>175</v>
      </c>
      <c r="D245" s="212"/>
    </row>
    <row r="246" spans="2:4" x14ac:dyDescent="0.2">
      <c r="B246" s="214">
        <v>5375.2128452962897</v>
      </c>
      <c r="C246" s="211" t="s">
        <v>176</v>
      </c>
      <c r="D246" s="212">
        <v>45633.597858594345</v>
      </c>
    </row>
    <row r="247" spans="2:4" x14ac:dyDescent="0.2">
      <c r="B247" s="214"/>
      <c r="C247" s="211"/>
      <c r="D247" s="212"/>
    </row>
    <row r="248" spans="2:4" x14ac:dyDescent="0.2">
      <c r="B248" s="210">
        <v>-690388.26927688124</v>
      </c>
      <c r="C248" s="211" t="s">
        <v>177</v>
      </c>
      <c r="D248" s="212"/>
    </row>
    <row r="249" spans="2:4" x14ac:dyDescent="0.2">
      <c r="B249" s="207" t="s">
        <v>178</v>
      </c>
      <c r="C249" s="213"/>
      <c r="D249" s="216"/>
    </row>
    <row r="250" spans="2:4" x14ac:dyDescent="0.2">
      <c r="B250" s="209"/>
      <c r="C250" s="217" t="s">
        <v>147</v>
      </c>
      <c r="D250" s="212"/>
    </row>
    <row r="251" spans="2:4" x14ac:dyDescent="0.2">
      <c r="B251" s="212"/>
      <c r="C251" s="211" t="s">
        <v>177</v>
      </c>
      <c r="D251" s="212">
        <v>-690388.26927688124</v>
      </c>
    </row>
    <row r="252" spans="2:4" x14ac:dyDescent="0.2">
      <c r="B252" s="212">
        <v>85.901436929618981</v>
      </c>
      <c r="C252" s="211" t="s">
        <v>179</v>
      </c>
      <c r="D252" s="212"/>
    </row>
    <row r="253" spans="2:4" x14ac:dyDescent="0.2">
      <c r="B253" s="212"/>
      <c r="C253" s="211" t="s">
        <v>180</v>
      </c>
      <c r="D253" s="212">
        <v>-690474.17071381083</v>
      </c>
    </row>
    <row r="254" spans="2:4" x14ac:dyDescent="0.2">
      <c r="B254" s="212"/>
      <c r="C254" s="211"/>
      <c r="D254" s="212"/>
    </row>
    <row r="255" spans="2:4" x14ac:dyDescent="0.2">
      <c r="B255" s="210">
        <v>-690474.17071381083</v>
      </c>
      <c r="C255" s="211" t="s">
        <v>150</v>
      </c>
      <c r="D255" s="212"/>
    </row>
    <row r="256" spans="2:4" x14ac:dyDescent="0.2">
      <c r="B256" s="196"/>
      <c r="C256" s="197"/>
      <c r="D256" s="201"/>
    </row>
    <row r="257" spans="2:4" x14ac:dyDescent="0.2">
      <c r="B257" s="196"/>
      <c r="C257" s="197"/>
      <c r="D257" s="201"/>
    </row>
    <row r="258" spans="2:4" x14ac:dyDescent="0.2">
      <c r="B258" s="257" t="s">
        <v>165</v>
      </c>
      <c r="C258" s="257"/>
      <c r="D258" s="257"/>
    </row>
    <row r="259" spans="2:4" x14ac:dyDescent="0.2">
      <c r="B259" s="258" t="s">
        <v>185</v>
      </c>
      <c r="C259" s="258"/>
      <c r="D259" s="258"/>
    </row>
    <row r="260" spans="2:4" x14ac:dyDescent="0.2">
      <c r="B260" s="256" t="s">
        <v>109</v>
      </c>
      <c r="C260" s="256"/>
      <c r="D260" s="256"/>
    </row>
    <row r="261" spans="2:4" x14ac:dyDescent="0.2">
      <c r="B261" s="203" t="s">
        <v>112</v>
      </c>
      <c r="C261" s="204" t="s">
        <v>111</v>
      </c>
      <c r="D261" s="203" t="s">
        <v>110</v>
      </c>
    </row>
    <row r="262" spans="2:4" x14ac:dyDescent="0.2">
      <c r="B262" s="205"/>
      <c r="C262" s="206">
        <v>2011</v>
      </c>
      <c r="D262" s="205"/>
    </row>
    <row r="263" spans="2:4" x14ac:dyDescent="0.2">
      <c r="B263" s="207" t="s">
        <v>166</v>
      </c>
      <c r="C263" s="208"/>
      <c r="D263" s="209"/>
    </row>
    <row r="264" spans="2:4" x14ac:dyDescent="0.2">
      <c r="B264" s="210">
        <v>6382792.3585709324</v>
      </c>
      <c r="C264" s="211" t="s">
        <v>123</v>
      </c>
      <c r="D264" s="212"/>
    </row>
    <row r="265" spans="2:4" x14ac:dyDescent="0.2">
      <c r="B265" s="212"/>
      <c r="C265" s="211" t="s">
        <v>167</v>
      </c>
      <c r="D265" s="210">
        <v>4117923.3941764547</v>
      </c>
    </row>
    <row r="266" spans="2:4" x14ac:dyDescent="0.2">
      <c r="B266" s="212"/>
      <c r="C266" s="211"/>
      <c r="D266" s="212"/>
    </row>
    <row r="267" spans="2:4" x14ac:dyDescent="0.2">
      <c r="B267" s="210">
        <v>-2264868.9643944777</v>
      </c>
      <c r="C267" s="211" t="s">
        <v>168</v>
      </c>
      <c r="D267" s="212"/>
    </row>
    <row r="268" spans="2:4" x14ac:dyDescent="0.2">
      <c r="B268" s="207" t="s">
        <v>169</v>
      </c>
      <c r="C268" s="213"/>
      <c r="D268" s="209"/>
    </row>
    <row r="269" spans="2:4" x14ac:dyDescent="0.2">
      <c r="B269" s="212"/>
      <c r="C269" s="211" t="s">
        <v>168</v>
      </c>
      <c r="D269" s="212">
        <v>-2264868.9643944777</v>
      </c>
    </row>
    <row r="270" spans="2:4" x14ac:dyDescent="0.2">
      <c r="B270" s="214"/>
      <c r="C270" s="211" t="s">
        <v>133</v>
      </c>
      <c r="D270" s="212">
        <v>31285.662443662546</v>
      </c>
    </row>
    <row r="271" spans="2:4" x14ac:dyDescent="0.2">
      <c r="B271" s="214">
        <v>19681.62604600819</v>
      </c>
      <c r="C271" s="211" t="s">
        <v>170</v>
      </c>
      <c r="D271" s="212">
        <v>898062.47439736931</v>
      </c>
    </row>
    <row r="272" spans="2:4" x14ac:dyDescent="0.2">
      <c r="B272" s="214">
        <v>19681.62604600819</v>
      </c>
      <c r="C272" s="211" t="s">
        <v>171</v>
      </c>
      <c r="D272" s="212">
        <v>50063.810955906476</v>
      </c>
    </row>
    <row r="273" spans="2:4" x14ac:dyDescent="0.2">
      <c r="B273" s="214"/>
      <c r="C273" s="211" t="s">
        <v>172</v>
      </c>
      <c r="D273" s="212">
        <v>847998.66344146279</v>
      </c>
    </row>
    <row r="274" spans="2:4" x14ac:dyDescent="0.2">
      <c r="B274" s="214"/>
      <c r="C274" s="215" t="s">
        <v>173</v>
      </c>
      <c r="D274" s="212"/>
    </row>
    <row r="275" spans="2:4" x14ac:dyDescent="0.2">
      <c r="B275" s="214">
        <v>10841.45469198498</v>
      </c>
      <c r="C275" s="211" t="s">
        <v>174</v>
      </c>
      <c r="D275" s="212">
        <v>138628.33516511606</v>
      </c>
    </row>
    <row r="276" spans="2:4" x14ac:dyDescent="0.2">
      <c r="B276" s="214"/>
      <c r="C276" s="211" t="s">
        <v>175</v>
      </c>
      <c r="D276" s="212"/>
    </row>
    <row r="277" spans="2:4" x14ac:dyDescent="0.2">
      <c r="B277" s="214">
        <v>10841.45469198498</v>
      </c>
      <c r="C277" s="211" t="s">
        <v>176</v>
      </c>
      <c r="D277" s="212">
        <v>138628.33516511606</v>
      </c>
    </row>
    <row r="278" spans="2:4" x14ac:dyDescent="0.2">
      <c r="B278" s="214"/>
      <c r="C278" s="211"/>
      <c r="D278" s="212"/>
    </row>
    <row r="279" spans="2:4" x14ac:dyDescent="0.2">
      <c r="B279" s="210">
        <v>-1227415.5731263231</v>
      </c>
      <c r="C279" s="211" t="s">
        <v>177</v>
      </c>
      <c r="D279" s="212"/>
    </row>
    <row r="280" spans="2:4" x14ac:dyDescent="0.2">
      <c r="B280" s="207" t="s">
        <v>178</v>
      </c>
      <c r="C280" s="213"/>
      <c r="D280" s="216"/>
    </row>
    <row r="281" spans="2:4" x14ac:dyDescent="0.2">
      <c r="B281" s="209"/>
      <c r="C281" s="217" t="s">
        <v>147</v>
      </c>
      <c r="D281" s="212"/>
    </row>
    <row r="282" spans="2:4" x14ac:dyDescent="0.2">
      <c r="B282" s="212"/>
      <c r="C282" s="211" t="s">
        <v>177</v>
      </c>
      <c r="D282" s="212">
        <v>-1227415.5731263231</v>
      </c>
    </row>
    <row r="283" spans="2:4" x14ac:dyDescent="0.2">
      <c r="B283" s="212">
        <v>214.66589469278676</v>
      </c>
      <c r="C283" s="211" t="s">
        <v>179</v>
      </c>
      <c r="D283" s="212"/>
    </row>
    <row r="284" spans="2:4" x14ac:dyDescent="0.2">
      <c r="B284" s="212"/>
      <c r="C284" s="211" t="s">
        <v>180</v>
      </c>
      <c r="D284" s="212">
        <v>-1227630.2390210158</v>
      </c>
    </row>
    <row r="285" spans="2:4" x14ac:dyDescent="0.2">
      <c r="B285" s="212"/>
      <c r="C285" s="211"/>
      <c r="D285" s="212"/>
    </row>
    <row r="286" spans="2:4" x14ac:dyDescent="0.2">
      <c r="B286" s="210">
        <v>-1227630.2390210158</v>
      </c>
      <c r="C286" s="211" t="s">
        <v>150</v>
      </c>
      <c r="D286" s="212"/>
    </row>
    <row r="287" spans="2:4" x14ac:dyDescent="0.2">
      <c r="B287" s="216"/>
      <c r="C287" s="219"/>
      <c r="D287" s="216"/>
    </row>
    <row r="288" spans="2:4" x14ac:dyDescent="0.2">
      <c r="B288" s="257" t="s">
        <v>165</v>
      </c>
      <c r="C288" s="257"/>
      <c r="D288" s="257"/>
    </row>
    <row r="289" spans="2:4" x14ac:dyDescent="0.2">
      <c r="B289" s="258" t="s">
        <v>186</v>
      </c>
      <c r="C289" s="258"/>
      <c r="D289" s="258"/>
    </row>
    <row r="290" spans="2:4" x14ac:dyDescent="0.2">
      <c r="B290" s="256" t="s">
        <v>109</v>
      </c>
      <c r="C290" s="256"/>
      <c r="D290" s="256"/>
    </row>
    <row r="291" spans="2:4" x14ac:dyDescent="0.2">
      <c r="B291" s="203" t="s">
        <v>112</v>
      </c>
      <c r="C291" s="204" t="s">
        <v>111</v>
      </c>
      <c r="D291" s="203" t="s">
        <v>110</v>
      </c>
    </row>
    <row r="292" spans="2:4" x14ac:dyDescent="0.2">
      <c r="B292" s="205"/>
      <c r="C292" s="206">
        <v>2012</v>
      </c>
      <c r="D292" s="205"/>
    </row>
    <row r="293" spans="2:4" x14ac:dyDescent="0.2">
      <c r="B293" s="207" t="s">
        <v>166</v>
      </c>
      <c r="C293" s="208"/>
      <c r="D293" s="209"/>
    </row>
    <row r="294" spans="2:4" x14ac:dyDescent="0.2">
      <c r="B294" s="210">
        <v>6857015.0444303537</v>
      </c>
      <c r="C294" s="211" t="s">
        <v>123</v>
      </c>
      <c r="D294" s="212"/>
    </row>
    <row r="295" spans="2:4" x14ac:dyDescent="0.2">
      <c r="B295" s="212"/>
      <c r="C295" s="211" t="s">
        <v>167</v>
      </c>
      <c r="D295" s="210">
        <v>4374111.2527120337</v>
      </c>
    </row>
    <row r="296" spans="2:4" x14ac:dyDescent="0.2">
      <c r="B296" s="212"/>
      <c r="C296" s="211"/>
      <c r="D296" s="212"/>
    </row>
    <row r="297" spans="2:4" x14ac:dyDescent="0.2">
      <c r="B297" s="210">
        <v>-2482903.79171832</v>
      </c>
      <c r="C297" s="211" t="s">
        <v>168</v>
      </c>
      <c r="D297" s="212"/>
    </row>
    <row r="298" spans="2:4" x14ac:dyDescent="0.2">
      <c r="B298" s="207" t="s">
        <v>169</v>
      </c>
      <c r="C298" s="213"/>
      <c r="D298" s="209"/>
    </row>
    <row r="299" spans="2:4" x14ac:dyDescent="0.2">
      <c r="B299" s="212"/>
      <c r="C299" s="211" t="s">
        <v>168</v>
      </c>
      <c r="D299" s="212">
        <v>-2482903.79171832</v>
      </c>
    </row>
    <row r="300" spans="2:4" x14ac:dyDescent="0.2">
      <c r="B300" s="214"/>
      <c r="C300" s="211" t="s">
        <v>133</v>
      </c>
      <c r="D300" s="212">
        <v>28377.065659940919</v>
      </c>
    </row>
    <row r="301" spans="2:4" x14ac:dyDescent="0.2">
      <c r="B301" s="214">
        <v>24787.964050398623</v>
      </c>
      <c r="C301" s="211" t="s">
        <v>170</v>
      </c>
      <c r="D301" s="212">
        <v>990690.29957389133</v>
      </c>
    </row>
    <row r="302" spans="2:4" x14ac:dyDescent="0.2">
      <c r="B302" s="214">
        <v>24787.964050398623</v>
      </c>
      <c r="C302" s="211" t="s">
        <v>171</v>
      </c>
      <c r="D302" s="212">
        <v>63160.78361792153</v>
      </c>
    </row>
    <row r="303" spans="2:4" x14ac:dyDescent="0.2">
      <c r="B303" s="214"/>
      <c r="C303" s="211" t="s">
        <v>172</v>
      </c>
      <c r="D303" s="212">
        <v>927529.51595596981</v>
      </c>
    </row>
    <row r="304" spans="2:4" x14ac:dyDescent="0.2">
      <c r="B304" s="214"/>
      <c r="C304" s="215" t="s">
        <v>173</v>
      </c>
      <c r="D304" s="212"/>
    </row>
    <row r="305" spans="2:4" x14ac:dyDescent="0.2">
      <c r="B305" s="214">
        <v>6382.1857259517283</v>
      </c>
      <c r="C305" s="211" t="s">
        <v>174</v>
      </c>
      <c r="D305" s="212">
        <v>174498.94154258331</v>
      </c>
    </row>
    <row r="306" spans="2:4" x14ac:dyDescent="0.2">
      <c r="B306" s="214"/>
      <c r="C306" s="211" t="s">
        <v>175</v>
      </c>
      <c r="D306" s="212"/>
    </row>
    <row r="307" spans="2:4" x14ac:dyDescent="0.2">
      <c r="B307" s="214">
        <v>6382.1857259517283</v>
      </c>
      <c r="C307" s="211" t="s">
        <v>176</v>
      </c>
      <c r="D307" s="212">
        <v>174498.94154258331</v>
      </c>
    </row>
    <row r="308" spans="2:4" x14ac:dyDescent="0.2">
      <c r="B308" s="214"/>
      <c r="C308" s="211"/>
      <c r="D308" s="212"/>
    </row>
    <row r="309" spans="2:4" x14ac:dyDescent="0.2">
      <c r="B309" s="210">
        <v>-1320507.6347182551</v>
      </c>
      <c r="C309" s="211" t="s">
        <v>177</v>
      </c>
      <c r="D309" s="212"/>
    </row>
    <row r="310" spans="2:4" x14ac:dyDescent="0.2">
      <c r="B310" s="207" t="s">
        <v>178</v>
      </c>
      <c r="C310" s="213"/>
      <c r="D310" s="216"/>
    </row>
    <row r="311" spans="2:4" x14ac:dyDescent="0.2">
      <c r="B311" s="209"/>
      <c r="C311" s="217" t="s">
        <v>147</v>
      </c>
      <c r="D311" s="212"/>
    </row>
    <row r="312" spans="2:4" x14ac:dyDescent="0.2">
      <c r="B312" s="212"/>
      <c r="C312" s="211" t="s">
        <v>177</v>
      </c>
      <c r="D312" s="212">
        <v>-1320507.6347182551</v>
      </c>
    </row>
    <row r="313" spans="2:4" x14ac:dyDescent="0.2">
      <c r="B313" s="212">
        <v>368.88560758531662</v>
      </c>
      <c r="C313" s="211" t="s">
        <v>179</v>
      </c>
      <c r="D313" s="212"/>
    </row>
    <row r="314" spans="2:4" x14ac:dyDescent="0.2">
      <c r="B314" s="212"/>
      <c r="C314" s="211" t="s">
        <v>180</v>
      </c>
      <c r="D314" s="212">
        <v>-1320876.5203258405</v>
      </c>
    </row>
    <row r="315" spans="2:4" x14ac:dyDescent="0.2">
      <c r="B315" s="212"/>
      <c r="C315" s="211"/>
      <c r="D315" s="212"/>
    </row>
    <row r="316" spans="2:4" x14ac:dyDescent="0.2">
      <c r="B316" s="210">
        <v>-1320876.5203258405</v>
      </c>
      <c r="C316" s="211" t="s">
        <v>150</v>
      </c>
      <c r="D316" s="212"/>
    </row>
    <row r="317" spans="2:4" x14ac:dyDescent="0.2">
      <c r="B317" s="196"/>
      <c r="C317" s="197"/>
      <c r="D317" s="201"/>
    </row>
    <row r="318" spans="2:4" x14ac:dyDescent="0.2">
      <c r="B318" s="257" t="s">
        <v>165</v>
      </c>
      <c r="C318" s="257"/>
      <c r="D318" s="257"/>
    </row>
    <row r="319" spans="2:4" x14ac:dyDescent="0.2">
      <c r="B319" s="258" t="s">
        <v>187</v>
      </c>
      <c r="C319" s="258"/>
      <c r="D319" s="258"/>
    </row>
    <row r="320" spans="2:4" x14ac:dyDescent="0.2">
      <c r="B320" s="256" t="s">
        <v>109</v>
      </c>
      <c r="C320" s="256"/>
      <c r="D320" s="256"/>
    </row>
    <row r="321" spans="2:4" x14ac:dyDescent="0.2">
      <c r="B321" s="203" t="s">
        <v>112</v>
      </c>
      <c r="C321" s="204" t="s">
        <v>111</v>
      </c>
      <c r="D321" s="203" t="s">
        <v>110</v>
      </c>
    </row>
    <row r="322" spans="2:4" x14ac:dyDescent="0.2">
      <c r="B322" s="205"/>
      <c r="C322" s="206">
        <v>2013</v>
      </c>
      <c r="D322" s="205"/>
    </row>
    <row r="323" spans="2:4" x14ac:dyDescent="0.2">
      <c r="B323" s="207" t="s">
        <v>166</v>
      </c>
      <c r="C323" s="208"/>
      <c r="D323" s="209"/>
    </row>
    <row r="324" spans="2:4" x14ac:dyDescent="0.2">
      <c r="B324" s="210">
        <v>6712820.4044148996</v>
      </c>
      <c r="C324" s="211" t="s">
        <v>123</v>
      </c>
      <c r="D324" s="212"/>
    </row>
    <row r="325" spans="2:4" x14ac:dyDescent="0.2">
      <c r="B325" s="212"/>
      <c r="C325" s="211" t="s">
        <v>167</v>
      </c>
      <c r="D325" s="210">
        <v>4766478.3440633183</v>
      </c>
    </row>
    <row r="326" spans="2:4" x14ac:dyDescent="0.2">
      <c r="B326" s="212"/>
      <c r="C326" s="211"/>
      <c r="D326" s="212"/>
    </row>
    <row r="327" spans="2:4" x14ac:dyDescent="0.2">
      <c r="B327" s="210">
        <v>-1946342.0603515813</v>
      </c>
      <c r="C327" s="211" t="s">
        <v>168</v>
      </c>
      <c r="D327" s="212"/>
    </row>
    <row r="328" spans="2:4" x14ac:dyDescent="0.2">
      <c r="B328" s="207" t="s">
        <v>169</v>
      </c>
      <c r="C328" s="213"/>
      <c r="D328" s="209"/>
    </row>
    <row r="329" spans="2:4" x14ac:dyDescent="0.2">
      <c r="B329" s="212"/>
      <c r="C329" s="211" t="s">
        <v>168</v>
      </c>
      <c r="D329" s="212">
        <v>-1946342.0603515813</v>
      </c>
    </row>
    <row r="330" spans="2:4" x14ac:dyDescent="0.2">
      <c r="B330" s="214"/>
      <c r="C330" s="211" t="s">
        <v>133</v>
      </c>
      <c r="D330" s="212">
        <v>28747.714102879989</v>
      </c>
    </row>
    <row r="331" spans="2:4" x14ac:dyDescent="0.2">
      <c r="B331" s="214">
        <v>78964.778063975245</v>
      </c>
      <c r="C331" s="211" t="s">
        <v>170</v>
      </c>
      <c r="D331" s="212">
        <v>1005582.1395636168</v>
      </c>
    </row>
    <row r="332" spans="2:4" x14ac:dyDescent="0.2">
      <c r="B332" s="214">
        <v>78964.778063975245</v>
      </c>
      <c r="C332" s="211" t="s">
        <v>171</v>
      </c>
      <c r="D332" s="212">
        <v>105165.42702052342</v>
      </c>
    </row>
    <row r="333" spans="2:4" x14ac:dyDescent="0.2">
      <c r="B333" s="214"/>
      <c r="C333" s="211" t="s">
        <v>172</v>
      </c>
      <c r="D333" s="212">
        <v>900416.71254309337</v>
      </c>
    </row>
    <row r="334" spans="2:4" x14ac:dyDescent="0.2">
      <c r="B334" s="214"/>
      <c r="C334" s="215" t="s">
        <v>173</v>
      </c>
      <c r="D334" s="212"/>
    </row>
    <row r="335" spans="2:4" x14ac:dyDescent="0.2">
      <c r="B335" s="214">
        <v>6525.0404079535328</v>
      </c>
      <c r="C335" s="211" t="s">
        <v>174</v>
      </c>
      <c r="D335" s="212">
        <v>211495.0325711887</v>
      </c>
    </row>
    <row r="336" spans="2:4" x14ac:dyDescent="0.2">
      <c r="B336" s="214"/>
      <c r="C336" s="211" t="s">
        <v>175</v>
      </c>
      <c r="D336" s="212"/>
    </row>
    <row r="337" spans="2:4" x14ac:dyDescent="0.2">
      <c r="B337" s="214">
        <v>6525.0404079535328</v>
      </c>
      <c r="C337" s="211" t="s">
        <v>176</v>
      </c>
      <c r="D337" s="212">
        <v>211495.0325711887</v>
      </c>
    </row>
    <row r="338" spans="2:4" x14ac:dyDescent="0.2">
      <c r="B338" s="214"/>
      <c r="C338" s="211"/>
      <c r="D338" s="212"/>
    </row>
    <row r="339" spans="2:4" x14ac:dyDescent="0.2">
      <c r="B339" s="210">
        <v>-786006.99258582457</v>
      </c>
      <c r="C339" s="211" t="s">
        <v>177</v>
      </c>
      <c r="D339" s="212"/>
    </row>
    <row r="340" spans="2:4" x14ac:dyDescent="0.2">
      <c r="B340" s="207" t="s">
        <v>178</v>
      </c>
      <c r="C340" s="213"/>
      <c r="D340" s="216"/>
    </row>
    <row r="341" spans="2:4" x14ac:dyDescent="0.2">
      <c r="B341" s="209"/>
      <c r="C341" s="217" t="s">
        <v>147</v>
      </c>
      <c r="D341" s="212"/>
    </row>
    <row r="342" spans="2:4" x14ac:dyDescent="0.2">
      <c r="B342" s="212"/>
      <c r="C342" s="211" t="s">
        <v>177</v>
      </c>
      <c r="D342" s="212">
        <v>-786006.99258582457</v>
      </c>
    </row>
    <row r="343" spans="2:4" x14ac:dyDescent="0.2">
      <c r="B343" s="212">
        <v>59.604538549836278</v>
      </c>
      <c r="C343" s="211" t="s">
        <v>179</v>
      </c>
      <c r="D343" s="212"/>
    </row>
    <row r="344" spans="2:4" x14ac:dyDescent="0.2">
      <c r="B344" s="212"/>
      <c r="C344" s="211" t="s">
        <v>180</v>
      </c>
      <c r="D344" s="212">
        <v>-786066.59712437436</v>
      </c>
    </row>
    <row r="345" spans="2:4" x14ac:dyDescent="0.2">
      <c r="B345" s="212"/>
      <c r="C345" s="211"/>
      <c r="D345" s="212"/>
    </row>
    <row r="346" spans="2:4" x14ac:dyDescent="0.2">
      <c r="B346" s="210">
        <v>-786066.59712437436</v>
      </c>
      <c r="C346" s="211" t="s">
        <v>150</v>
      </c>
      <c r="D346" s="212"/>
    </row>
    <row r="347" spans="2:4" x14ac:dyDescent="0.2">
      <c r="B347" s="196"/>
      <c r="C347" s="197"/>
      <c r="D347" s="201"/>
    </row>
    <row r="348" spans="2:4" x14ac:dyDescent="0.2">
      <c r="B348" s="257" t="s">
        <v>165</v>
      </c>
      <c r="C348" s="257"/>
      <c r="D348" s="257"/>
    </row>
    <row r="349" spans="2:4" x14ac:dyDescent="0.2">
      <c r="B349" s="258" t="s">
        <v>188</v>
      </c>
      <c r="C349" s="258"/>
      <c r="D349" s="258"/>
    </row>
    <row r="350" spans="2:4" x14ac:dyDescent="0.2">
      <c r="B350" s="256" t="s">
        <v>109</v>
      </c>
      <c r="C350" s="256"/>
      <c r="D350" s="256"/>
    </row>
    <row r="351" spans="2:4" x14ac:dyDescent="0.2">
      <c r="B351" s="203" t="s">
        <v>112</v>
      </c>
      <c r="C351" s="204" t="s">
        <v>111</v>
      </c>
      <c r="D351" s="203" t="s">
        <v>110</v>
      </c>
    </row>
    <row r="352" spans="2:4" x14ac:dyDescent="0.2">
      <c r="B352" s="205"/>
      <c r="C352" s="206">
        <v>2014</v>
      </c>
      <c r="D352" s="205"/>
    </row>
    <row r="353" spans="2:4" x14ac:dyDescent="0.2">
      <c r="B353" s="207" t="s">
        <v>166</v>
      </c>
      <c r="C353" s="208"/>
      <c r="D353" s="209"/>
    </row>
    <row r="354" spans="2:4" x14ac:dyDescent="0.2">
      <c r="B354" s="210">
        <v>5983613.1085357573</v>
      </c>
      <c r="C354" s="211" t="s">
        <v>123</v>
      </c>
      <c r="D354" s="212"/>
    </row>
    <row r="355" spans="2:4" x14ac:dyDescent="0.2">
      <c r="B355" s="212"/>
      <c r="C355" s="211" t="s">
        <v>167</v>
      </c>
      <c r="D355" s="210">
        <v>5264481.5891065923</v>
      </c>
    </row>
    <row r="356" spans="2:4" x14ac:dyDescent="0.2">
      <c r="B356" s="212"/>
      <c r="C356" s="211"/>
      <c r="D356" s="212"/>
    </row>
    <row r="357" spans="2:4" x14ac:dyDescent="0.2">
      <c r="B357" s="210">
        <v>-719131.51942916494</v>
      </c>
      <c r="C357" s="211" t="s">
        <v>168</v>
      </c>
      <c r="D357" s="212"/>
    </row>
    <row r="358" spans="2:4" x14ac:dyDescent="0.2">
      <c r="B358" s="207" t="s">
        <v>169</v>
      </c>
      <c r="C358" s="213"/>
      <c r="D358" s="209"/>
    </row>
    <row r="359" spans="2:4" x14ac:dyDescent="0.2">
      <c r="B359" s="212"/>
      <c r="C359" s="211" t="s">
        <v>168</v>
      </c>
      <c r="D359" s="212">
        <v>-719131.51942916494</v>
      </c>
    </row>
    <row r="360" spans="2:4" x14ac:dyDescent="0.2">
      <c r="B360" s="214"/>
      <c r="C360" s="211" t="s">
        <v>133</v>
      </c>
      <c r="D360" s="212">
        <v>56971.330930535907</v>
      </c>
    </row>
    <row r="361" spans="2:4" x14ac:dyDescent="0.2">
      <c r="B361" s="214">
        <v>63479.429542450191</v>
      </c>
      <c r="C361" s="211" t="s">
        <v>170</v>
      </c>
      <c r="D361" s="212">
        <v>876735.17107127979</v>
      </c>
    </row>
    <row r="362" spans="2:4" x14ac:dyDescent="0.2">
      <c r="B362" s="214">
        <v>63479.429542450191</v>
      </c>
      <c r="C362" s="211" t="s">
        <v>171</v>
      </c>
      <c r="D362" s="212">
        <v>104827.9356868584</v>
      </c>
    </row>
    <row r="363" spans="2:4" x14ac:dyDescent="0.2">
      <c r="B363" s="214"/>
      <c r="C363" s="211" t="s">
        <v>172</v>
      </c>
      <c r="D363" s="212">
        <v>771907.23538442142</v>
      </c>
    </row>
    <row r="364" spans="2:4" x14ac:dyDescent="0.2">
      <c r="B364" s="214"/>
      <c r="C364" s="215" t="s">
        <v>173</v>
      </c>
      <c r="D364" s="212"/>
    </row>
    <row r="365" spans="2:4" x14ac:dyDescent="0.2">
      <c r="B365" s="214">
        <v>5246.536239021546</v>
      </c>
      <c r="C365" s="211" t="s">
        <v>174</v>
      </c>
      <c r="D365" s="212">
        <v>222651.25506705587</v>
      </c>
    </row>
    <row r="366" spans="2:4" x14ac:dyDescent="0.2">
      <c r="B366" s="214"/>
      <c r="C366" s="211" t="s">
        <v>175</v>
      </c>
      <c r="D366" s="212"/>
    </row>
    <row r="367" spans="2:4" x14ac:dyDescent="0.2">
      <c r="B367" s="214">
        <v>5246.536239021546</v>
      </c>
      <c r="C367" s="211" t="s">
        <v>176</v>
      </c>
      <c r="D367" s="212">
        <v>222651.25506705587</v>
      </c>
    </row>
    <row r="368" spans="2:4" x14ac:dyDescent="0.2">
      <c r="B368" s="214"/>
      <c r="C368" s="211"/>
      <c r="D368" s="212"/>
    </row>
    <row r="369" spans="2:4" x14ac:dyDescent="0.2">
      <c r="B369" s="210">
        <v>368500.27185823489</v>
      </c>
      <c r="C369" s="211" t="s">
        <v>177</v>
      </c>
      <c r="D369" s="212"/>
    </row>
    <row r="370" spans="2:4" x14ac:dyDescent="0.2">
      <c r="B370" s="207" t="s">
        <v>178</v>
      </c>
      <c r="C370" s="213"/>
      <c r="D370" s="216"/>
    </row>
    <row r="371" spans="2:4" x14ac:dyDescent="0.2">
      <c r="B371" s="209"/>
      <c r="C371" s="217" t="s">
        <v>147</v>
      </c>
      <c r="D371" s="212"/>
    </row>
    <row r="372" spans="2:4" x14ac:dyDescent="0.2">
      <c r="B372" s="212"/>
      <c r="C372" s="211" t="s">
        <v>177</v>
      </c>
      <c r="D372" s="212">
        <v>368500.27185823489</v>
      </c>
    </row>
    <row r="373" spans="2:4" x14ac:dyDescent="0.2">
      <c r="B373" s="212">
        <v>161.55877471237073</v>
      </c>
      <c r="C373" s="211" t="s">
        <v>179</v>
      </c>
      <c r="D373" s="212"/>
    </row>
    <row r="374" spans="2:4" x14ac:dyDescent="0.2">
      <c r="B374" s="212"/>
      <c r="C374" s="211" t="s">
        <v>180</v>
      </c>
      <c r="D374" s="212">
        <v>368338.71308352251</v>
      </c>
    </row>
    <row r="375" spans="2:4" x14ac:dyDescent="0.2">
      <c r="B375" s="212"/>
      <c r="C375" s="211"/>
      <c r="D375" s="212"/>
    </row>
    <row r="376" spans="2:4" x14ac:dyDescent="0.2">
      <c r="B376" s="210">
        <v>368338.71308352251</v>
      </c>
      <c r="C376" s="211" t="s">
        <v>150</v>
      </c>
      <c r="D376" s="212"/>
    </row>
    <row r="377" spans="2:4" x14ac:dyDescent="0.2">
      <c r="B377" s="196"/>
      <c r="C377" s="197"/>
      <c r="D377" s="201"/>
    </row>
    <row r="378" spans="2:4" x14ac:dyDescent="0.2">
      <c r="B378" s="254" t="s">
        <v>165</v>
      </c>
      <c r="C378" s="254"/>
      <c r="D378" s="254"/>
    </row>
    <row r="379" spans="2:4" x14ac:dyDescent="0.2">
      <c r="B379" s="255" t="s">
        <v>189</v>
      </c>
      <c r="C379" s="255"/>
      <c r="D379" s="255"/>
    </row>
    <row r="380" spans="2:4" x14ac:dyDescent="0.2">
      <c r="B380" s="256" t="s">
        <v>109</v>
      </c>
      <c r="C380" s="256"/>
      <c r="D380" s="256"/>
    </row>
    <row r="381" spans="2:4" x14ac:dyDescent="0.2">
      <c r="B381" s="203" t="s">
        <v>112</v>
      </c>
      <c r="C381" s="204" t="s">
        <v>111</v>
      </c>
      <c r="D381" s="203" t="s">
        <v>110</v>
      </c>
    </row>
    <row r="382" spans="2:4" x14ac:dyDescent="0.2">
      <c r="B382" s="205"/>
      <c r="C382" s="206">
        <v>2015</v>
      </c>
      <c r="D382" s="205"/>
    </row>
    <row r="383" spans="2:4" x14ac:dyDescent="0.2">
      <c r="B383" s="207" t="s">
        <v>166</v>
      </c>
      <c r="C383" s="208"/>
      <c r="D383" s="209"/>
    </row>
    <row r="384" spans="2:4" x14ac:dyDescent="0.2">
      <c r="B384" s="210">
        <v>4133444.6148696854</v>
      </c>
      <c r="C384" s="211" t="s">
        <v>123</v>
      </c>
      <c r="D384" s="212"/>
    </row>
    <row r="385" spans="2:4" x14ac:dyDescent="0.2">
      <c r="B385" s="212"/>
      <c r="C385" s="211" t="s">
        <v>167</v>
      </c>
      <c r="D385" s="210">
        <v>4557320.5880046003</v>
      </c>
    </row>
    <row r="386" spans="2:4" x14ac:dyDescent="0.2">
      <c r="B386" s="212"/>
      <c r="C386" s="211"/>
      <c r="D386" s="212"/>
    </row>
    <row r="387" spans="2:4" x14ac:dyDescent="0.2">
      <c r="B387" s="210">
        <v>423875.97313491488</v>
      </c>
      <c r="C387" s="211" t="s">
        <v>168</v>
      </c>
      <c r="D387" s="212"/>
    </row>
    <row r="388" spans="2:4" x14ac:dyDescent="0.2">
      <c r="B388" s="207" t="s">
        <v>169</v>
      </c>
      <c r="C388" s="213"/>
      <c r="D388" s="209"/>
    </row>
    <row r="389" spans="2:4" x14ac:dyDescent="0.2">
      <c r="B389" s="212"/>
      <c r="C389" s="211" t="s">
        <v>168</v>
      </c>
      <c r="D389" s="212">
        <v>423875.97313491488</v>
      </c>
    </row>
    <row r="390" spans="2:4" x14ac:dyDescent="0.2">
      <c r="B390" s="214"/>
      <c r="C390" s="211" t="s">
        <v>133</v>
      </c>
      <c r="D390" s="212">
        <v>59399.170497783867</v>
      </c>
    </row>
    <row r="391" spans="2:4" x14ac:dyDescent="0.2">
      <c r="B391" s="214">
        <v>19967.139897496298</v>
      </c>
      <c r="C391" s="211" t="s">
        <v>170</v>
      </c>
      <c r="D391" s="212">
        <v>669638.96929585584</v>
      </c>
    </row>
    <row r="392" spans="2:4" x14ac:dyDescent="0.2">
      <c r="B392" s="214">
        <v>19967.139897496298</v>
      </c>
      <c r="C392" s="211" t="s">
        <v>171</v>
      </c>
      <c r="D392" s="212">
        <v>154478.29530677453</v>
      </c>
    </row>
    <row r="393" spans="2:4" x14ac:dyDescent="0.2">
      <c r="B393" s="214"/>
      <c r="C393" s="211" t="s">
        <v>172</v>
      </c>
      <c r="D393" s="212">
        <v>515160.67398908135</v>
      </c>
    </row>
    <row r="394" spans="2:4" x14ac:dyDescent="0.2">
      <c r="B394" s="214"/>
      <c r="C394" s="215" t="s">
        <v>173</v>
      </c>
      <c r="D394" s="212"/>
    </row>
    <row r="395" spans="2:4" x14ac:dyDescent="0.2">
      <c r="B395" s="214">
        <v>3387.2142531378399</v>
      </c>
      <c r="C395" s="211" t="s">
        <v>174</v>
      </c>
      <c r="D395" s="212">
        <v>103470.44402016686</v>
      </c>
    </row>
    <row r="396" spans="2:4" x14ac:dyDescent="0.2">
      <c r="B396" s="214"/>
      <c r="C396" s="211" t="s">
        <v>175</v>
      </c>
      <c r="D396" s="212"/>
    </row>
    <row r="397" spans="2:4" x14ac:dyDescent="0.2">
      <c r="B397" s="214">
        <v>3387.2142531378399</v>
      </c>
      <c r="C397" s="211" t="s">
        <v>176</v>
      </c>
      <c r="D397" s="212">
        <v>103470.44402016686</v>
      </c>
    </row>
    <row r="398" spans="2:4" x14ac:dyDescent="0.2">
      <c r="B398" s="214"/>
      <c r="C398" s="211"/>
      <c r="D398" s="212"/>
    </row>
    <row r="399" spans="2:4" x14ac:dyDescent="0.2">
      <c r="B399" s="210">
        <v>1233030.2027980874</v>
      </c>
      <c r="C399" s="211" t="s">
        <v>177</v>
      </c>
      <c r="D399" s="212"/>
    </row>
    <row r="400" spans="2:4" x14ac:dyDescent="0.2">
      <c r="B400" s="207" t="s">
        <v>178</v>
      </c>
      <c r="C400" s="213"/>
      <c r="D400" s="216"/>
    </row>
    <row r="401" spans="2:4" x14ac:dyDescent="0.2">
      <c r="B401" s="209"/>
      <c r="C401" s="217" t="s">
        <v>147</v>
      </c>
      <c r="D401" s="212"/>
    </row>
    <row r="402" spans="2:4" x14ac:dyDescent="0.2">
      <c r="B402" s="212"/>
      <c r="C402" s="211" t="s">
        <v>177</v>
      </c>
      <c r="D402" s="212">
        <v>1233030.2027980874</v>
      </c>
    </row>
    <row r="403" spans="2:4" x14ac:dyDescent="0.2">
      <c r="B403" s="212">
        <v>753.26341015575304</v>
      </c>
      <c r="C403" s="211" t="s">
        <v>179</v>
      </c>
      <c r="D403" s="212"/>
    </row>
    <row r="404" spans="2:4" x14ac:dyDescent="0.2">
      <c r="B404" s="212"/>
      <c r="C404" s="211" t="s">
        <v>180</v>
      </c>
      <c r="D404" s="212">
        <v>1232276.9393879317</v>
      </c>
    </row>
    <row r="405" spans="2:4" x14ac:dyDescent="0.2">
      <c r="B405" s="212"/>
      <c r="C405" s="211"/>
      <c r="D405" s="212"/>
    </row>
    <row r="406" spans="2:4" x14ac:dyDescent="0.2">
      <c r="B406" s="210">
        <v>1232276.9393879317</v>
      </c>
      <c r="C406" s="211" t="s">
        <v>150</v>
      </c>
      <c r="D406" s="212"/>
    </row>
    <row r="407" spans="2:4" x14ac:dyDescent="0.2">
      <c r="B407" s="193" t="s">
        <v>23</v>
      </c>
      <c r="C407" s="197"/>
      <c r="D407" s="201"/>
    </row>
    <row r="408" spans="2:4" x14ac:dyDescent="0.2">
      <c r="C408" s="219"/>
      <c r="D408" s="216"/>
    </row>
    <row r="409" spans="2:4" x14ac:dyDescent="0.2">
      <c r="B409" s="254" t="s">
        <v>165</v>
      </c>
      <c r="C409" s="254"/>
      <c r="D409" s="254"/>
    </row>
    <row r="410" spans="2:4" x14ac:dyDescent="0.2">
      <c r="B410" s="255" t="s">
        <v>189</v>
      </c>
      <c r="C410" s="255"/>
      <c r="D410" s="255"/>
    </row>
    <row r="411" spans="2:4" x14ac:dyDescent="0.2">
      <c r="B411" s="256" t="s">
        <v>109</v>
      </c>
      <c r="C411" s="256"/>
      <c r="D411" s="256"/>
    </row>
    <row r="412" spans="2:4" x14ac:dyDescent="0.2">
      <c r="B412" s="203" t="s">
        <v>112</v>
      </c>
      <c r="C412" s="204" t="s">
        <v>111</v>
      </c>
      <c r="D412" s="203" t="s">
        <v>110</v>
      </c>
    </row>
    <row r="413" spans="2:4" x14ac:dyDescent="0.2">
      <c r="B413" s="205"/>
      <c r="C413" s="206">
        <v>2016</v>
      </c>
      <c r="D413" s="205"/>
    </row>
    <row r="414" spans="2:4" x14ac:dyDescent="0.2">
      <c r="B414" s="207" t="s">
        <v>166</v>
      </c>
      <c r="C414" s="208"/>
      <c r="D414" s="209"/>
    </row>
    <row r="415" spans="2:4" x14ac:dyDescent="0.2">
      <c r="B415" s="210">
        <v>4631439.0417696759</v>
      </c>
      <c r="C415" s="211" t="s">
        <v>123</v>
      </c>
      <c r="D415" s="212"/>
    </row>
    <row r="416" spans="2:4" x14ac:dyDescent="0.2">
      <c r="B416" s="212"/>
      <c r="C416" s="211" t="s">
        <v>167</v>
      </c>
      <c r="D416" s="210">
        <v>4198938.0751213999</v>
      </c>
    </row>
    <row r="417" spans="2:4" x14ac:dyDescent="0.2">
      <c r="B417" s="212"/>
      <c r="C417" s="211"/>
      <c r="D417" s="212"/>
    </row>
    <row r="418" spans="2:4" x14ac:dyDescent="0.2">
      <c r="B418" s="210">
        <v>-432500.96664827596</v>
      </c>
      <c r="C418" s="211" t="s">
        <v>168</v>
      </c>
      <c r="D418" s="212"/>
    </row>
    <row r="419" spans="2:4" x14ac:dyDescent="0.2">
      <c r="B419" s="207" t="s">
        <v>169</v>
      </c>
      <c r="C419" s="213"/>
      <c r="D419" s="209"/>
    </row>
    <row r="420" spans="2:4" x14ac:dyDescent="0.2">
      <c r="B420" s="212"/>
      <c r="C420" s="211" t="s">
        <v>168</v>
      </c>
      <c r="D420" s="212">
        <v>-432500.96664827596</v>
      </c>
    </row>
    <row r="421" spans="2:4" x14ac:dyDescent="0.2">
      <c r="B421" s="214"/>
      <c r="C421" s="211" t="s">
        <v>133</v>
      </c>
      <c r="D421" s="212">
        <v>124927.89651522889</v>
      </c>
    </row>
    <row r="422" spans="2:4" x14ac:dyDescent="0.2">
      <c r="B422" s="214">
        <v>55772.409350592032</v>
      </c>
      <c r="C422" s="211" t="s">
        <v>170</v>
      </c>
      <c r="D422" s="212">
        <v>793916.72603168711</v>
      </c>
    </row>
    <row r="423" spans="2:4" x14ac:dyDescent="0.2">
      <c r="B423" s="214">
        <v>55772.409350592032</v>
      </c>
      <c r="C423" s="211" t="s">
        <v>171</v>
      </c>
      <c r="D423" s="212">
        <v>298390.20199584751</v>
      </c>
    </row>
    <row r="424" spans="2:4" x14ac:dyDescent="0.2">
      <c r="B424" s="214"/>
      <c r="C424" s="211" t="s">
        <v>172</v>
      </c>
      <c r="D424" s="212">
        <v>495526.5240358396</v>
      </c>
    </row>
    <row r="425" spans="2:4" x14ac:dyDescent="0.2">
      <c r="B425" s="214"/>
      <c r="C425" s="215" t="s">
        <v>173</v>
      </c>
      <c r="D425" s="212"/>
    </row>
    <row r="426" spans="2:4" x14ac:dyDescent="0.2">
      <c r="B426" s="214">
        <v>4298.1034766038028</v>
      </c>
      <c r="C426" s="211" t="s">
        <v>174</v>
      </c>
      <c r="D426" s="212">
        <v>78638.950808652851</v>
      </c>
    </row>
    <row r="427" spans="2:4" x14ac:dyDescent="0.2">
      <c r="B427" s="214"/>
      <c r="C427" s="211" t="s">
        <v>175</v>
      </c>
      <c r="D427" s="212"/>
    </row>
    <row r="428" spans="2:4" x14ac:dyDescent="0.2">
      <c r="B428" s="214">
        <v>4298.1034766038028</v>
      </c>
      <c r="C428" s="211" t="s">
        <v>176</v>
      </c>
      <c r="D428" s="212">
        <v>78638.950808652851</v>
      </c>
    </row>
    <row r="429" spans="2:4" x14ac:dyDescent="0.2">
      <c r="B429" s="214"/>
      <c r="C429" s="211"/>
      <c r="D429" s="212"/>
    </row>
    <row r="430" spans="2:4" x14ac:dyDescent="0.2">
      <c r="B430" s="210">
        <v>504912.09388009697</v>
      </c>
      <c r="C430" s="211" t="s">
        <v>177</v>
      </c>
      <c r="D430" s="212"/>
    </row>
    <row r="431" spans="2:4" x14ac:dyDescent="0.2">
      <c r="B431" s="207" t="s">
        <v>178</v>
      </c>
      <c r="C431" s="213"/>
      <c r="D431" s="216"/>
    </row>
    <row r="432" spans="2:4" x14ac:dyDescent="0.2">
      <c r="B432" s="209"/>
      <c r="C432" s="217" t="s">
        <v>147</v>
      </c>
      <c r="D432" s="212"/>
    </row>
    <row r="433" spans="2:4" x14ac:dyDescent="0.2">
      <c r="B433" s="212"/>
      <c r="C433" s="211" t="s">
        <v>177</v>
      </c>
      <c r="D433" s="212">
        <v>504912.09388009697</v>
      </c>
    </row>
    <row r="434" spans="2:4" x14ac:dyDescent="0.2">
      <c r="B434" s="212">
        <v>96.593023441443648</v>
      </c>
      <c r="C434" s="211" t="s">
        <v>179</v>
      </c>
      <c r="D434" s="212"/>
    </row>
    <row r="435" spans="2:4" x14ac:dyDescent="0.2">
      <c r="B435" s="212"/>
      <c r="C435" s="211" t="s">
        <v>180</v>
      </c>
      <c r="D435" s="212">
        <v>504815.50085665553</v>
      </c>
    </row>
    <row r="436" spans="2:4" x14ac:dyDescent="0.2">
      <c r="B436" s="212"/>
      <c r="C436" s="211"/>
      <c r="D436" s="212"/>
    </row>
    <row r="437" spans="2:4" x14ac:dyDescent="0.2">
      <c r="B437" s="210">
        <v>504815.50085665553</v>
      </c>
      <c r="C437" s="211" t="s">
        <v>150</v>
      </c>
      <c r="D437" s="212"/>
    </row>
    <row r="438" spans="2:4" x14ac:dyDescent="0.2">
      <c r="B438" s="193" t="s">
        <v>23</v>
      </c>
      <c r="C438" s="197"/>
      <c r="D438" s="201"/>
    </row>
    <row r="440" spans="2:4" x14ac:dyDescent="0.2">
      <c r="B440" s="254" t="s">
        <v>165</v>
      </c>
      <c r="C440" s="254"/>
      <c r="D440" s="254"/>
    </row>
    <row r="441" spans="2:4" x14ac:dyDescent="0.2">
      <c r="B441" s="255" t="s">
        <v>189</v>
      </c>
      <c r="C441" s="255"/>
      <c r="D441" s="255"/>
    </row>
    <row r="442" spans="2:4" x14ac:dyDescent="0.2">
      <c r="B442" s="256" t="s">
        <v>109</v>
      </c>
      <c r="C442" s="256"/>
      <c r="D442" s="256"/>
    </row>
    <row r="443" spans="2:4" x14ac:dyDescent="0.2">
      <c r="B443" s="203" t="s">
        <v>112</v>
      </c>
      <c r="C443" s="204" t="s">
        <v>111</v>
      </c>
      <c r="D443" s="203" t="s">
        <v>110</v>
      </c>
    </row>
    <row r="444" spans="2:4" x14ac:dyDescent="0.2">
      <c r="B444" s="205"/>
      <c r="C444" s="206" t="s">
        <v>3</v>
      </c>
      <c r="D444" s="205"/>
    </row>
    <row r="445" spans="2:4" x14ac:dyDescent="0.2">
      <c r="B445" s="207" t="s">
        <v>166</v>
      </c>
      <c r="C445" s="208"/>
      <c r="D445" s="209"/>
    </row>
    <row r="446" spans="2:4" x14ac:dyDescent="0.2">
      <c r="B446" s="210">
        <v>5906281.8704715883</v>
      </c>
      <c r="C446" s="211" t="s">
        <v>123</v>
      </c>
      <c r="D446" s="212"/>
    </row>
    <row r="447" spans="2:4" x14ac:dyDescent="0.2">
      <c r="B447" s="212"/>
      <c r="C447" s="211" t="s">
        <v>167</v>
      </c>
      <c r="D447" s="210">
        <v>4688210.2420458402</v>
      </c>
    </row>
    <row r="448" spans="2:4" x14ac:dyDescent="0.2">
      <c r="B448" s="212"/>
      <c r="C448" s="211"/>
      <c r="D448" s="212"/>
    </row>
    <row r="449" spans="2:4" x14ac:dyDescent="0.2">
      <c r="B449" s="210">
        <v>-1218071.6284257481</v>
      </c>
      <c r="C449" s="211" t="s">
        <v>168</v>
      </c>
      <c r="D449" s="212"/>
    </row>
    <row r="450" spans="2:4" x14ac:dyDescent="0.2">
      <c r="B450" s="207" t="s">
        <v>169</v>
      </c>
      <c r="C450" s="213"/>
      <c r="D450" s="209"/>
    </row>
    <row r="451" spans="2:4" x14ac:dyDescent="0.2">
      <c r="B451" s="212"/>
      <c r="C451" s="211" t="s">
        <v>168</v>
      </c>
      <c r="D451" s="212">
        <v>-1218071.6284257481</v>
      </c>
    </row>
    <row r="452" spans="2:4" x14ac:dyDescent="0.2">
      <c r="B452" s="214"/>
      <c r="C452" s="211" t="s">
        <v>133</v>
      </c>
      <c r="D452" s="212">
        <v>84698.513917070522</v>
      </c>
    </row>
    <row r="453" spans="2:4" x14ac:dyDescent="0.2">
      <c r="B453" s="214">
        <v>39725.10331341745</v>
      </c>
      <c r="C453" s="211" t="s">
        <v>170</v>
      </c>
      <c r="D453" s="212">
        <v>1200327.9426063949</v>
      </c>
    </row>
    <row r="454" spans="2:4" x14ac:dyDescent="0.2">
      <c r="B454" s="214">
        <v>39725.10331341745</v>
      </c>
      <c r="C454" s="211" t="s">
        <v>171</v>
      </c>
      <c r="D454" s="212">
        <v>390103.49242627167</v>
      </c>
    </row>
    <row r="455" spans="2:4" x14ac:dyDescent="0.2">
      <c r="B455" s="214"/>
      <c r="C455" s="211" t="s">
        <v>172</v>
      </c>
      <c r="D455" s="212">
        <v>810224.45018012321</v>
      </c>
    </row>
    <row r="456" spans="2:4" x14ac:dyDescent="0.2">
      <c r="B456" s="214"/>
      <c r="C456" s="215" t="s">
        <v>173</v>
      </c>
      <c r="D456" s="212"/>
    </row>
    <row r="457" spans="2:4" x14ac:dyDescent="0.2">
      <c r="B457" s="214">
        <v>5878.8034571379339</v>
      </c>
      <c r="C457" s="211" t="s">
        <v>174</v>
      </c>
      <c r="D457" s="212">
        <v>83651.833178634726</v>
      </c>
    </row>
    <row r="458" spans="2:4" x14ac:dyDescent="0.2">
      <c r="B458" s="214"/>
      <c r="C458" s="211" t="s">
        <v>175</v>
      </c>
      <c r="D458" s="212"/>
    </row>
    <row r="459" spans="2:4" x14ac:dyDescent="0.2">
      <c r="B459" s="214">
        <v>5878.8034571379339</v>
      </c>
      <c r="C459" s="211" t="s">
        <v>176</v>
      </c>
      <c r="D459" s="212">
        <v>83651.833178634726</v>
      </c>
    </row>
    <row r="460" spans="2:4" x14ac:dyDescent="0.2">
      <c r="B460" s="214"/>
      <c r="C460" s="211"/>
      <c r="D460" s="212"/>
    </row>
    <row r="461" spans="2:4" x14ac:dyDescent="0.2">
      <c r="B461" s="210">
        <v>105002.75450579671</v>
      </c>
      <c r="C461" s="211" t="s">
        <v>177</v>
      </c>
      <c r="D461" s="212"/>
    </row>
    <row r="462" spans="2:4" x14ac:dyDescent="0.2">
      <c r="B462" s="207" t="s">
        <v>178</v>
      </c>
      <c r="C462" s="213"/>
      <c r="D462" s="216"/>
    </row>
    <row r="463" spans="2:4" x14ac:dyDescent="0.2">
      <c r="B463" s="209"/>
      <c r="C463" s="217" t="s">
        <v>147</v>
      </c>
      <c r="D463" s="212"/>
    </row>
    <row r="464" spans="2:4" x14ac:dyDescent="0.2">
      <c r="B464" s="212"/>
      <c r="C464" s="211" t="s">
        <v>177</v>
      </c>
      <c r="D464" s="212">
        <v>105002.75450579671</v>
      </c>
    </row>
    <row r="465" spans="2:4" x14ac:dyDescent="0.2">
      <c r="B465" s="212">
        <v>435.63771368098304</v>
      </c>
      <c r="C465" s="211" t="s">
        <v>179</v>
      </c>
      <c r="D465" s="212"/>
    </row>
    <row r="466" spans="2:4" x14ac:dyDescent="0.2">
      <c r="B466" s="212"/>
      <c r="C466" s="211" t="s">
        <v>180</v>
      </c>
      <c r="D466" s="212">
        <v>104567.11679211572</v>
      </c>
    </row>
    <row r="467" spans="2:4" x14ac:dyDescent="0.2">
      <c r="B467" s="212"/>
      <c r="C467" s="211"/>
      <c r="D467" s="212"/>
    </row>
    <row r="468" spans="2:4" x14ac:dyDescent="0.2">
      <c r="B468" s="210">
        <v>104567.11679211572</v>
      </c>
      <c r="C468" s="211" t="s">
        <v>150</v>
      </c>
      <c r="D468" s="212"/>
    </row>
    <row r="469" spans="2:4" x14ac:dyDescent="0.2">
      <c r="B469" s="193" t="s">
        <v>23</v>
      </c>
      <c r="C469" s="197"/>
      <c r="D469" s="201"/>
    </row>
    <row r="471" spans="2:4" x14ac:dyDescent="0.2">
      <c r="B471" s="254" t="s">
        <v>165</v>
      </c>
      <c r="C471" s="254"/>
      <c r="D471" s="254"/>
    </row>
    <row r="472" spans="2:4" x14ac:dyDescent="0.2">
      <c r="B472" s="255" t="s">
        <v>190</v>
      </c>
      <c r="C472" s="255"/>
      <c r="D472" s="255"/>
    </row>
    <row r="473" spans="2:4" x14ac:dyDescent="0.2">
      <c r="B473" s="256" t="s">
        <v>109</v>
      </c>
      <c r="C473" s="256"/>
      <c r="D473" s="256"/>
    </row>
    <row r="474" spans="2:4" x14ac:dyDescent="0.2">
      <c r="B474" s="203" t="s">
        <v>112</v>
      </c>
      <c r="C474" s="204" t="s">
        <v>111</v>
      </c>
      <c r="D474" s="203" t="s">
        <v>110</v>
      </c>
    </row>
    <row r="475" spans="2:4" x14ac:dyDescent="0.2">
      <c r="B475" s="205"/>
      <c r="C475" s="206" t="s">
        <v>4</v>
      </c>
      <c r="D475" s="205"/>
    </row>
    <row r="476" spans="2:4" x14ac:dyDescent="0.2">
      <c r="B476" s="207" t="s">
        <v>166</v>
      </c>
      <c r="C476" s="208"/>
      <c r="D476" s="209"/>
    </row>
    <row r="477" spans="2:4" x14ac:dyDescent="0.2">
      <c r="B477" s="210">
        <v>10465419.062351564</v>
      </c>
      <c r="C477" s="211" t="s">
        <v>123</v>
      </c>
      <c r="D477" s="212"/>
    </row>
    <row r="478" spans="2:4" x14ac:dyDescent="0.2">
      <c r="B478" s="212"/>
      <c r="C478" s="211" t="s">
        <v>167</v>
      </c>
      <c r="D478" s="210">
        <v>6545766.65889729</v>
      </c>
    </row>
    <row r="479" spans="2:4" x14ac:dyDescent="0.2">
      <c r="B479" s="212"/>
      <c r="C479" s="211"/>
      <c r="D479" s="212"/>
    </row>
    <row r="480" spans="2:4" x14ac:dyDescent="0.2">
      <c r="B480" s="210">
        <v>-3919652.4034542739</v>
      </c>
      <c r="C480" s="211" t="s">
        <v>168</v>
      </c>
      <c r="D480" s="212"/>
    </row>
    <row r="481" spans="2:4" x14ac:dyDescent="0.2">
      <c r="B481" s="207" t="s">
        <v>169</v>
      </c>
      <c r="C481" s="213"/>
      <c r="D481" s="209"/>
    </row>
    <row r="482" spans="2:4" x14ac:dyDescent="0.2">
      <c r="B482" s="212"/>
      <c r="C482" s="211" t="s">
        <v>168</v>
      </c>
      <c r="D482" s="212">
        <v>-3919652.4034542739</v>
      </c>
    </row>
    <row r="483" spans="2:4" x14ac:dyDescent="0.2">
      <c r="B483" s="214"/>
      <c r="C483" s="211" t="s">
        <v>133</v>
      </c>
      <c r="D483" s="212">
        <v>121982.3129961317</v>
      </c>
    </row>
    <row r="484" spans="2:4" x14ac:dyDescent="0.2">
      <c r="B484" s="214">
        <v>113397.93779340824</v>
      </c>
      <c r="C484" s="211" t="s">
        <v>170</v>
      </c>
      <c r="D484" s="212">
        <v>1971161.7125786319</v>
      </c>
    </row>
    <row r="485" spans="2:4" x14ac:dyDescent="0.2">
      <c r="B485" s="214">
        <v>113397.93779340824</v>
      </c>
      <c r="C485" s="211" t="s">
        <v>171</v>
      </c>
      <c r="D485" s="212">
        <v>682332.00758694566</v>
      </c>
    </row>
    <row r="486" spans="2:4" x14ac:dyDescent="0.2">
      <c r="B486" s="214"/>
      <c r="C486" s="211" t="s">
        <v>172</v>
      </c>
      <c r="D486" s="212">
        <v>1288829.7049916862</v>
      </c>
    </row>
    <row r="487" spans="2:4" x14ac:dyDescent="0.2">
      <c r="B487" s="214"/>
      <c r="C487" s="215" t="s">
        <v>173</v>
      </c>
      <c r="D487" s="212"/>
    </row>
    <row r="488" spans="2:4" x14ac:dyDescent="0.2">
      <c r="B488" s="214">
        <v>3497.5687587438024</v>
      </c>
      <c r="C488" s="211" t="s">
        <v>174</v>
      </c>
      <c r="D488" s="212">
        <v>71612.277838669033</v>
      </c>
    </row>
    <row r="489" spans="2:4" x14ac:dyDescent="0.2">
      <c r="B489" s="214"/>
      <c r="C489" s="211" t="s">
        <v>175</v>
      </c>
      <c r="D489" s="212"/>
    </row>
    <row r="490" spans="2:4" x14ac:dyDescent="0.2">
      <c r="B490" s="214">
        <v>3497.5687587438024</v>
      </c>
      <c r="C490" s="211" t="s">
        <v>176</v>
      </c>
      <c r="D490" s="212">
        <v>71612.277838669033</v>
      </c>
    </row>
    <row r="491" spans="2:4" x14ac:dyDescent="0.2">
      <c r="B491" s="214"/>
      <c r="C491" s="211"/>
      <c r="D491" s="212"/>
    </row>
    <row r="492" spans="2:4" x14ac:dyDescent="0.2">
      <c r="B492" s="210">
        <v>-1871791.6065929933</v>
      </c>
      <c r="C492" s="211" t="s">
        <v>177</v>
      </c>
      <c r="D492" s="212"/>
    </row>
    <row r="493" spans="2:4" x14ac:dyDescent="0.2">
      <c r="B493" s="207" t="s">
        <v>178</v>
      </c>
      <c r="C493" s="213"/>
      <c r="D493" s="216"/>
    </row>
    <row r="494" spans="2:4" x14ac:dyDescent="0.2">
      <c r="B494" s="209"/>
      <c r="C494" s="217" t="s">
        <v>147</v>
      </c>
      <c r="D494" s="212"/>
    </row>
    <row r="495" spans="2:4" x14ac:dyDescent="0.2">
      <c r="B495" s="212"/>
      <c r="C495" s="211" t="s">
        <v>177</v>
      </c>
      <c r="D495" s="212">
        <v>-1871791.6065929933</v>
      </c>
    </row>
    <row r="496" spans="2:4" x14ac:dyDescent="0.2">
      <c r="B496" s="212">
        <v>741.14447075221381</v>
      </c>
      <c r="C496" s="211" t="s">
        <v>179</v>
      </c>
      <c r="D496" s="212"/>
    </row>
    <row r="497" spans="2:4" x14ac:dyDescent="0.2">
      <c r="B497" s="212"/>
      <c r="C497" s="211" t="s">
        <v>180</v>
      </c>
      <c r="D497" s="212">
        <v>-1872532.7510637455</v>
      </c>
    </row>
    <row r="498" spans="2:4" x14ac:dyDescent="0.2">
      <c r="B498" s="212"/>
      <c r="C498" s="211"/>
      <c r="D498" s="212"/>
    </row>
    <row r="499" spans="2:4" x14ac:dyDescent="0.2">
      <c r="B499" s="210">
        <v>-1872532.7510637455</v>
      </c>
      <c r="C499" s="211" t="s">
        <v>150</v>
      </c>
      <c r="D499" s="212"/>
    </row>
    <row r="500" spans="2:4" x14ac:dyDescent="0.2">
      <c r="B500" s="193" t="s">
        <v>23</v>
      </c>
      <c r="C500" s="197"/>
      <c r="D500" s="201"/>
    </row>
    <row r="502" spans="2:4" x14ac:dyDescent="0.2">
      <c r="B502" s="254" t="s">
        <v>165</v>
      </c>
      <c r="C502" s="254"/>
      <c r="D502" s="254"/>
    </row>
    <row r="503" spans="2:4" x14ac:dyDescent="0.2">
      <c r="B503" s="255" t="s">
        <v>190</v>
      </c>
      <c r="C503" s="255"/>
      <c r="D503" s="255"/>
    </row>
    <row r="504" spans="2:4" x14ac:dyDescent="0.2">
      <c r="B504" s="256" t="s">
        <v>109</v>
      </c>
      <c r="C504" s="256"/>
      <c r="D504" s="256"/>
    </row>
    <row r="505" spans="2:4" x14ac:dyDescent="0.2">
      <c r="B505" s="203" t="s">
        <v>112</v>
      </c>
      <c r="C505" s="204" t="s">
        <v>111</v>
      </c>
      <c r="D505" s="203" t="s">
        <v>110</v>
      </c>
    </row>
    <row r="506" spans="2:4" x14ac:dyDescent="0.2">
      <c r="B506" s="205"/>
      <c r="C506" s="220">
        <v>2019</v>
      </c>
      <c r="D506" s="205"/>
    </row>
    <row r="507" spans="2:4" x14ac:dyDescent="0.2">
      <c r="B507" s="207" t="s">
        <v>166</v>
      </c>
      <c r="C507" s="208"/>
      <c r="D507" s="209"/>
    </row>
    <row r="508" spans="2:4" x14ac:dyDescent="0.2">
      <c r="B508" s="210">
        <v>12834623.944927</v>
      </c>
      <c r="C508" s="211" t="s">
        <v>123</v>
      </c>
      <c r="D508" s="212"/>
    </row>
    <row r="509" spans="2:4" x14ac:dyDescent="0.2">
      <c r="B509" s="212"/>
      <c r="C509" s="211" t="s">
        <v>167</v>
      </c>
      <c r="D509" s="210">
        <v>8135370.5256845905</v>
      </c>
    </row>
    <row r="510" spans="2:4" x14ac:dyDescent="0.2">
      <c r="B510" s="212"/>
      <c r="C510" s="211"/>
      <c r="D510" s="212"/>
    </row>
    <row r="511" spans="2:4" x14ac:dyDescent="0.2">
      <c r="B511" s="210">
        <v>-4699253.4192424091</v>
      </c>
      <c r="C511" s="211" t="s">
        <v>168</v>
      </c>
      <c r="D511" s="212"/>
    </row>
    <row r="512" spans="2:4" x14ac:dyDescent="0.2">
      <c r="B512" s="207" t="s">
        <v>169</v>
      </c>
      <c r="C512" s="213"/>
      <c r="D512" s="209"/>
    </row>
    <row r="513" spans="2:4" x14ac:dyDescent="0.2">
      <c r="B513" s="212"/>
      <c r="C513" s="211" t="s">
        <v>168</v>
      </c>
      <c r="D513" s="212">
        <v>-4699253.4192424091</v>
      </c>
    </row>
    <row r="514" spans="2:4" x14ac:dyDescent="0.2">
      <c r="B514" s="214"/>
      <c r="C514" s="211" t="s">
        <v>133</v>
      </c>
      <c r="D514" s="212">
        <v>142032.07596213213</v>
      </c>
    </row>
    <row r="515" spans="2:4" x14ac:dyDescent="0.2">
      <c r="B515" s="214">
        <v>252678.59859299692</v>
      </c>
      <c r="C515" s="211" t="s">
        <v>170</v>
      </c>
      <c r="D515" s="212">
        <v>2852786.4578121896</v>
      </c>
    </row>
    <row r="516" spans="2:4" x14ac:dyDescent="0.2">
      <c r="B516" s="214">
        <v>252678.59859299692</v>
      </c>
      <c r="C516" s="211" t="s">
        <v>171</v>
      </c>
      <c r="D516" s="212">
        <v>1139859.7852386392</v>
      </c>
    </row>
    <row r="517" spans="2:4" x14ac:dyDescent="0.2">
      <c r="B517" s="214"/>
      <c r="C517" s="211" t="s">
        <v>172</v>
      </c>
      <c r="D517" s="212">
        <v>1712926.6725735504</v>
      </c>
    </row>
    <row r="518" spans="2:4" x14ac:dyDescent="0.2">
      <c r="B518" s="214"/>
      <c r="C518" s="215" t="s">
        <v>173</v>
      </c>
      <c r="D518" s="212"/>
    </row>
    <row r="519" spans="2:4" x14ac:dyDescent="0.2">
      <c r="B519" s="214">
        <v>4316.4825787071886</v>
      </c>
      <c r="C519" s="211" t="s">
        <v>174</v>
      </c>
      <c r="D519" s="212">
        <v>87175.743957565646</v>
      </c>
    </row>
    <row r="520" spans="2:4" x14ac:dyDescent="0.2">
      <c r="B520" s="214"/>
      <c r="C520" s="211" t="s">
        <v>175</v>
      </c>
      <c r="D520" s="212"/>
    </row>
    <row r="521" spans="2:4" x14ac:dyDescent="0.2">
      <c r="B521" s="214">
        <v>4316.4825787071886</v>
      </c>
      <c r="C521" s="211" t="s">
        <v>176</v>
      </c>
      <c r="D521" s="212">
        <v>87175.743957565646</v>
      </c>
    </row>
    <row r="522" spans="2:4" x14ac:dyDescent="0.2">
      <c r="B522" s="214"/>
      <c r="C522" s="211"/>
      <c r="D522" s="212"/>
    </row>
    <row r="523" spans="2:4" x14ac:dyDescent="0.2">
      <c r="B523" s="210">
        <v>-1874254.222682226</v>
      </c>
      <c r="C523" s="211" t="s">
        <v>177</v>
      </c>
      <c r="D523" s="212"/>
    </row>
    <row r="524" spans="2:4" x14ac:dyDescent="0.2">
      <c r="B524" s="207" t="s">
        <v>178</v>
      </c>
      <c r="C524" s="213"/>
      <c r="D524" s="216"/>
    </row>
    <row r="525" spans="2:4" x14ac:dyDescent="0.2">
      <c r="B525" s="209"/>
      <c r="C525" s="217" t="s">
        <v>147</v>
      </c>
      <c r="D525" s="212"/>
    </row>
    <row r="526" spans="2:4" x14ac:dyDescent="0.2">
      <c r="B526" s="212"/>
      <c r="C526" s="211" t="s">
        <v>177</v>
      </c>
      <c r="D526" s="212">
        <v>-1874254.222682226</v>
      </c>
    </row>
    <row r="527" spans="2:4" x14ac:dyDescent="0.2">
      <c r="B527" s="212">
        <v>746.13808808885938</v>
      </c>
      <c r="C527" s="211" t="s">
        <v>179</v>
      </c>
      <c r="D527" s="212"/>
    </row>
    <row r="528" spans="2:4" x14ac:dyDescent="0.2">
      <c r="B528" s="212"/>
      <c r="C528" s="211" t="s">
        <v>180</v>
      </c>
      <c r="D528" s="212">
        <v>-1875000.3607703149</v>
      </c>
    </row>
    <row r="529" spans="2:4" x14ac:dyDescent="0.2">
      <c r="B529" s="212"/>
      <c r="C529" s="211"/>
      <c r="D529" s="212"/>
    </row>
    <row r="530" spans="2:4" x14ac:dyDescent="0.2">
      <c r="B530" s="210">
        <v>-1875000.3607703149</v>
      </c>
      <c r="C530" s="211" t="s">
        <v>150</v>
      </c>
      <c r="D530" s="212"/>
    </row>
    <row r="531" spans="2:4" x14ac:dyDescent="0.2">
      <c r="B531" s="193" t="s">
        <v>23</v>
      </c>
      <c r="C531" s="197"/>
      <c r="D531" s="201"/>
    </row>
    <row r="533" spans="2:4" x14ac:dyDescent="0.2">
      <c r="B533" s="203" t="s">
        <v>112</v>
      </c>
      <c r="C533" s="204" t="s">
        <v>111</v>
      </c>
      <c r="D533" s="203" t="s">
        <v>110</v>
      </c>
    </row>
    <row r="534" spans="2:4" x14ac:dyDescent="0.2">
      <c r="B534" s="205"/>
      <c r="C534" s="220">
        <v>2020</v>
      </c>
      <c r="D534" s="205"/>
    </row>
    <row r="535" spans="2:4" x14ac:dyDescent="0.2">
      <c r="B535" s="207" t="s">
        <v>166</v>
      </c>
      <c r="C535" s="208"/>
      <c r="D535" s="209"/>
    </row>
    <row r="536" spans="2:4" x14ac:dyDescent="0.2">
      <c r="B536" s="210">
        <v>12146004.820525996</v>
      </c>
      <c r="C536" s="211" t="s">
        <v>123</v>
      </c>
      <c r="D536" s="212"/>
    </row>
    <row r="537" spans="2:4" x14ac:dyDescent="0.2">
      <c r="B537" s="212"/>
      <c r="C537" s="211" t="s">
        <v>167</v>
      </c>
      <c r="D537" s="210">
        <v>8758126.7643143404</v>
      </c>
    </row>
    <row r="538" spans="2:4" x14ac:dyDescent="0.2">
      <c r="B538" s="212"/>
      <c r="C538" s="211"/>
      <c r="D538" s="212"/>
    </row>
    <row r="539" spans="2:4" x14ac:dyDescent="0.2">
      <c r="B539" s="210">
        <v>-3387878.056211656</v>
      </c>
      <c r="C539" s="211" t="s">
        <v>168</v>
      </c>
      <c r="D539" s="212"/>
    </row>
    <row r="540" spans="2:4" x14ac:dyDescent="0.2">
      <c r="B540" s="207" t="s">
        <v>169</v>
      </c>
      <c r="C540" s="213"/>
      <c r="D540" s="209"/>
    </row>
    <row r="541" spans="2:4" x14ac:dyDescent="0.2">
      <c r="B541" s="212"/>
      <c r="C541" s="211" t="s">
        <v>168</v>
      </c>
      <c r="D541" s="212">
        <v>-3387878.056211656</v>
      </c>
    </row>
    <row r="542" spans="2:4" x14ac:dyDescent="0.2">
      <c r="B542" s="214"/>
      <c r="C542" s="211" t="s">
        <v>133</v>
      </c>
      <c r="D542" s="212">
        <v>286631.01403166453</v>
      </c>
    </row>
    <row r="543" spans="2:4" x14ac:dyDescent="0.2">
      <c r="B543" s="214">
        <v>309824.70351959759</v>
      </c>
      <c r="C543" s="211" t="s">
        <v>170</v>
      </c>
      <c r="D543" s="212">
        <v>2870630.664096673</v>
      </c>
    </row>
    <row r="544" spans="2:4" x14ac:dyDescent="0.2">
      <c r="B544" s="214">
        <v>309824.70351959759</v>
      </c>
      <c r="C544" s="211" t="s">
        <v>171</v>
      </c>
      <c r="D544" s="212">
        <v>1605098.3506400443</v>
      </c>
    </row>
    <row r="545" spans="2:4" x14ac:dyDescent="0.2">
      <c r="B545" s="214"/>
      <c r="C545" s="211" t="s">
        <v>172</v>
      </c>
      <c r="D545" s="212">
        <v>1265532.3134566287</v>
      </c>
    </row>
    <row r="546" spans="2:4" x14ac:dyDescent="0.2">
      <c r="B546" s="214"/>
      <c r="C546" s="215" t="s">
        <v>173</v>
      </c>
      <c r="D546" s="212"/>
    </row>
    <row r="547" spans="2:4" x14ac:dyDescent="0.2">
      <c r="B547" s="214">
        <v>32893.196489424692</v>
      </c>
      <c r="C547" s="211" t="s">
        <v>174</v>
      </c>
      <c r="D547" s="212">
        <v>69140.136460367779</v>
      </c>
    </row>
    <row r="548" spans="2:4" x14ac:dyDescent="0.2">
      <c r="B548" s="214"/>
      <c r="C548" s="211" t="s">
        <v>175</v>
      </c>
      <c r="D548" s="212"/>
    </row>
    <row r="549" spans="2:4" x14ac:dyDescent="0.2">
      <c r="B549" s="214">
        <v>32893.196489424692</v>
      </c>
      <c r="C549" s="211" t="s">
        <v>176</v>
      </c>
      <c r="D549" s="212">
        <v>69140.136460367779</v>
      </c>
    </row>
    <row r="550" spans="2:4" x14ac:dyDescent="0.2">
      <c r="B550" s="214"/>
      <c r="C550" s="211"/>
      <c r="D550" s="212"/>
    </row>
    <row r="551" spans="2:4" x14ac:dyDescent="0.2">
      <c r="B551" s="210">
        <v>-504194.14163197298</v>
      </c>
      <c r="C551" s="211" t="s">
        <v>177</v>
      </c>
      <c r="D551" s="212"/>
    </row>
    <row r="552" spans="2:4" x14ac:dyDescent="0.2">
      <c r="B552" s="207" t="s">
        <v>178</v>
      </c>
      <c r="C552" s="213"/>
      <c r="D552" s="216"/>
    </row>
    <row r="553" spans="2:4" x14ac:dyDescent="0.2">
      <c r="B553" s="209"/>
      <c r="C553" s="217" t="s">
        <v>147</v>
      </c>
      <c r="D553" s="212"/>
    </row>
    <row r="554" spans="2:4" x14ac:dyDescent="0.2">
      <c r="B554" s="212"/>
      <c r="C554" s="211" t="s">
        <v>177</v>
      </c>
      <c r="D554" s="212">
        <v>-504194.14163197298</v>
      </c>
    </row>
    <row r="555" spans="2:4" x14ac:dyDescent="0.2">
      <c r="B555" s="212">
        <v>703.11665940251851</v>
      </c>
      <c r="C555" s="211" t="s">
        <v>179</v>
      </c>
      <c r="D555" s="212"/>
    </row>
    <row r="556" spans="2:4" x14ac:dyDescent="0.2">
      <c r="B556" s="212"/>
      <c r="C556" s="211" t="s">
        <v>180</v>
      </c>
      <c r="D556" s="212">
        <v>-504897.25829137547</v>
      </c>
    </row>
    <row r="557" spans="2:4" x14ac:dyDescent="0.2">
      <c r="B557" s="212"/>
      <c r="C557" s="211"/>
      <c r="D557" s="212"/>
    </row>
    <row r="558" spans="2:4" x14ac:dyDescent="0.2">
      <c r="B558" s="210">
        <v>-504897.25829137547</v>
      </c>
      <c r="C558" s="211" t="s">
        <v>150</v>
      </c>
      <c r="D558" s="212"/>
    </row>
    <row r="559" spans="2:4" x14ac:dyDescent="0.2">
      <c r="B559" s="193" t="s">
        <v>23</v>
      </c>
      <c r="C559" s="197"/>
      <c r="D559" s="201"/>
    </row>
    <row r="561" spans="2:4" x14ac:dyDescent="0.2">
      <c r="B561" s="203" t="s">
        <v>112</v>
      </c>
      <c r="C561" s="204" t="s">
        <v>111</v>
      </c>
      <c r="D561" s="203" t="s">
        <v>110</v>
      </c>
    </row>
    <row r="562" spans="2:4" x14ac:dyDescent="0.2">
      <c r="B562" s="205"/>
      <c r="C562" s="220">
        <v>2021</v>
      </c>
      <c r="D562" s="205"/>
    </row>
    <row r="563" spans="2:4" x14ac:dyDescent="0.2">
      <c r="B563" s="207" t="s">
        <v>166</v>
      </c>
      <c r="C563" s="208"/>
      <c r="D563" s="209"/>
    </row>
    <row r="564" spans="2:4" x14ac:dyDescent="0.2">
      <c r="B564" s="210">
        <v>21017889.203587566</v>
      </c>
      <c r="C564" s="211" t="s">
        <v>123</v>
      </c>
      <c r="D564" s="212"/>
    </row>
    <row r="565" spans="2:4" x14ac:dyDescent="0.2">
      <c r="B565" s="212"/>
      <c r="C565" s="211" t="s">
        <v>167</v>
      </c>
      <c r="D565" s="210">
        <v>11762036.122794701</v>
      </c>
    </row>
    <row r="566" spans="2:4" x14ac:dyDescent="0.2">
      <c r="B566" s="212"/>
      <c r="C566" s="211"/>
      <c r="D566" s="212"/>
    </row>
    <row r="567" spans="2:4" x14ac:dyDescent="0.2">
      <c r="B567" s="210">
        <v>-9255853.0807928648</v>
      </c>
      <c r="C567" s="211" t="s">
        <v>168</v>
      </c>
      <c r="D567" s="212"/>
    </row>
    <row r="568" spans="2:4" x14ac:dyDescent="0.2">
      <c r="B568" s="207" t="s">
        <v>169</v>
      </c>
      <c r="C568" s="213"/>
      <c r="D568" s="209"/>
    </row>
    <row r="569" spans="2:4" x14ac:dyDescent="0.2">
      <c r="B569" s="212"/>
      <c r="C569" s="211" t="s">
        <v>168</v>
      </c>
      <c r="D569" s="212">
        <v>-9255853.0807928648</v>
      </c>
    </row>
    <row r="570" spans="2:4" x14ac:dyDescent="0.2">
      <c r="B570" s="214"/>
      <c r="C570" s="211" t="s">
        <v>133</v>
      </c>
      <c r="D570" s="212">
        <v>254611.13637946028</v>
      </c>
    </row>
    <row r="571" spans="2:4" x14ac:dyDescent="0.2">
      <c r="B571" s="214">
        <v>221441.11944991257</v>
      </c>
      <c r="C571" s="211" t="s">
        <v>170</v>
      </c>
      <c r="D571" s="212">
        <v>3576820.6117603779</v>
      </c>
    </row>
    <row r="572" spans="2:4" x14ac:dyDescent="0.2">
      <c r="B572" s="214">
        <v>221441.11944991257</v>
      </c>
      <c r="C572" s="211" t="s">
        <v>171</v>
      </c>
      <c r="D572" s="212">
        <v>1452693.6920563316</v>
      </c>
    </row>
    <row r="573" spans="2:4" x14ac:dyDescent="0.2">
      <c r="B573" s="214"/>
      <c r="C573" s="211" t="s">
        <v>172</v>
      </c>
      <c r="D573" s="212">
        <v>2124126.9197040461</v>
      </c>
    </row>
    <row r="574" spans="2:4" x14ac:dyDescent="0.2">
      <c r="B574" s="214"/>
      <c r="C574" s="215" t="s">
        <v>173</v>
      </c>
      <c r="D574" s="212"/>
    </row>
    <row r="575" spans="2:4" x14ac:dyDescent="0.2">
      <c r="B575" s="214">
        <v>18220.145828102475</v>
      </c>
      <c r="C575" s="211" t="s">
        <v>174</v>
      </c>
      <c r="D575" s="212">
        <v>421655.17601233587</v>
      </c>
    </row>
    <row r="576" spans="2:4" x14ac:dyDescent="0.2">
      <c r="B576" s="214"/>
      <c r="C576" s="211" t="s">
        <v>175</v>
      </c>
      <c r="D576" s="212"/>
    </row>
    <row r="577" spans="2:4" x14ac:dyDescent="0.2">
      <c r="B577" s="214">
        <v>18220.145828102475</v>
      </c>
      <c r="C577" s="211" t="s">
        <v>176</v>
      </c>
      <c r="D577" s="212">
        <v>421655.17601233587</v>
      </c>
    </row>
    <row r="578" spans="2:4" x14ac:dyDescent="0.2">
      <c r="B578" s="214"/>
      <c r="C578" s="211"/>
      <c r="D578" s="212"/>
    </row>
    <row r="579" spans="2:4" x14ac:dyDescent="0.2">
      <c r="B579" s="210">
        <v>-5242427.421918706</v>
      </c>
      <c r="C579" s="211" t="s">
        <v>177</v>
      </c>
      <c r="D579" s="212"/>
    </row>
    <row r="580" spans="2:4" x14ac:dyDescent="0.2">
      <c r="B580" s="207" t="s">
        <v>178</v>
      </c>
      <c r="C580" s="213"/>
      <c r="D580" s="216"/>
    </row>
    <row r="581" spans="2:4" x14ac:dyDescent="0.2">
      <c r="B581" s="209"/>
      <c r="C581" s="217" t="s">
        <v>147</v>
      </c>
      <c r="D581" s="212"/>
    </row>
    <row r="582" spans="2:4" x14ac:dyDescent="0.2">
      <c r="B582" s="212"/>
      <c r="C582" s="211" t="s">
        <v>177</v>
      </c>
      <c r="D582" s="212">
        <v>-5242427.421918706</v>
      </c>
    </row>
    <row r="583" spans="2:4" x14ac:dyDescent="0.2">
      <c r="B583" s="212">
        <v>1223.3772256936957</v>
      </c>
      <c r="C583" s="211" t="s">
        <v>179</v>
      </c>
      <c r="D583" s="212"/>
    </row>
    <row r="584" spans="2:4" x14ac:dyDescent="0.2">
      <c r="B584" s="212"/>
      <c r="C584" s="211" t="s">
        <v>180</v>
      </c>
      <c r="D584" s="212">
        <v>-5243650.7991443994</v>
      </c>
    </row>
    <row r="585" spans="2:4" x14ac:dyDescent="0.2">
      <c r="B585" s="212"/>
      <c r="C585" s="211"/>
      <c r="D585" s="212"/>
    </row>
    <row r="586" spans="2:4" x14ac:dyDescent="0.2">
      <c r="B586" s="210">
        <v>-5243650.7991443994</v>
      </c>
      <c r="C586" s="211" t="s">
        <v>150</v>
      </c>
      <c r="D586" s="212"/>
    </row>
    <row r="587" spans="2:4" x14ac:dyDescent="0.2">
      <c r="B587" s="193" t="s">
        <v>23</v>
      </c>
      <c r="C587" s="197"/>
      <c r="D587" s="201"/>
    </row>
    <row r="589" spans="2:4" x14ac:dyDescent="0.2">
      <c r="B589" s="203" t="s">
        <v>112</v>
      </c>
      <c r="C589" s="204" t="s">
        <v>111</v>
      </c>
      <c r="D589" s="203" t="s">
        <v>110</v>
      </c>
    </row>
    <row r="590" spans="2:4" x14ac:dyDescent="0.2">
      <c r="B590" s="205"/>
      <c r="C590" s="220">
        <v>2022</v>
      </c>
      <c r="D590" s="205"/>
    </row>
    <row r="591" spans="2:4" x14ac:dyDescent="0.2">
      <c r="B591" s="207" t="s">
        <v>166</v>
      </c>
      <c r="C591" s="208"/>
      <c r="D591" s="209"/>
    </row>
    <row r="592" spans="2:4" x14ac:dyDescent="0.2">
      <c r="B592" s="210">
        <v>23083735.889140781</v>
      </c>
      <c r="C592" s="211" t="s">
        <v>123</v>
      </c>
      <c r="D592" s="212"/>
    </row>
    <row r="593" spans="2:4" x14ac:dyDescent="0.2">
      <c r="B593" s="212"/>
      <c r="C593" s="211" t="s">
        <v>167</v>
      </c>
      <c r="D593" s="210">
        <v>13155742.214393901</v>
      </c>
    </row>
    <row r="594" spans="2:4" x14ac:dyDescent="0.2">
      <c r="B594" s="212"/>
      <c r="C594" s="211"/>
      <c r="D594" s="212"/>
    </row>
    <row r="595" spans="2:4" x14ac:dyDescent="0.2">
      <c r="B595" s="210">
        <v>-9927993.6747468803</v>
      </c>
      <c r="C595" s="211" t="s">
        <v>168</v>
      </c>
      <c r="D595" s="212"/>
    </row>
    <row r="596" spans="2:4" x14ac:dyDescent="0.2">
      <c r="B596" s="207" t="s">
        <v>169</v>
      </c>
      <c r="C596" s="213"/>
      <c r="D596" s="209"/>
    </row>
    <row r="597" spans="2:4" x14ac:dyDescent="0.2">
      <c r="B597" s="212"/>
      <c r="C597" s="211" t="s">
        <v>168</v>
      </c>
      <c r="D597" s="212">
        <v>-9927993.6747468803</v>
      </c>
    </row>
    <row r="598" spans="2:4" x14ac:dyDescent="0.2">
      <c r="B598" s="214"/>
      <c r="C598" s="211" t="s">
        <v>133</v>
      </c>
      <c r="D598" s="212">
        <v>179703.20563065191</v>
      </c>
    </row>
    <row r="599" spans="2:4" x14ac:dyDescent="0.2">
      <c r="B599" s="214">
        <v>81483.722605844043</v>
      </c>
      <c r="C599" s="211" t="s">
        <v>170</v>
      </c>
      <c r="D599" s="212">
        <v>3906935.9187176833</v>
      </c>
    </row>
    <row r="600" spans="2:4" x14ac:dyDescent="0.2">
      <c r="B600" s="214">
        <v>81483.722605844043</v>
      </c>
      <c r="C600" s="211" t="s">
        <v>171</v>
      </c>
      <c r="D600" s="212">
        <v>1198363.7112238409</v>
      </c>
    </row>
    <row r="601" spans="2:4" x14ac:dyDescent="0.2">
      <c r="B601" s="214"/>
      <c r="C601" s="211" t="s">
        <v>172</v>
      </c>
      <c r="D601" s="212">
        <v>2708572.2074938421</v>
      </c>
    </row>
    <row r="602" spans="2:4" x14ac:dyDescent="0.2">
      <c r="B602" s="214"/>
      <c r="C602" s="215" t="s">
        <v>173</v>
      </c>
      <c r="D602" s="212"/>
    </row>
    <row r="603" spans="2:4" x14ac:dyDescent="0.2">
      <c r="B603" s="214">
        <v>12944.677531809135</v>
      </c>
      <c r="C603" s="211" t="s">
        <v>174</v>
      </c>
      <c r="D603" s="212">
        <v>518182.81289007602</v>
      </c>
    </row>
    <row r="604" spans="2:4" x14ac:dyDescent="0.2">
      <c r="B604" s="214"/>
      <c r="C604" s="211" t="s">
        <v>175</v>
      </c>
      <c r="D604" s="212"/>
    </row>
    <row r="605" spans="2:4" x14ac:dyDescent="0.2">
      <c r="B605" s="214">
        <v>12944.677531809135</v>
      </c>
      <c r="C605" s="211" t="s">
        <v>176</v>
      </c>
      <c r="D605" s="212">
        <v>518182.81289007602</v>
      </c>
    </row>
    <row r="606" spans="2:4" x14ac:dyDescent="0.2">
      <c r="B606" s="214"/>
      <c r="C606" s="211"/>
      <c r="D606" s="212"/>
    </row>
    <row r="607" spans="2:4" x14ac:dyDescent="0.2">
      <c r="B607" s="210">
        <v>-5417600.1376461219</v>
      </c>
      <c r="C607" s="211" t="s">
        <v>177</v>
      </c>
      <c r="D607" s="212"/>
    </row>
    <row r="608" spans="2:4" x14ac:dyDescent="0.2">
      <c r="B608" s="207" t="s">
        <v>178</v>
      </c>
      <c r="C608" s="213"/>
      <c r="D608" s="216"/>
    </row>
    <row r="609" spans="2:4" x14ac:dyDescent="0.2">
      <c r="B609" s="209"/>
      <c r="C609" s="217" t="s">
        <v>147</v>
      </c>
      <c r="D609" s="212"/>
    </row>
    <row r="610" spans="2:4" x14ac:dyDescent="0.2">
      <c r="B610" s="212"/>
      <c r="C610" s="211" t="s">
        <v>177</v>
      </c>
      <c r="D610" s="212">
        <v>-5417600.1376461219</v>
      </c>
    </row>
    <row r="611" spans="2:4" x14ac:dyDescent="0.2">
      <c r="B611" s="212"/>
      <c r="C611" s="211" t="s">
        <v>179</v>
      </c>
      <c r="D611" s="212">
        <v>990.46618512166276</v>
      </c>
    </row>
    <row r="612" spans="2:4" x14ac:dyDescent="0.2">
      <c r="B612" s="212"/>
      <c r="C612" s="211" t="s">
        <v>180</v>
      </c>
      <c r="D612" s="212">
        <v>-5416609.6714610001</v>
      </c>
    </row>
    <row r="613" spans="2:4" x14ac:dyDescent="0.2">
      <c r="B613" s="212"/>
      <c r="C613" s="211"/>
      <c r="D613" s="212"/>
    </row>
    <row r="614" spans="2:4" x14ac:dyDescent="0.2">
      <c r="B614" s="210">
        <v>-5416609.6714610001</v>
      </c>
      <c r="C614" s="211" t="s">
        <v>150</v>
      </c>
      <c r="D614" s="212"/>
    </row>
    <row r="616" spans="2:4" x14ac:dyDescent="0.2">
      <c r="B616" s="203" t="s">
        <v>112</v>
      </c>
      <c r="C616" s="204" t="s">
        <v>111</v>
      </c>
      <c r="D616" s="203" t="s">
        <v>110</v>
      </c>
    </row>
    <row r="617" spans="2:4" x14ac:dyDescent="0.2">
      <c r="B617" s="205"/>
      <c r="C617" s="220">
        <v>2023</v>
      </c>
      <c r="D617" s="205"/>
    </row>
    <row r="618" spans="2:4" x14ac:dyDescent="0.2">
      <c r="B618" s="207" t="s">
        <v>166</v>
      </c>
      <c r="C618" s="208"/>
      <c r="D618" s="209"/>
    </row>
    <row r="619" spans="2:4" x14ac:dyDescent="0.2">
      <c r="B619" s="210">
        <v>25318720.348007627</v>
      </c>
      <c r="C619" s="211" t="s">
        <v>123</v>
      </c>
      <c r="D619" s="212"/>
    </row>
    <row r="620" spans="2:4" x14ac:dyDescent="0.2">
      <c r="B620" s="212"/>
      <c r="C620" s="211" t="s">
        <v>167</v>
      </c>
      <c r="D620" s="210">
        <v>16226643.502787936</v>
      </c>
    </row>
    <row r="621" spans="2:4" x14ac:dyDescent="0.2">
      <c r="B621" s="212"/>
      <c r="C621" s="211"/>
      <c r="D621" s="212"/>
    </row>
    <row r="622" spans="2:4" x14ac:dyDescent="0.2">
      <c r="B622" s="210">
        <v>-9092076.8452196904</v>
      </c>
      <c r="C622" s="211" t="s">
        <v>168</v>
      </c>
      <c r="D622" s="212"/>
    </row>
    <row r="623" spans="2:4" x14ac:dyDescent="0.2">
      <c r="B623" s="207" t="s">
        <v>169</v>
      </c>
      <c r="C623" s="213"/>
      <c r="D623" s="209"/>
    </row>
    <row r="624" spans="2:4" x14ac:dyDescent="0.2">
      <c r="B624" s="212"/>
      <c r="C624" s="211" t="s">
        <v>168</v>
      </c>
      <c r="D624" s="212">
        <v>-9092076.8452196904</v>
      </c>
    </row>
    <row r="625" spans="2:4" x14ac:dyDescent="0.2">
      <c r="B625" s="214"/>
      <c r="C625" s="211" t="s">
        <v>133</v>
      </c>
      <c r="D625" s="212">
        <v>208642.09081256881</v>
      </c>
    </row>
    <row r="626" spans="2:4" x14ac:dyDescent="0.2">
      <c r="B626" s="214">
        <v>398537.67169577192</v>
      </c>
      <c r="C626" s="211" t="s">
        <v>170</v>
      </c>
      <c r="D626" s="212">
        <v>6073988.3293207288</v>
      </c>
    </row>
    <row r="627" spans="2:4" x14ac:dyDescent="0.2">
      <c r="B627" s="214">
        <v>398537.67169577192</v>
      </c>
      <c r="C627" s="211" t="s">
        <v>171</v>
      </c>
      <c r="D627" s="212">
        <v>3081657.207297062</v>
      </c>
    </row>
    <row r="628" spans="2:4" x14ac:dyDescent="0.2">
      <c r="B628" s="214"/>
      <c r="C628" s="211" t="s">
        <v>172</v>
      </c>
      <c r="D628" s="212">
        <v>2992331.1220236663</v>
      </c>
    </row>
    <row r="629" spans="2:4" x14ac:dyDescent="0.2">
      <c r="B629" s="214"/>
      <c r="C629" s="215" t="s">
        <v>173</v>
      </c>
      <c r="D629" s="212"/>
    </row>
    <row r="630" spans="2:4" x14ac:dyDescent="0.2">
      <c r="B630" s="214">
        <v>10722.763794828754</v>
      </c>
      <c r="C630" s="211" t="s">
        <v>174</v>
      </c>
      <c r="D630" s="212">
        <v>343021.60784838779</v>
      </c>
    </row>
    <row r="631" spans="2:4" x14ac:dyDescent="0.2">
      <c r="B631" s="214"/>
      <c r="C631" s="211" t="s">
        <v>175</v>
      </c>
      <c r="D631" s="212"/>
    </row>
    <row r="632" spans="2:4" x14ac:dyDescent="0.2">
      <c r="B632" s="214">
        <v>10722.763794828754</v>
      </c>
      <c r="C632" s="211" t="s">
        <v>176</v>
      </c>
      <c r="D632" s="212">
        <v>343021.60784838779</v>
      </c>
    </row>
    <row r="633" spans="2:4" x14ac:dyDescent="0.2">
      <c r="B633" s="214"/>
      <c r="C633" s="211"/>
      <c r="D633" s="212"/>
    </row>
    <row r="634" spans="2:4" x14ac:dyDescent="0.2">
      <c r="B634" s="210">
        <v>-2875685.2527286052</v>
      </c>
      <c r="C634" s="211" t="s">
        <v>177</v>
      </c>
      <c r="D634" s="212"/>
    </row>
    <row r="635" spans="2:4" x14ac:dyDescent="0.2">
      <c r="B635" s="207" t="s">
        <v>178</v>
      </c>
      <c r="C635" s="213"/>
      <c r="D635" s="216"/>
    </row>
    <row r="636" spans="2:4" x14ac:dyDescent="0.2">
      <c r="B636" s="209"/>
      <c r="C636" s="217" t="s">
        <v>147</v>
      </c>
      <c r="D636" s="212"/>
    </row>
    <row r="637" spans="2:4" x14ac:dyDescent="0.2">
      <c r="B637" s="212"/>
      <c r="C637" s="211" t="s">
        <v>177</v>
      </c>
      <c r="D637" s="212">
        <v>-2875685.2527286052</v>
      </c>
    </row>
    <row r="638" spans="2:4" x14ac:dyDescent="0.2">
      <c r="B638" s="212">
        <v>0</v>
      </c>
      <c r="C638" s="211" t="s">
        <v>179</v>
      </c>
      <c r="D638" s="212">
        <v>1654.7496080278593</v>
      </c>
    </row>
    <row r="639" spans="2:4" x14ac:dyDescent="0.2">
      <c r="B639" s="212"/>
      <c r="C639" s="211" t="s">
        <v>180</v>
      </c>
      <c r="D639" s="212">
        <v>-2874030.5031205774</v>
      </c>
    </row>
    <row r="640" spans="2:4" x14ac:dyDescent="0.2">
      <c r="B640" s="212"/>
      <c r="C640" s="211"/>
      <c r="D640" s="212"/>
    </row>
    <row r="641" spans="2:4" x14ac:dyDescent="0.2">
      <c r="B641" s="212"/>
      <c r="C641" s="211"/>
      <c r="D641" s="212"/>
    </row>
    <row r="642" spans="2:4" x14ac:dyDescent="0.2">
      <c r="B642" s="210">
        <v>-2874030.5031205774</v>
      </c>
      <c r="C642" s="211" t="s">
        <v>150</v>
      </c>
      <c r="D642" s="212"/>
    </row>
    <row r="644" spans="2:4" x14ac:dyDescent="0.2">
      <c r="B644" s="203" t="s">
        <v>112</v>
      </c>
      <c r="C644" s="204" t="s">
        <v>111</v>
      </c>
      <c r="D644" s="203" t="s">
        <v>110</v>
      </c>
    </row>
    <row r="645" spans="2:4" x14ac:dyDescent="0.2">
      <c r="B645" s="205"/>
      <c r="C645" s="220">
        <v>2024</v>
      </c>
      <c r="D645" s="205"/>
    </row>
    <row r="646" spans="2:4" x14ac:dyDescent="0.2">
      <c r="B646" s="207" t="s">
        <v>166</v>
      </c>
      <c r="C646" s="208"/>
      <c r="D646" s="209"/>
    </row>
    <row r="647" spans="2:4" x14ac:dyDescent="0.2">
      <c r="B647" s="210">
        <v>32118126.64307867</v>
      </c>
      <c r="C647" s="211" t="s">
        <v>123</v>
      </c>
      <c r="D647" s="212"/>
    </row>
    <row r="648" spans="2:4" x14ac:dyDescent="0.2">
      <c r="B648" s="212"/>
      <c r="C648" s="211" t="s">
        <v>167</v>
      </c>
      <c r="D648" s="210">
        <v>19730309.21421846</v>
      </c>
    </row>
    <row r="649" spans="2:4" x14ac:dyDescent="0.2">
      <c r="B649" s="212"/>
      <c r="C649" s="211"/>
      <c r="D649" s="212"/>
    </row>
    <row r="650" spans="2:4" x14ac:dyDescent="0.2">
      <c r="B650" s="210">
        <v>-12387817.42886021</v>
      </c>
      <c r="C650" s="211" t="s">
        <v>168</v>
      </c>
      <c r="D650" s="212"/>
    </row>
    <row r="651" spans="2:4" x14ac:dyDescent="0.2">
      <c r="B651" s="207" t="s">
        <v>169</v>
      </c>
      <c r="C651" s="213"/>
      <c r="D651" s="209"/>
    </row>
    <row r="652" spans="2:4" x14ac:dyDescent="0.2">
      <c r="B652" s="212"/>
      <c r="C652" s="211" t="s">
        <v>168</v>
      </c>
      <c r="D652" s="212">
        <v>-12387817.42886021</v>
      </c>
    </row>
    <row r="653" spans="2:4" x14ac:dyDescent="0.2">
      <c r="B653" s="214">
        <v>32235.236413406106</v>
      </c>
      <c r="C653" s="211" t="s">
        <v>133</v>
      </c>
      <c r="D653" s="212">
        <v>310532.12798699114</v>
      </c>
    </row>
    <row r="654" spans="2:4" x14ac:dyDescent="0.2">
      <c r="B654" s="214">
        <v>551672.36812555476</v>
      </c>
      <c r="C654" s="211" t="s">
        <v>170</v>
      </c>
      <c r="D654" s="212">
        <v>6922575.7815996157</v>
      </c>
    </row>
    <row r="655" spans="2:4" x14ac:dyDescent="0.2">
      <c r="B655" s="214">
        <v>527380.13816293504</v>
      </c>
      <c r="C655" s="211" t="s">
        <v>171</v>
      </c>
      <c r="D655" s="212">
        <v>3314194.4385495037</v>
      </c>
    </row>
    <row r="656" spans="2:4" x14ac:dyDescent="0.2">
      <c r="B656" s="214">
        <v>24292.229962619698</v>
      </c>
      <c r="C656" s="211" t="s">
        <v>172</v>
      </c>
      <c r="D656" s="212">
        <v>3608381.343050112</v>
      </c>
    </row>
    <row r="657" spans="2:4" x14ac:dyDescent="0.2">
      <c r="B657" s="214"/>
      <c r="C657" s="215" t="s">
        <v>173</v>
      </c>
      <c r="D657" s="212"/>
    </row>
    <row r="658" spans="2:4" x14ac:dyDescent="0.2">
      <c r="B658" s="214">
        <v>19454.922829500327</v>
      </c>
      <c r="C658" s="211" t="s">
        <v>174</v>
      </c>
      <c r="D658" s="212">
        <v>269475.23393659329</v>
      </c>
    </row>
    <row r="659" spans="2:4" x14ac:dyDescent="0.2">
      <c r="B659" s="214"/>
      <c r="C659" s="211" t="s">
        <v>175</v>
      </c>
      <c r="D659" s="212"/>
    </row>
    <row r="660" spans="2:4" x14ac:dyDescent="0.2">
      <c r="B660" s="214">
        <v>19454.922829500327</v>
      </c>
      <c r="C660" s="211" t="s">
        <v>176</v>
      </c>
      <c r="D660" s="212">
        <v>269475.23393659329</v>
      </c>
    </row>
    <row r="661" spans="2:4" x14ac:dyDescent="0.2">
      <c r="B661" s="214"/>
      <c r="C661" s="211"/>
      <c r="D661" s="212"/>
    </row>
    <row r="662" spans="2:4" x14ac:dyDescent="0.2">
      <c r="B662" s="210">
        <v>-5456361.576292065</v>
      </c>
      <c r="C662" s="211" t="s">
        <v>177</v>
      </c>
      <c r="D662" s="212"/>
    </row>
    <row r="663" spans="2:4" x14ac:dyDescent="0.2">
      <c r="B663" s="207" t="s">
        <v>178</v>
      </c>
      <c r="C663" s="213"/>
      <c r="D663" s="216"/>
    </row>
    <row r="664" spans="2:4" x14ac:dyDescent="0.2">
      <c r="B664" s="209"/>
      <c r="C664" s="217" t="s">
        <v>147</v>
      </c>
      <c r="D664" s="212"/>
    </row>
    <row r="665" spans="2:4" x14ac:dyDescent="0.2">
      <c r="B665" s="212"/>
      <c r="C665" s="211" t="s">
        <v>177</v>
      </c>
      <c r="D665" s="212">
        <v>-5456361.576292065</v>
      </c>
    </row>
    <row r="666" spans="2:4" x14ac:dyDescent="0.2">
      <c r="B666" s="212">
        <v>1034.9643945613077</v>
      </c>
      <c r="C666" s="211" t="s">
        <v>179</v>
      </c>
      <c r="D666" s="212">
        <v>95889.090303412391</v>
      </c>
    </row>
    <row r="667" spans="2:4" x14ac:dyDescent="0.2">
      <c r="B667" s="212"/>
      <c r="C667" s="211" t="s">
        <v>180</v>
      </c>
      <c r="D667" s="212">
        <v>-5361507.4503832133</v>
      </c>
    </row>
    <row r="668" spans="2:4" x14ac:dyDescent="0.2">
      <c r="B668" s="212"/>
      <c r="C668" s="211"/>
      <c r="D668" s="212"/>
    </row>
    <row r="669" spans="2:4" x14ac:dyDescent="0.2">
      <c r="B669" s="212"/>
      <c r="C669" s="211"/>
      <c r="D669" s="212"/>
    </row>
    <row r="670" spans="2:4" x14ac:dyDescent="0.2">
      <c r="B670" s="210">
        <v>-5361507.4503832133</v>
      </c>
      <c r="C670" s="211" t="s">
        <v>150</v>
      </c>
      <c r="D670" s="212"/>
    </row>
  </sheetData>
  <mergeCells count="42">
    <mergeCell ref="B86:D86"/>
    <mergeCell ref="B1:D1"/>
    <mergeCell ref="B2:D2"/>
    <mergeCell ref="B3:D3"/>
    <mergeCell ref="B84:D84"/>
    <mergeCell ref="B85:D85"/>
    <mergeCell ref="B260:D260"/>
    <mergeCell ref="B167:D167"/>
    <mergeCell ref="B168:D168"/>
    <mergeCell ref="B169:D169"/>
    <mergeCell ref="B197:D197"/>
    <mergeCell ref="B198:D198"/>
    <mergeCell ref="B199:D199"/>
    <mergeCell ref="B227:D227"/>
    <mergeCell ref="B228:D228"/>
    <mergeCell ref="B229:D229"/>
    <mergeCell ref="B258:D258"/>
    <mergeCell ref="B259:D259"/>
    <mergeCell ref="B380:D380"/>
    <mergeCell ref="B288:D288"/>
    <mergeCell ref="B289:D289"/>
    <mergeCell ref="B290:D290"/>
    <mergeCell ref="B318:D318"/>
    <mergeCell ref="B319:D319"/>
    <mergeCell ref="B320:D320"/>
    <mergeCell ref="B348:D348"/>
    <mergeCell ref="B349:D349"/>
    <mergeCell ref="B350:D350"/>
    <mergeCell ref="B378:D378"/>
    <mergeCell ref="B379:D379"/>
    <mergeCell ref="B504:D504"/>
    <mergeCell ref="B409:D409"/>
    <mergeCell ref="B410:D410"/>
    <mergeCell ref="B411:D411"/>
    <mergeCell ref="B440:D440"/>
    <mergeCell ref="B441:D441"/>
    <mergeCell ref="B442:D442"/>
    <mergeCell ref="B471:D471"/>
    <mergeCell ref="B472:D472"/>
    <mergeCell ref="B473:D473"/>
    <mergeCell ref="B502:D502"/>
    <mergeCell ref="B503:D50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23"/>
  <sheetViews>
    <sheetView workbookViewId="0">
      <selection activeCell="C5" sqref="C5"/>
    </sheetView>
  </sheetViews>
  <sheetFormatPr defaultColWidth="8.85546875" defaultRowHeight="15" x14ac:dyDescent="0.25"/>
  <cols>
    <col min="1" max="1" width="8.85546875" style="29"/>
    <col min="2" max="2" width="63.42578125" style="29" bestFit="1" customWidth="1"/>
    <col min="3" max="19" width="7.42578125" style="29" customWidth="1"/>
    <col min="20" max="25" width="6.28515625" style="29" customWidth="1"/>
    <col min="26" max="16384" width="8.85546875" style="29"/>
  </cols>
  <sheetData>
    <row r="1" spans="1:25" x14ac:dyDescent="0.25">
      <c r="A1" s="262" t="s">
        <v>211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25" x14ac:dyDescent="0.25">
      <c r="A2" s="97"/>
      <c r="B2" s="102"/>
      <c r="C2" s="102"/>
      <c r="D2" s="102"/>
      <c r="E2" s="102"/>
      <c r="F2" s="102"/>
      <c r="G2" s="102"/>
      <c r="H2" s="103"/>
      <c r="I2" s="103"/>
    </row>
    <row r="3" spans="1:25" x14ac:dyDescent="0.25">
      <c r="A3" s="263" t="s">
        <v>1</v>
      </c>
      <c r="B3" s="263"/>
      <c r="C3" s="264" t="s">
        <v>2</v>
      </c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</row>
    <row r="4" spans="1:25" x14ac:dyDescent="0.25">
      <c r="A4" s="263"/>
      <c r="B4" s="263"/>
      <c r="C4" s="116">
        <v>2002</v>
      </c>
      <c r="D4" s="116">
        <v>2003</v>
      </c>
      <c r="E4" s="116">
        <v>2004</v>
      </c>
      <c r="F4" s="116">
        <v>2005</v>
      </c>
      <c r="G4" s="116">
        <v>2006</v>
      </c>
      <c r="H4" s="116">
        <v>2007</v>
      </c>
      <c r="I4" s="116">
        <v>2008</v>
      </c>
      <c r="J4" s="85">
        <v>2009</v>
      </c>
      <c r="K4" s="85">
        <v>2010</v>
      </c>
      <c r="L4" s="85">
        <v>2011</v>
      </c>
      <c r="M4" s="85">
        <v>2012</v>
      </c>
      <c r="N4" s="85">
        <v>2013</v>
      </c>
      <c r="O4" s="85">
        <v>2014</v>
      </c>
      <c r="P4" s="85">
        <v>2015</v>
      </c>
      <c r="Q4" s="85">
        <v>2016</v>
      </c>
      <c r="R4" s="85">
        <v>2017</v>
      </c>
      <c r="S4" s="85">
        <v>2018</v>
      </c>
      <c r="T4" s="85">
        <v>2019</v>
      </c>
      <c r="U4" s="85">
        <v>2020</v>
      </c>
      <c r="V4" s="85">
        <v>2021</v>
      </c>
      <c r="W4" s="85">
        <v>2022</v>
      </c>
      <c r="X4" s="85">
        <v>2023</v>
      </c>
      <c r="Y4" s="85">
        <v>2024</v>
      </c>
    </row>
    <row r="5" spans="1:25" x14ac:dyDescent="0.25">
      <c r="A5" s="105">
        <v>1</v>
      </c>
      <c r="B5" s="83" t="s">
        <v>5</v>
      </c>
      <c r="C5" s="3">
        <v>9.3867906039345055</v>
      </c>
      <c r="D5" s="3">
        <v>10.000076846293942</v>
      </c>
      <c r="E5" s="3">
        <v>10.363591444992608</v>
      </c>
      <c r="F5" s="3">
        <v>8.5653673168135303</v>
      </c>
      <c r="G5" s="3">
        <v>8.4410089784327607</v>
      </c>
      <c r="H5" s="3">
        <v>8.6162404218655428</v>
      </c>
      <c r="I5" s="3">
        <v>7.8183180329579551</v>
      </c>
      <c r="J5" s="3">
        <v>10.366147457300094</v>
      </c>
      <c r="K5" s="3">
        <v>10.091306858865362</v>
      </c>
      <c r="L5" s="3">
        <v>9.5563060221644331</v>
      </c>
      <c r="M5" s="3">
        <v>9.6969793236660724</v>
      </c>
      <c r="N5" s="3">
        <v>10.32955070344045</v>
      </c>
      <c r="O5" s="3">
        <v>11.478215893010892</v>
      </c>
      <c r="P5" s="3">
        <v>13.663772327979595</v>
      </c>
      <c r="Q5" s="3">
        <v>14.455842437132704</v>
      </c>
      <c r="R5" s="3">
        <v>14.709941688513579</v>
      </c>
      <c r="S5" s="3">
        <v>13.193391728402586</v>
      </c>
      <c r="T5" s="3">
        <v>12.321050824113851</v>
      </c>
      <c r="U5" s="3">
        <v>15.109767466928812</v>
      </c>
      <c r="V5" s="3">
        <v>16.831796799702602</v>
      </c>
      <c r="W5" s="3">
        <v>19.430117017865701</v>
      </c>
      <c r="X5" s="3">
        <v>20.90933694274392</v>
      </c>
      <c r="Y5" s="3">
        <v>21.552670988287101</v>
      </c>
    </row>
    <row r="6" spans="1:25" x14ac:dyDescent="0.25">
      <c r="A6" s="104"/>
      <c r="B6" s="83" t="s">
        <v>6</v>
      </c>
      <c r="C6" s="4">
        <v>8.4708696693853494</v>
      </c>
      <c r="D6" s="4">
        <v>9.0949516745534389</v>
      </c>
      <c r="E6" s="4">
        <v>9.5571613739164292</v>
      </c>
      <c r="F6" s="4">
        <v>7.905635428922281</v>
      </c>
      <c r="G6" s="4">
        <v>7.6755859439021492</v>
      </c>
      <c r="H6" s="4">
        <v>7.8615465645326026</v>
      </c>
      <c r="I6" s="4">
        <v>7.0911679868149866</v>
      </c>
      <c r="J6" s="4">
        <v>9.4112387107767077</v>
      </c>
      <c r="K6" s="4">
        <v>9.2514260335750755</v>
      </c>
      <c r="L6" s="4">
        <v>8.7088244526897753</v>
      </c>
      <c r="M6" s="4">
        <v>8.7431056528905433</v>
      </c>
      <c r="N6" s="4">
        <v>9.2997946670009117</v>
      </c>
      <c r="O6" s="4">
        <v>10.150373258084807</v>
      </c>
      <c r="P6" s="4">
        <v>12.018810272101735</v>
      </c>
      <c r="Q6" s="4">
        <v>12.702665861555065</v>
      </c>
      <c r="R6" s="4">
        <v>12.972430710537648</v>
      </c>
      <c r="S6" s="4">
        <v>11.759758178883967</v>
      </c>
      <c r="T6" s="4">
        <v>11.105768786578478</v>
      </c>
      <c r="U6" s="4">
        <v>13.758985205754421</v>
      </c>
      <c r="V6" s="4">
        <v>14.918172940309496</v>
      </c>
      <c r="W6" s="4">
        <v>17.277988938446416</v>
      </c>
      <c r="X6" s="4">
        <v>18.675468523956308</v>
      </c>
      <c r="Y6" s="109">
        <v>19.421472034254432</v>
      </c>
    </row>
    <row r="7" spans="1:25" x14ac:dyDescent="0.25">
      <c r="A7" s="104"/>
      <c r="B7" s="104" t="s">
        <v>47</v>
      </c>
      <c r="C7" s="4">
        <v>0.9159209345491568</v>
      </c>
      <c r="D7" s="4">
        <v>0.90512517174050322</v>
      </c>
      <c r="E7" s="4">
        <v>0.8064300710761777</v>
      </c>
      <c r="F7" s="4">
        <v>0.65973188789124881</v>
      </c>
      <c r="G7" s="4">
        <v>0.76542303453061145</v>
      </c>
      <c r="H7" s="4">
        <v>0.75469385733294003</v>
      </c>
      <c r="I7" s="4">
        <v>0.72715004614296874</v>
      </c>
      <c r="J7" s="4">
        <v>0.9549087465233872</v>
      </c>
      <c r="K7" s="4">
        <v>0.83988082529028663</v>
      </c>
      <c r="L7" s="4">
        <v>0.84748156947465758</v>
      </c>
      <c r="M7" s="4">
        <v>0.95387367077552854</v>
      </c>
      <c r="N7" s="4">
        <v>1.0297560364395384</v>
      </c>
      <c r="O7" s="4">
        <v>1.3278426349260848</v>
      </c>
      <c r="P7" s="4">
        <v>1.6449620558778595</v>
      </c>
      <c r="Q7" s="4">
        <v>1.7531765755776383</v>
      </c>
      <c r="R7" s="4">
        <v>1.7375109779759319</v>
      </c>
      <c r="S7" s="4">
        <v>1.4336335495186199</v>
      </c>
      <c r="T7" s="4">
        <v>1.215282037535373</v>
      </c>
      <c r="U7" s="4">
        <v>1.3507822611743909</v>
      </c>
      <c r="V7" s="4">
        <v>1.9136238593931036</v>
      </c>
      <c r="W7" s="4">
        <v>2.1521280794192834</v>
      </c>
      <c r="X7" s="4">
        <v>2.233868418787611</v>
      </c>
      <c r="Y7" s="109">
        <v>2.1311989540326688</v>
      </c>
    </row>
    <row r="8" spans="1:25" x14ac:dyDescent="0.25">
      <c r="A8" s="105">
        <v>2</v>
      </c>
      <c r="B8" s="83" t="s">
        <v>7</v>
      </c>
      <c r="C8" s="3">
        <v>52.033860237481427</v>
      </c>
      <c r="D8" s="3">
        <v>49.077833813177946</v>
      </c>
      <c r="E8" s="3">
        <v>50.434622741424519</v>
      </c>
      <c r="F8" s="3">
        <v>56.224495541861565</v>
      </c>
      <c r="G8" s="3">
        <v>54.378660795378345</v>
      </c>
      <c r="H8" s="3">
        <v>58.114655287691058</v>
      </c>
      <c r="I8" s="3">
        <v>56.37787632337394</v>
      </c>
      <c r="J8" s="3">
        <v>41.17973134282034</v>
      </c>
      <c r="K8" s="3">
        <v>48.718794375662625</v>
      </c>
      <c r="L8" s="3">
        <v>52.300916185762603</v>
      </c>
      <c r="M8" s="3">
        <v>53.484519197396978</v>
      </c>
      <c r="N8" s="3">
        <v>50.517677735969237</v>
      </c>
      <c r="O8" s="3">
        <v>44.132124661312417</v>
      </c>
      <c r="P8" s="3">
        <v>36.894966286440329</v>
      </c>
      <c r="Q8" s="3">
        <v>37.019763758590642</v>
      </c>
      <c r="R8" s="3">
        <v>36.696929914844951</v>
      </c>
      <c r="S8" s="3">
        <v>40.902353113617643</v>
      </c>
      <c r="T8" s="3">
        <v>42.170233880161994</v>
      </c>
      <c r="U8" s="3">
        <v>37.138063442594373</v>
      </c>
      <c r="V8" s="3">
        <v>38.994568767018606</v>
      </c>
      <c r="W8" s="3">
        <v>35.947321175937468</v>
      </c>
      <c r="X8" s="3">
        <v>35.701247004524866</v>
      </c>
      <c r="Y8" s="3">
        <v>33.884228428737728</v>
      </c>
    </row>
    <row r="9" spans="1:25" x14ac:dyDescent="0.25">
      <c r="A9" s="105"/>
      <c r="B9" s="83" t="s">
        <v>8</v>
      </c>
      <c r="C9" s="4">
        <v>39.156246474195228</v>
      </c>
      <c r="D9" s="4">
        <v>35.665772756459482</v>
      </c>
      <c r="E9" s="4">
        <v>36.409715032178816</v>
      </c>
      <c r="F9" s="4">
        <v>43.254972324202996</v>
      </c>
      <c r="G9" s="4">
        <v>40.409589612244943</v>
      </c>
      <c r="H9" s="4">
        <v>43.496131258704075</v>
      </c>
      <c r="I9" s="4">
        <v>43.598075193843414</v>
      </c>
      <c r="J9" s="4">
        <v>23.710435707092259</v>
      </c>
      <c r="K9" s="4">
        <v>32.854110474524063</v>
      </c>
      <c r="L9" s="4">
        <v>37.968037244931608</v>
      </c>
      <c r="M9" s="4">
        <v>36.479792609544106</v>
      </c>
      <c r="N9" s="4">
        <v>31.681251282120719</v>
      </c>
      <c r="O9" s="4">
        <v>24.713739007704039</v>
      </c>
      <c r="P9" s="4">
        <v>16.498643462602931</v>
      </c>
      <c r="Q9" s="4">
        <v>15.229624245855403</v>
      </c>
      <c r="R9" s="4">
        <v>15.567919124067265</v>
      </c>
      <c r="S9" s="4">
        <v>22.523758467724139</v>
      </c>
      <c r="T9" s="4">
        <v>23.487029544029827</v>
      </c>
      <c r="U9" s="4">
        <v>19.844921392856463</v>
      </c>
      <c r="V9" s="4">
        <v>23.832323006391615</v>
      </c>
      <c r="W9" s="4">
        <v>20.633357682515783</v>
      </c>
      <c r="X9" s="4">
        <v>20.31741499183758</v>
      </c>
      <c r="Y9" s="109">
        <v>19.092579375658815</v>
      </c>
    </row>
    <row r="10" spans="1:25" x14ac:dyDescent="0.25">
      <c r="A10" s="105"/>
      <c r="B10" s="83" t="s">
        <v>9</v>
      </c>
      <c r="C10" s="4">
        <v>2.4953901433082195</v>
      </c>
      <c r="D10" s="4">
        <v>2.5642724586395027</v>
      </c>
      <c r="E10" s="4">
        <v>2.4179528600714852</v>
      </c>
      <c r="F10" s="4">
        <v>2.2989753994945921</v>
      </c>
      <c r="G10" s="4">
        <v>1.6294542266070644</v>
      </c>
      <c r="H10" s="4">
        <v>1.3674293048648438</v>
      </c>
      <c r="I10" s="4">
        <v>0.9654456320706698</v>
      </c>
      <c r="J10" s="4">
        <v>0.61277343360455305</v>
      </c>
      <c r="K10" s="4">
        <v>0.75943886328431054</v>
      </c>
      <c r="L10" s="4">
        <v>0.7102178804864242</v>
      </c>
      <c r="M10" s="4">
        <v>0.59664251608939178</v>
      </c>
      <c r="N10" s="4">
        <v>0.59085048798252449</v>
      </c>
      <c r="O10" s="4">
        <v>0.60700605676156971</v>
      </c>
      <c r="P10" s="4">
        <v>0.58926683946552383</v>
      </c>
      <c r="Q10" s="4">
        <v>0.66341789055538025</v>
      </c>
      <c r="R10" s="4">
        <v>0.53932523950379951</v>
      </c>
      <c r="S10" s="4">
        <v>0.76860741319176729</v>
      </c>
      <c r="T10" s="4">
        <v>0.96315124922170592</v>
      </c>
      <c r="U10" s="4">
        <v>1.6156190097722334</v>
      </c>
      <c r="V10" s="4">
        <v>1.2753756468051014</v>
      </c>
      <c r="W10" s="4">
        <v>1.1994877257199161</v>
      </c>
      <c r="X10" s="4">
        <v>1.2741609980080819</v>
      </c>
      <c r="Y10" s="109">
        <v>2.2994756518948569</v>
      </c>
    </row>
    <row r="11" spans="1:25" x14ac:dyDescent="0.25">
      <c r="A11" s="105"/>
      <c r="B11" s="83" t="s">
        <v>10</v>
      </c>
      <c r="C11" s="4">
        <v>3.7265752922806787</v>
      </c>
      <c r="D11" s="4">
        <v>3.8851717253827909</v>
      </c>
      <c r="E11" s="4">
        <v>4.6791798467274566</v>
      </c>
      <c r="F11" s="4">
        <v>3.8957819931381081</v>
      </c>
      <c r="G11" s="4">
        <v>3.6618495999168248</v>
      </c>
      <c r="H11" s="4">
        <v>3.4426964925295263</v>
      </c>
      <c r="I11" s="4">
        <v>3.532351396473759</v>
      </c>
      <c r="J11" s="4">
        <v>4.9754530946028215</v>
      </c>
      <c r="K11" s="4">
        <v>4.487228855621666</v>
      </c>
      <c r="L11" s="4">
        <v>4.1780850578871735</v>
      </c>
      <c r="M11" s="4">
        <v>4.3619180251915104</v>
      </c>
      <c r="N11" s="4">
        <v>4.7796437335409081</v>
      </c>
      <c r="O11" s="4">
        <v>4.7261809242758028</v>
      </c>
      <c r="P11" s="4">
        <v>5.2405155964762606</v>
      </c>
      <c r="Q11" s="4">
        <v>5.7827889948142186</v>
      </c>
      <c r="R11" s="4">
        <v>5.728969444796828</v>
      </c>
      <c r="S11" s="4">
        <v>5.3407462949565234</v>
      </c>
      <c r="T11" s="4">
        <v>5.4114487722618811</v>
      </c>
      <c r="U11" s="4">
        <v>6.0974571817369458</v>
      </c>
      <c r="V11" s="4">
        <v>6.1937375600934894</v>
      </c>
      <c r="W11" s="4">
        <v>6.7164781373949394</v>
      </c>
      <c r="X11" s="4">
        <v>7.4006662444105444</v>
      </c>
      <c r="Y11" s="109">
        <v>6.5761625979485636</v>
      </c>
    </row>
    <row r="12" spans="1:25" x14ac:dyDescent="0.25">
      <c r="A12" s="105"/>
      <c r="B12" s="83" t="s">
        <v>204</v>
      </c>
      <c r="C12" s="4">
        <v>0.8434517365570493</v>
      </c>
      <c r="D12" s="4">
        <v>1.2387896407804899</v>
      </c>
      <c r="E12" s="4">
        <v>1.0878833312116074</v>
      </c>
      <c r="F12" s="4">
        <v>0.69706981726805162</v>
      </c>
      <c r="G12" s="4">
        <v>1.4227434736588733</v>
      </c>
      <c r="H12" s="4">
        <v>1.9061165377584597</v>
      </c>
      <c r="I12" s="4">
        <v>1.2379146607351899</v>
      </c>
      <c r="J12" s="4">
        <v>1.5064299642723018</v>
      </c>
      <c r="K12" s="4">
        <v>1.2218083094537147</v>
      </c>
      <c r="L12" s="4">
        <v>0.94115556373139464</v>
      </c>
      <c r="M12" s="4">
        <v>0.8894116851400905</v>
      </c>
      <c r="N12" s="4">
        <v>1.0252136547314712</v>
      </c>
      <c r="O12" s="4">
        <v>0.97122784649448857</v>
      </c>
      <c r="P12" s="4">
        <v>1.1546922972119615</v>
      </c>
      <c r="Q12" s="4">
        <v>1.2452163372850333</v>
      </c>
      <c r="R12" s="4">
        <v>1.0059741430738174</v>
      </c>
      <c r="S12" s="4">
        <v>1.1814629566548773</v>
      </c>
      <c r="T12" s="4">
        <v>1.3159347567437318</v>
      </c>
      <c r="U12" s="4">
        <v>1.5347434077062203</v>
      </c>
      <c r="V12" s="4">
        <v>1.4327134368024363</v>
      </c>
      <c r="W12" s="4">
        <v>1.5135535177481858</v>
      </c>
      <c r="X12" s="4">
        <v>1.6349610628820448</v>
      </c>
      <c r="Y12" s="109">
        <v>1.5521817210633633</v>
      </c>
    </row>
    <row r="13" spans="1:25" x14ac:dyDescent="0.25">
      <c r="A13" s="105"/>
      <c r="B13" s="83" t="s">
        <v>11</v>
      </c>
      <c r="C13" s="4">
        <v>5.8121965911402471</v>
      </c>
      <c r="D13" s="4">
        <v>5.7238272319156831</v>
      </c>
      <c r="E13" s="4">
        <v>5.8398916712351481</v>
      </c>
      <c r="F13" s="4">
        <v>6.077696007757817</v>
      </c>
      <c r="G13" s="4">
        <v>7.2550238829506286</v>
      </c>
      <c r="H13" s="4">
        <v>7.9022816938341567</v>
      </c>
      <c r="I13" s="4">
        <v>7.0440894402509109</v>
      </c>
      <c r="J13" s="4">
        <v>10.374639143248407</v>
      </c>
      <c r="K13" s="4">
        <v>9.3962078727788736</v>
      </c>
      <c r="L13" s="4">
        <v>8.5034204387260015</v>
      </c>
      <c r="M13" s="4">
        <v>11.156754361431878</v>
      </c>
      <c r="N13" s="4">
        <v>12.440718577593614</v>
      </c>
      <c r="O13" s="4">
        <v>13.113970826076516</v>
      </c>
      <c r="P13" s="4">
        <v>13.411848090683653</v>
      </c>
      <c r="Q13" s="4">
        <v>14.098716290080604</v>
      </c>
      <c r="R13" s="4">
        <v>13.854741963403242</v>
      </c>
      <c r="S13" s="4">
        <v>11.087777981090335</v>
      </c>
      <c r="T13" s="4">
        <v>10.992669557904845</v>
      </c>
      <c r="U13" s="4">
        <v>8.0453224505225158</v>
      </c>
      <c r="V13" s="4">
        <v>6.2604191169259655</v>
      </c>
      <c r="W13" s="4">
        <v>5.8844441125586444</v>
      </c>
      <c r="X13" s="4">
        <v>5.0740437073866174</v>
      </c>
      <c r="Y13" s="109">
        <v>4.3638290821721304</v>
      </c>
    </row>
    <row r="14" spans="1:25" x14ac:dyDescent="0.25">
      <c r="A14" s="105">
        <v>3</v>
      </c>
      <c r="B14" s="104" t="s">
        <v>12</v>
      </c>
      <c r="C14" s="3">
        <v>37.866213885983285</v>
      </c>
      <c r="D14" s="3">
        <v>40.673283774100646</v>
      </c>
      <c r="E14" s="3">
        <v>39.576921949783085</v>
      </c>
      <c r="F14" s="3">
        <v>35.399128822981794</v>
      </c>
      <c r="G14" s="3">
        <v>36.98673181121503</v>
      </c>
      <c r="H14" s="3">
        <v>33.887405255058916</v>
      </c>
      <c r="I14" s="3">
        <v>34.051243873233467</v>
      </c>
      <c r="J14" s="3">
        <v>46.449807953431844</v>
      </c>
      <c r="K14" s="3">
        <v>40.237239819625742</v>
      </c>
      <c r="L14" s="3">
        <v>37.697562107601428</v>
      </c>
      <c r="M14" s="3">
        <v>38.029479082392243</v>
      </c>
      <c r="N14" s="3">
        <v>40.358740758170278</v>
      </c>
      <c r="O14" s="3">
        <v>43.917745449554062</v>
      </c>
      <c r="P14" s="3">
        <v>47.880848505275715</v>
      </c>
      <c r="Q14" s="3">
        <v>45.863306669927319</v>
      </c>
      <c r="R14" s="3">
        <v>45.796304330174394</v>
      </c>
      <c r="S14" s="3">
        <v>42.850662529939754</v>
      </c>
      <c r="T14" s="3">
        <v>43.267960778477558</v>
      </c>
      <c r="U14" s="3">
        <v>45.390767863892847</v>
      </c>
      <c r="V14" s="3">
        <v>43.076579649214182</v>
      </c>
      <c r="W14" s="3">
        <v>44.481227010730748</v>
      </c>
      <c r="X14" s="3">
        <v>43.554415827114433</v>
      </c>
      <c r="Y14" s="3">
        <v>44.607557277763803</v>
      </c>
    </row>
    <row r="15" spans="1:25" x14ac:dyDescent="0.25">
      <c r="A15" s="105"/>
      <c r="B15" s="104" t="s">
        <v>13</v>
      </c>
      <c r="C15" s="4">
        <v>9.6217191071769523</v>
      </c>
      <c r="D15" s="4">
        <v>10.72438551965003</v>
      </c>
      <c r="E15" s="4">
        <v>10.842021195905007</v>
      </c>
      <c r="F15" s="4">
        <v>9.9124439703621903</v>
      </c>
      <c r="G15" s="4">
        <v>8.4345213333173525</v>
      </c>
      <c r="H15" s="4">
        <v>8.5171015277290554</v>
      </c>
      <c r="I15" s="4">
        <v>7.9495563621125793</v>
      </c>
      <c r="J15" s="4">
        <v>10.940867011015984</v>
      </c>
      <c r="K15" s="4">
        <v>10.197684811450051</v>
      </c>
      <c r="L15" s="4">
        <v>9.6855674143260284</v>
      </c>
      <c r="M15" s="4">
        <v>10.024801158746484</v>
      </c>
      <c r="N15" s="4">
        <v>10.750961174830143</v>
      </c>
      <c r="O15" s="4">
        <v>13.783809632941125</v>
      </c>
      <c r="P15" s="4">
        <v>14.869857031961011</v>
      </c>
      <c r="Q15" s="4">
        <v>15.023985814107203</v>
      </c>
      <c r="R15" s="4">
        <v>16.188295945078341</v>
      </c>
      <c r="S15" s="4">
        <v>15.588279270371277</v>
      </c>
      <c r="T15" s="4">
        <v>15.682426628646606</v>
      </c>
      <c r="U15" s="4">
        <v>18.046524169463382</v>
      </c>
      <c r="V15" s="4">
        <v>18.82388965170313</v>
      </c>
      <c r="W15" s="4">
        <v>19.082991093045941</v>
      </c>
      <c r="X15" s="4">
        <v>18.412989119736608</v>
      </c>
      <c r="Y15" s="109">
        <v>18.573439262165088</v>
      </c>
    </row>
    <row r="16" spans="1:25" x14ac:dyDescent="0.25">
      <c r="A16" s="105"/>
      <c r="B16" s="104" t="s">
        <v>25</v>
      </c>
      <c r="C16" s="4">
        <v>0.77271824261201227</v>
      </c>
      <c r="D16" s="4">
        <v>0.81680567879435484</v>
      </c>
      <c r="E16" s="4">
        <v>0.65409358666451212</v>
      </c>
      <c r="F16" s="4">
        <v>0.72489688064679825</v>
      </c>
      <c r="G16" s="4">
        <v>1.2711469548450367</v>
      </c>
      <c r="H16" s="4">
        <v>1.6113393557841118</v>
      </c>
      <c r="I16" s="4">
        <v>1.6589151338295198</v>
      </c>
      <c r="J16" s="4">
        <v>2.3139242782866756</v>
      </c>
      <c r="K16" s="4">
        <v>2.2935634597015633</v>
      </c>
      <c r="L16" s="4">
        <v>2.2411903839281351</v>
      </c>
      <c r="M16" s="4">
        <v>2.0474392689585263</v>
      </c>
      <c r="N16" s="4">
        <v>2.4761053069866206</v>
      </c>
      <c r="O16" s="4">
        <v>2.1257580562488316</v>
      </c>
      <c r="P16" s="4">
        <v>2.4326160707071156</v>
      </c>
      <c r="Q16" s="4">
        <v>1.8313969401700543</v>
      </c>
      <c r="R16" s="4">
        <v>1.8787455435306022</v>
      </c>
      <c r="S16" s="4">
        <v>1.8088486526148302</v>
      </c>
      <c r="T16" s="4">
        <v>1.7938111907909793</v>
      </c>
      <c r="U16" s="4">
        <v>2.0121987959945029</v>
      </c>
      <c r="V16" s="4">
        <v>1.3877333988527925</v>
      </c>
      <c r="W16" s="4">
        <v>1.4476918596759396</v>
      </c>
      <c r="X16" s="4">
        <v>1.3349491869007108</v>
      </c>
      <c r="Y16" s="4">
        <v>1.3989232388596491</v>
      </c>
    </row>
    <row r="17" spans="1:25" x14ac:dyDescent="0.25">
      <c r="A17" s="106"/>
      <c r="B17" s="104" t="s">
        <v>14</v>
      </c>
      <c r="C17" s="4">
        <v>4.3971586258247086</v>
      </c>
      <c r="D17" s="4">
        <v>4.483945321643521</v>
      </c>
      <c r="E17" s="4">
        <v>4.1162266123053701</v>
      </c>
      <c r="F17" s="4">
        <v>3.5520019648696706</v>
      </c>
      <c r="G17" s="4">
        <v>3.6873932137093615</v>
      </c>
      <c r="H17" s="4">
        <v>4.1053034673973361</v>
      </c>
      <c r="I17" s="4">
        <v>4.8092468798273638</v>
      </c>
      <c r="J17" s="4">
        <v>6.1845779357914967</v>
      </c>
      <c r="K17" s="4">
        <v>5.3822895533582766</v>
      </c>
      <c r="L17" s="4">
        <v>4.7167221932259196</v>
      </c>
      <c r="M17" s="4">
        <v>4.6159463591684213</v>
      </c>
      <c r="N17" s="4">
        <v>4.6498672018884637</v>
      </c>
      <c r="O17" s="4">
        <v>4.8698420962873783</v>
      </c>
      <c r="P17" s="4">
        <v>5.460552973869703</v>
      </c>
      <c r="Q17" s="4">
        <v>5.0943589477847144</v>
      </c>
      <c r="R17" s="4">
        <v>4.6096192818891497</v>
      </c>
      <c r="S17" s="4">
        <v>3.9627008815533418</v>
      </c>
      <c r="T17" s="4">
        <v>3.744501153337386</v>
      </c>
      <c r="U17" s="4">
        <v>2.3149613343667039</v>
      </c>
      <c r="V17" s="4">
        <v>2.5454551643712775</v>
      </c>
      <c r="W17" s="4">
        <v>2.9912010195075296</v>
      </c>
      <c r="X17" s="4">
        <v>2.5512025339590769</v>
      </c>
      <c r="Y17" s="109">
        <v>2.5013065251754347</v>
      </c>
    </row>
    <row r="18" spans="1:25" x14ac:dyDescent="0.25">
      <c r="A18" s="106"/>
      <c r="B18" s="89" t="s">
        <v>203</v>
      </c>
      <c r="C18" s="4">
        <v>0.94904635024623996</v>
      </c>
      <c r="D18" s="4">
        <v>0.99596848528528592</v>
      </c>
      <c r="E18" s="4">
        <v>0.76989702751609956</v>
      </c>
      <c r="F18" s="4">
        <v>1.292211214307577</v>
      </c>
      <c r="G18" s="4">
        <v>1.3605698551773266</v>
      </c>
      <c r="H18" s="4">
        <v>1.3739694131727251</v>
      </c>
      <c r="I18" s="4">
        <v>1.5274641756161205</v>
      </c>
      <c r="J18" s="4">
        <v>2.1164525892322259</v>
      </c>
      <c r="K18" s="4">
        <v>1.6826217698703183</v>
      </c>
      <c r="L18" s="4">
        <v>2.3435644746776134</v>
      </c>
      <c r="M18" s="4">
        <v>2.2142325780713632</v>
      </c>
      <c r="N18" s="4">
        <v>2.3995607307982145</v>
      </c>
      <c r="O18" s="4">
        <v>2.4202748033091326</v>
      </c>
      <c r="P18" s="4">
        <v>2.4862499065882839</v>
      </c>
      <c r="Q18" s="4">
        <v>1.9575906204414759</v>
      </c>
      <c r="R18" s="4">
        <v>1.6356836736671927</v>
      </c>
      <c r="S18" s="4">
        <v>1.3301903759512961</v>
      </c>
      <c r="T18" s="4">
        <v>1.0988368270267992</v>
      </c>
      <c r="U18" s="4">
        <v>0.89982525261186019</v>
      </c>
      <c r="V18" s="4">
        <v>0.6653044625283332</v>
      </c>
      <c r="W18" s="4">
        <v>0.51831812221445994</v>
      </c>
      <c r="X18" s="4">
        <v>0.47405730892342707</v>
      </c>
      <c r="Y18" s="109">
        <v>0.43785452463787378</v>
      </c>
    </row>
    <row r="19" spans="1:25" x14ac:dyDescent="0.25">
      <c r="A19" s="106"/>
      <c r="B19" s="89" t="s">
        <v>15</v>
      </c>
      <c r="C19" s="4">
        <v>1.678293687039651</v>
      </c>
      <c r="D19" s="4">
        <v>1.6439081155157333</v>
      </c>
      <c r="E19" s="4">
        <v>1.6419971873514103</v>
      </c>
      <c r="F19" s="4">
        <v>1.3904689137988331</v>
      </c>
      <c r="G19" s="4">
        <v>1.324637637296441</v>
      </c>
      <c r="H19" s="4">
        <v>1.6183953700004348</v>
      </c>
      <c r="I19" s="4">
        <v>1.6682902060098486</v>
      </c>
      <c r="J19" s="4">
        <v>2.2475272472463068</v>
      </c>
      <c r="K19" s="4">
        <v>1.921897910006197</v>
      </c>
      <c r="L19" s="4">
        <v>1.7349033682640413</v>
      </c>
      <c r="M19" s="4">
        <v>1.6968744309435058</v>
      </c>
      <c r="N19" s="4">
        <v>1.6321190398894423</v>
      </c>
      <c r="O19" s="4">
        <v>1.4548752156922802</v>
      </c>
      <c r="P19" s="4">
        <v>1.8712995939598414</v>
      </c>
      <c r="Q19" s="4">
        <v>1.9362986564880582</v>
      </c>
      <c r="R19" s="4">
        <v>1.8437470337538169</v>
      </c>
      <c r="S19" s="4">
        <v>2.3238864464064997</v>
      </c>
      <c r="T19" s="4">
        <v>2.1100380905239779</v>
      </c>
      <c r="U19" s="4">
        <v>2.255109625954633</v>
      </c>
      <c r="V19" s="4">
        <v>1.6618979579911777</v>
      </c>
      <c r="W19" s="4">
        <v>1.5460945207248669</v>
      </c>
      <c r="X19" s="4">
        <v>1.3825144694822367</v>
      </c>
      <c r="Y19" s="109">
        <v>1.5150092514033338</v>
      </c>
    </row>
    <row r="20" spans="1:25" x14ac:dyDescent="0.25">
      <c r="A20" s="106"/>
      <c r="B20" s="89" t="s">
        <v>16</v>
      </c>
      <c r="C20" s="4">
        <v>8.8421342545471777</v>
      </c>
      <c r="D20" s="4">
        <v>10.52891981654126</v>
      </c>
      <c r="E20" s="4">
        <v>9.5089220832096029</v>
      </c>
      <c r="F20" s="4">
        <v>8.6443948982227514</v>
      </c>
      <c r="G20" s="4">
        <v>8.6753761561310636</v>
      </c>
      <c r="H20" s="4">
        <v>9.0021822709746449</v>
      </c>
      <c r="I20" s="4">
        <v>9.5384920054828815</v>
      </c>
      <c r="J20" s="4">
        <v>13.302120141010201</v>
      </c>
      <c r="K20" s="4">
        <v>10.445629009504309</v>
      </c>
      <c r="L20" s="4">
        <v>9.8091713057179692</v>
      </c>
      <c r="M20" s="4">
        <v>9.969092294306396</v>
      </c>
      <c r="N20" s="4">
        <v>10.787669412060277</v>
      </c>
      <c r="O20" s="4">
        <v>11.24842441371924</v>
      </c>
      <c r="P20" s="4">
        <v>12.228590373019646</v>
      </c>
      <c r="Q20" s="4">
        <v>10.510284189885587</v>
      </c>
      <c r="R20" s="4">
        <v>9.6300243208305734</v>
      </c>
      <c r="S20" s="4">
        <v>8.0658794276544334</v>
      </c>
      <c r="T20" s="4">
        <v>9.2032765272446504</v>
      </c>
      <c r="U20" s="4">
        <v>9.7462501778726267</v>
      </c>
      <c r="V20" s="4">
        <v>8.5261006014526401</v>
      </c>
      <c r="W20" s="4">
        <v>9.2501366651237014</v>
      </c>
      <c r="X20" s="4">
        <v>10.202856293966283</v>
      </c>
      <c r="Y20" s="109">
        <v>10.992306323500808</v>
      </c>
    </row>
    <row r="21" spans="1:25" x14ac:dyDescent="0.25">
      <c r="A21" s="106"/>
      <c r="B21" s="89" t="s">
        <v>17</v>
      </c>
      <c r="C21" s="4">
        <v>5.25548024223027</v>
      </c>
      <c r="D21" s="4">
        <v>4.4414959994329406</v>
      </c>
      <c r="E21" s="4">
        <v>5.6087912582141488</v>
      </c>
      <c r="F21" s="4">
        <v>4.0028407136917235</v>
      </c>
      <c r="G21" s="4">
        <v>3.8628208753475008</v>
      </c>
      <c r="H21" s="4">
        <v>3.9919300662111508</v>
      </c>
      <c r="I21" s="4">
        <v>3.3905534311025276</v>
      </c>
      <c r="J21" s="4">
        <v>4.6772936684712958</v>
      </c>
      <c r="K21" s="4">
        <v>4.0008895585751816</v>
      </c>
      <c r="L21" s="4">
        <v>3.2088343679732825</v>
      </c>
      <c r="M21" s="4">
        <v>3.5000726059845446</v>
      </c>
      <c r="N21" s="4">
        <v>3.5464965621669555</v>
      </c>
      <c r="O21" s="4">
        <v>3.3699075849745479</v>
      </c>
      <c r="P21" s="4">
        <v>3.7628119915359881</v>
      </c>
      <c r="Q21" s="4">
        <v>4.3470393695587868</v>
      </c>
      <c r="R21" s="4">
        <v>3.9656569204087075</v>
      </c>
      <c r="S21" s="4">
        <v>3.7308213263232735</v>
      </c>
      <c r="T21" s="4">
        <v>3.690728750230901</v>
      </c>
      <c r="U21" s="4">
        <v>3.5580034222227899</v>
      </c>
      <c r="V21" s="4">
        <v>2.9850727718738148</v>
      </c>
      <c r="W21" s="4">
        <v>3.0791160041854524</v>
      </c>
      <c r="X21" s="4">
        <v>2.7949099184369963</v>
      </c>
      <c r="Y21" s="109">
        <v>2.6552817886894409</v>
      </c>
    </row>
    <row r="22" spans="1:25" x14ac:dyDescent="0.25">
      <c r="A22" s="106"/>
      <c r="B22" s="89" t="s">
        <v>18</v>
      </c>
      <c r="C22" s="4">
        <v>6.3496633763062675</v>
      </c>
      <c r="D22" s="4">
        <v>7.0378548372375267</v>
      </c>
      <c r="E22" s="4">
        <v>6.4349729986169351</v>
      </c>
      <c r="F22" s="4">
        <v>5.8798702670822465</v>
      </c>
      <c r="G22" s="4">
        <v>8.3702657853909468</v>
      </c>
      <c r="H22" s="4">
        <v>3.6671837837894579</v>
      </c>
      <c r="I22" s="4">
        <v>3.5087256792526245</v>
      </c>
      <c r="J22" s="4">
        <v>4.6670450823776584</v>
      </c>
      <c r="K22" s="4">
        <v>4.3126637471598412</v>
      </c>
      <c r="L22" s="4">
        <v>3.9576085994884354</v>
      </c>
      <c r="M22" s="4">
        <v>3.9610203862129976</v>
      </c>
      <c r="N22" s="4">
        <v>4.1159613295501591</v>
      </c>
      <c r="O22" s="4">
        <v>4.644853646381522</v>
      </c>
      <c r="P22" s="4">
        <v>4.7688705636341231</v>
      </c>
      <c r="Q22" s="4">
        <v>5.1623521314914402</v>
      </c>
      <c r="R22" s="4">
        <v>6.0445316110160174</v>
      </c>
      <c r="S22" s="4">
        <v>6.0400561490648066</v>
      </c>
      <c r="T22" s="4">
        <v>5.944341610676263</v>
      </c>
      <c r="U22" s="4">
        <v>6.5578950854063605</v>
      </c>
      <c r="V22" s="4">
        <v>6.4811256404410127</v>
      </c>
      <c r="W22" s="4">
        <v>6.5656777262528543</v>
      </c>
      <c r="X22" s="4">
        <v>6.4009369957090891</v>
      </c>
      <c r="Y22" s="109">
        <v>6.5334363633321724</v>
      </c>
    </row>
    <row r="23" spans="1:25" x14ac:dyDescent="0.25">
      <c r="A23" s="84"/>
      <c r="B23" s="83" t="s">
        <v>48</v>
      </c>
      <c r="C23" s="3">
        <v>99.28686472739922</v>
      </c>
      <c r="D23" s="3">
        <v>99.751194433572536</v>
      </c>
      <c r="E23" s="3">
        <v>100.37513613620021</v>
      </c>
      <c r="F23" s="3">
        <v>100.18899168165689</v>
      </c>
      <c r="G23" s="3">
        <v>99.806401585026137</v>
      </c>
      <c r="H23" s="3">
        <v>100.61830096461551</v>
      </c>
      <c r="I23" s="3">
        <v>98.247438229565375</v>
      </c>
      <c r="J23" s="3">
        <v>97.995686753552263</v>
      </c>
      <c r="K23" s="3">
        <v>99.047341054153733</v>
      </c>
      <c r="L23" s="3">
        <v>99.554784315528465</v>
      </c>
      <c r="M23" s="3">
        <v>101.21097760345529</v>
      </c>
      <c r="N23" s="3">
        <v>101.20596919757996</v>
      </c>
      <c r="O23" s="3">
        <v>99.528086003877377</v>
      </c>
      <c r="P23" s="3">
        <v>98.439587119695645</v>
      </c>
      <c r="Q23" s="3">
        <v>97.338912865650656</v>
      </c>
      <c r="R23" s="3">
        <v>97.203175933532933</v>
      </c>
      <c r="S23" s="3">
        <v>96.946407371959992</v>
      </c>
      <c r="T23" s="3">
        <v>97.759245482753414</v>
      </c>
      <c r="U23" s="3">
        <v>97.638598773416035</v>
      </c>
      <c r="V23" s="3">
        <v>98.902945215935389</v>
      </c>
      <c r="W23" s="3">
        <v>99.858665204533921</v>
      </c>
      <c r="X23" s="3">
        <v>100.16499977438322</v>
      </c>
      <c r="Y23" s="3">
        <v>100.04445669478864</v>
      </c>
    </row>
    <row r="24" spans="1:25" x14ac:dyDescent="0.25">
      <c r="A24" s="106"/>
      <c r="B24" s="107" t="s">
        <v>20</v>
      </c>
      <c r="C24" s="4">
        <v>2.9713085018244447</v>
      </c>
      <c r="D24" s="4">
        <v>3.4758322125570023</v>
      </c>
      <c r="E24" s="4">
        <v>3.2836050404193626</v>
      </c>
      <c r="F24" s="4">
        <v>2.6502903004021214</v>
      </c>
      <c r="G24" s="4">
        <v>2.6110541433065819</v>
      </c>
      <c r="H24" s="4">
        <v>2.9890496401420519</v>
      </c>
      <c r="I24" s="4">
        <v>3.6136687799188589</v>
      </c>
      <c r="J24" s="4">
        <v>4.1327640064119331</v>
      </c>
      <c r="K24" s="4">
        <v>3.3577219397052471</v>
      </c>
      <c r="L24" s="4">
        <v>2.6319072542767539</v>
      </c>
      <c r="M24" s="4">
        <v>2.3059236146766171</v>
      </c>
      <c r="N24" s="4">
        <v>2.5196013415991021</v>
      </c>
      <c r="O24" s="4">
        <v>2.6636114999672271</v>
      </c>
      <c r="P24" s="4">
        <v>2.9799952635587528</v>
      </c>
      <c r="Q24" s="4">
        <v>3.0343395735696523</v>
      </c>
      <c r="R24" s="4">
        <v>3.0247996947754499</v>
      </c>
      <c r="S24" s="4">
        <v>3.2186042883961195</v>
      </c>
      <c r="T24" s="4">
        <v>2.3438303777887093</v>
      </c>
      <c r="U24" s="4">
        <v>3.8274536134817536</v>
      </c>
      <c r="V24" s="4">
        <v>3.4838799063876347</v>
      </c>
      <c r="W24" s="4">
        <v>3.2463582288975701</v>
      </c>
      <c r="X24" s="4">
        <v>2.8302774330881939</v>
      </c>
      <c r="Y24" s="109">
        <v>2.5190696955178904</v>
      </c>
    </row>
    <row r="25" spans="1:25" x14ac:dyDescent="0.25">
      <c r="A25" s="106"/>
      <c r="B25" s="107" t="s">
        <v>21</v>
      </c>
      <c r="C25" s="4">
        <v>2.2581732292236425</v>
      </c>
      <c r="D25" s="4">
        <v>3.227026646129536</v>
      </c>
      <c r="E25" s="4">
        <v>3.6587411766195821</v>
      </c>
      <c r="F25" s="4">
        <v>2.8392819820590316</v>
      </c>
      <c r="G25" s="4">
        <v>2.4174557283326958</v>
      </c>
      <c r="H25" s="4">
        <v>3.607350604757606</v>
      </c>
      <c r="I25" s="4">
        <v>1.861107009484168</v>
      </c>
      <c r="J25" s="4">
        <v>2.1284507599641787</v>
      </c>
      <c r="K25" s="4">
        <v>2.4050629938589143</v>
      </c>
      <c r="L25" s="4">
        <v>2.1866915698052058</v>
      </c>
      <c r="M25" s="4">
        <v>3.5169012181318777</v>
      </c>
      <c r="N25" s="4">
        <v>3.725570539179115</v>
      </c>
      <c r="O25" s="4">
        <v>2.1916975038446211</v>
      </c>
      <c r="P25" s="4">
        <v>1.4195823832543439</v>
      </c>
      <c r="Q25" s="4">
        <v>0.3732524392202865</v>
      </c>
      <c r="R25" s="4">
        <v>0.22797562830839446</v>
      </c>
      <c r="S25" s="4">
        <v>0.16501166035610806</v>
      </c>
      <c r="T25" s="4">
        <v>0.10307586054205632</v>
      </c>
      <c r="U25" s="4">
        <v>1.466052386897815</v>
      </c>
      <c r="V25" s="4">
        <v>2.3868251223230574</v>
      </c>
      <c r="W25" s="4">
        <v>3.1050234334314704</v>
      </c>
      <c r="X25" s="4">
        <v>2.99527720747139</v>
      </c>
      <c r="Y25" s="109">
        <v>2.563526390306563</v>
      </c>
    </row>
    <row r="26" spans="1:25" x14ac:dyDescent="0.25">
      <c r="A26" s="110"/>
      <c r="B26" s="83" t="s">
        <v>22</v>
      </c>
      <c r="C26" s="3">
        <v>100.00000000000001</v>
      </c>
      <c r="D26" s="3">
        <v>100.00000000000001</v>
      </c>
      <c r="E26" s="3">
        <v>99.999999999999986</v>
      </c>
      <c r="F26" s="3">
        <v>99.999999999999972</v>
      </c>
      <c r="G26" s="3">
        <v>100.00000000000003</v>
      </c>
      <c r="H26" s="3">
        <v>99.999999999999972</v>
      </c>
      <c r="I26" s="3">
        <v>100.00000000000006</v>
      </c>
      <c r="J26" s="3">
        <v>100.00000000000001</v>
      </c>
      <c r="K26" s="3">
        <v>100.00000000000006</v>
      </c>
      <c r="L26" s="3">
        <v>100.00000000000001</v>
      </c>
      <c r="M26" s="3">
        <v>100.00000000000003</v>
      </c>
      <c r="N26" s="3">
        <v>99.999999999999943</v>
      </c>
      <c r="O26" s="3">
        <v>99.999999999999986</v>
      </c>
      <c r="P26" s="3">
        <v>100.00000000000006</v>
      </c>
      <c r="Q26" s="3">
        <v>100.00000000000003</v>
      </c>
      <c r="R26" s="3">
        <v>99.999999999999986</v>
      </c>
      <c r="S26" s="3">
        <v>100</v>
      </c>
      <c r="T26" s="3">
        <v>100.00000000000006</v>
      </c>
      <c r="U26" s="3">
        <v>99.999999999999972</v>
      </c>
      <c r="V26" s="30">
        <v>99.999999999999957</v>
      </c>
      <c r="W26" s="31">
        <v>100.00000000000001</v>
      </c>
      <c r="X26" s="31">
        <v>100.00000000000003</v>
      </c>
      <c r="Y26" s="31">
        <v>99.999999999999957</v>
      </c>
    </row>
    <row r="27" spans="1:25" x14ac:dyDescent="0.25">
      <c r="B27" s="115" t="s">
        <v>23</v>
      </c>
      <c r="C27" s="112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</row>
    <row r="28" spans="1:25" x14ac:dyDescent="0.25">
      <c r="B28" s="113"/>
      <c r="D28" s="60"/>
      <c r="H28" s="108"/>
      <c r="I28" s="108"/>
    </row>
    <row r="29" spans="1:25" x14ac:dyDescent="0.25">
      <c r="B29" s="114"/>
      <c r="C29" s="114"/>
      <c r="D29" s="61"/>
      <c r="E29" s="61"/>
      <c r="F29" s="61"/>
      <c r="G29" s="61"/>
      <c r="H29" s="61"/>
      <c r="I29" s="61"/>
    </row>
    <row r="30" spans="1:25" x14ac:dyDescent="0.25">
      <c r="A30" s="61"/>
      <c r="B30" s="61"/>
      <c r="C30" s="61"/>
      <c r="D30" s="61"/>
      <c r="E30" s="61"/>
      <c r="F30" s="61"/>
      <c r="G30" s="61"/>
      <c r="H30" s="61"/>
      <c r="I30" s="61"/>
    </row>
    <row r="31" spans="1:25" x14ac:dyDescent="0.25">
      <c r="A31" s="61"/>
      <c r="B31" s="61"/>
      <c r="C31" s="61"/>
      <c r="D31" s="61"/>
      <c r="E31" s="61"/>
      <c r="F31" s="61"/>
      <c r="G31" s="61"/>
      <c r="H31" s="61"/>
      <c r="I31" s="61"/>
    </row>
    <row r="32" spans="1:25" x14ac:dyDescent="0.25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5">
      <c r="A33" s="61"/>
      <c r="B33" s="61"/>
      <c r="C33" s="61"/>
      <c r="D33" s="61"/>
      <c r="E33" s="61"/>
      <c r="F33" s="61"/>
      <c r="G33" s="61"/>
      <c r="H33" s="61"/>
      <c r="I33" s="61"/>
    </row>
    <row r="34" spans="1:9" x14ac:dyDescent="0.25">
      <c r="A34" s="61"/>
      <c r="B34" s="61"/>
      <c r="C34" s="61"/>
      <c r="D34" s="61"/>
      <c r="E34" s="61"/>
      <c r="F34" s="61"/>
      <c r="G34" s="61"/>
      <c r="H34" s="61"/>
      <c r="I34" s="61"/>
    </row>
    <row r="35" spans="1:9" x14ac:dyDescent="0.25">
      <c r="A35" s="61"/>
      <c r="B35" s="61"/>
      <c r="C35" s="61"/>
      <c r="D35" s="61"/>
      <c r="E35" s="61"/>
      <c r="F35" s="61"/>
      <c r="G35" s="61"/>
      <c r="H35" s="61"/>
      <c r="I35" s="61"/>
    </row>
    <row r="36" spans="1:9" x14ac:dyDescent="0.25">
      <c r="A36" s="61"/>
      <c r="B36" s="61"/>
      <c r="C36" s="61"/>
      <c r="D36" s="61"/>
      <c r="E36" s="61"/>
      <c r="F36" s="61"/>
      <c r="G36" s="61"/>
      <c r="H36" s="61"/>
      <c r="I36" s="61"/>
    </row>
    <row r="37" spans="1:9" x14ac:dyDescent="0.25">
      <c r="A37" s="61"/>
      <c r="B37" s="61"/>
      <c r="C37" s="61"/>
      <c r="D37" s="61"/>
      <c r="E37" s="61"/>
      <c r="F37" s="61"/>
      <c r="G37" s="61"/>
      <c r="H37" s="61"/>
      <c r="I37" s="61"/>
    </row>
    <row r="38" spans="1:9" x14ac:dyDescent="0.25">
      <c r="A38" s="61"/>
      <c r="B38" s="61"/>
      <c r="C38" s="61"/>
      <c r="D38" s="61"/>
      <c r="E38" s="61"/>
      <c r="F38" s="61"/>
      <c r="G38" s="61"/>
      <c r="H38" s="61"/>
      <c r="I38" s="61"/>
    </row>
    <row r="39" spans="1:9" x14ac:dyDescent="0.25">
      <c r="A39" s="61"/>
      <c r="B39" s="61"/>
      <c r="C39" s="61"/>
      <c r="D39" s="61"/>
      <c r="E39" s="61"/>
      <c r="F39" s="61"/>
      <c r="G39" s="61"/>
      <c r="H39" s="61"/>
      <c r="I39" s="61"/>
    </row>
    <row r="40" spans="1:9" x14ac:dyDescent="0.25">
      <c r="A40" s="61"/>
      <c r="B40" s="61"/>
      <c r="C40" s="61"/>
      <c r="D40" s="61"/>
      <c r="E40" s="61"/>
      <c r="F40" s="61"/>
      <c r="G40" s="61"/>
      <c r="H40" s="61"/>
      <c r="I40" s="61"/>
    </row>
    <row r="41" spans="1:9" x14ac:dyDescent="0.25">
      <c r="A41" s="61"/>
      <c r="B41" s="61"/>
      <c r="C41" s="61"/>
      <c r="D41" s="61"/>
      <c r="E41" s="61"/>
      <c r="F41" s="61"/>
      <c r="G41" s="61"/>
      <c r="H41" s="61"/>
      <c r="I41" s="61"/>
    </row>
    <row r="42" spans="1:9" x14ac:dyDescent="0.25">
      <c r="A42" s="61"/>
      <c r="B42" s="61"/>
      <c r="C42" s="61"/>
      <c r="D42" s="61"/>
      <c r="E42" s="61"/>
      <c r="F42" s="61"/>
      <c r="G42" s="61"/>
      <c r="H42" s="61"/>
      <c r="I42" s="61"/>
    </row>
    <row r="43" spans="1:9" x14ac:dyDescent="0.25">
      <c r="A43" s="61"/>
      <c r="B43" s="61"/>
      <c r="C43" s="61"/>
      <c r="D43" s="61"/>
      <c r="E43" s="61"/>
      <c r="F43" s="61"/>
      <c r="G43" s="61"/>
      <c r="H43" s="61"/>
      <c r="I43" s="61"/>
    </row>
    <row r="44" spans="1:9" x14ac:dyDescent="0.25">
      <c r="A44" s="61"/>
      <c r="B44" s="61"/>
      <c r="C44" s="61"/>
      <c r="D44" s="61"/>
      <c r="E44" s="61"/>
      <c r="F44" s="61"/>
      <c r="G44" s="61"/>
      <c r="H44" s="61"/>
      <c r="I44" s="61"/>
    </row>
    <row r="45" spans="1:9" x14ac:dyDescent="0.25">
      <c r="A45" s="61"/>
      <c r="B45" s="61"/>
      <c r="C45" s="61"/>
      <c r="D45" s="61"/>
      <c r="E45" s="61"/>
      <c r="F45" s="61"/>
      <c r="G45" s="61"/>
      <c r="H45" s="61"/>
      <c r="I45" s="61"/>
    </row>
    <row r="46" spans="1:9" x14ac:dyDescent="0.25">
      <c r="A46" s="61"/>
      <c r="B46" s="61"/>
      <c r="C46" s="61"/>
      <c r="D46" s="61"/>
      <c r="E46" s="61"/>
      <c r="F46" s="61"/>
      <c r="G46" s="61"/>
      <c r="H46" s="61"/>
      <c r="I46" s="61"/>
    </row>
    <row r="47" spans="1:9" x14ac:dyDescent="0.25">
      <c r="A47" s="61"/>
      <c r="B47" s="61"/>
      <c r="C47" s="61"/>
      <c r="D47" s="61"/>
      <c r="E47" s="61"/>
      <c r="F47" s="61"/>
      <c r="G47" s="61"/>
      <c r="H47" s="61"/>
      <c r="I47" s="61"/>
    </row>
    <row r="48" spans="1:9" x14ac:dyDescent="0.25">
      <c r="A48" s="61"/>
      <c r="B48" s="61"/>
      <c r="C48" s="61"/>
      <c r="D48" s="61"/>
      <c r="E48" s="61"/>
      <c r="F48" s="61"/>
      <c r="G48" s="61"/>
      <c r="H48" s="61"/>
      <c r="I48" s="61"/>
    </row>
    <row r="49" spans="1:9" x14ac:dyDescent="0.25">
      <c r="A49" s="61"/>
      <c r="B49" s="61"/>
      <c r="C49" s="61"/>
      <c r="D49" s="61"/>
      <c r="E49" s="61"/>
      <c r="F49" s="61"/>
      <c r="G49" s="61"/>
      <c r="H49" s="61"/>
      <c r="I49" s="61"/>
    </row>
    <row r="50" spans="1:9" x14ac:dyDescent="0.25">
      <c r="A50" s="61"/>
      <c r="B50" s="61"/>
      <c r="C50" s="61"/>
      <c r="D50" s="61"/>
      <c r="E50" s="61"/>
      <c r="F50" s="61"/>
      <c r="G50" s="61"/>
      <c r="H50" s="61"/>
      <c r="I50" s="61"/>
    </row>
    <row r="51" spans="1:9" x14ac:dyDescent="0.25">
      <c r="A51" s="61"/>
      <c r="B51" s="61"/>
      <c r="C51" s="61"/>
      <c r="D51" s="61"/>
      <c r="E51" s="61"/>
      <c r="F51" s="61"/>
      <c r="G51" s="61"/>
      <c r="H51" s="61"/>
      <c r="I51" s="61"/>
    </row>
    <row r="52" spans="1:9" x14ac:dyDescent="0.25">
      <c r="A52" s="61"/>
      <c r="B52" s="61"/>
      <c r="C52" s="61"/>
      <c r="D52" s="61"/>
      <c r="E52" s="61"/>
      <c r="F52" s="61"/>
      <c r="G52" s="61"/>
      <c r="H52" s="61"/>
      <c r="I52" s="61"/>
    </row>
    <row r="53" spans="1:9" x14ac:dyDescent="0.25">
      <c r="A53" s="61"/>
      <c r="B53" s="61"/>
      <c r="C53" s="61"/>
      <c r="D53" s="61"/>
      <c r="E53" s="61"/>
      <c r="F53" s="61"/>
      <c r="G53" s="61"/>
      <c r="H53" s="61"/>
      <c r="I53" s="61"/>
    </row>
    <row r="54" spans="1:9" x14ac:dyDescent="0.25">
      <c r="A54" s="61"/>
      <c r="B54" s="61"/>
      <c r="C54" s="61"/>
      <c r="D54" s="61"/>
      <c r="E54" s="61"/>
      <c r="F54" s="61"/>
      <c r="G54" s="61"/>
      <c r="H54" s="61"/>
      <c r="I54" s="61"/>
    </row>
    <row r="55" spans="1:9" x14ac:dyDescent="0.25">
      <c r="A55" s="61"/>
      <c r="B55" s="61"/>
      <c r="C55" s="61"/>
      <c r="D55" s="61"/>
      <c r="E55" s="61"/>
      <c r="F55" s="61"/>
      <c r="G55" s="61"/>
      <c r="H55" s="61"/>
      <c r="I55" s="61"/>
    </row>
    <row r="56" spans="1:9" x14ac:dyDescent="0.25">
      <c r="A56" s="61"/>
      <c r="B56" s="61"/>
      <c r="C56" s="61"/>
      <c r="D56" s="61"/>
      <c r="E56" s="61"/>
      <c r="F56" s="61"/>
      <c r="G56" s="61"/>
      <c r="H56" s="61"/>
      <c r="I56" s="61"/>
    </row>
    <row r="57" spans="1:9" x14ac:dyDescent="0.25">
      <c r="A57" s="61"/>
      <c r="B57" s="61"/>
      <c r="C57" s="61"/>
      <c r="D57" s="61"/>
      <c r="E57" s="61"/>
      <c r="F57" s="61"/>
      <c r="G57" s="61"/>
      <c r="H57" s="61"/>
      <c r="I57" s="61"/>
    </row>
    <row r="58" spans="1:9" x14ac:dyDescent="0.25">
      <c r="A58" s="61"/>
      <c r="B58" s="61"/>
      <c r="C58" s="61"/>
      <c r="D58" s="61"/>
      <c r="E58" s="61"/>
      <c r="F58" s="61"/>
      <c r="G58" s="61"/>
      <c r="H58" s="61"/>
      <c r="I58" s="61"/>
    </row>
    <row r="59" spans="1:9" x14ac:dyDescent="0.25">
      <c r="A59" s="61"/>
      <c r="B59" s="61"/>
      <c r="C59" s="61"/>
      <c r="D59" s="61"/>
      <c r="E59" s="61"/>
      <c r="F59" s="61"/>
      <c r="G59" s="61"/>
      <c r="H59" s="61"/>
      <c r="I59" s="61"/>
    </row>
    <row r="60" spans="1:9" x14ac:dyDescent="0.25">
      <c r="A60" s="61"/>
      <c r="B60" s="61"/>
      <c r="C60" s="61"/>
      <c r="D60" s="61"/>
      <c r="E60" s="61"/>
      <c r="F60" s="61"/>
      <c r="G60" s="61"/>
      <c r="H60" s="61"/>
      <c r="I60" s="61"/>
    </row>
    <row r="61" spans="1:9" x14ac:dyDescent="0.25">
      <c r="A61" s="61"/>
      <c r="B61" s="61"/>
      <c r="C61" s="61"/>
      <c r="D61" s="61"/>
      <c r="E61" s="61"/>
      <c r="F61" s="61"/>
      <c r="G61" s="61"/>
      <c r="H61" s="61"/>
      <c r="I61" s="61"/>
    </row>
    <row r="62" spans="1:9" x14ac:dyDescent="0.25">
      <c r="A62" s="61"/>
      <c r="B62" s="61"/>
      <c r="C62" s="61"/>
      <c r="D62" s="61"/>
      <c r="E62" s="61"/>
      <c r="F62" s="61"/>
      <c r="G62" s="61"/>
      <c r="H62" s="61"/>
      <c r="I62" s="61"/>
    </row>
    <row r="63" spans="1:9" x14ac:dyDescent="0.25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5">
      <c r="A64" s="61"/>
      <c r="B64" s="61"/>
      <c r="C64" s="61"/>
      <c r="D64" s="61"/>
      <c r="E64" s="61"/>
      <c r="F64" s="61"/>
      <c r="G64" s="61"/>
      <c r="H64" s="61"/>
      <c r="I64" s="61"/>
    </row>
    <row r="65" spans="1:9" x14ac:dyDescent="0.25">
      <c r="A65" s="61"/>
      <c r="B65" s="61"/>
      <c r="C65" s="61"/>
      <c r="D65" s="61"/>
      <c r="E65" s="61"/>
      <c r="F65" s="61"/>
      <c r="G65" s="61"/>
      <c r="H65" s="61"/>
      <c r="I65" s="61"/>
    </row>
    <row r="66" spans="1:9" x14ac:dyDescent="0.25">
      <c r="A66" s="61"/>
      <c r="B66" s="61"/>
      <c r="C66" s="61"/>
      <c r="D66" s="61"/>
      <c r="E66" s="61"/>
      <c r="F66" s="61"/>
      <c r="G66" s="61"/>
      <c r="H66" s="61"/>
      <c r="I66" s="61"/>
    </row>
    <row r="67" spans="1:9" x14ac:dyDescent="0.25">
      <c r="A67" s="61"/>
      <c r="B67" s="61"/>
      <c r="C67" s="61"/>
      <c r="D67" s="61"/>
      <c r="E67" s="61"/>
      <c r="F67" s="61"/>
      <c r="G67" s="61"/>
      <c r="H67" s="61"/>
      <c r="I67" s="61"/>
    </row>
    <row r="68" spans="1:9" x14ac:dyDescent="0.25">
      <c r="A68" s="61"/>
      <c r="B68" s="61"/>
      <c r="C68" s="61"/>
      <c r="D68" s="61"/>
      <c r="E68" s="61"/>
      <c r="F68" s="61"/>
      <c r="G68" s="61"/>
      <c r="H68" s="61"/>
      <c r="I68" s="61"/>
    </row>
    <row r="69" spans="1:9" x14ac:dyDescent="0.25">
      <c r="A69" s="61"/>
      <c r="B69" s="61"/>
      <c r="C69" s="61"/>
      <c r="D69" s="61"/>
      <c r="E69" s="61"/>
      <c r="F69" s="61"/>
      <c r="G69" s="61"/>
      <c r="H69" s="61"/>
      <c r="I69" s="61"/>
    </row>
    <row r="70" spans="1:9" x14ac:dyDescent="0.25">
      <c r="A70" s="61"/>
      <c r="B70" s="61"/>
      <c r="C70" s="61"/>
      <c r="D70" s="61"/>
      <c r="E70" s="61"/>
      <c r="F70" s="61"/>
      <c r="G70" s="61"/>
      <c r="H70" s="61"/>
      <c r="I70" s="61"/>
    </row>
    <row r="71" spans="1:9" x14ac:dyDescent="0.25">
      <c r="A71" s="61"/>
      <c r="B71" s="61"/>
      <c r="C71" s="61"/>
      <c r="D71" s="61"/>
      <c r="E71" s="61"/>
      <c r="F71" s="61"/>
      <c r="G71" s="61"/>
      <c r="H71" s="61"/>
      <c r="I71" s="61"/>
    </row>
    <row r="72" spans="1:9" x14ac:dyDescent="0.25">
      <c r="A72" s="61"/>
      <c r="B72" s="61"/>
      <c r="C72" s="61"/>
      <c r="D72" s="61"/>
      <c r="E72" s="61"/>
      <c r="F72" s="61"/>
      <c r="G72" s="61"/>
      <c r="H72" s="61"/>
      <c r="I72" s="61"/>
    </row>
    <row r="73" spans="1:9" x14ac:dyDescent="0.25">
      <c r="A73" s="61"/>
      <c r="B73" s="61"/>
      <c r="C73" s="61"/>
      <c r="D73" s="61"/>
      <c r="E73" s="61"/>
      <c r="F73" s="61"/>
      <c r="G73" s="61"/>
      <c r="H73" s="61"/>
      <c r="I73" s="61"/>
    </row>
    <row r="74" spans="1:9" x14ac:dyDescent="0.25">
      <c r="A74" s="61"/>
      <c r="B74" s="61"/>
      <c r="C74" s="61"/>
      <c r="D74" s="61"/>
      <c r="E74" s="61"/>
      <c r="F74" s="61"/>
      <c r="G74" s="61"/>
      <c r="H74" s="61"/>
      <c r="I74" s="61"/>
    </row>
    <row r="75" spans="1:9" x14ac:dyDescent="0.25">
      <c r="A75" s="61"/>
      <c r="B75" s="61"/>
      <c r="C75" s="61"/>
      <c r="D75" s="61"/>
      <c r="E75" s="61"/>
      <c r="F75" s="61"/>
      <c r="G75" s="61"/>
      <c r="H75" s="61"/>
      <c r="I75" s="61"/>
    </row>
    <row r="76" spans="1:9" x14ac:dyDescent="0.25">
      <c r="A76" s="61"/>
      <c r="B76" s="61"/>
      <c r="C76" s="61"/>
      <c r="D76" s="61"/>
      <c r="E76" s="61"/>
      <c r="F76" s="61"/>
      <c r="G76" s="61"/>
      <c r="H76" s="61"/>
      <c r="I76" s="61"/>
    </row>
    <row r="77" spans="1:9" x14ac:dyDescent="0.25">
      <c r="A77" s="61"/>
      <c r="B77" s="61"/>
      <c r="C77" s="61"/>
      <c r="D77" s="61"/>
      <c r="E77" s="61"/>
      <c r="F77" s="61"/>
      <c r="G77" s="61"/>
      <c r="H77" s="61"/>
      <c r="I77" s="61"/>
    </row>
    <row r="78" spans="1:9" x14ac:dyDescent="0.25">
      <c r="A78" s="61"/>
      <c r="B78" s="61"/>
      <c r="C78" s="61"/>
      <c r="D78" s="61"/>
      <c r="E78" s="61"/>
      <c r="F78" s="61"/>
      <c r="G78" s="61"/>
      <c r="H78" s="61"/>
      <c r="I78" s="61"/>
    </row>
    <row r="79" spans="1:9" x14ac:dyDescent="0.25">
      <c r="A79" s="61"/>
      <c r="B79" s="61"/>
      <c r="C79" s="61"/>
      <c r="D79" s="61"/>
      <c r="E79" s="61"/>
      <c r="F79" s="61"/>
      <c r="G79" s="61"/>
      <c r="H79" s="61"/>
      <c r="I79" s="61"/>
    </row>
    <row r="80" spans="1:9" x14ac:dyDescent="0.25">
      <c r="A80" s="61"/>
      <c r="B80" s="61"/>
      <c r="C80" s="61"/>
      <c r="D80" s="61"/>
      <c r="E80" s="61"/>
      <c r="F80" s="61"/>
      <c r="G80" s="61"/>
      <c r="H80" s="61"/>
      <c r="I80" s="61"/>
    </row>
    <row r="81" spans="1:9" x14ac:dyDescent="0.25">
      <c r="A81" s="61"/>
      <c r="B81" s="61"/>
      <c r="C81" s="61"/>
      <c r="D81" s="61"/>
      <c r="E81" s="61"/>
      <c r="F81" s="61"/>
      <c r="G81" s="61"/>
      <c r="H81" s="61"/>
      <c r="I81" s="61"/>
    </row>
    <row r="82" spans="1:9" x14ac:dyDescent="0.25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5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5">
      <c r="A84" s="61"/>
      <c r="B84" s="61"/>
      <c r="C84" s="61"/>
      <c r="D84" s="61"/>
      <c r="E84" s="61"/>
      <c r="F84" s="61"/>
      <c r="G84" s="61"/>
      <c r="H84" s="61"/>
      <c r="I84" s="61"/>
    </row>
    <row r="85" spans="1:9" x14ac:dyDescent="0.25">
      <c r="A85" s="61"/>
      <c r="B85" s="61"/>
      <c r="C85" s="61"/>
      <c r="D85" s="61"/>
      <c r="E85" s="61"/>
      <c r="F85" s="61"/>
      <c r="G85" s="61"/>
      <c r="H85" s="61"/>
      <c r="I85" s="61"/>
    </row>
    <row r="86" spans="1:9" x14ac:dyDescent="0.25">
      <c r="A86" s="61"/>
      <c r="B86" s="61"/>
      <c r="C86" s="61"/>
      <c r="D86" s="61"/>
      <c r="E86" s="61"/>
      <c r="F86" s="61"/>
      <c r="G86" s="61"/>
      <c r="H86" s="61"/>
      <c r="I86" s="61"/>
    </row>
    <row r="87" spans="1:9" x14ac:dyDescent="0.25">
      <c r="A87" s="61"/>
      <c r="B87" s="61"/>
      <c r="C87" s="61"/>
      <c r="D87" s="61"/>
      <c r="E87" s="61"/>
      <c r="F87" s="61"/>
      <c r="G87" s="61"/>
      <c r="H87" s="61"/>
      <c r="I87" s="61"/>
    </row>
    <row r="88" spans="1:9" x14ac:dyDescent="0.25">
      <c r="A88" s="61"/>
      <c r="B88" s="61"/>
      <c r="C88" s="61"/>
      <c r="D88" s="61"/>
      <c r="E88" s="61"/>
      <c r="F88" s="61"/>
      <c r="G88" s="61"/>
      <c r="H88" s="61"/>
      <c r="I88" s="61"/>
    </row>
    <row r="89" spans="1:9" x14ac:dyDescent="0.25">
      <c r="A89" s="61"/>
      <c r="B89" s="61"/>
      <c r="C89" s="61"/>
      <c r="D89" s="61"/>
      <c r="E89" s="61"/>
      <c r="F89" s="61"/>
      <c r="G89" s="61"/>
      <c r="H89" s="61"/>
      <c r="I89" s="61"/>
    </row>
    <row r="90" spans="1:9" x14ac:dyDescent="0.25">
      <c r="A90" s="61"/>
      <c r="B90" s="61"/>
      <c r="C90" s="61"/>
      <c r="D90" s="61"/>
      <c r="E90" s="61"/>
      <c r="F90" s="61"/>
      <c r="G90" s="61"/>
      <c r="H90" s="61"/>
      <c r="I90" s="61"/>
    </row>
    <row r="91" spans="1:9" x14ac:dyDescent="0.25">
      <c r="A91" s="61"/>
      <c r="B91" s="61"/>
      <c r="C91" s="61"/>
      <c r="D91" s="61"/>
      <c r="E91" s="61"/>
      <c r="F91" s="61"/>
      <c r="G91" s="61"/>
      <c r="H91" s="61"/>
      <c r="I91" s="61"/>
    </row>
    <row r="92" spans="1:9" x14ac:dyDescent="0.25">
      <c r="A92" s="61"/>
      <c r="B92" s="61"/>
      <c r="C92" s="61"/>
      <c r="D92" s="61"/>
      <c r="E92" s="61"/>
      <c r="F92" s="61"/>
      <c r="G92" s="61"/>
      <c r="H92" s="61"/>
      <c r="I92" s="61"/>
    </row>
    <row r="93" spans="1:9" x14ac:dyDescent="0.25">
      <c r="A93" s="61"/>
      <c r="B93" s="61"/>
      <c r="C93" s="61"/>
      <c r="D93" s="61"/>
      <c r="E93" s="61"/>
      <c r="F93" s="61"/>
      <c r="G93" s="61"/>
      <c r="H93" s="61"/>
      <c r="I93" s="61"/>
    </row>
    <row r="94" spans="1:9" x14ac:dyDescent="0.25">
      <c r="A94" s="61"/>
      <c r="B94" s="61"/>
      <c r="C94" s="61"/>
      <c r="D94" s="61"/>
      <c r="E94" s="61"/>
      <c r="F94" s="61"/>
      <c r="G94" s="61"/>
      <c r="H94" s="61"/>
      <c r="I94" s="61"/>
    </row>
    <row r="95" spans="1:9" x14ac:dyDescent="0.25">
      <c r="A95" s="61"/>
      <c r="B95" s="61"/>
      <c r="C95" s="61"/>
      <c r="D95" s="61"/>
      <c r="E95" s="61"/>
      <c r="F95" s="61"/>
      <c r="G95" s="61"/>
      <c r="H95" s="61"/>
      <c r="I95" s="61"/>
    </row>
    <row r="96" spans="1:9" x14ac:dyDescent="0.25">
      <c r="A96" s="61"/>
      <c r="B96" s="61"/>
      <c r="C96" s="61"/>
      <c r="D96" s="61"/>
      <c r="E96" s="61"/>
      <c r="F96" s="61"/>
      <c r="G96" s="61"/>
      <c r="H96" s="61"/>
      <c r="I96" s="61"/>
    </row>
    <row r="97" spans="1:9" x14ac:dyDescent="0.25">
      <c r="A97" s="61"/>
      <c r="B97" s="61"/>
      <c r="C97" s="61"/>
      <c r="D97" s="61"/>
      <c r="E97" s="61"/>
      <c r="F97" s="61"/>
      <c r="G97" s="61"/>
      <c r="H97" s="61"/>
      <c r="I97" s="61"/>
    </row>
    <row r="98" spans="1:9" x14ac:dyDescent="0.25">
      <c r="A98" s="61"/>
      <c r="B98" s="61"/>
      <c r="C98" s="61"/>
      <c r="D98" s="61"/>
      <c r="E98" s="61"/>
      <c r="F98" s="61"/>
      <c r="G98" s="61"/>
      <c r="H98" s="61"/>
      <c r="I98" s="61"/>
    </row>
    <row r="99" spans="1:9" x14ac:dyDescent="0.25">
      <c r="A99" s="61"/>
      <c r="B99" s="61"/>
      <c r="C99" s="61"/>
      <c r="D99" s="61"/>
      <c r="E99" s="61"/>
      <c r="F99" s="61"/>
      <c r="G99" s="61"/>
      <c r="H99" s="61"/>
      <c r="I99" s="61"/>
    </row>
    <row r="100" spans="1:9" x14ac:dyDescent="0.25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x14ac:dyDescent="0.25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x14ac:dyDescent="0.25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x14ac:dyDescent="0.25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5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5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5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5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x14ac:dyDescent="0.25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x14ac:dyDescent="0.25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x14ac:dyDescent="0.25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x14ac:dyDescent="0.25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x14ac:dyDescent="0.25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x14ac:dyDescent="0.25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x14ac:dyDescent="0.25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x14ac:dyDescent="0.25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x14ac:dyDescent="0.25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x14ac:dyDescent="0.25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x14ac:dyDescent="0.25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x14ac:dyDescent="0.25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25">
      <c r="A120" s="61"/>
      <c r="B120" s="61"/>
      <c r="C120" s="61"/>
      <c r="D120" s="61"/>
      <c r="E120" s="61"/>
      <c r="F120" s="61"/>
      <c r="G120" s="61"/>
      <c r="H120" s="61"/>
      <c r="I120" s="61"/>
    </row>
    <row r="121" spans="1:9" x14ac:dyDescent="0.25">
      <c r="A121" s="61"/>
      <c r="B121" s="61"/>
      <c r="C121" s="61"/>
      <c r="D121" s="61"/>
      <c r="E121" s="61"/>
      <c r="F121" s="61"/>
      <c r="G121" s="61"/>
      <c r="H121" s="61"/>
      <c r="I121" s="61"/>
    </row>
    <row r="122" spans="1:9" x14ac:dyDescent="0.25">
      <c r="A122" s="61"/>
      <c r="B122" s="61"/>
      <c r="C122" s="61"/>
      <c r="D122" s="61"/>
      <c r="E122" s="61"/>
      <c r="F122" s="61"/>
      <c r="G122" s="61"/>
      <c r="H122" s="61"/>
      <c r="I122" s="61"/>
    </row>
    <row r="123" spans="1:9" x14ac:dyDescent="0.25">
      <c r="A123" s="61"/>
      <c r="B123" s="61"/>
      <c r="C123" s="61"/>
      <c r="D123" s="61"/>
      <c r="E123" s="61"/>
      <c r="F123" s="61"/>
      <c r="G123" s="61"/>
      <c r="H123" s="61"/>
      <c r="I123" s="61"/>
    </row>
    <row r="124" spans="1:9" x14ac:dyDescent="0.25">
      <c r="A124" s="61"/>
      <c r="B124" s="61"/>
      <c r="C124" s="61"/>
      <c r="D124" s="61"/>
      <c r="E124" s="61"/>
      <c r="F124" s="61"/>
      <c r="G124" s="61"/>
      <c r="H124" s="61"/>
      <c r="I124" s="61"/>
    </row>
    <row r="125" spans="1:9" x14ac:dyDescent="0.25">
      <c r="A125" s="61"/>
      <c r="B125" s="61"/>
      <c r="C125" s="61"/>
      <c r="D125" s="61"/>
      <c r="E125" s="61"/>
      <c r="F125" s="61"/>
      <c r="G125" s="61"/>
      <c r="H125" s="61"/>
      <c r="I125" s="61"/>
    </row>
    <row r="126" spans="1:9" x14ac:dyDescent="0.25">
      <c r="A126" s="61"/>
      <c r="B126" s="61"/>
      <c r="C126" s="61"/>
      <c r="D126" s="61"/>
      <c r="E126" s="61"/>
      <c r="F126" s="61"/>
      <c r="G126" s="61"/>
      <c r="H126" s="61"/>
      <c r="I126" s="61"/>
    </row>
    <row r="127" spans="1:9" x14ac:dyDescent="0.25">
      <c r="A127" s="61"/>
      <c r="B127" s="61"/>
      <c r="C127" s="61"/>
      <c r="D127" s="61"/>
      <c r="E127" s="61"/>
      <c r="F127" s="61"/>
      <c r="G127" s="61"/>
      <c r="H127" s="61"/>
      <c r="I127" s="61"/>
    </row>
    <row r="128" spans="1:9" x14ac:dyDescent="0.25">
      <c r="A128" s="61"/>
      <c r="B128" s="61"/>
      <c r="C128" s="61"/>
      <c r="D128" s="61"/>
      <c r="E128" s="61"/>
      <c r="F128" s="61"/>
      <c r="G128" s="61"/>
      <c r="H128" s="61"/>
      <c r="I128" s="61"/>
    </row>
    <row r="129" spans="1:9" x14ac:dyDescent="0.25">
      <c r="A129" s="61"/>
      <c r="B129" s="61"/>
      <c r="C129" s="61"/>
      <c r="D129" s="61"/>
      <c r="E129" s="61"/>
      <c r="F129" s="61"/>
      <c r="G129" s="61"/>
      <c r="H129" s="61"/>
      <c r="I129" s="61"/>
    </row>
    <row r="130" spans="1:9" x14ac:dyDescent="0.25">
      <c r="A130" s="61"/>
      <c r="B130" s="61"/>
      <c r="C130" s="61"/>
      <c r="D130" s="61"/>
      <c r="E130" s="61"/>
      <c r="F130" s="61"/>
      <c r="G130" s="61"/>
      <c r="H130" s="61"/>
      <c r="I130" s="61"/>
    </row>
    <row r="131" spans="1:9" x14ac:dyDescent="0.25">
      <c r="A131" s="61"/>
      <c r="B131" s="61"/>
      <c r="C131" s="61"/>
      <c r="D131" s="61"/>
      <c r="E131" s="61"/>
      <c r="F131" s="61"/>
      <c r="G131" s="61"/>
      <c r="H131" s="61"/>
      <c r="I131" s="61"/>
    </row>
    <row r="132" spans="1:9" x14ac:dyDescent="0.25">
      <c r="A132" s="61"/>
      <c r="B132" s="61"/>
      <c r="C132" s="61"/>
      <c r="D132" s="61"/>
      <c r="E132" s="61"/>
      <c r="F132" s="61"/>
      <c r="G132" s="61"/>
      <c r="H132" s="61"/>
      <c r="I132" s="61"/>
    </row>
    <row r="133" spans="1:9" x14ac:dyDescent="0.25">
      <c r="A133" s="61"/>
      <c r="B133" s="61"/>
      <c r="C133" s="61"/>
      <c r="D133" s="61"/>
      <c r="E133" s="61"/>
      <c r="F133" s="61"/>
      <c r="G133" s="61"/>
      <c r="H133" s="61"/>
      <c r="I133" s="61"/>
    </row>
    <row r="134" spans="1:9" x14ac:dyDescent="0.25">
      <c r="A134" s="61"/>
      <c r="B134" s="61"/>
      <c r="C134" s="61"/>
      <c r="D134" s="61"/>
      <c r="E134" s="61"/>
      <c r="F134" s="61"/>
      <c r="G134" s="61"/>
      <c r="H134" s="61"/>
      <c r="I134" s="61"/>
    </row>
    <row r="135" spans="1:9" x14ac:dyDescent="0.25">
      <c r="A135" s="61"/>
      <c r="B135" s="61"/>
      <c r="C135" s="61"/>
      <c r="D135" s="61"/>
      <c r="E135" s="61"/>
      <c r="F135" s="61"/>
      <c r="G135" s="61"/>
      <c r="H135" s="61"/>
      <c r="I135" s="61"/>
    </row>
    <row r="136" spans="1:9" x14ac:dyDescent="0.25">
      <c r="A136" s="61"/>
      <c r="B136" s="61"/>
      <c r="C136" s="61"/>
      <c r="D136" s="61"/>
      <c r="E136" s="61"/>
      <c r="F136" s="61"/>
      <c r="G136" s="61"/>
      <c r="H136" s="61"/>
      <c r="I136" s="61"/>
    </row>
    <row r="137" spans="1:9" x14ac:dyDescent="0.25">
      <c r="A137" s="61"/>
      <c r="B137" s="61"/>
      <c r="C137" s="61"/>
      <c r="D137" s="61"/>
      <c r="E137" s="61"/>
      <c r="F137" s="61"/>
      <c r="G137" s="61"/>
      <c r="H137" s="61"/>
      <c r="I137" s="61"/>
    </row>
    <row r="138" spans="1:9" x14ac:dyDescent="0.25">
      <c r="A138" s="61"/>
      <c r="B138" s="61"/>
      <c r="C138" s="61"/>
      <c r="D138" s="61"/>
      <c r="E138" s="61"/>
      <c r="F138" s="61"/>
      <c r="G138" s="61"/>
      <c r="H138" s="61"/>
      <c r="I138" s="61"/>
    </row>
    <row r="139" spans="1:9" x14ac:dyDescent="0.25">
      <c r="A139" s="61"/>
      <c r="B139" s="61"/>
      <c r="C139" s="61"/>
      <c r="D139" s="61"/>
      <c r="E139" s="61"/>
      <c r="F139" s="61"/>
      <c r="G139" s="61"/>
      <c r="H139" s="61"/>
      <c r="I139" s="61"/>
    </row>
    <row r="140" spans="1:9" x14ac:dyDescent="0.25">
      <c r="A140" s="61"/>
      <c r="B140" s="61"/>
      <c r="C140" s="61"/>
      <c r="D140" s="61"/>
      <c r="E140" s="61"/>
      <c r="F140" s="61"/>
      <c r="G140" s="61"/>
      <c r="H140" s="61"/>
      <c r="I140" s="61"/>
    </row>
    <row r="141" spans="1:9" x14ac:dyDescent="0.25">
      <c r="A141" s="61"/>
      <c r="B141" s="61"/>
      <c r="C141" s="61"/>
      <c r="D141" s="61"/>
      <c r="E141" s="61"/>
      <c r="F141" s="61"/>
      <c r="G141" s="61"/>
      <c r="H141" s="61"/>
      <c r="I141" s="61"/>
    </row>
    <row r="142" spans="1:9" x14ac:dyDescent="0.25">
      <c r="A142" s="61"/>
      <c r="B142" s="61"/>
      <c r="C142" s="61"/>
      <c r="D142" s="61"/>
      <c r="E142" s="61"/>
      <c r="F142" s="61"/>
      <c r="G142" s="61"/>
      <c r="H142" s="61"/>
      <c r="I142" s="61"/>
    </row>
    <row r="143" spans="1:9" x14ac:dyDescent="0.25">
      <c r="A143" s="61"/>
      <c r="B143" s="61"/>
      <c r="C143" s="61"/>
      <c r="D143" s="61"/>
      <c r="E143" s="61"/>
      <c r="F143" s="61"/>
      <c r="G143" s="61"/>
      <c r="H143" s="61"/>
      <c r="I143" s="61"/>
    </row>
    <row r="144" spans="1:9" x14ac:dyDescent="0.25">
      <c r="A144" s="61"/>
      <c r="B144" s="61"/>
      <c r="C144" s="61"/>
      <c r="D144" s="61"/>
      <c r="E144" s="61"/>
      <c r="F144" s="61"/>
      <c r="G144" s="61"/>
      <c r="H144" s="61"/>
      <c r="I144" s="61"/>
    </row>
    <row r="145" spans="1:9" x14ac:dyDescent="0.25">
      <c r="A145" s="61"/>
      <c r="B145" s="61"/>
      <c r="C145" s="61"/>
      <c r="D145" s="61"/>
      <c r="E145" s="61"/>
      <c r="F145" s="61"/>
      <c r="G145" s="61"/>
      <c r="H145" s="61"/>
      <c r="I145" s="61"/>
    </row>
    <row r="146" spans="1:9" x14ac:dyDescent="0.25">
      <c r="A146" s="61"/>
      <c r="B146" s="61"/>
      <c r="C146" s="61"/>
      <c r="D146" s="61"/>
      <c r="E146" s="61"/>
      <c r="F146" s="61"/>
      <c r="G146" s="61"/>
      <c r="H146" s="61"/>
      <c r="I146" s="61"/>
    </row>
    <row r="147" spans="1:9" x14ac:dyDescent="0.25">
      <c r="A147" s="61"/>
      <c r="B147" s="61"/>
      <c r="C147" s="61"/>
      <c r="D147" s="61"/>
      <c r="E147" s="61"/>
      <c r="F147" s="61"/>
      <c r="G147" s="61"/>
      <c r="H147" s="61"/>
      <c r="I147" s="61"/>
    </row>
    <row r="148" spans="1:9" x14ac:dyDescent="0.25">
      <c r="A148" s="61"/>
      <c r="B148" s="61"/>
      <c r="C148" s="61"/>
      <c r="D148" s="61"/>
      <c r="E148" s="61"/>
      <c r="F148" s="61"/>
      <c r="G148" s="61"/>
      <c r="H148" s="61"/>
      <c r="I148" s="61"/>
    </row>
    <row r="149" spans="1:9" x14ac:dyDescent="0.25">
      <c r="A149" s="61"/>
      <c r="B149" s="61"/>
      <c r="C149" s="61"/>
      <c r="D149" s="61"/>
      <c r="E149" s="61"/>
      <c r="F149" s="61"/>
      <c r="G149" s="61"/>
      <c r="H149" s="61"/>
      <c r="I149" s="61"/>
    </row>
    <row r="150" spans="1:9" x14ac:dyDescent="0.25">
      <c r="A150" s="61"/>
      <c r="B150" s="61"/>
      <c r="C150" s="61"/>
      <c r="D150" s="61"/>
      <c r="E150" s="61"/>
      <c r="F150" s="61"/>
      <c r="G150" s="61"/>
      <c r="H150" s="61"/>
      <c r="I150" s="61"/>
    </row>
    <row r="151" spans="1:9" x14ac:dyDescent="0.25">
      <c r="A151" s="61"/>
      <c r="B151" s="61"/>
      <c r="C151" s="61"/>
      <c r="D151" s="61"/>
      <c r="E151" s="61"/>
      <c r="F151" s="61"/>
      <c r="G151" s="61"/>
      <c r="H151" s="61"/>
      <c r="I151" s="61"/>
    </row>
    <row r="152" spans="1:9" x14ac:dyDescent="0.25">
      <c r="A152" s="61"/>
      <c r="B152" s="61"/>
      <c r="C152" s="61"/>
      <c r="D152" s="61"/>
      <c r="E152" s="61"/>
      <c r="F152" s="61"/>
      <c r="G152" s="61"/>
      <c r="H152" s="61"/>
      <c r="I152" s="61"/>
    </row>
    <row r="153" spans="1:9" x14ac:dyDescent="0.25">
      <c r="A153" s="61"/>
      <c r="B153" s="61"/>
      <c r="C153" s="61"/>
      <c r="D153" s="61"/>
      <c r="E153" s="61"/>
      <c r="F153" s="61"/>
      <c r="G153" s="61"/>
      <c r="H153" s="61"/>
      <c r="I153" s="61"/>
    </row>
    <row r="154" spans="1:9" x14ac:dyDescent="0.25">
      <c r="A154" s="61"/>
      <c r="B154" s="61"/>
      <c r="C154" s="61"/>
      <c r="D154" s="61"/>
      <c r="E154" s="61"/>
      <c r="F154" s="61"/>
      <c r="G154" s="61"/>
      <c r="H154" s="61"/>
      <c r="I154" s="61"/>
    </row>
    <row r="155" spans="1:9" x14ac:dyDescent="0.25">
      <c r="A155" s="61"/>
      <c r="B155" s="61"/>
      <c r="C155" s="61"/>
      <c r="D155" s="61"/>
      <c r="E155" s="61"/>
      <c r="F155" s="61"/>
      <c r="G155" s="61"/>
      <c r="H155" s="61"/>
      <c r="I155" s="61"/>
    </row>
    <row r="156" spans="1:9" x14ac:dyDescent="0.25">
      <c r="A156" s="61"/>
      <c r="B156" s="61"/>
      <c r="C156" s="61"/>
      <c r="D156" s="61"/>
      <c r="E156" s="61"/>
      <c r="F156" s="61"/>
      <c r="G156" s="61"/>
      <c r="H156" s="61"/>
      <c r="I156" s="61"/>
    </row>
    <row r="157" spans="1:9" x14ac:dyDescent="0.25">
      <c r="A157" s="61"/>
      <c r="B157" s="61"/>
      <c r="C157" s="61"/>
      <c r="D157" s="61"/>
      <c r="E157" s="61"/>
      <c r="F157" s="61"/>
      <c r="G157" s="61"/>
      <c r="H157" s="61"/>
      <c r="I157" s="61"/>
    </row>
    <row r="158" spans="1:9" x14ac:dyDescent="0.25">
      <c r="A158" s="61"/>
      <c r="B158" s="61"/>
      <c r="C158" s="61"/>
      <c r="D158" s="61"/>
      <c r="E158" s="61"/>
      <c r="F158" s="61"/>
      <c r="G158" s="61"/>
      <c r="H158" s="61"/>
      <c r="I158" s="61"/>
    </row>
    <row r="159" spans="1:9" x14ac:dyDescent="0.25">
      <c r="A159" s="61"/>
      <c r="B159" s="61"/>
      <c r="C159" s="61"/>
      <c r="D159" s="61"/>
      <c r="E159" s="61"/>
      <c r="F159" s="61"/>
      <c r="G159" s="61"/>
      <c r="H159" s="61"/>
      <c r="I159" s="61"/>
    </row>
    <row r="160" spans="1:9" x14ac:dyDescent="0.25">
      <c r="A160" s="61"/>
      <c r="B160" s="61"/>
      <c r="C160" s="61"/>
      <c r="D160" s="61"/>
      <c r="E160" s="61"/>
      <c r="F160" s="61"/>
      <c r="G160" s="61"/>
      <c r="H160" s="61"/>
      <c r="I160" s="61"/>
    </row>
    <row r="161" spans="1:9" x14ac:dyDescent="0.25">
      <c r="A161" s="61"/>
      <c r="B161" s="61"/>
      <c r="C161" s="61"/>
      <c r="D161" s="61"/>
      <c r="E161" s="61"/>
      <c r="F161" s="61"/>
      <c r="G161" s="61"/>
      <c r="H161" s="61"/>
      <c r="I161" s="61"/>
    </row>
    <row r="162" spans="1:9" x14ac:dyDescent="0.25">
      <c r="A162" s="61"/>
      <c r="B162" s="61"/>
      <c r="C162" s="61"/>
      <c r="D162" s="61"/>
      <c r="E162" s="61"/>
      <c r="F162" s="61"/>
      <c r="G162" s="61"/>
      <c r="H162" s="61"/>
      <c r="I162" s="61"/>
    </row>
    <row r="163" spans="1:9" x14ac:dyDescent="0.25">
      <c r="A163" s="61"/>
      <c r="B163" s="61"/>
      <c r="C163" s="61"/>
      <c r="D163" s="61"/>
      <c r="E163" s="61"/>
      <c r="F163" s="61"/>
      <c r="G163" s="61"/>
      <c r="H163" s="61"/>
      <c r="I163" s="61"/>
    </row>
    <row r="164" spans="1:9" x14ac:dyDescent="0.25">
      <c r="A164" s="61"/>
      <c r="B164" s="61"/>
      <c r="C164" s="61"/>
      <c r="D164" s="61"/>
      <c r="E164" s="61"/>
      <c r="F164" s="61"/>
      <c r="G164" s="61"/>
      <c r="H164" s="61"/>
      <c r="I164" s="61"/>
    </row>
    <row r="165" spans="1:9" x14ac:dyDescent="0.25">
      <c r="A165" s="61"/>
      <c r="B165" s="61"/>
      <c r="C165" s="61"/>
      <c r="D165" s="61"/>
      <c r="E165" s="61"/>
      <c r="F165" s="61"/>
      <c r="G165" s="61"/>
      <c r="H165" s="61"/>
      <c r="I165" s="61"/>
    </row>
    <row r="166" spans="1:9" x14ac:dyDescent="0.25">
      <c r="A166" s="61"/>
      <c r="B166" s="61"/>
      <c r="C166" s="61"/>
      <c r="D166" s="61"/>
      <c r="E166" s="61"/>
      <c r="F166" s="61"/>
      <c r="G166" s="61"/>
      <c r="H166" s="61"/>
      <c r="I166" s="61"/>
    </row>
    <row r="167" spans="1:9" x14ac:dyDescent="0.25">
      <c r="A167" s="61"/>
      <c r="B167" s="61"/>
      <c r="C167" s="61"/>
      <c r="D167" s="61"/>
      <c r="E167" s="61"/>
      <c r="F167" s="61"/>
      <c r="G167" s="61"/>
      <c r="H167" s="61"/>
      <c r="I167" s="61"/>
    </row>
    <row r="168" spans="1:9" x14ac:dyDescent="0.25">
      <c r="A168" s="61"/>
      <c r="B168" s="61"/>
      <c r="C168" s="61"/>
      <c r="D168" s="61"/>
      <c r="E168" s="61"/>
      <c r="F168" s="61"/>
      <c r="G168" s="61"/>
      <c r="H168" s="61"/>
      <c r="I168" s="61"/>
    </row>
    <row r="169" spans="1:9" x14ac:dyDescent="0.25">
      <c r="A169" s="61"/>
      <c r="B169" s="61"/>
      <c r="C169" s="61"/>
      <c r="D169" s="61"/>
      <c r="E169" s="61"/>
      <c r="F169" s="61"/>
      <c r="G169" s="61"/>
      <c r="H169" s="61"/>
      <c r="I169" s="61"/>
    </row>
    <row r="170" spans="1:9" x14ac:dyDescent="0.25">
      <c r="A170" s="61"/>
      <c r="B170" s="61"/>
      <c r="C170" s="61"/>
      <c r="D170" s="61"/>
      <c r="E170" s="61"/>
      <c r="F170" s="61"/>
      <c r="G170" s="61"/>
      <c r="H170" s="61"/>
      <c r="I170" s="61"/>
    </row>
    <row r="171" spans="1:9" x14ac:dyDescent="0.25">
      <c r="A171" s="61"/>
      <c r="B171" s="61"/>
      <c r="C171" s="61"/>
      <c r="D171" s="61"/>
      <c r="E171" s="61"/>
      <c r="F171" s="61"/>
      <c r="G171" s="61"/>
      <c r="H171" s="61"/>
      <c r="I171" s="61"/>
    </row>
    <row r="172" spans="1:9" x14ac:dyDescent="0.25">
      <c r="A172" s="61"/>
      <c r="B172" s="61"/>
      <c r="C172" s="61"/>
      <c r="D172" s="61"/>
      <c r="E172" s="61"/>
      <c r="F172" s="61"/>
      <c r="G172" s="61"/>
      <c r="H172" s="61"/>
      <c r="I172" s="61"/>
    </row>
    <row r="173" spans="1:9" x14ac:dyDescent="0.25">
      <c r="A173" s="61"/>
      <c r="B173" s="61"/>
      <c r="C173" s="61"/>
      <c r="D173" s="61"/>
      <c r="E173" s="61"/>
      <c r="F173" s="61"/>
      <c r="G173" s="61"/>
      <c r="H173" s="61"/>
      <c r="I173" s="61"/>
    </row>
    <row r="174" spans="1:9" x14ac:dyDescent="0.25">
      <c r="A174" s="61"/>
      <c r="B174" s="61"/>
      <c r="C174" s="61"/>
      <c r="D174" s="61"/>
      <c r="E174" s="61"/>
      <c r="F174" s="61"/>
      <c r="G174" s="61"/>
      <c r="H174" s="61"/>
      <c r="I174" s="61"/>
    </row>
    <row r="175" spans="1:9" x14ac:dyDescent="0.25">
      <c r="A175" s="61"/>
      <c r="B175" s="61"/>
      <c r="C175" s="61"/>
      <c r="D175" s="61"/>
      <c r="E175" s="61"/>
      <c r="F175" s="61"/>
      <c r="G175" s="61"/>
      <c r="H175" s="61"/>
      <c r="I175" s="61"/>
    </row>
    <row r="176" spans="1:9" x14ac:dyDescent="0.25">
      <c r="A176" s="61"/>
      <c r="B176" s="61"/>
      <c r="C176" s="61"/>
      <c r="D176" s="61"/>
      <c r="E176" s="61"/>
      <c r="F176" s="61"/>
      <c r="G176" s="61"/>
      <c r="H176" s="61"/>
      <c r="I176" s="61"/>
    </row>
    <row r="177" spans="1:9" x14ac:dyDescent="0.25">
      <c r="A177" s="61"/>
      <c r="B177" s="61"/>
      <c r="C177" s="61"/>
      <c r="D177" s="61"/>
      <c r="E177" s="61"/>
      <c r="F177" s="61"/>
      <c r="G177" s="61"/>
      <c r="H177" s="61"/>
      <c r="I177" s="61"/>
    </row>
    <row r="178" spans="1:9" x14ac:dyDescent="0.25">
      <c r="A178" s="61"/>
      <c r="B178" s="61"/>
      <c r="C178" s="61"/>
      <c r="D178" s="61"/>
      <c r="E178" s="61"/>
      <c r="F178" s="61"/>
      <c r="G178" s="61"/>
      <c r="H178" s="61"/>
      <c r="I178" s="61"/>
    </row>
    <row r="179" spans="1:9" x14ac:dyDescent="0.25">
      <c r="A179" s="61"/>
      <c r="B179" s="61"/>
      <c r="C179" s="61"/>
      <c r="D179" s="61"/>
      <c r="E179" s="61"/>
      <c r="F179" s="61"/>
      <c r="G179" s="61"/>
      <c r="H179" s="61"/>
      <c r="I179" s="61"/>
    </row>
    <row r="180" spans="1:9" x14ac:dyDescent="0.25">
      <c r="A180" s="61"/>
      <c r="B180" s="61"/>
      <c r="C180" s="61"/>
      <c r="D180" s="61"/>
      <c r="E180" s="61"/>
      <c r="F180" s="61"/>
      <c r="G180" s="61"/>
      <c r="H180" s="61"/>
      <c r="I180" s="61"/>
    </row>
    <row r="181" spans="1:9" x14ac:dyDescent="0.25">
      <c r="A181" s="61"/>
      <c r="B181" s="61"/>
      <c r="C181" s="61"/>
      <c r="D181" s="61"/>
      <c r="E181" s="61"/>
      <c r="F181" s="61"/>
      <c r="G181" s="61"/>
      <c r="H181" s="61"/>
      <c r="I181" s="61"/>
    </row>
    <row r="182" spans="1:9" x14ac:dyDescent="0.25">
      <c r="A182" s="61"/>
      <c r="B182" s="61"/>
      <c r="C182" s="61"/>
      <c r="D182" s="61"/>
      <c r="E182" s="61"/>
      <c r="F182" s="61"/>
      <c r="G182" s="61"/>
      <c r="H182" s="61"/>
      <c r="I182" s="61"/>
    </row>
    <row r="183" spans="1:9" x14ac:dyDescent="0.25">
      <c r="A183" s="61"/>
      <c r="B183" s="61"/>
      <c r="C183" s="61"/>
      <c r="D183" s="61"/>
      <c r="E183" s="61"/>
      <c r="F183" s="61"/>
      <c r="G183" s="61"/>
      <c r="H183" s="61"/>
      <c r="I183" s="61"/>
    </row>
    <row r="184" spans="1:9" x14ac:dyDescent="0.25">
      <c r="A184" s="61"/>
      <c r="B184" s="61"/>
      <c r="C184" s="61"/>
      <c r="D184" s="61"/>
      <c r="E184" s="61"/>
      <c r="F184" s="61"/>
      <c r="G184" s="61"/>
      <c r="H184" s="61"/>
      <c r="I184" s="61"/>
    </row>
    <row r="185" spans="1:9" x14ac:dyDescent="0.25">
      <c r="A185" s="61"/>
      <c r="B185" s="61"/>
      <c r="C185" s="61"/>
      <c r="D185" s="61"/>
      <c r="E185" s="61"/>
      <c r="F185" s="61"/>
      <c r="G185" s="61"/>
      <c r="H185" s="61"/>
      <c r="I185" s="61"/>
    </row>
    <row r="186" spans="1:9" x14ac:dyDescent="0.25">
      <c r="A186" s="61"/>
      <c r="B186" s="61"/>
      <c r="C186" s="61"/>
      <c r="D186" s="61"/>
      <c r="E186" s="61"/>
      <c r="F186" s="61"/>
      <c r="G186" s="61"/>
      <c r="H186" s="61"/>
      <c r="I186" s="61"/>
    </row>
    <row r="187" spans="1:9" x14ac:dyDescent="0.25">
      <c r="A187" s="61"/>
      <c r="B187" s="61"/>
      <c r="C187" s="61"/>
      <c r="D187" s="61"/>
      <c r="E187" s="61"/>
      <c r="F187" s="61"/>
      <c r="G187" s="61"/>
      <c r="H187" s="61"/>
      <c r="I187" s="61"/>
    </row>
    <row r="188" spans="1:9" x14ac:dyDescent="0.25">
      <c r="A188" s="61"/>
      <c r="B188" s="61"/>
      <c r="C188" s="61"/>
      <c r="D188" s="61"/>
      <c r="E188" s="61"/>
      <c r="F188" s="61"/>
      <c r="G188" s="61"/>
      <c r="H188" s="61"/>
      <c r="I188" s="61"/>
    </row>
    <row r="189" spans="1:9" x14ac:dyDescent="0.25">
      <c r="A189" s="61"/>
      <c r="B189" s="61"/>
      <c r="C189" s="61"/>
      <c r="D189" s="61"/>
      <c r="E189" s="61"/>
      <c r="F189" s="61"/>
      <c r="G189" s="61"/>
      <c r="H189" s="61"/>
      <c r="I189" s="61"/>
    </row>
    <row r="190" spans="1:9" x14ac:dyDescent="0.25">
      <c r="A190" s="61"/>
      <c r="B190" s="61"/>
      <c r="C190" s="61"/>
      <c r="D190" s="61"/>
      <c r="E190" s="61"/>
      <c r="F190" s="61"/>
      <c r="G190" s="61"/>
      <c r="H190" s="61"/>
      <c r="I190" s="61"/>
    </row>
    <row r="191" spans="1:9" x14ac:dyDescent="0.25">
      <c r="A191" s="61"/>
      <c r="B191" s="61"/>
      <c r="C191" s="61"/>
      <c r="D191" s="61"/>
      <c r="E191" s="61"/>
      <c r="F191" s="61"/>
      <c r="G191" s="61"/>
      <c r="H191" s="61"/>
      <c r="I191" s="61"/>
    </row>
    <row r="192" spans="1:9" x14ac:dyDescent="0.25">
      <c r="A192" s="61"/>
      <c r="B192" s="61"/>
      <c r="C192" s="61"/>
      <c r="D192" s="61"/>
      <c r="E192" s="61"/>
      <c r="F192" s="61"/>
      <c r="G192" s="61"/>
      <c r="H192" s="61"/>
      <c r="I192" s="61"/>
    </row>
    <row r="193" spans="1:9" x14ac:dyDescent="0.25">
      <c r="A193" s="61"/>
      <c r="B193" s="61"/>
      <c r="C193" s="61"/>
      <c r="D193" s="61"/>
      <c r="E193" s="61"/>
      <c r="F193" s="61"/>
      <c r="G193" s="61"/>
      <c r="H193" s="61"/>
      <c r="I193" s="61"/>
    </row>
    <row r="194" spans="1:9" x14ac:dyDescent="0.25">
      <c r="A194" s="61"/>
      <c r="B194" s="61"/>
      <c r="C194" s="61"/>
      <c r="D194" s="61"/>
      <c r="E194" s="61"/>
      <c r="F194" s="61"/>
      <c r="G194" s="61"/>
      <c r="H194" s="61"/>
      <c r="I194" s="61"/>
    </row>
    <row r="195" spans="1:9" x14ac:dyDescent="0.25">
      <c r="A195" s="61"/>
      <c r="B195" s="61"/>
      <c r="C195" s="61"/>
      <c r="D195" s="61"/>
      <c r="E195" s="61"/>
      <c r="F195" s="61"/>
      <c r="G195" s="61"/>
      <c r="H195" s="61"/>
      <c r="I195" s="61"/>
    </row>
    <row r="196" spans="1:9" x14ac:dyDescent="0.25">
      <c r="A196" s="61"/>
      <c r="B196" s="61"/>
      <c r="C196" s="61"/>
      <c r="D196" s="61"/>
      <c r="E196" s="61"/>
      <c r="F196" s="61"/>
      <c r="G196" s="61"/>
      <c r="H196" s="61"/>
      <c r="I196" s="61"/>
    </row>
    <row r="197" spans="1:9" x14ac:dyDescent="0.25">
      <c r="A197" s="61"/>
      <c r="B197" s="61"/>
      <c r="C197" s="61"/>
      <c r="D197" s="61"/>
      <c r="E197" s="61"/>
      <c r="F197" s="61"/>
      <c r="G197" s="61"/>
      <c r="H197" s="61"/>
      <c r="I197" s="61"/>
    </row>
    <row r="198" spans="1:9" x14ac:dyDescent="0.25">
      <c r="A198" s="61"/>
      <c r="B198" s="61"/>
      <c r="C198" s="61"/>
      <c r="D198" s="61"/>
      <c r="E198" s="61"/>
      <c r="F198" s="61"/>
      <c r="G198" s="61"/>
      <c r="H198" s="61"/>
      <c r="I198" s="61"/>
    </row>
    <row r="199" spans="1:9" x14ac:dyDescent="0.25">
      <c r="A199" s="61"/>
      <c r="B199" s="61"/>
      <c r="C199" s="61"/>
      <c r="D199" s="61"/>
      <c r="E199" s="61"/>
      <c r="F199" s="61"/>
      <c r="G199" s="61"/>
      <c r="H199" s="61"/>
      <c r="I199" s="61"/>
    </row>
    <row r="200" spans="1:9" x14ac:dyDescent="0.25">
      <c r="A200" s="61"/>
      <c r="B200" s="61"/>
      <c r="C200" s="61"/>
      <c r="D200" s="61"/>
      <c r="E200" s="61"/>
      <c r="F200" s="61"/>
      <c r="G200" s="61"/>
      <c r="H200" s="61"/>
      <c r="I200" s="61"/>
    </row>
    <row r="201" spans="1:9" x14ac:dyDescent="0.25">
      <c r="A201" s="61"/>
      <c r="B201" s="61"/>
      <c r="C201" s="61"/>
      <c r="D201" s="61"/>
      <c r="E201" s="61"/>
      <c r="F201" s="61"/>
      <c r="G201" s="61"/>
      <c r="H201" s="61"/>
      <c r="I201" s="61"/>
    </row>
    <row r="202" spans="1:9" x14ac:dyDescent="0.25">
      <c r="A202" s="61"/>
      <c r="B202" s="61"/>
      <c r="C202" s="61"/>
      <c r="D202" s="61"/>
      <c r="E202" s="61"/>
      <c r="F202" s="61"/>
      <c r="G202" s="61"/>
      <c r="H202" s="61"/>
      <c r="I202" s="61"/>
    </row>
    <row r="203" spans="1:9" x14ac:dyDescent="0.25">
      <c r="A203" s="61"/>
      <c r="B203" s="61"/>
      <c r="C203" s="61"/>
      <c r="D203" s="61"/>
      <c r="E203" s="61"/>
      <c r="F203" s="61"/>
      <c r="G203" s="61"/>
      <c r="H203" s="61"/>
      <c r="I203" s="61"/>
    </row>
    <row r="204" spans="1:9" x14ac:dyDescent="0.25">
      <c r="A204" s="61"/>
      <c r="B204" s="61"/>
      <c r="C204" s="61"/>
      <c r="D204" s="61"/>
      <c r="E204" s="61"/>
      <c r="F204" s="61"/>
      <c r="G204" s="61"/>
      <c r="H204" s="61"/>
      <c r="I204" s="61"/>
    </row>
    <row r="205" spans="1:9" x14ac:dyDescent="0.25">
      <c r="A205" s="61"/>
      <c r="B205" s="61"/>
      <c r="C205" s="61"/>
      <c r="D205" s="61"/>
      <c r="E205" s="61"/>
      <c r="F205" s="61"/>
      <c r="G205" s="61"/>
      <c r="H205" s="61"/>
      <c r="I205" s="61"/>
    </row>
    <row r="206" spans="1:9" x14ac:dyDescent="0.25">
      <c r="A206" s="61"/>
      <c r="B206" s="61"/>
      <c r="C206" s="61"/>
      <c r="D206" s="61"/>
      <c r="E206" s="61"/>
      <c r="F206" s="61"/>
      <c r="G206" s="61"/>
      <c r="H206" s="61"/>
      <c r="I206" s="61"/>
    </row>
    <row r="207" spans="1:9" x14ac:dyDescent="0.25">
      <c r="A207" s="61"/>
      <c r="B207" s="61"/>
      <c r="C207" s="61"/>
      <c r="D207" s="61"/>
      <c r="E207" s="61"/>
      <c r="F207" s="61"/>
      <c r="G207" s="61"/>
      <c r="H207" s="61"/>
      <c r="I207" s="61"/>
    </row>
    <row r="208" spans="1:9" x14ac:dyDescent="0.25">
      <c r="A208" s="61"/>
      <c r="B208" s="61"/>
      <c r="C208" s="61"/>
      <c r="D208" s="61"/>
      <c r="E208" s="61"/>
      <c r="F208" s="61"/>
      <c r="G208" s="61"/>
      <c r="H208" s="61"/>
      <c r="I208" s="61"/>
    </row>
    <row r="209" spans="1:9" x14ac:dyDescent="0.25">
      <c r="A209" s="61"/>
      <c r="B209" s="61"/>
      <c r="C209" s="61"/>
      <c r="D209" s="61"/>
      <c r="E209" s="61"/>
      <c r="F209" s="61"/>
      <c r="G209" s="61"/>
      <c r="H209" s="61"/>
      <c r="I209" s="61"/>
    </row>
    <row r="210" spans="1:9" x14ac:dyDescent="0.25">
      <c r="A210" s="61"/>
      <c r="B210" s="61"/>
      <c r="C210" s="61"/>
      <c r="D210" s="61"/>
      <c r="E210" s="61"/>
      <c r="F210" s="61"/>
      <c r="G210" s="61"/>
      <c r="H210" s="61"/>
      <c r="I210" s="61"/>
    </row>
    <row r="211" spans="1:9" x14ac:dyDescent="0.25">
      <c r="A211" s="61"/>
      <c r="B211" s="61"/>
      <c r="C211" s="61"/>
      <c r="D211" s="61"/>
      <c r="E211" s="61"/>
      <c r="F211" s="61"/>
      <c r="G211" s="61"/>
      <c r="H211" s="61"/>
      <c r="I211" s="61"/>
    </row>
    <row r="212" spans="1:9" x14ac:dyDescent="0.25">
      <c r="A212" s="61"/>
      <c r="B212" s="61"/>
      <c r="C212" s="61"/>
      <c r="D212" s="61"/>
      <c r="E212" s="61"/>
      <c r="F212" s="61"/>
      <c r="G212" s="61"/>
      <c r="H212" s="61"/>
      <c r="I212" s="61"/>
    </row>
    <row r="213" spans="1:9" x14ac:dyDescent="0.25">
      <c r="A213" s="61"/>
      <c r="B213" s="61"/>
      <c r="C213" s="61"/>
      <c r="D213" s="61"/>
      <c r="E213" s="61"/>
      <c r="F213" s="61"/>
      <c r="G213" s="61"/>
      <c r="H213" s="61"/>
      <c r="I213" s="61"/>
    </row>
    <row r="214" spans="1:9" x14ac:dyDescent="0.25">
      <c r="A214" s="61"/>
      <c r="B214" s="61"/>
      <c r="C214" s="61"/>
      <c r="D214" s="61"/>
      <c r="E214" s="61"/>
      <c r="F214" s="61"/>
      <c r="G214" s="61"/>
      <c r="H214" s="61"/>
      <c r="I214" s="61"/>
    </row>
    <row r="215" spans="1:9" x14ac:dyDescent="0.25">
      <c r="A215" s="61"/>
      <c r="B215" s="61"/>
      <c r="C215" s="61"/>
      <c r="D215" s="61"/>
      <c r="E215" s="61"/>
      <c r="F215" s="61"/>
      <c r="G215" s="61"/>
      <c r="H215" s="61"/>
      <c r="I215" s="61"/>
    </row>
    <row r="216" spans="1:9" x14ac:dyDescent="0.25">
      <c r="A216" s="61"/>
      <c r="B216" s="61"/>
      <c r="C216" s="61"/>
      <c r="D216" s="61"/>
      <c r="E216" s="61"/>
      <c r="F216" s="61"/>
      <c r="G216" s="61"/>
      <c r="H216" s="61"/>
      <c r="I216" s="61"/>
    </row>
    <row r="217" spans="1:9" x14ac:dyDescent="0.25">
      <c r="A217" s="61"/>
      <c r="B217" s="61"/>
      <c r="C217" s="61"/>
      <c r="D217" s="61"/>
      <c r="E217" s="61"/>
      <c r="F217" s="61"/>
      <c r="G217" s="61"/>
      <c r="H217" s="61"/>
      <c r="I217" s="61"/>
    </row>
    <row r="218" spans="1:9" x14ac:dyDescent="0.25">
      <c r="A218" s="61"/>
      <c r="B218" s="61"/>
      <c r="C218" s="61"/>
      <c r="D218" s="61"/>
      <c r="E218" s="61"/>
      <c r="F218" s="61"/>
      <c r="G218" s="61"/>
      <c r="H218" s="61"/>
      <c r="I218" s="61"/>
    </row>
    <row r="219" spans="1:9" x14ac:dyDescent="0.25">
      <c r="A219" s="61"/>
      <c r="B219" s="61"/>
      <c r="C219" s="61"/>
      <c r="D219" s="61"/>
      <c r="E219" s="61"/>
      <c r="F219" s="61"/>
      <c r="G219" s="61"/>
      <c r="H219" s="61"/>
      <c r="I219" s="61"/>
    </row>
    <row r="220" spans="1:9" x14ac:dyDescent="0.25">
      <c r="A220" s="61"/>
      <c r="B220" s="61"/>
      <c r="C220" s="61"/>
      <c r="D220" s="61"/>
      <c r="E220" s="61"/>
      <c r="F220" s="61"/>
      <c r="G220" s="61"/>
      <c r="H220" s="61"/>
      <c r="I220" s="61"/>
    </row>
    <row r="221" spans="1:9" x14ac:dyDescent="0.25">
      <c r="A221" s="61"/>
      <c r="B221" s="61"/>
      <c r="C221" s="61"/>
      <c r="D221" s="61"/>
      <c r="E221" s="61"/>
      <c r="F221" s="61"/>
      <c r="G221" s="61"/>
      <c r="H221" s="61"/>
      <c r="I221" s="61"/>
    </row>
    <row r="222" spans="1:9" x14ac:dyDescent="0.25">
      <c r="A222" s="61"/>
      <c r="B222" s="61"/>
      <c r="C222" s="61"/>
      <c r="D222" s="61"/>
      <c r="E222" s="61"/>
      <c r="F222" s="61"/>
      <c r="G222" s="61"/>
      <c r="H222" s="61"/>
      <c r="I222" s="61"/>
    </row>
    <row r="223" spans="1:9" x14ac:dyDescent="0.25">
      <c r="A223" s="61"/>
      <c r="B223" s="61"/>
      <c r="C223" s="61"/>
      <c r="D223" s="61"/>
      <c r="E223" s="61"/>
      <c r="F223" s="61"/>
      <c r="G223" s="61"/>
      <c r="H223" s="61"/>
      <c r="I223" s="61"/>
    </row>
    <row r="224" spans="1:9" x14ac:dyDescent="0.25">
      <c r="A224" s="61"/>
      <c r="B224" s="61"/>
      <c r="C224" s="61"/>
      <c r="D224" s="61"/>
      <c r="E224" s="61"/>
      <c r="F224" s="61"/>
      <c r="G224" s="61"/>
      <c r="H224" s="61"/>
      <c r="I224" s="61"/>
    </row>
    <row r="225" spans="1:9" x14ac:dyDescent="0.25">
      <c r="A225" s="61"/>
      <c r="B225" s="61"/>
      <c r="C225" s="61"/>
      <c r="D225" s="61"/>
      <c r="E225" s="61"/>
      <c r="F225" s="61"/>
      <c r="G225" s="61"/>
      <c r="H225" s="61"/>
      <c r="I225" s="61"/>
    </row>
    <row r="226" spans="1:9" x14ac:dyDescent="0.25">
      <c r="A226" s="61"/>
      <c r="B226" s="61"/>
      <c r="C226" s="61"/>
      <c r="D226" s="61"/>
      <c r="E226" s="61"/>
      <c r="F226" s="61"/>
      <c r="G226" s="61"/>
      <c r="H226" s="61"/>
      <c r="I226" s="61"/>
    </row>
    <row r="227" spans="1:9" x14ac:dyDescent="0.25">
      <c r="A227" s="61"/>
      <c r="B227" s="61"/>
      <c r="C227" s="61"/>
      <c r="D227" s="61"/>
      <c r="E227" s="61"/>
      <c r="F227" s="61"/>
      <c r="G227" s="61"/>
      <c r="H227" s="61"/>
      <c r="I227" s="61"/>
    </row>
    <row r="228" spans="1:9" x14ac:dyDescent="0.25">
      <c r="A228" s="61"/>
      <c r="B228" s="61"/>
      <c r="C228" s="61"/>
      <c r="D228" s="61"/>
      <c r="E228" s="61"/>
      <c r="F228" s="61"/>
      <c r="G228" s="61"/>
      <c r="H228" s="61"/>
      <c r="I228" s="61"/>
    </row>
    <row r="229" spans="1:9" x14ac:dyDescent="0.25">
      <c r="A229" s="61"/>
      <c r="B229" s="61"/>
      <c r="C229" s="61"/>
      <c r="D229" s="61"/>
      <c r="E229" s="61"/>
      <c r="F229" s="61"/>
      <c r="G229" s="61"/>
      <c r="H229" s="61"/>
      <c r="I229" s="61"/>
    </row>
    <row r="230" spans="1:9" x14ac:dyDescent="0.25">
      <c r="A230" s="61"/>
      <c r="B230" s="61"/>
      <c r="C230" s="61"/>
      <c r="D230" s="61"/>
      <c r="E230" s="61"/>
      <c r="F230" s="61"/>
      <c r="G230" s="61"/>
      <c r="H230" s="61"/>
      <c r="I230" s="61"/>
    </row>
    <row r="231" spans="1:9" x14ac:dyDescent="0.25">
      <c r="A231" s="61"/>
      <c r="B231" s="61"/>
      <c r="C231" s="61"/>
      <c r="D231" s="61"/>
      <c r="E231" s="61"/>
      <c r="F231" s="61"/>
      <c r="G231" s="61"/>
      <c r="H231" s="61"/>
      <c r="I231" s="61"/>
    </row>
    <row r="232" spans="1:9" x14ac:dyDescent="0.25">
      <c r="A232" s="61"/>
      <c r="B232" s="61"/>
      <c r="C232" s="61"/>
      <c r="D232" s="61"/>
      <c r="E232" s="61"/>
      <c r="F232" s="61"/>
      <c r="G232" s="61"/>
      <c r="H232" s="61"/>
      <c r="I232" s="61"/>
    </row>
    <row r="233" spans="1:9" x14ac:dyDescent="0.25">
      <c r="A233" s="61"/>
      <c r="B233" s="61"/>
      <c r="C233" s="61"/>
      <c r="D233" s="61"/>
      <c r="E233" s="61"/>
      <c r="F233" s="61"/>
      <c r="G233" s="61"/>
      <c r="H233" s="61"/>
      <c r="I233" s="61"/>
    </row>
    <row r="234" spans="1:9" x14ac:dyDescent="0.25">
      <c r="A234" s="61"/>
      <c r="B234" s="61"/>
      <c r="C234" s="61"/>
      <c r="D234" s="61"/>
      <c r="E234" s="61"/>
      <c r="F234" s="61"/>
      <c r="G234" s="61"/>
      <c r="H234" s="61"/>
      <c r="I234" s="61"/>
    </row>
    <row r="235" spans="1:9" x14ac:dyDescent="0.25">
      <c r="A235" s="61"/>
      <c r="B235" s="61"/>
      <c r="C235" s="61"/>
      <c r="D235" s="61"/>
      <c r="E235" s="61"/>
      <c r="F235" s="61"/>
      <c r="G235" s="61"/>
      <c r="H235" s="61"/>
      <c r="I235" s="61"/>
    </row>
    <row r="236" spans="1:9" x14ac:dyDescent="0.25">
      <c r="A236" s="61"/>
      <c r="B236" s="61"/>
      <c r="C236" s="61"/>
      <c r="D236" s="61"/>
      <c r="E236" s="61"/>
      <c r="F236" s="61"/>
      <c r="G236" s="61"/>
      <c r="H236" s="61"/>
      <c r="I236" s="61"/>
    </row>
    <row r="237" spans="1:9" x14ac:dyDescent="0.25">
      <c r="A237" s="61"/>
      <c r="B237" s="61"/>
      <c r="C237" s="61"/>
      <c r="D237" s="61"/>
      <c r="E237" s="61"/>
      <c r="F237" s="61"/>
      <c r="G237" s="61"/>
      <c r="H237" s="61"/>
      <c r="I237" s="61"/>
    </row>
    <row r="238" spans="1:9" x14ac:dyDescent="0.25">
      <c r="A238" s="61"/>
      <c r="B238" s="61"/>
      <c r="C238" s="61"/>
      <c r="D238" s="61"/>
      <c r="E238" s="61"/>
      <c r="F238" s="61"/>
      <c r="G238" s="61"/>
      <c r="H238" s="61"/>
      <c r="I238" s="61"/>
    </row>
    <row r="239" spans="1:9" x14ac:dyDescent="0.25">
      <c r="A239" s="61"/>
      <c r="B239" s="61"/>
      <c r="C239" s="61"/>
      <c r="D239" s="61"/>
      <c r="E239" s="61"/>
      <c r="F239" s="61"/>
      <c r="G239" s="61"/>
      <c r="H239" s="61"/>
      <c r="I239" s="61"/>
    </row>
    <row r="240" spans="1:9" x14ac:dyDescent="0.25">
      <c r="A240" s="61"/>
      <c r="B240" s="61"/>
      <c r="C240" s="61"/>
      <c r="D240" s="61"/>
      <c r="E240" s="61"/>
      <c r="F240" s="61"/>
      <c r="G240" s="61"/>
      <c r="H240" s="61"/>
      <c r="I240" s="61"/>
    </row>
    <row r="241" spans="1:9" x14ac:dyDescent="0.25">
      <c r="A241" s="61"/>
      <c r="B241" s="61"/>
      <c r="C241" s="61"/>
      <c r="D241" s="61"/>
      <c r="E241" s="61"/>
      <c r="F241" s="61"/>
      <c r="G241" s="61"/>
      <c r="H241" s="61"/>
      <c r="I241" s="61"/>
    </row>
    <row r="242" spans="1:9" x14ac:dyDescent="0.25">
      <c r="A242" s="61"/>
      <c r="B242" s="61"/>
      <c r="C242" s="61"/>
      <c r="D242" s="61"/>
      <c r="E242" s="61"/>
      <c r="F242" s="61"/>
      <c r="G242" s="61"/>
      <c r="H242" s="61"/>
      <c r="I242" s="61"/>
    </row>
    <row r="243" spans="1:9" x14ac:dyDescent="0.25">
      <c r="A243" s="61"/>
      <c r="B243" s="61"/>
      <c r="C243" s="61"/>
      <c r="D243" s="61"/>
      <c r="E243" s="61"/>
      <c r="F243" s="61"/>
      <c r="G243" s="61"/>
      <c r="H243" s="61"/>
      <c r="I243" s="61"/>
    </row>
    <row r="244" spans="1:9" x14ac:dyDescent="0.25">
      <c r="A244" s="61"/>
      <c r="B244" s="61"/>
      <c r="C244" s="61"/>
      <c r="D244" s="61"/>
      <c r="E244" s="61"/>
      <c r="F244" s="61"/>
      <c r="G244" s="61"/>
      <c r="H244" s="61"/>
      <c r="I244" s="61"/>
    </row>
    <row r="245" spans="1:9" x14ac:dyDescent="0.25">
      <c r="A245" s="61"/>
      <c r="B245" s="61"/>
      <c r="C245" s="61"/>
      <c r="D245" s="61"/>
      <c r="E245" s="61"/>
      <c r="F245" s="61"/>
      <c r="G245" s="61"/>
      <c r="H245" s="61"/>
      <c r="I245" s="61"/>
    </row>
    <row r="246" spans="1:9" x14ac:dyDescent="0.25">
      <c r="A246" s="61"/>
      <c r="B246" s="61"/>
      <c r="C246" s="61"/>
      <c r="D246" s="61"/>
      <c r="E246" s="61"/>
      <c r="F246" s="61"/>
      <c r="G246" s="61"/>
      <c r="H246" s="61"/>
      <c r="I246" s="61"/>
    </row>
    <row r="247" spans="1:9" x14ac:dyDescent="0.25">
      <c r="A247" s="61"/>
      <c r="B247" s="61"/>
      <c r="C247" s="61"/>
      <c r="D247" s="61"/>
      <c r="E247" s="61"/>
      <c r="F247" s="61"/>
      <c r="G247" s="61"/>
      <c r="H247" s="61"/>
      <c r="I247" s="61"/>
    </row>
    <row r="248" spans="1:9" x14ac:dyDescent="0.25">
      <c r="A248" s="61"/>
      <c r="B248" s="61"/>
      <c r="C248" s="61"/>
      <c r="D248" s="61"/>
      <c r="E248" s="61"/>
      <c r="F248" s="61"/>
      <c r="G248" s="61"/>
      <c r="H248" s="61"/>
      <c r="I248" s="61"/>
    </row>
    <row r="249" spans="1:9" x14ac:dyDescent="0.25">
      <c r="A249" s="61"/>
      <c r="B249" s="61"/>
      <c r="C249" s="61"/>
      <c r="D249" s="61"/>
      <c r="E249" s="61"/>
      <c r="F249" s="61"/>
      <c r="G249" s="61"/>
      <c r="H249" s="61"/>
      <c r="I249" s="61"/>
    </row>
    <row r="250" spans="1:9" x14ac:dyDescent="0.25">
      <c r="A250" s="61"/>
      <c r="B250" s="61"/>
      <c r="C250" s="61"/>
      <c r="D250" s="61"/>
      <c r="E250" s="61"/>
      <c r="F250" s="61"/>
      <c r="G250" s="61"/>
      <c r="H250" s="61"/>
      <c r="I250" s="61"/>
    </row>
    <row r="251" spans="1:9" x14ac:dyDescent="0.25">
      <c r="A251" s="61"/>
      <c r="B251" s="61"/>
      <c r="C251" s="61"/>
      <c r="D251" s="61"/>
      <c r="E251" s="61"/>
      <c r="F251" s="61"/>
      <c r="G251" s="61"/>
      <c r="H251" s="61"/>
      <c r="I251" s="61"/>
    </row>
    <row r="252" spans="1:9" x14ac:dyDescent="0.25">
      <c r="A252" s="61"/>
      <c r="B252" s="61"/>
      <c r="C252" s="61"/>
      <c r="D252" s="61"/>
      <c r="E252" s="61"/>
      <c r="F252" s="61"/>
      <c r="G252" s="61"/>
      <c r="H252" s="61"/>
      <c r="I252" s="61"/>
    </row>
    <row r="253" spans="1:9" x14ac:dyDescent="0.25">
      <c r="A253" s="61"/>
      <c r="B253" s="61"/>
      <c r="C253" s="61"/>
      <c r="D253" s="61"/>
      <c r="E253" s="61"/>
      <c r="F253" s="61"/>
      <c r="G253" s="61"/>
      <c r="H253" s="61"/>
      <c r="I253" s="61"/>
    </row>
    <row r="254" spans="1:9" x14ac:dyDescent="0.25">
      <c r="A254" s="61"/>
      <c r="B254" s="61"/>
      <c r="C254" s="61"/>
      <c r="D254" s="61"/>
      <c r="E254" s="61"/>
      <c r="F254" s="61"/>
      <c r="G254" s="61"/>
      <c r="H254" s="61"/>
      <c r="I254" s="61"/>
    </row>
    <row r="255" spans="1:9" x14ac:dyDescent="0.25">
      <c r="A255" s="61"/>
      <c r="B255" s="61"/>
      <c r="C255" s="61"/>
      <c r="D255" s="61"/>
      <c r="E255" s="61"/>
      <c r="F255" s="61"/>
      <c r="G255" s="61"/>
      <c r="H255" s="61"/>
      <c r="I255" s="61"/>
    </row>
    <row r="256" spans="1:9" x14ac:dyDescent="0.25">
      <c r="A256" s="61"/>
      <c r="B256" s="61"/>
      <c r="C256" s="61"/>
      <c r="D256" s="61"/>
      <c r="E256" s="61"/>
      <c r="F256" s="61"/>
      <c r="G256" s="61"/>
      <c r="H256" s="61"/>
      <c r="I256" s="61"/>
    </row>
    <row r="257" spans="1:9" x14ac:dyDescent="0.25">
      <c r="A257" s="61"/>
      <c r="B257" s="61"/>
      <c r="C257" s="61"/>
      <c r="D257" s="61"/>
      <c r="E257" s="61"/>
      <c r="F257" s="61"/>
      <c r="G257" s="61"/>
      <c r="H257" s="61"/>
      <c r="I257" s="61"/>
    </row>
    <row r="258" spans="1:9" x14ac:dyDescent="0.25">
      <c r="A258" s="61"/>
      <c r="B258" s="61"/>
      <c r="C258" s="61"/>
      <c r="D258" s="61"/>
      <c r="E258" s="61"/>
      <c r="F258" s="61"/>
      <c r="G258" s="61"/>
      <c r="H258" s="61"/>
      <c r="I258" s="61"/>
    </row>
    <row r="259" spans="1:9" x14ac:dyDescent="0.25">
      <c r="A259" s="61"/>
      <c r="B259" s="61"/>
      <c r="C259" s="61"/>
      <c r="D259" s="61"/>
      <c r="E259" s="61"/>
      <c r="F259" s="61"/>
      <c r="G259" s="61"/>
      <c r="H259" s="61"/>
      <c r="I259" s="61"/>
    </row>
    <row r="260" spans="1:9" x14ac:dyDescent="0.25">
      <c r="A260" s="61"/>
      <c r="B260" s="61"/>
      <c r="C260" s="61"/>
      <c r="D260" s="61"/>
      <c r="E260" s="61"/>
      <c r="F260" s="61"/>
      <c r="G260" s="61"/>
      <c r="H260" s="61"/>
      <c r="I260" s="61"/>
    </row>
    <row r="261" spans="1:9" x14ac:dyDescent="0.25">
      <c r="A261" s="61"/>
      <c r="B261" s="61"/>
      <c r="C261" s="61"/>
      <c r="D261" s="61"/>
      <c r="E261" s="61"/>
      <c r="F261" s="61"/>
      <c r="G261" s="61"/>
      <c r="H261" s="61"/>
      <c r="I261" s="61"/>
    </row>
    <row r="262" spans="1:9" x14ac:dyDescent="0.25">
      <c r="A262" s="61"/>
      <c r="B262" s="61"/>
      <c r="C262" s="61"/>
      <c r="D262" s="61"/>
      <c r="E262" s="61"/>
      <c r="F262" s="61"/>
      <c r="G262" s="61"/>
      <c r="H262" s="61"/>
      <c r="I262" s="61"/>
    </row>
    <row r="263" spans="1:9" x14ac:dyDescent="0.25">
      <c r="A263" s="61"/>
      <c r="B263" s="61"/>
      <c r="C263" s="61"/>
      <c r="D263" s="61"/>
      <c r="E263" s="61"/>
      <c r="F263" s="61"/>
      <c r="G263" s="61"/>
      <c r="H263" s="61"/>
      <c r="I263" s="61"/>
    </row>
    <row r="264" spans="1:9" x14ac:dyDescent="0.25">
      <c r="A264" s="61"/>
      <c r="B264" s="61"/>
      <c r="C264" s="61"/>
      <c r="D264" s="61"/>
      <c r="E264" s="61"/>
      <c r="F264" s="61"/>
      <c r="G264" s="61"/>
      <c r="H264" s="61"/>
      <c r="I264" s="61"/>
    </row>
    <row r="265" spans="1:9" x14ac:dyDescent="0.25">
      <c r="A265" s="61"/>
      <c r="B265" s="61"/>
      <c r="C265" s="61"/>
      <c r="D265" s="61"/>
      <c r="E265" s="61"/>
      <c r="F265" s="61"/>
      <c r="G265" s="61"/>
      <c r="H265" s="61"/>
      <c r="I265" s="61"/>
    </row>
    <row r="266" spans="1:9" x14ac:dyDescent="0.25">
      <c r="A266" s="61"/>
      <c r="B266" s="61"/>
      <c r="C266" s="61"/>
      <c r="D266" s="61"/>
      <c r="E266" s="61"/>
      <c r="F266" s="61"/>
      <c r="G266" s="61"/>
      <c r="H266" s="61"/>
      <c r="I266" s="61"/>
    </row>
    <row r="267" spans="1:9" x14ac:dyDescent="0.25">
      <c r="A267" s="61"/>
      <c r="B267" s="61"/>
      <c r="C267" s="61"/>
      <c r="D267" s="61"/>
      <c r="E267" s="61"/>
      <c r="F267" s="61"/>
      <c r="G267" s="61"/>
      <c r="H267" s="61"/>
      <c r="I267" s="61"/>
    </row>
    <row r="268" spans="1:9" x14ac:dyDescent="0.25">
      <c r="A268" s="61"/>
      <c r="B268" s="61"/>
      <c r="C268" s="61"/>
      <c r="D268" s="61"/>
      <c r="E268" s="61"/>
      <c r="F268" s="61"/>
      <c r="G268" s="61"/>
      <c r="H268" s="61"/>
      <c r="I268" s="61"/>
    </row>
    <row r="269" spans="1:9" x14ac:dyDescent="0.25">
      <c r="A269" s="61"/>
      <c r="B269" s="61"/>
      <c r="C269" s="61"/>
      <c r="D269" s="61"/>
      <c r="E269" s="61"/>
      <c r="F269" s="61"/>
      <c r="G269" s="61"/>
      <c r="H269" s="61"/>
      <c r="I269" s="61"/>
    </row>
    <row r="270" spans="1:9" x14ac:dyDescent="0.25">
      <c r="A270" s="61"/>
      <c r="B270" s="61"/>
      <c r="C270" s="61"/>
      <c r="D270" s="61"/>
      <c r="E270" s="61"/>
      <c r="F270" s="61"/>
      <c r="G270" s="61"/>
      <c r="H270" s="61"/>
      <c r="I270" s="61"/>
    </row>
    <row r="271" spans="1:9" x14ac:dyDescent="0.25">
      <c r="A271" s="61"/>
      <c r="B271" s="61"/>
      <c r="C271" s="61"/>
      <c r="D271" s="61"/>
      <c r="E271" s="61"/>
      <c r="F271" s="61"/>
      <c r="G271" s="61"/>
      <c r="H271" s="61"/>
      <c r="I271" s="61"/>
    </row>
    <row r="272" spans="1:9" x14ac:dyDescent="0.25">
      <c r="A272" s="61"/>
      <c r="B272" s="61"/>
      <c r="C272" s="61"/>
      <c r="D272" s="61"/>
      <c r="E272" s="61"/>
      <c r="F272" s="61"/>
      <c r="G272" s="61"/>
      <c r="H272" s="61"/>
      <c r="I272" s="61"/>
    </row>
    <row r="273" spans="1:9" x14ac:dyDescent="0.25">
      <c r="A273" s="61"/>
      <c r="B273" s="61"/>
      <c r="C273" s="61"/>
      <c r="D273" s="61"/>
      <c r="E273" s="61"/>
      <c r="F273" s="61"/>
      <c r="G273" s="61"/>
      <c r="H273" s="61"/>
      <c r="I273" s="61"/>
    </row>
    <row r="274" spans="1:9" x14ac:dyDescent="0.25">
      <c r="A274" s="61"/>
      <c r="B274" s="61"/>
      <c r="C274" s="61"/>
      <c r="D274" s="61"/>
      <c r="E274" s="61"/>
      <c r="F274" s="61"/>
      <c r="G274" s="61"/>
      <c r="H274" s="61"/>
      <c r="I274" s="61"/>
    </row>
    <row r="275" spans="1:9" x14ac:dyDescent="0.25">
      <c r="A275" s="61"/>
      <c r="B275" s="61"/>
      <c r="C275" s="61"/>
      <c r="D275" s="61"/>
      <c r="E275" s="61"/>
      <c r="F275" s="61"/>
      <c r="G275" s="61"/>
      <c r="H275" s="61"/>
      <c r="I275" s="61"/>
    </row>
    <row r="276" spans="1:9" x14ac:dyDescent="0.25">
      <c r="A276" s="61"/>
      <c r="B276" s="61"/>
      <c r="C276" s="61"/>
      <c r="D276" s="61"/>
      <c r="E276" s="61"/>
      <c r="F276" s="61"/>
      <c r="G276" s="61"/>
      <c r="H276" s="61"/>
      <c r="I276" s="61"/>
    </row>
    <row r="277" spans="1:9" x14ac:dyDescent="0.25">
      <c r="A277" s="61"/>
      <c r="B277" s="61"/>
      <c r="C277" s="61"/>
      <c r="D277" s="61"/>
      <c r="E277" s="61"/>
      <c r="F277" s="61"/>
      <c r="G277" s="61"/>
      <c r="H277" s="61"/>
      <c r="I277" s="61"/>
    </row>
    <row r="278" spans="1:9" x14ac:dyDescent="0.25">
      <c r="A278" s="61"/>
      <c r="B278" s="61"/>
      <c r="C278" s="61"/>
      <c r="D278" s="61"/>
      <c r="E278" s="61"/>
      <c r="F278" s="61"/>
      <c r="G278" s="61"/>
      <c r="H278" s="61"/>
      <c r="I278" s="61"/>
    </row>
    <row r="279" spans="1:9" x14ac:dyDescent="0.25">
      <c r="A279" s="61"/>
      <c r="B279" s="61"/>
      <c r="C279" s="61"/>
      <c r="D279" s="61"/>
      <c r="E279" s="61"/>
      <c r="F279" s="61"/>
      <c r="G279" s="61"/>
      <c r="H279" s="61"/>
      <c r="I279" s="61"/>
    </row>
    <row r="280" spans="1:9" x14ac:dyDescent="0.25">
      <c r="A280" s="61"/>
      <c r="B280" s="61"/>
      <c r="C280" s="61"/>
      <c r="D280" s="61"/>
      <c r="E280" s="61"/>
      <c r="F280" s="61"/>
      <c r="G280" s="61"/>
      <c r="H280" s="61"/>
      <c r="I280" s="61"/>
    </row>
    <row r="281" spans="1:9" x14ac:dyDescent="0.25">
      <c r="A281" s="61"/>
      <c r="B281" s="61"/>
      <c r="C281" s="61"/>
      <c r="D281" s="61"/>
      <c r="E281" s="61"/>
      <c r="F281" s="61"/>
      <c r="G281" s="61"/>
      <c r="H281" s="61"/>
      <c r="I281" s="61"/>
    </row>
    <row r="282" spans="1:9" x14ac:dyDescent="0.25">
      <c r="A282" s="61"/>
      <c r="B282" s="61"/>
      <c r="C282" s="61"/>
      <c r="D282" s="61"/>
      <c r="E282" s="61"/>
      <c r="F282" s="61"/>
      <c r="G282" s="61"/>
      <c r="H282" s="61"/>
      <c r="I282" s="61"/>
    </row>
    <row r="283" spans="1:9" x14ac:dyDescent="0.25">
      <c r="A283" s="61"/>
      <c r="B283" s="61"/>
      <c r="C283" s="61"/>
      <c r="D283" s="61"/>
      <c r="E283" s="61"/>
      <c r="F283" s="61"/>
      <c r="G283" s="61"/>
      <c r="H283" s="61"/>
      <c r="I283" s="61"/>
    </row>
    <row r="284" spans="1:9" x14ac:dyDescent="0.25">
      <c r="A284" s="61"/>
      <c r="B284" s="61"/>
      <c r="C284" s="61"/>
      <c r="D284" s="61"/>
      <c r="E284" s="61"/>
      <c r="F284" s="61"/>
      <c r="G284" s="61"/>
      <c r="H284" s="61"/>
      <c r="I284" s="61"/>
    </row>
    <row r="285" spans="1:9" x14ac:dyDescent="0.25">
      <c r="A285" s="61"/>
      <c r="B285" s="61"/>
      <c r="C285" s="61"/>
      <c r="D285" s="61"/>
      <c r="E285" s="61"/>
      <c r="F285" s="61"/>
      <c r="G285" s="61"/>
      <c r="H285" s="61"/>
      <c r="I285" s="61"/>
    </row>
    <row r="286" spans="1:9" x14ac:dyDescent="0.25">
      <c r="A286" s="61"/>
      <c r="B286" s="61"/>
      <c r="C286" s="61"/>
      <c r="D286" s="61"/>
      <c r="E286" s="61"/>
      <c r="F286" s="61"/>
      <c r="G286" s="61"/>
      <c r="H286" s="61"/>
      <c r="I286" s="61"/>
    </row>
    <row r="287" spans="1:9" x14ac:dyDescent="0.25">
      <c r="A287" s="61"/>
      <c r="B287" s="61"/>
      <c r="C287" s="61"/>
      <c r="D287" s="61"/>
      <c r="E287" s="61"/>
      <c r="F287" s="61"/>
      <c r="G287" s="61"/>
      <c r="H287" s="61"/>
      <c r="I287" s="61"/>
    </row>
    <row r="288" spans="1:9" x14ac:dyDescent="0.25">
      <c r="A288" s="61"/>
      <c r="B288" s="61"/>
      <c r="C288" s="61"/>
      <c r="D288" s="61"/>
      <c r="E288" s="61"/>
      <c r="F288" s="61"/>
      <c r="G288" s="61"/>
      <c r="H288" s="61"/>
      <c r="I288" s="61"/>
    </row>
    <row r="289" spans="1:9" x14ac:dyDescent="0.25">
      <c r="A289" s="61"/>
      <c r="B289" s="61"/>
      <c r="C289" s="61"/>
      <c r="D289" s="61"/>
      <c r="E289" s="61"/>
      <c r="F289" s="61"/>
      <c r="G289" s="61"/>
      <c r="H289" s="61"/>
      <c r="I289" s="61"/>
    </row>
    <row r="290" spans="1:9" x14ac:dyDescent="0.25">
      <c r="A290" s="61"/>
      <c r="B290" s="61"/>
      <c r="C290" s="61"/>
      <c r="D290" s="61"/>
      <c r="E290" s="61"/>
      <c r="F290" s="61"/>
      <c r="G290" s="61"/>
      <c r="H290" s="61"/>
      <c r="I290" s="61"/>
    </row>
    <row r="291" spans="1:9" x14ac:dyDescent="0.25">
      <c r="A291" s="61"/>
      <c r="B291" s="61"/>
      <c r="C291" s="61"/>
      <c r="D291" s="61"/>
      <c r="E291" s="61"/>
      <c r="F291" s="61"/>
      <c r="G291" s="61"/>
      <c r="H291" s="61"/>
      <c r="I291" s="61"/>
    </row>
    <row r="292" spans="1:9" x14ac:dyDescent="0.25">
      <c r="A292" s="61"/>
      <c r="B292" s="61"/>
      <c r="C292" s="61"/>
      <c r="D292" s="61"/>
      <c r="E292" s="61"/>
      <c r="F292" s="61"/>
      <c r="G292" s="61"/>
      <c r="H292" s="61"/>
      <c r="I292" s="61"/>
    </row>
    <row r="293" spans="1:9" x14ac:dyDescent="0.25">
      <c r="A293" s="61"/>
      <c r="B293" s="61"/>
      <c r="C293" s="61"/>
      <c r="D293" s="61"/>
      <c r="E293" s="61"/>
      <c r="F293" s="61"/>
      <c r="G293" s="61"/>
      <c r="H293" s="61"/>
      <c r="I293" s="61"/>
    </row>
    <row r="294" spans="1:9" x14ac:dyDescent="0.25">
      <c r="A294" s="61"/>
      <c r="B294" s="61"/>
      <c r="C294" s="61"/>
      <c r="D294" s="61"/>
      <c r="E294" s="61"/>
      <c r="F294" s="61"/>
      <c r="G294" s="61"/>
      <c r="H294" s="61"/>
      <c r="I294" s="61"/>
    </row>
    <row r="295" spans="1:9" x14ac:dyDescent="0.25">
      <c r="A295" s="61"/>
      <c r="B295" s="61"/>
      <c r="C295" s="61"/>
      <c r="D295" s="61"/>
      <c r="E295" s="61"/>
      <c r="F295" s="61"/>
      <c r="G295" s="61"/>
      <c r="H295" s="61"/>
      <c r="I295" s="61"/>
    </row>
    <row r="296" spans="1:9" x14ac:dyDescent="0.25">
      <c r="A296" s="61"/>
      <c r="B296" s="61"/>
      <c r="C296" s="61"/>
      <c r="D296" s="61"/>
      <c r="E296" s="61"/>
      <c r="F296" s="61"/>
      <c r="G296" s="61"/>
      <c r="H296" s="61"/>
      <c r="I296" s="61"/>
    </row>
    <row r="297" spans="1:9" x14ac:dyDescent="0.25">
      <c r="A297" s="61"/>
      <c r="B297" s="61"/>
      <c r="C297" s="61"/>
      <c r="D297" s="61"/>
      <c r="E297" s="61"/>
      <c r="F297" s="61"/>
      <c r="G297" s="61"/>
      <c r="H297" s="61"/>
      <c r="I297" s="61"/>
    </row>
    <row r="298" spans="1:9" x14ac:dyDescent="0.25">
      <c r="A298" s="61"/>
      <c r="B298" s="61"/>
      <c r="C298" s="61"/>
      <c r="D298" s="61"/>
      <c r="E298" s="61"/>
      <c r="F298" s="61"/>
      <c r="G298" s="61"/>
      <c r="H298" s="61"/>
      <c r="I298" s="61"/>
    </row>
    <row r="299" spans="1:9" x14ac:dyDescent="0.25">
      <c r="A299" s="61"/>
      <c r="B299" s="61"/>
      <c r="C299" s="61"/>
      <c r="D299" s="61"/>
      <c r="E299" s="61"/>
      <c r="F299" s="61"/>
      <c r="G299" s="61"/>
      <c r="H299" s="61"/>
      <c r="I299" s="61"/>
    </row>
    <row r="300" spans="1:9" x14ac:dyDescent="0.25">
      <c r="A300" s="61"/>
      <c r="B300" s="61"/>
      <c r="C300" s="61"/>
      <c r="D300" s="61"/>
      <c r="E300" s="61"/>
      <c r="F300" s="61"/>
      <c r="G300" s="61"/>
      <c r="H300" s="61"/>
      <c r="I300" s="61"/>
    </row>
    <row r="301" spans="1:9" x14ac:dyDescent="0.25">
      <c r="A301" s="61"/>
      <c r="B301" s="61"/>
      <c r="C301" s="61"/>
      <c r="D301" s="61"/>
      <c r="E301" s="61"/>
      <c r="F301" s="61"/>
      <c r="G301" s="61"/>
      <c r="H301" s="61"/>
      <c r="I301" s="61"/>
    </row>
    <row r="302" spans="1:9" x14ac:dyDescent="0.25">
      <c r="A302" s="61"/>
      <c r="B302" s="61"/>
      <c r="C302" s="61"/>
      <c r="D302" s="61"/>
      <c r="E302" s="61"/>
      <c r="F302" s="61"/>
      <c r="G302" s="61"/>
      <c r="H302" s="61"/>
      <c r="I302" s="61"/>
    </row>
    <row r="303" spans="1:9" x14ac:dyDescent="0.25">
      <c r="A303" s="61"/>
      <c r="B303" s="61"/>
      <c r="C303" s="61"/>
      <c r="D303" s="61"/>
      <c r="E303" s="61"/>
      <c r="F303" s="61"/>
      <c r="G303" s="61"/>
      <c r="H303" s="61"/>
      <c r="I303" s="61"/>
    </row>
    <row r="304" spans="1:9" x14ac:dyDescent="0.25">
      <c r="A304" s="61"/>
      <c r="B304" s="61"/>
      <c r="C304" s="61"/>
      <c r="D304" s="61"/>
      <c r="E304" s="61"/>
      <c r="F304" s="61"/>
      <c r="G304" s="61"/>
      <c r="H304" s="61"/>
      <c r="I304" s="61"/>
    </row>
    <row r="305" spans="1:9" x14ac:dyDescent="0.25">
      <c r="A305" s="61"/>
      <c r="B305" s="61"/>
      <c r="C305" s="61"/>
      <c r="D305" s="61"/>
      <c r="E305" s="61"/>
      <c r="F305" s="61"/>
      <c r="G305" s="61"/>
      <c r="H305" s="61"/>
      <c r="I305" s="61"/>
    </row>
    <row r="306" spans="1:9" x14ac:dyDescent="0.25">
      <c r="A306" s="61"/>
      <c r="B306" s="61"/>
      <c r="C306" s="61"/>
      <c r="D306" s="61"/>
      <c r="E306" s="61"/>
      <c r="F306" s="61"/>
      <c r="G306" s="61"/>
      <c r="H306" s="61"/>
      <c r="I306" s="61"/>
    </row>
    <row r="307" spans="1:9" x14ac:dyDescent="0.25">
      <c r="A307" s="61"/>
      <c r="B307" s="61"/>
      <c r="C307" s="61"/>
      <c r="D307" s="61"/>
      <c r="E307" s="61"/>
      <c r="F307" s="61"/>
      <c r="G307" s="61"/>
      <c r="H307" s="61"/>
      <c r="I307" s="61"/>
    </row>
    <row r="308" spans="1:9" x14ac:dyDescent="0.25">
      <c r="A308" s="61"/>
      <c r="B308" s="61"/>
      <c r="C308" s="61"/>
      <c r="D308" s="61"/>
      <c r="E308" s="61"/>
      <c r="F308" s="61"/>
      <c r="G308" s="61"/>
      <c r="H308" s="61"/>
      <c r="I308" s="61"/>
    </row>
    <row r="309" spans="1:9" x14ac:dyDescent="0.25">
      <c r="A309" s="61"/>
      <c r="B309" s="61"/>
      <c r="C309" s="61"/>
      <c r="D309" s="61"/>
      <c r="E309" s="61"/>
      <c r="F309" s="61"/>
      <c r="G309" s="61"/>
      <c r="H309" s="61"/>
      <c r="I309" s="61"/>
    </row>
    <row r="310" spans="1:9" x14ac:dyDescent="0.25">
      <c r="A310" s="61"/>
      <c r="B310" s="61"/>
      <c r="C310" s="61"/>
      <c r="D310" s="61"/>
      <c r="E310" s="61"/>
      <c r="F310" s="61"/>
      <c r="G310" s="61"/>
      <c r="H310" s="61"/>
      <c r="I310" s="61"/>
    </row>
    <row r="311" spans="1:9" x14ac:dyDescent="0.25">
      <c r="A311" s="61"/>
      <c r="B311" s="61"/>
      <c r="C311" s="61"/>
      <c r="D311" s="61"/>
      <c r="E311" s="61"/>
      <c r="F311" s="61"/>
      <c r="G311" s="61"/>
      <c r="H311" s="61"/>
      <c r="I311" s="61"/>
    </row>
    <row r="312" spans="1:9" x14ac:dyDescent="0.25">
      <c r="A312" s="61"/>
      <c r="B312" s="61"/>
      <c r="C312" s="61"/>
      <c r="D312" s="61"/>
      <c r="E312" s="61"/>
      <c r="F312" s="61"/>
      <c r="G312" s="61"/>
      <c r="H312" s="61"/>
      <c r="I312" s="61"/>
    </row>
    <row r="313" spans="1:9" x14ac:dyDescent="0.25">
      <c r="A313" s="61"/>
      <c r="B313" s="61"/>
      <c r="C313" s="61"/>
      <c r="D313" s="61"/>
      <c r="E313" s="61"/>
      <c r="F313" s="61"/>
      <c r="G313" s="61"/>
      <c r="H313" s="61"/>
      <c r="I313" s="61"/>
    </row>
    <row r="314" spans="1:9" x14ac:dyDescent="0.25">
      <c r="A314" s="61"/>
      <c r="B314" s="61"/>
      <c r="C314" s="61"/>
      <c r="D314" s="61"/>
      <c r="E314" s="61"/>
      <c r="F314" s="61"/>
      <c r="G314" s="61"/>
      <c r="H314" s="61"/>
      <c r="I314" s="61"/>
    </row>
    <row r="315" spans="1:9" x14ac:dyDescent="0.25">
      <c r="A315" s="61"/>
      <c r="B315" s="61"/>
      <c r="C315" s="61"/>
      <c r="D315" s="61"/>
      <c r="E315" s="61"/>
      <c r="F315" s="61"/>
      <c r="G315" s="61"/>
      <c r="H315" s="61"/>
      <c r="I315" s="61"/>
    </row>
    <row r="316" spans="1:9" x14ac:dyDescent="0.25">
      <c r="A316" s="61"/>
      <c r="B316" s="61"/>
      <c r="C316" s="61"/>
      <c r="D316" s="61"/>
      <c r="E316" s="61"/>
      <c r="F316" s="61"/>
      <c r="G316" s="61"/>
      <c r="H316" s="61"/>
      <c r="I316" s="61"/>
    </row>
    <row r="317" spans="1:9" x14ac:dyDescent="0.25">
      <c r="A317" s="61"/>
      <c r="B317" s="61"/>
      <c r="C317" s="61"/>
      <c r="D317" s="61"/>
      <c r="E317" s="61"/>
      <c r="F317" s="61"/>
      <c r="G317" s="61"/>
      <c r="H317" s="61"/>
      <c r="I317" s="61"/>
    </row>
    <row r="318" spans="1:9" x14ac:dyDescent="0.25">
      <c r="A318" s="61"/>
      <c r="B318" s="61"/>
      <c r="C318" s="61"/>
      <c r="D318" s="61"/>
      <c r="E318" s="61"/>
      <c r="F318" s="61"/>
      <c r="G318" s="61"/>
      <c r="H318" s="61"/>
      <c r="I318" s="61"/>
    </row>
    <row r="319" spans="1:9" x14ac:dyDescent="0.25">
      <c r="A319" s="61"/>
      <c r="B319" s="61"/>
      <c r="C319" s="61"/>
      <c r="D319" s="61"/>
      <c r="E319" s="61"/>
      <c r="F319" s="61"/>
      <c r="G319" s="61"/>
      <c r="H319" s="61"/>
      <c r="I319" s="61"/>
    </row>
    <row r="320" spans="1:9" x14ac:dyDescent="0.25">
      <c r="A320" s="61"/>
      <c r="B320" s="61"/>
      <c r="C320" s="61"/>
      <c r="D320" s="61"/>
      <c r="E320" s="61"/>
      <c r="F320" s="61"/>
      <c r="G320" s="61"/>
      <c r="H320" s="61"/>
      <c r="I320" s="61"/>
    </row>
    <row r="321" spans="1:9" x14ac:dyDescent="0.25">
      <c r="A321" s="61"/>
      <c r="B321" s="61"/>
      <c r="C321" s="61"/>
      <c r="D321" s="61"/>
      <c r="E321" s="61"/>
      <c r="F321" s="61"/>
      <c r="G321" s="61"/>
      <c r="H321" s="61"/>
      <c r="I321" s="61"/>
    </row>
    <row r="322" spans="1:9" x14ac:dyDescent="0.25">
      <c r="A322" s="61"/>
      <c r="B322" s="61"/>
      <c r="C322" s="61"/>
      <c r="D322" s="61"/>
      <c r="E322" s="61"/>
      <c r="F322" s="61"/>
      <c r="G322" s="61"/>
      <c r="H322" s="61"/>
      <c r="I322" s="61"/>
    </row>
    <row r="323" spans="1:9" x14ac:dyDescent="0.25">
      <c r="A323" s="61"/>
      <c r="B323" s="61"/>
      <c r="C323" s="61"/>
      <c r="D323" s="61"/>
      <c r="E323" s="61"/>
      <c r="F323" s="61"/>
      <c r="G323" s="61"/>
      <c r="H323" s="61"/>
      <c r="I323" s="61"/>
    </row>
    <row r="324" spans="1:9" x14ac:dyDescent="0.25">
      <c r="A324" s="61"/>
      <c r="B324" s="61"/>
      <c r="C324" s="61"/>
      <c r="D324" s="61"/>
      <c r="E324" s="61"/>
      <c r="F324" s="61"/>
      <c r="G324" s="61"/>
      <c r="H324" s="61"/>
      <c r="I324" s="61"/>
    </row>
    <row r="325" spans="1:9" x14ac:dyDescent="0.25">
      <c r="A325" s="61"/>
      <c r="B325" s="61"/>
      <c r="C325" s="61"/>
      <c r="D325" s="61"/>
      <c r="E325" s="61"/>
      <c r="F325" s="61"/>
      <c r="G325" s="61"/>
      <c r="H325" s="61"/>
      <c r="I325" s="61"/>
    </row>
    <row r="326" spans="1:9" x14ac:dyDescent="0.25">
      <c r="A326" s="61"/>
      <c r="B326" s="61"/>
      <c r="C326" s="61"/>
      <c r="D326" s="61"/>
      <c r="E326" s="61"/>
      <c r="F326" s="61"/>
      <c r="G326" s="61"/>
      <c r="H326" s="61"/>
      <c r="I326" s="61"/>
    </row>
    <row r="327" spans="1:9" x14ac:dyDescent="0.25">
      <c r="A327" s="61"/>
      <c r="B327" s="61"/>
      <c r="C327" s="61"/>
      <c r="D327" s="61"/>
      <c r="E327" s="61"/>
      <c r="F327" s="61"/>
      <c r="G327" s="61"/>
      <c r="H327" s="61"/>
      <c r="I327" s="61"/>
    </row>
    <row r="328" spans="1:9" x14ac:dyDescent="0.25">
      <c r="A328" s="61"/>
      <c r="B328" s="61"/>
      <c r="C328" s="61"/>
      <c r="D328" s="61"/>
      <c r="E328" s="61"/>
      <c r="F328" s="61"/>
      <c r="G328" s="61"/>
      <c r="H328" s="61"/>
      <c r="I328" s="61"/>
    </row>
    <row r="329" spans="1:9" x14ac:dyDescent="0.25">
      <c r="A329" s="61"/>
      <c r="B329" s="61"/>
      <c r="C329" s="61"/>
      <c r="D329" s="61"/>
      <c r="E329" s="61"/>
      <c r="F329" s="61"/>
      <c r="G329" s="61"/>
      <c r="H329" s="61"/>
      <c r="I329" s="61"/>
    </row>
    <row r="330" spans="1:9" x14ac:dyDescent="0.25">
      <c r="A330" s="61"/>
      <c r="B330" s="61"/>
      <c r="C330" s="61"/>
      <c r="D330" s="61"/>
      <c r="E330" s="61"/>
      <c r="F330" s="61"/>
      <c r="G330" s="61"/>
      <c r="H330" s="61"/>
      <c r="I330" s="61"/>
    </row>
    <row r="331" spans="1:9" x14ac:dyDescent="0.25">
      <c r="A331" s="61"/>
      <c r="B331" s="61"/>
      <c r="C331" s="61"/>
      <c r="D331" s="61"/>
      <c r="E331" s="61"/>
      <c r="F331" s="61"/>
      <c r="G331" s="61"/>
      <c r="H331" s="61"/>
      <c r="I331" s="61"/>
    </row>
    <row r="332" spans="1:9" x14ac:dyDescent="0.25">
      <c r="A332" s="61"/>
      <c r="B332" s="61"/>
      <c r="C332" s="61"/>
      <c r="D332" s="61"/>
      <c r="E332" s="61"/>
      <c r="F332" s="61"/>
      <c r="G332" s="61"/>
      <c r="H332" s="61"/>
      <c r="I332" s="61"/>
    </row>
    <row r="333" spans="1:9" x14ac:dyDescent="0.25">
      <c r="A333" s="61"/>
      <c r="B333" s="61"/>
      <c r="C333" s="61"/>
      <c r="D333" s="61"/>
      <c r="E333" s="61"/>
      <c r="F333" s="61"/>
      <c r="G333" s="61"/>
      <c r="H333" s="61"/>
      <c r="I333" s="61"/>
    </row>
    <row r="334" spans="1:9" x14ac:dyDescent="0.25">
      <c r="A334" s="61"/>
      <c r="B334" s="61"/>
      <c r="C334" s="61"/>
      <c r="D334" s="61"/>
      <c r="E334" s="61"/>
      <c r="F334" s="61"/>
      <c r="G334" s="61"/>
      <c r="H334" s="61"/>
      <c r="I334" s="61"/>
    </row>
    <row r="335" spans="1:9" x14ac:dyDescent="0.25">
      <c r="A335" s="61"/>
      <c r="B335" s="61"/>
      <c r="C335" s="61"/>
      <c r="D335" s="61"/>
      <c r="E335" s="61"/>
      <c r="F335" s="61"/>
      <c r="G335" s="61"/>
      <c r="H335" s="61"/>
      <c r="I335" s="61"/>
    </row>
    <row r="336" spans="1:9" x14ac:dyDescent="0.25">
      <c r="A336" s="61"/>
      <c r="B336" s="61"/>
      <c r="C336" s="61"/>
      <c r="D336" s="61"/>
      <c r="E336" s="61"/>
      <c r="F336" s="61"/>
      <c r="G336" s="61"/>
      <c r="H336" s="61"/>
      <c r="I336" s="61"/>
    </row>
    <row r="337" spans="1:9" x14ac:dyDescent="0.25">
      <c r="A337" s="61"/>
      <c r="B337" s="61"/>
      <c r="C337" s="61"/>
      <c r="D337" s="61"/>
      <c r="E337" s="61"/>
      <c r="F337" s="61"/>
      <c r="G337" s="61"/>
      <c r="H337" s="61"/>
      <c r="I337" s="61"/>
    </row>
    <row r="338" spans="1:9" x14ac:dyDescent="0.25">
      <c r="A338" s="61"/>
      <c r="B338" s="61"/>
      <c r="C338" s="61"/>
      <c r="D338" s="61"/>
      <c r="E338" s="61"/>
      <c r="F338" s="61"/>
      <c r="G338" s="61"/>
      <c r="H338" s="61"/>
      <c r="I338" s="61"/>
    </row>
    <row r="339" spans="1:9" x14ac:dyDescent="0.25">
      <c r="A339" s="61"/>
      <c r="B339" s="61"/>
      <c r="C339" s="61"/>
      <c r="D339" s="61"/>
      <c r="E339" s="61"/>
      <c r="F339" s="61"/>
      <c r="G339" s="61"/>
      <c r="H339" s="61"/>
      <c r="I339" s="61"/>
    </row>
    <row r="340" spans="1:9" x14ac:dyDescent="0.25">
      <c r="A340" s="61"/>
      <c r="B340" s="61"/>
      <c r="C340" s="61"/>
      <c r="D340" s="61"/>
      <c r="E340" s="61"/>
      <c r="F340" s="61"/>
      <c r="G340" s="61"/>
      <c r="H340" s="61"/>
      <c r="I340" s="61"/>
    </row>
    <row r="341" spans="1:9" x14ac:dyDescent="0.25">
      <c r="A341" s="61"/>
      <c r="B341" s="61"/>
      <c r="C341" s="61"/>
      <c r="D341" s="61"/>
      <c r="E341" s="61"/>
      <c r="F341" s="61"/>
      <c r="G341" s="61"/>
      <c r="H341" s="61"/>
      <c r="I341" s="61"/>
    </row>
    <row r="342" spans="1:9" x14ac:dyDescent="0.25">
      <c r="A342" s="61"/>
      <c r="B342" s="61"/>
      <c r="C342" s="61"/>
      <c r="D342" s="61"/>
      <c r="E342" s="61"/>
      <c r="F342" s="61"/>
      <c r="G342" s="61"/>
      <c r="H342" s="61"/>
      <c r="I342" s="61"/>
    </row>
    <row r="343" spans="1:9" x14ac:dyDescent="0.25">
      <c r="A343" s="61"/>
      <c r="B343" s="61"/>
      <c r="C343" s="61"/>
      <c r="D343" s="61"/>
      <c r="E343" s="61"/>
      <c r="F343" s="61"/>
      <c r="G343" s="61"/>
      <c r="H343" s="61"/>
      <c r="I343" s="61"/>
    </row>
    <row r="344" spans="1:9" x14ac:dyDescent="0.25">
      <c r="A344" s="61"/>
      <c r="B344" s="61"/>
      <c r="C344" s="61"/>
      <c r="D344" s="61"/>
      <c r="E344" s="61"/>
      <c r="F344" s="61"/>
      <c r="G344" s="61"/>
      <c r="H344" s="61"/>
      <c r="I344" s="61"/>
    </row>
    <row r="345" spans="1:9" x14ac:dyDescent="0.25">
      <c r="A345" s="61"/>
      <c r="B345" s="61"/>
      <c r="C345" s="61"/>
      <c r="D345" s="61"/>
      <c r="E345" s="61"/>
      <c r="F345" s="61"/>
      <c r="G345" s="61"/>
      <c r="H345" s="61"/>
      <c r="I345" s="61"/>
    </row>
    <row r="346" spans="1:9" x14ac:dyDescent="0.25">
      <c r="A346" s="61"/>
      <c r="B346" s="61"/>
      <c r="C346" s="61"/>
      <c r="D346" s="61"/>
      <c r="E346" s="61"/>
      <c r="F346" s="61"/>
      <c r="G346" s="61"/>
      <c r="H346" s="61"/>
      <c r="I346" s="61"/>
    </row>
    <row r="347" spans="1:9" x14ac:dyDescent="0.25">
      <c r="A347" s="61"/>
      <c r="B347" s="61"/>
      <c r="C347" s="61"/>
      <c r="D347" s="61"/>
      <c r="E347" s="61"/>
      <c r="F347" s="61"/>
      <c r="G347" s="61"/>
      <c r="H347" s="61"/>
      <c r="I347" s="61"/>
    </row>
    <row r="348" spans="1:9" x14ac:dyDescent="0.25">
      <c r="A348" s="61"/>
      <c r="B348" s="61"/>
      <c r="C348" s="61"/>
      <c r="D348" s="61"/>
      <c r="E348" s="61"/>
      <c r="F348" s="61"/>
      <c r="G348" s="61"/>
      <c r="H348" s="61"/>
      <c r="I348" s="61"/>
    </row>
    <row r="349" spans="1:9" x14ac:dyDescent="0.25">
      <c r="A349" s="61"/>
      <c r="B349" s="61"/>
      <c r="C349" s="61"/>
      <c r="D349" s="61"/>
      <c r="E349" s="61"/>
      <c r="F349" s="61"/>
      <c r="G349" s="61"/>
      <c r="H349" s="61"/>
      <c r="I349" s="61"/>
    </row>
    <row r="350" spans="1:9" x14ac:dyDescent="0.25">
      <c r="A350" s="61"/>
      <c r="B350" s="61"/>
      <c r="C350" s="61"/>
      <c r="D350" s="61"/>
      <c r="E350" s="61"/>
      <c r="F350" s="61"/>
      <c r="G350" s="61"/>
      <c r="H350" s="61"/>
      <c r="I350" s="61"/>
    </row>
    <row r="351" spans="1:9" x14ac:dyDescent="0.25">
      <c r="A351" s="61"/>
      <c r="B351" s="61"/>
      <c r="C351" s="61"/>
      <c r="D351" s="61"/>
      <c r="E351" s="61"/>
      <c r="F351" s="61"/>
      <c r="G351" s="61"/>
      <c r="H351" s="61"/>
      <c r="I351" s="61"/>
    </row>
    <row r="352" spans="1:9" x14ac:dyDescent="0.25">
      <c r="A352" s="61"/>
      <c r="B352" s="61"/>
      <c r="C352" s="61"/>
      <c r="D352" s="61"/>
      <c r="E352" s="61"/>
      <c r="F352" s="61"/>
      <c r="G352" s="61"/>
      <c r="H352" s="61"/>
      <c r="I352" s="61"/>
    </row>
    <row r="353" spans="1:9" x14ac:dyDescent="0.25">
      <c r="A353" s="61"/>
      <c r="B353" s="61"/>
      <c r="C353" s="61"/>
      <c r="D353" s="61"/>
      <c r="E353" s="61"/>
      <c r="F353" s="61"/>
      <c r="G353" s="61"/>
      <c r="H353" s="61"/>
      <c r="I353" s="61"/>
    </row>
    <row r="354" spans="1:9" x14ac:dyDescent="0.25">
      <c r="A354" s="61"/>
      <c r="B354" s="61"/>
      <c r="C354" s="61"/>
      <c r="D354" s="61"/>
      <c r="E354" s="61"/>
      <c r="F354" s="61"/>
      <c r="G354" s="61"/>
      <c r="H354" s="61"/>
      <c r="I354" s="61"/>
    </row>
    <row r="355" spans="1:9" x14ac:dyDescent="0.25">
      <c r="A355" s="61"/>
      <c r="B355" s="61"/>
      <c r="C355" s="61"/>
      <c r="D355" s="61"/>
      <c r="E355" s="61"/>
      <c r="F355" s="61"/>
      <c r="G355" s="61"/>
      <c r="H355" s="61"/>
      <c r="I355" s="61"/>
    </row>
    <row r="356" spans="1:9" x14ac:dyDescent="0.25">
      <c r="A356" s="61"/>
      <c r="B356" s="61"/>
      <c r="C356" s="61"/>
      <c r="D356" s="61"/>
      <c r="E356" s="61"/>
      <c r="F356" s="61"/>
      <c r="G356" s="61"/>
      <c r="H356" s="61"/>
      <c r="I356" s="61"/>
    </row>
    <row r="357" spans="1:9" x14ac:dyDescent="0.25">
      <c r="A357" s="61"/>
      <c r="B357" s="61"/>
      <c r="C357" s="61"/>
      <c r="D357" s="61"/>
      <c r="E357" s="61"/>
      <c r="F357" s="61"/>
      <c r="G357" s="61"/>
      <c r="H357" s="61"/>
      <c r="I357" s="61"/>
    </row>
    <row r="358" spans="1:9" x14ac:dyDescent="0.25">
      <c r="A358" s="61"/>
      <c r="B358" s="61"/>
      <c r="C358" s="61"/>
      <c r="D358" s="61"/>
      <c r="E358" s="61"/>
      <c r="F358" s="61"/>
      <c r="G358" s="61"/>
      <c r="H358" s="61"/>
      <c r="I358" s="61"/>
    </row>
    <row r="359" spans="1:9" x14ac:dyDescent="0.25">
      <c r="A359" s="61"/>
      <c r="B359" s="61"/>
      <c r="C359" s="61"/>
      <c r="D359" s="61"/>
      <c r="E359" s="61"/>
      <c r="F359" s="61"/>
      <c r="G359" s="61"/>
      <c r="H359" s="61"/>
      <c r="I359" s="61"/>
    </row>
    <row r="360" spans="1:9" x14ac:dyDescent="0.25">
      <c r="A360" s="61"/>
      <c r="B360" s="61"/>
      <c r="C360" s="61"/>
      <c r="D360" s="61"/>
      <c r="E360" s="61"/>
      <c r="F360" s="61"/>
      <c r="G360" s="61"/>
      <c r="H360" s="61"/>
      <c r="I360" s="61"/>
    </row>
    <row r="361" spans="1:9" x14ac:dyDescent="0.25">
      <c r="A361" s="61"/>
      <c r="B361" s="61"/>
      <c r="C361" s="61"/>
      <c r="D361" s="61"/>
      <c r="E361" s="61"/>
      <c r="F361" s="61"/>
      <c r="G361" s="61"/>
      <c r="H361" s="61"/>
      <c r="I361" s="61"/>
    </row>
    <row r="362" spans="1:9" x14ac:dyDescent="0.25">
      <c r="A362" s="61"/>
      <c r="B362" s="61"/>
      <c r="C362" s="61"/>
      <c r="D362" s="61"/>
      <c r="E362" s="61"/>
      <c r="F362" s="61"/>
      <c r="G362" s="61"/>
      <c r="H362" s="61"/>
      <c r="I362" s="61"/>
    </row>
    <row r="363" spans="1:9" x14ac:dyDescent="0.25">
      <c r="A363" s="61"/>
      <c r="B363" s="61"/>
      <c r="C363" s="61"/>
      <c r="D363" s="61"/>
      <c r="E363" s="61"/>
      <c r="F363" s="61"/>
      <c r="G363" s="61"/>
      <c r="H363" s="61"/>
      <c r="I363" s="61"/>
    </row>
    <row r="364" spans="1:9" x14ac:dyDescent="0.25">
      <c r="A364" s="61"/>
      <c r="B364" s="61"/>
      <c r="C364" s="61"/>
      <c r="D364" s="61"/>
      <c r="E364" s="61"/>
      <c r="F364" s="61"/>
      <c r="G364" s="61"/>
      <c r="H364" s="61"/>
      <c r="I364" s="61"/>
    </row>
    <row r="365" spans="1:9" x14ac:dyDescent="0.25">
      <c r="A365" s="61"/>
      <c r="B365" s="61"/>
      <c r="C365" s="61"/>
      <c r="D365" s="61"/>
      <c r="E365" s="61"/>
      <c r="F365" s="61"/>
      <c r="G365" s="61"/>
      <c r="H365" s="61"/>
      <c r="I365" s="61"/>
    </row>
    <row r="366" spans="1:9" x14ac:dyDescent="0.25">
      <c r="A366" s="61"/>
      <c r="B366" s="61"/>
      <c r="C366" s="61"/>
      <c r="D366" s="61"/>
      <c r="E366" s="61"/>
      <c r="F366" s="61"/>
      <c r="G366" s="61"/>
      <c r="H366" s="61"/>
      <c r="I366" s="61"/>
    </row>
    <row r="367" spans="1:9" x14ac:dyDescent="0.25">
      <c r="A367" s="61"/>
      <c r="B367" s="61"/>
      <c r="C367" s="61"/>
      <c r="D367" s="61"/>
      <c r="E367" s="61"/>
      <c r="F367" s="61"/>
      <c r="G367" s="61"/>
      <c r="H367" s="61"/>
      <c r="I367" s="61"/>
    </row>
    <row r="368" spans="1:9" x14ac:dyDescent="0.25">
      <c r="A368" s="61"/>
      <c r="B368" s="61"/>
      <c r="C368" s="61"/>
      <c r="D368" s="61"/>
      <c r="E368" s="61"/>
      <c r="F368" s="61"/>
      <c r="G368" s="61"/>
      <c r="H368" s="61"/>
      <c r="I368" s="61"/>
    </row>
    <row r="369" spans="1:9" x14ac:dyDescent="0.25">
      <c r="A369" s="61"/>
      <c r="B369" s="61"/>
      <c r="C369" s="61"/>
      <c r="D369" s="61"/>
      <c r="E369" s="61"/>
      <c r="F369" s="61"/>
      <c r="G369" s="61"/>
      <c r="H369" s="61"/>
      <c r="I369" s="61"/>
    </row>
    <row r="370" spans="1:9" x14ac:dyDescent="0.25">
      <c r="A370" s="61"/>
      <c r="B370" s="61"/>
      <c r="C370" s="61"/>
      <c r="D370" s="61"/>
      <c r="E370" s="61"/>
      <c r="F370" s="61"/>
      <c r="G370" s="61"/>
      <c r="H370" s="61"/>
      <c r="I370" s="61"/>
    </row>
    <row r="371" spans="1:9" x14ac:dyDescent="0.25">
      <c r="A371" s="61"/>
      <c r="B371" s="61"/>
      <c r="C371" s="61"/>
      <c r="D371" s="61"/>
      <c r="E371" s="61"/>
      <c r="F371" s="61"/>
      <c r="G371" s="61"/>
      <c r="H371" s="61"/>
      <c r="I371" s="61"/>
    </row>
    <row r="372" spans="1:9" x14ac:dyDescent="0.25">
      <c r="A372" s="61"/>
      <c r="B372" s="61"/>
      <c r="C372" s="61"/>
      <c r="D372" s="61"/>
      <c r="E372" s="61"/>
      <c r="F372" s="61"/>
      <c r="G372" s="61"/>
      <c r="H372" s="61"/>
      <c r="I372" s="61"/>
    </row>
    <row r="373" spans="1:9" x14ac:dyDescent="0.25">
      <c r="A373" s="61"/>
      <c r="B373" s="61"/>
      <c r="C373" s="61"/>
      <c r="D373" s="61"/>
      <c r="E373" s="61"/>
      <c r="F373" s="61"/>
      <c r="G373" s="61"/>
      <c r="H373" s="61"/>
      <c r="I373" s="61"/>
    </row>
    <row r="374" spans="1:9" x14ac:dyDescent="0.25">
      <c r="A374" s="61"/>
      <c r="B374" s="61"/>
      <c r="C374" s="61"/>
      <c r="D374" s="61"/>
      <c r="E374" s="61"/>
      <c r="F374" s="61"/>
      <c r="G374" s="61"/>
      <c r="H374" s="61"/>
      <c r="I374" s="61"/>
    </row>
    <row r="375" spans="1:9" x14ac:dyDescent="0.25">
      <c r="A375" s="61"/>
      <c r="B375" s="61"/>
      <c r="C375" s="61"/>
      <c r="D375" s="61"/>
      <c r="E375" s="61"/>
      <c r="F375" s="61"/>
      <c r="G375" s="61"/>
      <c r="H375" s="61"/>
      <c r="I375" s="61"/>
    </row>
    <row r="376" spans="1:9" x14ac:dyDescent="0.25">
      <c r="A376" s="61"/>
      <c r="B376" s="61"/>
      <c r="C376" s="61"/>
      <c r="D376" s="61"/>
      <c r="E376" s="61"/>
      <c r="F376" s="61"/>
      <c r="G376" s="61"/>
      <c r="H376" s="61"/>
      <c r="I376" s="61"/>
    </row>
    <row r="377" spans="1:9" x14ac:dyDescent="0.25">
      <c r="A377" s="61"/>
      <c r="B377" s="61"/>
      <c r="C377" s="61"/>
      <c r="D377" s="61"/>
      <c r="E377" s="61"/>
      <c r="F377" s="61"/>
      <c r="G377" s="61"/>
      <c r="H377" s="61"/>
      <c r="I377" s="61"/>
    </row>
    <row r="378" spans="1:9" x14ac:dyDescent="0.25">
      <c r="A378" s="61"/>
      <c r="B378" s="61"/>
      <c r="C378" s="61"/>
      <c r="D378" s="61"/>
      <c r="E378" s="61"/>
      <c r="F378" s="61"/>
      <c r="G378" s="61"/>
      <c r="H378" s="61"/>
      <c r="I378" s="61"/>
    </row>
    <row r="379" spans="1:9" x14ac:dyDescent="0.25">
      <c r="A379" s="61"/>
      <c r="B379" s="61"/>
      <c r="C379" s="61"/>
      <c r="D379" s="61"/>
      <c r="E379" s="61"/>
      <c r="F379" s="61"/>
      <c r="G379" s="61"/>
      <c r="H379" s="61"/>
      <c r="I379" s="61"/>
    </row>
    <row r="380" spans="1:9" x14ac:dyDescent="0.25">
      <c r="A380" s="61"/>
      <c r="B380" s="61"/>
      <c r="C380" s="61"/>
      <c r="D380" s="61"/>
      <c r="E380" s="61"/>
      <c r="F380" s="61"/>
      <c r="G380" s="61"/>
      <c r="H380" s="61"/>
      <c r="I380" s="61"/>
    </row>
    <row r="381" spans="1:9" x14ac:dyDescent="0.25">
      <c r="A381" s="61"/>
      <c r="B381" s="61"/>
      <c r="C381" s="61"/>
      <c r="D381" s="61"/>
      <c r="E381" s="61"/>
      <c r="F381" s="61"/>
      <c r="G381" s="61"/>
      <c r="H381" s="61"/>
      <c r="I381" s="61"/>
    </row>
    <row r="382" spans="1:9" x14ac:dyDescent="0.25">
      <c r="A382" s="61"/>
      <c r="B382" s="61"/>
      <c r="C382" s="61"/>
      <c r="D382" s="61"/>
      <c r="E382" s="61"/>
      <c r="F382" s="61"/>
      <c r="G382" s="61"/>
      <c r="H382" s="61"/>
      <c r="I382" s="61"/>
    </row>
    <row r="383" spans="1:9" x14ac:dyDescent="0.25">
      <c r="A383" s="61"/>
      <c r="B383" s="61"/>
      <c r="C383" s="61"/>
      <c r="D383" s="61"/>
      <c r="E383" s="61"/>
      <c r="F383" s="61"/>
      <c r="G383" s="61"/>
      <c r="H383" s="61"/>
      <c r="I383" s="61"/>
    </row>
    <row r="384" spans="1:9" x14ac:dyDescent="0.25">
      <c r="A384" s="61"/>
      <c r="B384" s="61"/>
      <c r="C384" s="61"/>
      <c r="D384" s="61"/>
      <c r="E384" s="61"/>
      <c r="F384" s="61"/>
      <c r="G384" s="61"/>
      <c r="H384" s="61"/>
      <c r="I384" s="61"/>
    </row>
    <row r="385" spans="1:9" x14ac:dyDescent="0.25">
      <c r="A385" s="61"/>
      <c r="B385" s="61"/>
      <c r="C385" s="61"/>
      <c r="D385" s="61"/>
      <c r="E385" s="61"/>
      <c r="F385" s="61"/>
      <c r="G385" s="61"/>
      <c r="H385" s="61"/>
      <c r="I385" s="61"/>
    </row>
    <row r="386" spans="1:9" x14ac:dyDescent="0.25">
      <c r="A386" s="61"/>
      <c r="B386" s="61"/>
      <c r="C386" s="61"/>
      <c r="D386" s="61"/>
      <c r="E386" s="61"/>
      <c r="F386" s="61"/>
      <c r="G386" s="61"/>
      <c r="H386" s="61"/>
      <c r="I386" s="61"/>
    </row>
    <row r="387" spans="1:9" x14ac:dyDescent="0.25">
      <c r="A387" s="61"/>
      <c r="B387" s="61"/>
      <c r="C387" s="61"/>
      <c r="D387" s="61"/>
      <c r="E387" s="61"/>
      <c r="F387" s="61"/>
      <c r="G387" s="61"/>
      <c r="H387" s="61"/>
      <c r="I387" s="61"/>
    </row>
    <row r="388" spans="1:9" x14ac:dyDescent="0.25">
      <c r="A388" s="61"/>
      <c r="B388" s="61"/>
      <c r="C388" s="61"/>
      <c r="D388" s="61"/>
      <c r="E388" s="61"/>
      <c r="F388" s="61"/>
      <c r="G388" s="61"/>
      <c r="H388" s="61"/>
      <c r="I388" s="61"/>
    </row>
    <row r="389" spans="1:9" x14ac:dyDescent="0.25">
      <c r="A389" s="61"/>
      <c r="B389" s="61"/>
      <c r="C389" s="61"/>
      <c r="D389" s="61"/>
      <c r="E389" s="61"/>
      <c r="F389" s="61"/>
      <c r="G389" s="61"/>
      <c r="H389" s="61"/>
      <c r="I389" s="61"/>
    </row>
    <row r="390" spans="1:9" x14ac:dyDescent="0.25">
      <c r="A390" s="61"/>
      <c r="B390" s="61"/>
      <c r="C390" s="61"/>
      <c r="D390" s="61"/>
      <c r="E390" s="61"/>
      <c r="F390" s="61"/>
      <c r="G390" s="61"/>
      <c r="H390" s="61"/>
      <c r="I390" s="61"/>
    </row>
    <row r="391" spans="1:9" x14ac:dyDescent="0.25">
      <c r="A391" s="61"/>
      <c r="B391" s="61"/>
      <c r="C391" s="61"/>
      <c r="D391" s="61"/>
      <c r="E391" s="61"/>
      <c r="F391" s="61"/>
      <c r="G391" s="61"/>
      <c r="H391" s="61"/>
      <c r="I391" s="61"/>
    </row>
    <row r="392" spans="1:9" x14ac:dyDescent="0.25">
      <c r="A392" s="61"/>
      <c r="B392" s="61"/>
      <c r="C392" s="61"/>
      <c r="D392" s="61"/>
      <c r="E392" s="61"/>
      <c r="F392" s="61"/>
      <c r="G392" s="61"/>
      <c r="H392" s="61"/>
      <c r="I392" s="61"/>
    </row>
    <row r="393" spans="1:9" x14ac:dyDescent="0.25">
      <c r="A393" s="61"/>
      <c r="B393" s="61"/>
      <c r="C393" s="61"/>
      <c r="D393" s="61"/>
      <c r="E393" s="61"/>
      <c r="F393" s="61"/>
      <c r="G393" s="61"/>
      <c r="H393" s="61"/>
      <c r="I393" s="61"/>
    </row>
    <row r="394" spans="1:9" x14ac:dyDescent="0.25">
      <c r="A394" s="61"/>
      <c r="B394" s="61"/>
      <c r="C394" s="61"/>
      <c r="D394" s="61"/>
      <c r="E394" s="61"/>
      <c r="F394" s="61"/>
      <c r="G394" s="61"/>
      <c r="H394" s="61"/>
      <c r="I394" s="61"/>
    </row>
    <row r="395" spans="1:9" x14ac:dyDescent="0.25">
      <c r="A395" s="61"/>
      <c r="B395" s="61"/>
      <c r="C395" s="61"/>
      <c r="D395" s="61"/>
      <c r="E395" s="61"/>
      <c r="F395" s="61"/>
      <c r="G395" s="61"/>
      <c r="H395" s="61"/>
      <c r="I395" s="61"/>
    </row>
    <row r="396" spans="1:9" x14ac:dyDescent="0.25">
      <c r="A396" s="61"/>
      <c r="B396" s="61"/>
      <c r="C396" s="61"/>
      <c r="D396" s="61"/>
      <c r="E396" s="61"/>
      <c r="F396" s="61"/>
      <c r="G396" s="61"/>
      <c r="H396" s="61"/>
      <c r="I396" s="61"/>
    </row>
    <row r="397" spans="1:9" x14ac:dyDescent="0.25">
      <c r="A397" s="61"/>
      <c r="B397" s="61"/>
      <c r="C397" s="61"/>
      <c r="D397" s="61"/>
      <c r="E397" s="61"/>
      <c r="F397" s="61"/>
      <c r="G397" s="61"/>
      <c r="H397" s="61"/>
      <c r="I397" s="61"/>
    </row>
    <row r="398" spans="1:9" x14ac:dyDescent="0.25">
      <c r="A398" s="61"/>
      <c r="B398" s="61"/>
      <c r="C398" s="61"/>
      <c r="D398" s="61"/>
      <c r="E398" s="61"/>
      <c r="F398" s="61"/>
      <c r="G398" s="61"/>
      <c r="H398" s="61"/>
      <c r="I398" s="61"/>
    </row>
    <row r="399" spans="1:9" x14ac:dyDescent="0.25">
      <c r="A399" s="61"/>
      <c r="B399" s="61"/>
      <c r="C399" s="61"/>
      <c r="D399" s="61"/>
      <c r="E399" s="61"/>
      <c r="F399" s="61"/>
      <c r="G399" s="61"/>
      <c r="H399" s="61"/>
      <c r="I399" s="61"/>
    </row>
    <row r="400" spans="1:9" x14ac:dyDescent="0.25">
      <c r="A400" s="61"/>
      <c r="B400" s="61"/>
      <c r="C400" s="61"/>
      <c r="D400" s="61"/>
      <c r="E400" s="61"/>
      <c r="F400" s="61"/>
      <c r="G400" s="61"/>
      <c r="H400" s="61"/>
      <c r="I400" s="61"/>
    </row>
    <row r="401" spans="1:9" x14ac:dyDescent="0.25">
      <c r="A401" s="61"/>
      <c r="B401" s="61"/>
      <c r="C401" s="61"/>
      <c r="D401" s="61"/>
      <c r="E401" s="61"/>
      <c r="F401" s="61"/>
      <c r="G401" s="61"/>
      <c r="H401" s="61"/>
      <c r="I401" s="61"/>
    </row>
    <row r="402" spans="1:9" x14ac:dyDescent="0.25">
      <c r="A402" s="61"/>
      <c r="B402" s="61"/>
      <c r="C402" s="61"/>
      <c r="D402" s="61"/>
      <c r="E402" s="61"/>
      <c r="F402" s="61"/>
      <c r="G402" s="61"/>
      <c r="H402" s="61"/>
      <c r="I402" s="61"/>
    </row>
    <row r="403" spans="1:9" x14ac:dyDescent="0.25">
      <c r="A403" s="61"/>
      <c r="B403" s="61"/>
      <c r="C403" s="61"/>
      <c r="D403" s="61"/>
      <c r="E403" s="61"/>
      <c r="F403" s="61"/>
      <c r="G403" s="61"/>
      <c r="H403" s="61"/>
      <c r="I403" s="61"/>
    </row>
    <row r="404" spans="1:9" x14ac:dyDescent="0.25">
      <c r="A404" s="61"/>
      <c r="B404" s="61"/>
      <c r="C404" s="61"/>
      <c r="D404" s="61"/>
      <c r="E404" s="61"/>
      <c r="F404" s="61"/>
      <c r="G404" s="61"/>
      <c r="H404" s="61"/>
      <c r="I404" s="61"/>
    </row>
    <row r="405" spans="1:9" x14ac:dyDescent="0.25">
      <c r="A405" s="61"/>
      <c r="B405" s="61"/>
      <c r="C405" s="61"/>
      <c r="D405" s="61"/>
      <c r="E405" s="61"/>
      <c r="F405" s="61"/>
      <c r="G405" s="61"/>
      <c r="H405" s="61"/>
      <c r="I405" s="61"/>
    </row>
    <row r="406" spans="1:9" x14ac:dyDescent="0.25">
      <c r="A406" s="61"/>
      <c r="B406" s="61"/>
      <c r="C406" s="61"/>
      <c r="D406" s="61"/>
      <c r="E406" s="61"/>
      <c r="F406" s="61"/>
      <c r="G406" s="61"/>
      <c r="H406" s="61"/>
      <c r="I406" s="61"/>
    </row>
    <row r="407" spans="1:9" x14ac:dyDescent="0.25">
      <c r="A407" s="61"/>
      <c r="B407" s="61"/>
      <c r="C407" s="61"/>
      <c r="D407" s="61"/>
      <c r="E407" s="61"/>
      <c r="F407" s="61"/>
      <c r="G407" s="61"/>
      <c r="H407" s="61"/>
      <c r="I407" s="61"/>
    </row>
    <row r="408" spans="1:9" x14ac:dyDescent="0.25">
      <c r="A408" s="61"/>
      <c r="B408" s="61"/>
      <c r="C408" s="61"/>
      <c r="D408" s="61"/>
      <c r="E408" s="61"/>
      <c r="F408" s="61"/>
      <c r="G408" s="61"/>
      <c r="H408" s="61"/>
      <c r="I408" s="61"/>
    </row>
    <row r="409" spans="1:9" x14ac:dyDescent="0.25">
      <c r="A409" s="61"/>
      <c r="B409" s="61"/>
      <c r="C409" s="61"/>
      <c r="D409" s="61"/>
      <c r="E409" s="61"/>
      <c r="F409" s="61"/>
      <c r="G409" s="61"/>
      <c r="H409" s="61"/>
      <c r="I409" s="61"/>
    </row>
    <row r="410" spans="1:9" x14ac:dyDescent="0.25">
      <c r="A410" s="61"/>
      <c r="B410" s="61"/>
      <c r="C410" s="61"/>
      <c r="D410" s="61"/>
      <c r="E410" s="61"/>
      <c r="F410" s="61"/>
      <c r="G410" s="61"/>
      <c r="H410" s="61"/>
      <c r="I410" s="61"/>
    </row>
    <row r="411" spans="1:9" x14ac:dyDescent="0.25">
      <c r="A411" s="61"/>
      <c r="B411" s="61"/>
      <c r="C411" s="61"/>
      <c r="D411" s="61"/>
      <c r="E411" s="61"/>
      <c r="F411" s="61"/>
      <c r="G411" s="61"/>
      <c r="H411" s="61"/>
      <c r="I411" s="61"/>
    </row>
    <row r="412" spans="1:9" x14ac:dyDescent="0.25">
      <c r="A412" s="61"/>
      <c r="B412" s="61"/>
      <c r="C412" s="61"/>
      <c r="D412" s="61"/>
      <c r="E412" s="61"/>
      <c r="F412" s="61"/>
      <c r="G412" s="61"/>
      <c r="H412" s="61"/>
      <c r="I412" s="61"/>
    </row>
    <row r="413" spans="1:9" x14ac:dyDescent="0.25">
      <c r="A413" s="61"/>
      <c r="B413" s="61"/>
      <c r="C413" s="61"/>
      <c r="D413" s="61"/>
      <c r="E413" s="61"/>
      <c r="F413" s="61"/>
      <c r="G413" s="61"/>
      <c r="H413" s="61"/>
      <c r="I413" s="61"/>
    </row>
    <row r="414" spans="1:9" x14ac:dyDescent="0.25">
      <c r="A414" s="61"/>
      <c r="B414" s="61"/>
      <c r="C414" s="61"/>
      <c r="D414" s="61"/>
      <c r="E414" s="61"/>
      <c r="F414" s="61"/>
      <c r="G414" s="61"/>
      <c r="H414" s="61"/>
      <c r="I414" s="61"/>
    </row>
    <row r="415" spans="1:9" x14ac:dyDescent="0.25">
      <c r="A415" s="61"/>
      <c r="B415" s="61"/>
      <c r="C415" s="61"/>
      <c r="D415" s="61"/>
      <c r="E415" s="61"/>
      <c r="F415" s="61"/>
      <c r="G415" s="61"/>
      <c r="H415" s="61"/>
      <c r="I415" s="61"/>
    </row>
    <row r="416" spans="1:9" x14ac:dyDescent="0.25">
      <c r="A416" s="61"/>
      <c r="B416" s="61"/>
      <c r="C416" s="61"/>
      <c r="D416" s="61"/>
      <c r="E416" s="61"/>
      <c r="F416" s="61"/>
      <c r="G416" s="61"/>
      <c r="H416" s="61"/>
      <c r="I416" s="61"/>
    </row>
    <row r="417" spans="1:9" x14ac:dyDescent="0.25">
      <c r="A417" s="61"/>
      <c r="B417" s="61"/>
      <c r="C417" s="61"/>
      <c r="D417" s="61"/>
      <c r="E417" s="61"/>
      <c r="F417" s="61"/>
      <c r="G417" s="61"/>
      <c r="H417" s="61"/>
      <c r="I417" s="61"/>
    </row>
    <row r="418" spans="1:9" x14ac:dyDescent="0.25">
      <c r="A418" s="61"/>
      <c r="B418" s="61"/>
      <c r="C418" s="61"/>
      <c r="D418" s="61"/>
      <c r="E418" s="61"/>
      <c r="F418" s="61"/>
      <c r="G418" s="61"/>
      <c r="H418" s="61"/>
      <c r="I418" s="61"/>
    </row>
    <row r="419" spans="1:9" x14ac:dyDescent="0.25">
      <c r="A419" s="61"/>
      <c r="B419" s="61"/>
      <c r="C419" s="61"/>
      <c r="D419" s="61"/>
      <c r="E419" s="61"/>
      <c r="F419" s="61"/>
      <c r="G419" s="61"/>
      <c r="H419" s="61"/>
      <c r="I419" s="61"/>
    </row>
    <row r="420" spans="1:9" x14ac:dyDescent="0.25">
      <c r="A420" s="61"/>
      <c r="B420" s="61"/>
      <c r="C420" s="61"/>
      <c r="D420" s="61"/>
      <c r="E420" s="61"/>
      <c r="F420" s="61"/>
      <c r="G420" s="61"/>
      <c r="H420" s="61"/>
      <c r="I420" s="61"/>
    </row>
    <row r="421" spans="1:9" x14ac:dyDescent="0.25">
      <c r="A421" s="61"/>
      <c r="B421" s="61"/>
      <c r="C421" s="61"/>
      <c r="D421" s="61"/>
      <c r="E421" s="61"/>
      <c r="F421" s="61"/>
      <c r="G421" s="61"/>
      <c r="H421" s="61"/>
      <c r="I421" s="61"/>
    </row>
    <row r="422" spans="1:9" x14ac:dyDescent="0.25">
      <c r="A422" s="61"/>
      <c r="B422" s="61"/>
      <c r="C422" s="61"/>
      <c r="D422" s="61"/>
      <c r="E422" s="61"/>
      <c r="F422" s="61"/>
      <c r="G422" s="61"/>
      <c r="H422" s="61"/>
      <c r="I422" s="61"/>
    </row>
    <row r="423" spans="1:9" x14ac:dyDescent="0.25">
      <c r="A423" s="61"/>
      <c r="B423" s="61"/>
      <c r="C423" s="61"/>
      <c r="D423" s="61"/>
      <c r="E423" s="61"/>
      <c r="F423" s="61"/>
      <c r="G423" s="61"/>
      <c r="H423" s="61"/>
      <c r="I423" s="61"/>
    </row>
  </sheetData>
  <mergeCells count="3">
    <mergeCell ref="A1:P1"/>
    <mergeCell ref="A3:B4"/>
    <mergeCell ref="C3:V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56"/>
  <sheetViews>
    <sheetView zoomScale="115" zoomScaleNormal="115" workbookViewId="0">
      <selection activeCell="B28" sqref="B28"/>
    </sheetView>
  </sheetViews>
  <sheetFormatPr defaultColWidth="8.85546875" defaultRowHeight="15" x14ac:dyDescent="0.25"/>
  <cols>
    <col min="1" max="1" width="8.85546875" style="29"/>
    <col min="2" max="2" width="63.42578125" style="29" bestFit="1" customWidth="1"/>
    <col min="3" max="16" width="8" style="29" customWidth="1"/>
    <col min="17" max="25" width="6.5703125" style="29" customWidth="1"/>
    <col min="26" max="16384" width="8.85546875" style="29"/>
  </cols>
  <sheetData>
    <row r="1" spans="1:25" x14ac:dyDescent="0.25">
      <c r="A1" s="238" t="s">
        <v>210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41"/>
      <c r="R1" s="41"/>
      <c r="S1" s="41"/>
      <c r="T1" s="41"/>
      <c r="U1" s="41"/>
      <c r="V1" s="41"/>
      <c r="W1" s="41"/>
      <c r="X1" s="41"/>
      <c r="Y1" s="41"/>
    </row>
    <row r="2" spans="1:25" x14ac:dyDescent="0.25">
      <c r="A2" s="100"/>
      <c r="B2" s="120"/>
      <c r="C2" s="120"/>
      <c r="D2" s="120"/>
      <c r="E2" s="120"/>
      <c r="F2" s="120"/>
      <c r="G2" s="120"/>
      <c r="H2" s="121"/>
      <c r="I2" s="12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x14ac:dyDescent="0.25">
      <c r="A3" s="239" t="s">
        <v>1</v>
      </c>
      <c r="B3" s="239"/>
      <c r="C3" s="265" t="s">
        <v>49</v>
      </c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41"/>
      <c r="Y3" s="41"/>
    </row>
    <row r="4" spans="1:25" x14ac:dyDescent="0.25">
      <c r="A4" s="239"/>
      <c r="B4" s="239"/>
      <c r="C4" s="122">
        <v>2002</v>
      </c>
      <c r="D4" s="122">
        <v>2003</v>
      </c>
      <c r="E4" s="122">
        <v>2004</v>
      </c>
      <c r="F4" s="122">
        <v>2005</v>
      </c>
      <c r="G4" s="122">
        <v>2006</v>
      </c>
      <c r="H4" s="122">
        <v>2007</v>
      </c>
      <c r="I4" s="122">
        <v>2008</v>
      </c>
      <c r="J4" s="58">
        <v>2009</v>
      </c>
      <c r="K4" s="58">
        <v>2010</v>
      </c>
      <c r="L4" s="58">
        <v>2011</v>
      </c>
      <c r="M4" s="58">
        <v>2012</v>
      </c>
      <c r="N4" s="58">
        <v>2013</v>
      </c>
      <c r="O4" s="58">
        <v>2014</v>
      </c>
      <c r="P4" s="58">
        <v>2015</v>
      </c>
      <c r="Q4" s="58">
        <v>2016</v>
      </c>
      <c r="R4" s="58">
        <v>2017</v>
      </c>
      <c r="S4" s="58">
        <v>2018</v>
      </c>
      <c r="T4" s="58">
        <v>2019</v>
      </c>
      <c r="U4" s="58">
        <v>2020</v>
      </c>
      <c r="V4" s="58">
        <v>2021</v>
      </c>
      <c r="W4" s="58">
        <v>2022</v>
      </c>
      <c r="X4" s="58">
        <v>2023</v>
      </c>
      <c r="Y4" s="58">
        <v>2024</v>
      </c>
    </row>
    <row r="5" spans="1:25" x14ac:dyDescent="0.25">
      <c r="A5" s="123">
        <v>1</v>
      </c>
      <c r="B5" s="46" t="s">
        <v>5</v>
      </c>
      <c r="C5" s="48"/>
      <c r="D5" s="48">
        <v>8.3183952309571367</v>
      </c>
      <c r="E5" s="48">
        <v>9.3947463438971397</v>
      </c>
      <c r="F5" s="48">
        <v>4.3642793460611671</v>
      </c>
      <c r="G5" s="48">
        <v>14.07540379377474</v>
      </c>
      <c r="H5" s="48">
        <v>5.5715823425654918</v>
      </c>
      <c r="I5" s="48">
        <v>5.6858678670867846</v>
      </c>
      <c r="J5" s="48">
        <v>5.315047025578437</v>
      </c>
      <c r="K5" s="48">
        <v>10.791356089361528</v>
      </c>
      <c r="L5" s="48">
        <v>7.5750490143126541</v>
      </c>
      <c r="M5" s="48">
        <v>6.3308804681505535</v>
      </c>
      <c r="N5" s="48">
        <v>4.5591422126829855</v>
      </c>
      <c r="O5" s="48">
        <v>7.9841669750579456</v>
      </c>
      <c r="P5" s="48">
        <v>3.8224767355103211</v>
      </c>
      <c r="Q5" s="48">
        <v>2.4507675745839066</v>
      </c>
      <c r="R5" s="48">
        <v>-7.5575882790488436E-2</v>
      </c>
      <c r="S5" s="48">
        <v>-0.67915358008841054</v>
      </c>
      <c r="T5" s="48">
        <v>-0.39963216749531227</v>
      </c>
      <c r="U5" s="48">
        <v>4.3375720633597012</v>
      </c>
      <c r="V5" s="48">
        <v>8.8303474433556204</v>
      </c>
      <c r="W5" s="48">
        <v>3.8454764011748495</v>
      </c>
      <c r="X5" s="48">
        <v>2.6701907652509078</v>
      </c>
      <c r="Y5" s="48">
        <v>5.8977805646122476</v>
      </c>
    </row>
    <row r="6" spans="1:25" x14ac:dyDescent="0.25">
      <c r="A6" s="124"/>
      <c r="B6" s="46" t="s">
        <v>6</v>
      </c>
      <c r="C6" s="50"/>
      <c r="D6" s="50">
        <v>8.3983943389876288</v>
      </c>
      <c r="E6" s="50">
        <v>9.6942046749858122</v>
      </c>
      <c r="F6" s="50">
        <v>4.3161188417969498</v>
      </c>
      <c r="G6" s="50">
        <v>13.389902443903324</v>
      </c>
      <c r="H6" s="50">
        <v>5.4788235625841821</v>
      </c>
      <c r="I6" s="50">
        <v>6.0204047127220264</v>
      </c>
      <c r="J6" s="50">
        <v>5.1350108018457234</v>
      </c>
      <c r="K6" s="50">
        <v>11.76234744658457</v>
      </c>
      <c r="L6" s="50">
        <v>6.9037062921960768</v>
      </c>
      <c r="M6" s="50">
        <v>5.999330276476428</v>
      </c>
      <c r="N6" s="50">
        <v>4.7968605777442264</v>
      </c>
      <c r="O6" s="50">
        <v>5.4734156816108168</v>
      </c>
      <c r="P6" s="50">
        <v>2.4652658730068424</v>
      </c>
      <c r="Q6" s="50">
        <v>1.7659919651882348</v>
      </c>
      <c r="R6" s="50">
        <v>6.4576317750137946E-2</v>
      </c>
      <c r="S6" s="50">
        <v>-0.26663931118334006</v>
      </c>
      <c r="T6" s="50">
        <v>1.3544906970559936</v>
      </c>
      <c r="U6" s="50">
        <v>5.4772823188110351</v>
      </c>
      <c r="V6" s="50">
        <v>5.1400000000000148</v>
      </c>
      <c r="W6" s="50">
        <v>3.7999999999999829</v>
      </c>
      <c r="X6" s="50">
        <v>2.6520661158778722</v>
      </c>
      <c r="Y6" s="50">
        <v>6.2179539612604628</v>
      </c>
    </row>
    <row r="7" spans="1:25" x14ac:dyDescent="0.25">
      <c r="A7" s="124"/>
      <c r="B7" s="124" t="s">
        <v>47</v>
      </c>
      <c r="C7" s="50"/>
      <c r="D7" s="50">
        <v>7.5785256720994028</v>
      </c>
      <c r="E7" s="50">
        <v>6.3857050147774714</v>
      </c>
      <c r="F7" s="50">
        <v>4.9350389538818149</v>
      </c>
      <c r="G7" s="50">
        <v>22.289837350169378</v>
      </c>
      <c r="H7" s="50">
        <v>6.5017581482033506</v>
      </c>
      <c r="I7" s="50">
        <v>2.2010415842711666</v>
      </c>
      <c r="J7" s="50">
        <v>7.0707604618524016</v>
      </c>
      <c r="K7" s="50">
        <v>1.221612925737233</v>
      </c>
      <c r="L7" s="50">
        <v>14.969999999999999</v>
      </c>
      <c r="M7" s="50">
        <v>9.7379308637543858</v>
      </c>
      <c r="N7" s="50">
        <v>2.38024070293379</v>
      </c>
      <c r="O7" s="50">
        <v>30.6589274646376</v>
      </c>
      <c r="P7" s="50">
        <v>14.197348336996811</v>
      </c>
      <c r="Q7" s="50">
        <v>7.4540368590521098</v>
      </c>
      <c r="R7" s="50">
        <v>-1.0910506490118195</v>
      </c>
      <c r="S7" s="50">
        <v>-3.7590263626551774</v>
      </c>
      <c r="T7" s="50">
        <v>-14.788288676057832</v>
      </c>
      <c r="U7" s="50">
        <v>-6.0775893475700968</v>
      </c>
      <c r="V7" s="50">
        <v>46.419999999999987</v>
      </c>
      <c r="W7" s="50">
        <v>4.2000000000000028</v>
      </c>
      <c r="X7" s="50">
        <v>2.8157013853554673</v>
      </c>
      <c r="Y7" s="50">
        <v>3.2210838796048904</v>
      </c>
    </row>
    <row r="8" spans="1:25" x14ac:dyDescent="0.25">
      <c r="A8" s="123">
        <v>2</v>
      </c>
      <c r="B8" s="46" t="s">
        <v>7</v>
      </c>
      <c r="C8" s="48"/>
      <c r="D8" s="48">
        <v>0.50906751611516654</v>
      </c>
      <c r="E8" s="48">
        <v>15.107566953129933</v>
      </c>
      <c r="F8" s="48">
        <v>19.849899424083731</v>
      </c>
      <c r="G8" s="48">
        <v>13.17684299820327</v>
      </c>
      <c r="H8" s="48">
        <v>19.459833641881957</v>
      </c>
      <c r="I8" s="48">
        <v>9.3731837431014355</v>
      </c>
      <c r="J8" s="48">
        <v>-3.2740312308795438</v>
      </c>
      <c r="K8" s="48">
        <v>3.1872974201406521</v>
      </c>
      <c r="L8" s="48">
        <v>-0.76646404990002281</v>
      </c>
      <c r="M8" s="48">
        <v>10.85402366879822</v>
      </c>
      <c r="N8" s="48">
        <v>3.9072510233372952</v>
      </c>
      <c r="O8" s="48">
        <v>-1.6947470080193341</v>
      </c>
      <c r="P8" s="48">
        <v>3.5185774131645076</v>
      </c>
      <c r="Q8" s="48">
        <v>0.7944565201924263</v>
      </c>
      <c r="R8" s="48">
        <v>-2.3990298238127679</v>
      </c>
      <c r="S8" s="48">
        <v>-3.6747217649591306</v>
      </c>
      <c r="T8" s="48">
        <v>-2.8955232419714605</v>
      </c>
      <c r="U8" s="48">
        <v>-10.00759392725648</v>
      </c>
      <c r="V8" s="48">
        <v>-6.0465503499042512</v>
      </c>
      <c r="W8" s="48">
        <v>4.7867543020731773</v>
      </c>
      <c r="X8" s="48">
        <v>1.0609879968754399E-2</v>
      </c>
      <c r="Y8" s="48">
        <v>4.864766151954953</v>
      </c>
    </row>
    <row r="9" spans="1:25" x14ac:dyDescent="0.25">
      <c r="A9" s="123"/>
      <c r="B9" s="46" t="s">
        <v>8</v>
      </c>
      <c r="C9" s="50"/>
      <c r="D9" s="50">
        <v>-3.8749524772044737</v>
      </c>
      <c r="E9" s="50">
        <v>13.7555858740199</v>
      </c>
      <c r="F9" s="50">
        <v>25.256772285398839</v>
      </c>
      <c r="G9" s="50">
        <v>12.96934671556555</v>
      </c>
      <c r="H9" s="50">
        <v>21.652374113726665</v>
      </c>
      <c r="I9" s="50">
        <v>10.171586878772999</v>
      </c>
      <c r="J9" s="50">
        <v>-6.2164048813682768</v>
      </c>
      <c r="K9" s="50">
        <v>-2.3148495892156262</v>
      </c>
      <c r="L9" s="50">
        <v>-5.0944430817166335</v>
      </c>
      <c r="M9" s="50">
        <v>8.4989387091339239</v>
      </c>
      <c r="N9" s="50">
        <v>-0.83284022305286953</v>
      </c>
      <c r="O9" s="50">
        <v>-2.4757429900539023</v>
      </c>
      <c r="P9" s="50">
        <v>10.986597721602692</v>
      </c>
      <c r="Q9" s="50">
        <v>-2.5457987053749207</v>
      </c>
      <c r="R9" s="50">
        <v>-8.5947161274466453</v>
      </c>
      <c r="S9" s="50">
        <v>-9.1895044919489521</v>
      </c>
      <c r="T9" s="50">
        <v>-7.1960940609897506</v>
      </c>
      <c r="U9" s="50">
        <v>-6.7299263045652538</v>
      </c>
      <c r="V9" s="50">
        <v>-11.450626634609506</v>
      </c>
      <c r="W9" s="50">
        <v>5.012030744576677</v>
      </c>
      <c r="X9" s="50">
        <v>-2.4164025678173573</v>
      </c>
      <c r="Y9" s="50">
        <v>3.3419817438081907</v>
      </c>
    </row>
    <row r="10" spans="1:25" x14ac:dyDescent="0.25">
      <c r="A10" s="123"/>
      <c r="B10" s="46" t="s">
        <v>9</v>
      </c>
      <c r="C10" s="50"/>
      <c r="D10" s="50">
        <v>19.806284674996078</v>
      </c>
      <c r="E10" s="50">
        <v>7.4830692030235895</v>
      </c>
      <c r="F10" s="50">
        <v>-16.574856438030835</v>
      </c>
      <c r="G10" s="50">
        <v>28.571303752543912</v>
      </c>
      <c r="H10" s="50">
        <v>19.106849583208756</v>
      </c>
      <c r="I10" s="50">
        <v>-1.8818318834851908</v>
      </c>
      <c r="J10" s="50">
        <v>4.3115567152619718</v>
      </c>
      <c r="K10" s="50">
        <v>-7.1509349515112319</v>
      </c>
      <c r="L10" s="50">
        <v>3.3630657937209492</v>
      </c>
      <c r="M10" s="50">
        <v>-2.1095712031338536</v>
      </c>
      <c r="N10" s="50">
        <v>4.0659313183615069</v>
      </c>
      <c r="O10" s="50">
        <v>0.67099999999997806</v>
      </c>
      <c r="P10" s="50">
        <v>6.5469699873913498</v>
      </c>
      <c r="Q10" s="50">
        <v>2.7999959024043619E-2</v>
      </c>
      <c r="R10" s="50">
        <v>-0.77964307271558653</v>
      </c>
      <c r="S10" s="50">
        <v>-3.0869814119276668</v>
      </c>
      <c r="T10" s="50">
        <v>4.5741133225345436</v>
      </c>
      <c r="U10" s="50">
        <v>-11.008873060811297</v>
      </c>
      <c r="V10" s="50">
        <v>10.430000000000007</v>
      </c>
      <c r="W10" s="50">
        <v>5.4300000000000068</v>
      </c>
      <c r="X10" s="50">
        <v>12.24068169195462</v>
      </c>
      <c r="Y10" s="50">
        <v>44.093122752925808</v>
      </c>
    </row>
    <row r="11" spans="1:25" x14ac:dyDescent="0.25">
      <c r="A11" s="123"/>
      <c r="B11" s="46" t="s">
        <v>10</v>
      </c>
      <c r="C11" s="50"/>
      <c r="D11" s="50">
        <v>6.2291452826921159</v>
      </c>
      <c r="E11" s="50">
        <v>19.858222216696504</v>
      </c>
      <c r="F11" s="50">
        <v>7.9470849220541311</v>
      </c>
      <c r="G11" s="50">
        <v>8.1203608206550086</v>
      </c>
      <c r="H11" s="50">
        <v>3.7370839230856205</v>
      </c>
      <c r="I11" s="50">
        <v>3.9363035562316639</v>
      </c>
      <c r="J11" s="50">
        <v>9.5084537488310019</v>
      </c>
      <c r="K11" s="50">
        <v>9.1177567213150041</v>
      </c>
      <c r="L11" s="50">
        <v>9.7724123628554906</v>
      </c>
      <c r="M11" s="50">
        <v>8.007469880756048</v>
      </c>
      <c r="N11" s="50">
        <v>7.8571077439422083</v>
      </c>
      <c r="O11" s="50">
        <v>-5.9797612434442442</v>
      </c>
      <c r="P11" s="50">
        <v>4.7051866053279667</v>
      </c>
      <c r="Q11" s="50">
        <v>5.0610463232490019</v>
      </c>
      <c r="R11" s="50">
        <v>1.6208820596907998</v>
      </c>
      <c r="S11" s="50">
        <v>1.1977985999745329</v>
      </c>
      <c r="T11" s="50">
        <v>-2.8096626731023804</v>
      </c>
      <c r="U11" s="50">
        <v>4.8306855588924122</v>
      </c>
      <c r="V11" s="50">
        <v>6.052477956221054</v>
      </c>
      <c r="W11" s="50">
        <v>2.9995063692090724</v>
      </c>
      <c r="X11" s="50">
        <v>5.4308899446125594</v>
      </c>
      <c r="Y11" s="50">
        <v>4.2293215292084341</v>
      </c>
    </row>
    <row r="12" spans="1:25" x14ac:dyDescent="0.25">
      <c r="A12" s="123"/>
      <c r="B12" s="46" t="s">
        <v>204</v>
      </c>
      <c r="C12" s="50"/>
      <c r="D12" s="50">
        <v>12.035862993712669</v>
      </c>
      <c r="E12" s="50">
        <v>14.105669432185252</v>
      </c>
      <c r="F12" s="50">
        <v>7.5220979666503922</v>
      </c>
      <c r="G12" s="50">
        <v>20.855088993769371</v>
      </c>
      <c r="H12" s="50">
        <v>8.706923628186388</v>
      </c>
      <c r="I12" s="50">
        <v>9.5057442563440731</v>
      </c>
      <c r="J12" s="50">
        <v>5.8900899911991473</v>
      </c>
      <c r="K12" s="50">
        <v>9.8312510287014447</v>
      </c>
      <c r="L12" s="50">
        <v>3.8529061466510086</v>
      </c>
      <c r="M12" s="50">
        <v>10.255634546407947</v>
      </c>
      <c r="N12" s="50">
        <v>25.29389948673068</v>
      </c>
      <c r="O12" s="50">
        <v>3.5979524433576273</v>
      </c>
      <c r="P12" s="50">
        <v>10.136998821376537</v>
      </c>
      <c r="Q12" s="50">
        <v>9.2074298987246124</v>
      </c>
      <c r="R12" s="50">
        <v>-1.687075000667221</v>
      </c>
      <c r="S12" s="50">
        <v>3.0683052934173958</v>
      </c>
      <c r="T12" s="50">
        <v>4.5023241371721383</v>
      </c>
      <c r="U12" s="50">
        <v>2.9149715761083996</v>
      </c>
      <c r="V12" s="50">
        <v>1.7899999999999778</v>
      </c>
      <c r="W12" s="50">
        <v>5.0329184036042278</v>
      </c>
      <c r="X12" s="50">
        <v>5.2571379444106725</v>
      </c>
      <c r="Y12" s="50">
        <v>4.0101281444571413</v>
      </c>
    </row>
    <row r="13" spans="1:25" x14ac:dyDescent="0.25">
      <c r="A13" s="123"/>
      <c r="B13" s="46" t="s">
        <v>11</v>
      </c>
      <c r="C13" s="50"/>
      <c r="D13" s="50">
        <v>16.418557900225906</v>
      </c>
      <c r="E13" s="50">
        <v>23.939903472872786</v>
      </c>
      <c r="F13" s="50">
        <v>13.054783990059576</v>
      </c>
      <c r="G13" s="50">
        <v>11.1909651422542</v>
      </c>
      <c r="H13" s="50">
        <v>17.371417085106032</v>
      </c>
      <c r="I13" s="50">
        <v>9.2628160211291544</v>
      </c>
      <c r="J13" s="50">
        <v>5.8771481767393396</v>
      </c>
      <c r="K13" s="50">
        <v>12.563809011657796</v>
      </c>
      <c r="L13" s="50">
        <v>8.3990888755678839</v>
      </c>
      <c r="M13" s="50">
        <v>23.917149529441346</v>
      </c>
      <c r="N13" s="50">
        <v>16.148479924496613</v>
      </c>
      <c r="O13" s="50">
        <v>1.3918770188863903</v>
      </c>
      <c r="P13" s="50">
        <v>-11.613153850661561</v>
      </c>
      <c r="Q13" s="50">
        <v>2.5457290781414059</v>
      </c>
      <c r="R13" s="50">
        <v>2.5057290781410018</v>
      </c>
      <c r="S13" s="50">
        <v>-5.30105314973639E-3</v>
      </c>
      <c r="T13" s="50">
        <v>4.4932392630848312</v>
      </c>
      <c r="U13" s="50">
        <v>-25.774476987677076</v>
      </c>
      <c r="V13" s="50">
        <v>-6.6899999999999835</v>
      </c>
      <c r="W13" s="50">
        <v>5.5099999999999909</v>
      </c>
      <c r="X13" s="50">
        <v>-1.508394885430036</v>
      </c>
      <c r="Y13" s="50">
        <v>2.3137069681762341</v>
      </c>
    </row>
    <row r="14" spans="1:25" x14ac:dyDescent="0.25">
      <c r="A14" s="123">
        <v>3</v>
      </c>
      <c r="B14" s="124" t="s">
        <v>12</v>
      </c>
      <c r="C14" s="48"/>
      <c r="D14" s="48">
        <v>4.9666105523373574</v>
      </c>
      <c r="E14" s="48">
        <v>8.0990815291663836</v>
      </c>
      <c r="F14" s="48">
        <v>9.1033028546491153</v>
      </c>
      <c r="G14" s="48">
        <v>9.5570310934917018</v>
      </c>
      <c r="H14" s="48">
        <v>4.8235988664375924</v>
      </c>
      <c r="I14" s="48">
        <v>12.681143320539022</v>
      </c>
      <c r="J14" s="48">
        <v>10.06092790241739</v>
      </c>
      <c r="K14" s="48">
        <v>6.5623796473270914</v>
      </c>
      <c r="L14" s="48">
        <v>9.183384357788384</v>
      </c>
      <c r="M14" s="48">
        <v>6.484262528161949</v>
      </c>
      <c r="N14" s="48">
        <v>6.4406442131413684</v>
      </c>
      <c r="O14" s="48">
        <v>11.529235184483483</v>
      </c>
      <c r="P14" s="48">
        <v>-1.4104318475498445</v>
      </c>
      <c r="Q14" s="48">
        <v>-4.0837279969998121</v>
      </c>
      <c r="R14" s="48">
        <v>1.3138779464910755</v>
      </c>
      <c r="S14" s="48">
        <v>1.5586558991433037</v>
      </c>
      <c r="T14" s="48">
        <v>2.3596399640402979</v>
      </c>
      <c r="U14" s="48">
        <v>-3.6679289264891963</v>
      </c>
      <c r="V14" s="48">
        <v>7.1704972511360836</v>
      </c>
      <c r="W14" s="48">
        <v>4.6299024726975233</v>
      </c>
      <c r="X14" s="48">
        <v>2.4910183966199781</v>
      </c>
      <c r="Y14" s="48">
        <v>4.2826998702718271</v>
      </c>
    </row>
    <row r="15" spans="1:25" x14ac:dyDescent="0.25">
      <c r="A15" s="123"/>
      <c r="B15" s="124" t="s">
        <v>13</v>
      </c>
      <c r="C15" s="50"/>
      <c r="D15" s="50">
        <v>6.3049019587802633</v>
      </c>
      <c r="E15" s="50">
        <v>6.2160717001583379</v>
      </c>
      <c r="F15" s="50">
        <v>10.336279370869434</v>
      </c>
      <c r="G15" s="50">
        <v>4.2494850829397848</v>
      </c>
      <c r="H15" s="50">
        <v>12.948407415458504</v>
      </c>
      <c r="I15" s="50">
        <v>17.108357168367007</v>
      </c>
      <c r="J15" s="50">
        <v>7.8013502799159369</v>
      </c>
      <c r="K15" s="50">
        <v>8.5306100359604784</v>
      </c>
      <c r="L15" s="50">
        <v>8.7800000000000153</v>
      </c>
      <c r="M15" s="50">
        <v>7.0050092209244781</v>
      </c>
      <c r="N15" s="50">
        <v>5.6106703012080317</v>
      </c>
      <c r="O15" s="50">
        <v>24.416038564408211</v>
      </c>
      <c r="P15" s="50">
        <v>-3.3332833562344319</v>
      </c>
      <c r="Q15" s="50">
        <v>-5.2686149181836583</v>
      </c>
      <c r="R15" s="50">
        <v>0.13420701962844817</v>
      </c>
      <c r="S15" s="50">
        <v>-0.30070270683377487</v>
      </c>
      <c r="T15" s="50">
        <v>1.8775996662374013</v>
      </c>
      <c r="U15" s="50">
        <v>3.4774594041465861</v>
      </c>
      <c r="V15" s="50">
        <v>13.989999999999995</v>
      </c>
      <c r="W15" s="50">
        <v>1.0899999999999892</v>
      </c>
      <c r="X15" s="50">
        <v>2.4211518088831099</v>
      </c>
      <c r="Y15" s="50">
        <v>1.4529497409293555</v>
      </c>
    </row>
    <row r="16" spans="1:25" x14ac:dyDescent="0.25">
      <c r="A16" s="123"/>
      <c r="B16" s="124" t="s">
        <v>25</v>
      </c>
      <c r="C16" s="50"/>
      <c r="D16" s="50">
        <v>12.583601865021706</v>
      </c>
      <c r="E16" s="50">
        <v>19.089565716242163</v>
      </c>
      <c r="F16" s="50">
        <v>-5.8291252342353346</v>
      </c>
      <c r="G16" s="50">
        <v>26.809793829923905</v>
      </c>
      <c r="H16" s="50">
        <v>10.32328874808303</v>
      </c>
      <c r="I16" s="50">
        <v>9.3796558543201911</v>
      </c>
      <c r="J16" s="50">
        <v>13.197919056555634</v>
      </c>
      <c r="K16" s="50">
        <v>11.287029908161301</v>
      </c>
      <c r="L16" s="50">
        <v>5.9018481526865685</v>
      </c>
      <c r="M16" s="50">
        <v>-6.7529867845526041</v>
      </c>
      <c r="N16" s="50">
        <v>18.299683461504216</v>
      </c>
      <c r="O16" s="50">
        <v>0.93026448604447864</v>
      </c>
      <c r="P16" s="50">
        <v>0.72705099450716659</v>
      </c>
      <c r="Q16" s="50">
        <v>0.84430791074854028</v>
      </c>
      <c r="R16" s="50">
        <v>-0.7967459903277927</v>
      </c>
      <c r="S16" s="50">
        <v>3.9903689749138493E-2</v>
      </c>
      <c r="T16" s="50">
        <v>0.51416225534602233</v>
      </c>
      <c r="U16" s="50">
        <v>-5.4053799883632792E-2</v>
      </c>
      <c r="V16" s="50">
        <v>-22.310000000000002</v>
      </c>
      <c r="W16" s="50">
        <v>4.819999999999979</v>
      </c>
      <c r="X16" s="50">
        <v>-3.7261395668284081</v>
      </c>
      <c r="Y16" s="50">
        <v>8.23280535378548</v>
      </c>
    </row>
    <row r="17" spans="1:25" x14ac:dyDescent="0.25">
      <c r="A17" s="125"/>
      <c r="B17" s="124" t="s">
        <v>14</v>
      </c>
      <c r="C17" s="50"/>
      <c r="D17" s="50">
        <v>0.90967306744079224</v>
      </c>
      <c r="E17" s="50">
        <v>7.0505503742361384</v>
      </c>
      <c r="F17" s="50">
        <v>10.012028480081312</v>
      </c>
      <c r="G17" s="50">
        <v>6.9621842918434567</v>
      </c>
      <c r="H17" s="50">
        <v>8.2832720451720547</v>
      </c>
      <c r="I17" s="50">
        <v>18.998394462073449</v>
      </c>
      <c r="J17" s="50">
        <v>4.1016639881357122</v>
      </c>
      <c r="K17" s="50">
        <v>9.5809443735653161</v>
      </c>
      <c r="L17" s="50">
        <v>11.333547803879256</v>
      </c>
      <c r="M17" s="50">
        <v>10.617621404677863</v>
      </c>
      <c r="N17" s="50">
        <v>5.7526702989174794</v>
      </c>
      <c r="O17" s="50">
        <v>12.332710332875948</v>
      </c>
      <c r="P17" s="50">
        <v>7.9644258535794137</v>
      </c>
      <c r="Q17" s="50">
        <v>3.6332192275262827</v>
      </c>
      <c r="R17" s="50">
        <v>2.5887435375310019</v>
      </c>
      <c r="S17" s="50">
        <v>-0.14851805580347843</v>
      </c>
      <c r="T17" s="50">
        <v>6.9947496731560079</v>
      </c>
      <c r="U17" s="50">
        <v>-38.717550132017799</v>
      </c>
      <c r="V17" s="50">
        <v>28.889999999999986</v>
      </c>
      <c r="W17" s="50">
        <v>32.809999999999974</v>
      </c>
      <c r="X17" s="50">
        <v>0.78738351477379354</v>
      </c>
      <c r="Y17" s="50">
        <v>16.620069953565903</v>
      </c>
    </row>
    <row r="18" spans="1:25" x14ac:dyDescent="0.25">
      <c r="A18" s="125"/>
      <c r="B18" s="90" t="s">
        <v>203</v>
      </c>
      <c r="C18" s="50"/>
      <c r="D18" s="50">
        <v>4.7738001016516307</v>
      </c>
      <c r="E18" s="50">
        <v>3.5795998302872647</v>
      </c>
      <c r="F18" s="50">
        <v>-19.59736639984348</v>
      </c>
      <c r="G18" s="50">
        <v>10.715180498715597</v>
      </c>
      <c r="H18" s="50">
        <v>9.5231229813617944</v>
      </c>
      <c r="I18" s="50">
        <v>38.084943418788754</v>
      </c>
      <c r="J18" s="50">
        <v>20.749739776691854</v>
      </c>
      <c r="K18" s="50">
        <v>6.6445907530625021</v>
      </c>
      <c r="L18" s="50">
        <v>80.373137035462292</v>
      </c>
      <c r="M18" s="50">
        <v>5.5353379005719177</v>
      </c>
      <c r="N18" s="50">
        <v>18.040357166688409</v>
      </c>
      <c r="O18" s="50">
        <v>8.7800000000000153</v>
      </c>
      <c r="P18" s="50">
        <v>-0.24948395987655658</v>
      </c>
      <c r="Q18" s="50">
        <v>-5.0539285579980344</v>
      </c>
      <c r="R18" s="50">
        <v>0.86604057023703263</v>
      </c>
      <c r="S18" s="50">
        <v>-1.6730307857130811E-2</v>
      </c>
      <c r="T18" s="50">
        <v>-1.7128516309174984</v>
      </c>
      <c r="U18" s="50">
        <v>-9.7812546742248543</v>
      </c>
      <c r="V18" s="50">
        <v>1.3500000000000227</v>
      </c>
      <c r="W18" s="50">
        <v>-4.6999999999999886</v>
      </c>
      <c r="X18" s="50">
        <v>1.3707090333075342</v>
      </c>
      <c r="Y18" s="50">
        <v>11.985751561835116</v>
      </c>
    </row>
    <row r="19" spans="1:25" x14ac:dyDescent="0.25">
      <c r="A19" s="125"/>
      <c r="B19" s="90" t="s">
        <v>15</v>
      </c>
      <c r="C19" s="50"/>
      <c r="D19" s="50">
        <v>6.0331707128020327</v>
      </c>
      <c r="E19" s="50">
        <v>3.3612219305298794</v>
      </c>
      <c r="F19" s="50">
        <v>20.750617991164731</v>
      </c>
      <c r="G19" s="50">
        <v>17.164312762207118</v>
      </c>
      <c r="H19" s="50">
        <v>5.572992663047188</v>
      </c>
      <c r="I19" s="50">
        <v>10.376195018498251</v>
      </c>
      <c r="J19" s="50">
        <v>5.2168077747236907</v>
      </c>
      <c r="K19" s="50">
        <v>2.3417734487319137</v>
      </c>
      <c r="L19" s="50">
        <v>2.1844663950021612</v>
      </c>
      <c r="M19" s="50">
        <v>0.41498123667670939</v>
      </c>
      <c r="N19" s="50">
        <v>-3.3535144404296489</v>
      </c>
      <c r="O19" s="50">
        <v>-11.193198111767018</v>
      </c>
      <c r="P19" s="50">
        <v>17.096447828430868</v>
      </c>
      <c r="Q19" s="50">
        <v>1.9053257099957079</v>
      </c>
      <c r="R19" s="50">
        <v>-10.687108054241222</v>
      </c>
      <c r="S19" s="50">
        <v>28.635628674710745</v>
      </c>
      <c r="T19" s="50">
        <v>-7.3261036177491405</v>
      </c>
      <c r="U19" s="50">
        <v>-4.9164667817668146</v>
      </c>
      <c r="V19" s="50">
        <v>-15.960000000000008</v>
      </c>
      <c r="W19" s="50">
        <v>-7.1106958319732172</v>
      </c>
      <c r="X19" s="50">
        <v>-4.1797012539663854</v>
      </c>
      <c r="Y19" s="50">
        <v>2.2192816153387724</v>
      </c>
    </row>
    <row r="20" spans="1:25" x14ac:dyDescent="0.25">
      <c r="A20" s="125"/>
      <c r="B20" s="90" t="s">
        <v>16</v>
      </c>
      <c r="C20" s="50"/>
      <c r="D20" s="50">
        <v>7.5874450487426657</v>
      </c>
      <c r="E20" s="50">
        <v>10.013680659192033</v>
      </c>
      <c r="F20" s="50">
        <v>12.59302510261297</v>
      </c>
      <c r="G20" s="50">
        <v>12.097594681399642</v>
      </c>
      <c r="H20" s="50">
        <v>9.7537552666660616</v>
      </c>
      <c r="I20" s="50">
        <v>6.710398073531195</v>
      </c>
      <c r="J20" s="50">
        <v>16.364681109784158</v>
      </c>
      <c r="K20" s="50">
        <v>2.0490988365477136</v>
      </c>
      <c r="L20" s="50">
        <v>0.339316298165798</v>
      </c>
      <c r="M20" s="50">
        <v>3.5316263731641726</v>
      </c>
      <c r="N20" s="50">
        <v>6.2757467993915839</v>
      </c>
      <c r="O20" s="50">
        <v>8.4351799538861627</v>
      </c>
      <c r="P20" s="50">
        <v>-3.604036399402105</v>
      </c>
      <c r="Q20" s="50">
        <v>-15.622734850476277</v>
      </c>
      <c r="R20" s="50">
        <v>0.2740656714409937</v>
      </c>
      <c r="S20" s="50">
        <v>2.0848927949704432</v>
      </c>
      <c r="T20" s="50">
        <v>2.4136021457720176</v>
      </c>
      <c r="U20" s="50">
        <v>-5.0614247889265442</v>
      </c>
      <c r="V20" s="50">
        <v>2.4200000000000017</v>
      </c>
      <c r="W20" s="50">
        <v>7.3694496801062002</v>
      </c>
      <c r="X20" s="50">
        <v>3.8478366799191974</v>
      </c>
      <c r="Y20" s="50">
        <v>4.3559689629760499</v>
      </c>
    </row>
    <row r="21" spans="1:25" x14ac:dyDescent="0.25">
      <c r="A21" s="125"/>
      <c r="B21" s="90" t="s">
        <v>17</v>
      </c>
      <c r="C21" s="50"/>
      <c r="D21" s="50">
        <v>3.0573830513806968</v>
      </c>
      <c r="E21" s="50">
        <v>2.2569442891832097</v>
      </c>
      <c r="F21" s="50">
        <v>4.957241579538902</v>
      </c>
      <c r="G21" s="50">
        <v>6.3480899008272758</v>
      </c>
      <c r="H21" s="50">
        <v>4.9545791281682625</v>
      </c>
      <c r="I21" s="50">
        <v>10.387764749715188</v>
      </c>
      <c r="J21" s="50">
        <v>7.5806983330089679</v>
      </c>
      <c r="K21" s="50">
        <v>6.0094419381188544</v>
      </c>
      <c r="L21" s="50">
        <v>5.5045058309427475</v>
      </c>
      <c r="M21" s="50">
        <v>20.615600183583766</v>
      </c>
      <c r="N21" s="50">
        <v>2.999933102537085</v>
      </c>
      <c r="O21" s="50">
        <v>-3.5200259844203572</v>
      </c>
      <c r="P21" s="50">
        <v>0.44032661730346945</v>
      </c>
      <c r="Q21" s="50">
        <v>3</v>
      </c>
      <c r="R21" s="50">
        <v>3.005388245229156</v>
      </c>
      <c r="S21" s="50">
        <v>0.34135733287111236</v>
      </c>
      <c r="T21" s="50">
        <v>2.4982246556189978</v>
      </c>
      <c r="U21" s="50">
        <v>-4.6907002750468934</v>
      </c>
      <c r="V21" s="50">
        <v>3</v>
      </c>
      <c r="W21" s="50">
        <v>3</v>
      </c>
      <c r="X21" s="50">
        <v>2.8361928196332826</v>
      </c>
      <c r="Y21" s="50">
        <v>2.3973292296761883</v>
      </c>
    </row>
    <row r="22" spans="1:25" x14ac:dyDescent="0.25">
      <c r="A22" s="125"/>
      <c r="B22" s="90" t="s">
        <v>18</v>
      </c>
      <c r="C22" s="50"/>
      <c r="D22" s="50">
        <v>2.4987107993508175</v>
      </c>
      <c r="E22" s="50">
        <v>12.929761650426897</v>
      </c>
      <c r="F22" s="50">
        <v>6.8812770369687968</v>
      </c>
      <c r="G22" s="50">
        <v>14.341177924552454</v>
      </c>
      <c r="H22" s="50">
        <v>-11.775704511395432</v>
      </c>
      <c r="I22" s="50">
        <v>5.4302307676104675</v>
      </c>
      <c r="J22" s="50">
        <v>4.7752143716909217</v>
      </c>
      <c r="K22" s="50">
        <v>11.018991507780825</v>
      </c>
      <c r="L22" s="50">
        <v>9.3766789418463929</v>
      </c>
      <c r="M22" s="50">
        <v>6.8629855886289164</v>
      </c>
      <c r="N22" s="50">
        <v>4.3797921041588666</v>
      </c>
      <c r="O22" s="50">
        <v>15.026610808307183</v>
      </c>
      <c r="P22" s="50">
        <v>-8.9437009323218319</v>
      </c>
      <c r="Q22" s="50">
        <v>10.416178948859312</v>
      </c>
      <c r="R22" s="50">
        <v>9.6015656978900523</v>
      </c>
      <c r="S22" s="50">
        <v>0.43964081417500722</v>
      </c>
      <c r="T22" s="50">
        <v>5.5811804633997326</v>
      </c>
      <c r="U22" s="50">
        <v>2.8349305942422518</v>
      </c>
      <c r="V22" s="50">
        <v>7.8582036497898571</v>
      </c>
      <c r="W22" s="50">
        <v>4.9178738304194809</v>
      </c>
      <c r="X22" s="50">
        <v>4.4268977493751862</v>
      </c>
      <c r="Y22" s="50">
        <v>7.2633171067771229</v>
      </c>
    </row>
    <row r="23" spans="1:25" x14ac:dyDescent="0.25">
      <c r="A23" s="88"/>
      <c r="B23" s="46" t="s">
        <v>48</v>
      </c>
      <c r="C23" s="48"/>
      <c r="D23" s="48">
        <v>2.9474041752188782</v>
      </c>
      <c r="E23" s="48">
        <v>11.677164304620206</v>
      </c>
      <c r="F23" s="48">
        <v>14.013754378955838</v>
      </c>
      <c r="G23" s="48">
        <v>11.974698105459126</v>
      </c>
      <c r="H23" s="48">
        <v>12.861285514520063</v>
      </c>
      <c r="I23" s="48">
        <v>10.171521281091927</v>
      </c>
      <c r="J23" s="48">
        <v>2.0311869030381331</v>
      </c>
      <c r="K23" s="48">
        <v>5.5914513428684245</v>
      </c>
      <c r="L23" s="48">
        <v>4.1254512644380554</v>
      </c>
      <c r="M23" s="48">
        <v>8.7651850054257778</v>
      </c>
      <c r="N23" s="48">
        <v>4.9216172624001899</v>
      </c>
      <c r="O23" s="48">
        <v>4.5665645219676634</v>
      </c>
      <c r="P23" s="48">
        <v>1.378651282256854</v>
      </c>
      <c r="Q23" s="48">
        <v>-1.3483821778250018</v>
      </c>
      <c r="R23" s="48">
        <v>-0.30455695796777604</v>
      </c>
      <c r="S23" s="48">
        <v>-0.30455695796777604</v>
      </c>
      <c r="T23" s="48">
        <v>-0.23305744530482286</v>
      </c>
      <c r="U23" s="48">
        <v>-5.3936886784461251</v>
      </c>
      <c r="V23" s="48">
        <v>2.400092843984055</v>
      </c>
      <c r="W23" s="48">
        <v>4.5582470656925693</v>
      </c>
      <c r="X23" s="48">
        <v>1.6329786728641125</v>
      </c>
      <c r="Y23" s="48">
        <v>4.8273088519114538</v>
      </c>
    </row>
    <row r="24" spans="1:25" x14ac:dyDescent="0.25">
      <c r="A24" s="125"/>
      <c r="B24" s="126" t="s">
        <v>20</v>
      </c>
      <c r="C24" s="50"/>
      <c r="D24" s="50">
        <v>13.911839578402024</v>
      </c>
      <c r="E24" s="50">
        <v>4.2198252165835726</v>
      </c>
      <c r="F24" s="50">
        <v>10.658925195787191</v>
      </c>
      <c r="G24" s="50">
        <v>6.3811764705882439</v>
      </c>
      <c r="H24" s="50">
        <v>13.757495003331115</v>
      </c>
      <c r="I24" s="50">
        <v>16.688761495282449</v>
      </c>
      <c r="J24" s="50">
        <v>0</v>
      </c>
      <c r="K24" s="50">
        <v>6.530312426486276</v>
      </c>
      <c r="L24" s="50">
        <v>-4.16164718980869</v>
      </c>
      <c r="M24" s="50">
        <v>-2.065298169712932</v>
      </c>
      <c r="N24" s="50">
        <v>18.307684519590978</v>
      </c>
      <c r="O24" s="50">
        <v>7.4983954372278276</v>
      </c>
      <c r="P24" s="50">
        <v>-10.170930427609505</v>
      </c>
      <c r="Q24" s="50">
        <v>1.5783901870595827</v>
      </c>
      <c r="R24" s="50">
        <v>-0.45601017504817776</v>
      </c>
      <c r="S24" s="50">
        <v>5.4015252015555291</v>
      </c>
      <c r="T24" s="50">
        <v>-27.713443244256823</v>
      </c>
      <c r="U24" s="50">
        <v>54.910174166426259</v>
      </c>
      <c r="V24" s="50">
        <v>-8.0213089803138189</v>
      </c>
      <c r="W24" s="50">
        <v>-3.540044386142057</v>
      </c>
      <c r="X24" s="50">
        <v>-10.613348745881041</v>
      </c>
      <c r="Y24" s="50">
        <v>-4.7124895662421835</v>
      </c>
    </row>
    <row r="25" spans="1:25" x14ac:dyDescent="0.25">
      <c r="A25" s="125"/>
      <c r="B25" s="126" t="s">
        <v>21</v>
      </c>
      <c r="C25" s="50"/>
      <c r="D25" s="50">
        <v>-6.5346418287594759</v>
      </c>
      <c r="E25" s="50">
        <v>11.618172537008675</v>
      </c>
      <c r="F25" s="50">
        <v>7.1484834163425148</v>
      </c>
      <c r="G25" s="50">
        <v>11.433563703096311</v>
      </c>
      <c r="H25" s="50">
        <v>7.980000000000004</v>
      </c>
      <c r="I25" s="50">
        <v>-1.480000000000004</v>
      </c>
      <c r="J25" s="50">
        <v>0</v>
      </c>
      <c r="K25" s="50">
        <v>21.40513770731522</v>
      </c>
      <c r="L25" s="50">
        <v>14.658395296261645</v>
      </c>
      <c r="M25" s="50">
        <v>7.7140031232627138</v>
      </c>
      <c r="N25" s="50">
        <v>14.794753581561054</v>
      </c>
      <c r="O25" s="50">
        <v>4.156195426741192</v>
      </c>
      <c r="P25" s="50">
        <v>15.424275013620999</v>
      </c>
      <c r="Q25" s="50">
        <v>-73.770212520218479</v>
      </c>
      <c r="R25" s="50">
        <v>-39.008632464991045</v>
      </c>
      <c r="S25" s="50">
        <v>-28.302808629130013</v>
      </c>
      <c r="T25" s="50">
        <v>-37.992920003056931</v>
      </c>
      <c r="U25" s="50">
        <v>1249.2384376909104</v>
      </c>
      <c r="V25" s="50">
        <v>64.514846175774011</v>
      </c>
      <c r="W25" s="50">
        <v>34.666035171484964</v>
      </c>
      <c r="X25" s="50">
        <v>-1.0963680666784938</v>
      </c>
      <c r="Y25" s="50">
        <v>-8.3725550255727512</v>
      </c>
    </row>
    <row r="26" spans="1:25" x14ac:dyDescent="0.25">
      <c r="A26" s="127"/>
      <c r="B26" s="46" t="s">
        <v>22</v>
      </c>
      <c r="C26" s="48"/>
      <c r="D26" s="48">
        <v>3.4873124009752399</v>
      </c>
      <c r="E26" s="48">
        <v>11.419863390458463</v>
      </c>
      <c r="F26" s="48">
        <v>14.154777534395468</v>
      </c>
      <c r="G26" s="48">
        <v>11.84181787570424</v>
      </c>
      <c r="H26" s="48">
        <v>13.002688945797502</v>
      </c>
      <c r="I26" s="48">
        <v>10.786636049658171</v>
      </c>
      <c r="J26" s="48">
        <v>1.9955890978895052</v>
      </c>
      <c r="K26" s="48">
        <v>5.2936657282000477</v>
      </c>
      <c r="L26" s="48">
        <v>3.5938696024016004</v>
      </c>
      <c r="M26" s="48">
        <v>8.5031228386666324</v>
      </c>
      <c r="N26" s="48">
        <v>4.8830612968838949</v>
      </c>
      <c r="O26" s="48">
        <v>4.6557235631554894</v>
      </c>
      <c r="P26" s="48">
        <v>0.76317771091500841</v>
      </c>
      <c r="Q26" s="48">
        <v>-0.2330769548052336</v>
      </c>
      <c r="R26" s="48">
        <v>-0.16468865696143142</v>
      </c>
      <c r="S26" s="48">
        <v>-0.50669754361616359</v>
      </c>
      <c r="T26" s="48">
        <v>-1.0552341449429403</v>
      </c>
      <c r="U26" s="48">
        <v>-5.2734912830002649</v>
      </c>
      <c r="V26" s="48">
        <v>1.0905836994481222</v>
      </c>
      <c r="W26" s="48">
        <v>3.5574920667564847</v>
      </c>
      <c r="X26" s="48">
        <v>1.3201658708103636</v>
      </c>
      <c r="Y26" s="48">
        <v>4.9526786042599413</v>
      </c>
    </row>
    <row r="27" spans="1:25" x14ac:dyDescent="0.25">
      <c r="B27" s="98" t="s">
        <v>23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</row>
    <row r="28" spans="1:25" x14ac:dyDescent="0.25">
      <c r="B28" s="98"/>
      <c r="C28" s="117"/>
      <c r="D28" s="119"/>
      <c r="E28" s="119"/>
      <c r="F28" s="119"/>
      <c r="G28" s="118"/>
      <c r="H28" s="118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</row>
    <row r="29" spans="1:25" x14ac:dyDescent="0.25">
      <c r="A29" s="61"/>
      <c r="B29" s="61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</row>
    <row r="30" spans="1:25" x14ac:dyDescent="0.25">
      <c r="A30" s="61"/>
      <c r="B30" s="61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</row>
    <row r="31" spans="1:25" x14ac:dyDescent="0.25">
      <c r="A31" s="61"/>
      <c r="B31" s="61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</row>
    <row r="32" spans="1:25" x14ac:dyDescent="0.25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5">
      <c r="A33" s="61"/>
      <c r="B33" s="61"/>
      <c r="C33" s="61"/>
      <c r="D33" s="61"/>
      <c r="E33" s="61"/>
      <c r="F33" s="61"/>
      <c r="G33" s="61"/>
      <c r="H33" s="61"/>
      <c r="I33" s="61"/>
    </row>
    <row r="34" spans="1:9" x14ac:dyDescent="0.25">
      <c r="A34" s="61"/>
      <c r="B34" s="61"/>
      <c r="C34" s="61"/>
      <c r="D34" s="61"/>
      <c r="E34" s="61"/>
      <c r="F34" s="61"/>
      <c r="G34" s="61"/>
      <c r="H34" s="61"/>
      <c r="I34" s="61"/>
    </row>
    <row r="35" spans="1:9" x14ac:dyDescent="0.25">
      <c r="A35" s="61"/>
      <c r="B35" s="61"/>
      <c r="C35" s="61"/>
      <c r="D35" s="61"/>
      <c r="E35" s="61"/>
      <c r="F35" s="61"/>
      <c r="G35" s="61"/>
      <c r="H35" s="61"/>
      <c r="I35" s="61"/>
    </row>
    <row r="36" spans="1:9" x14ac:dyDescent="0.25">
      <c r="A36" s="61"/>
      <c r="B36" s="61"/>
      <c r="C36" s="61"/>
      <c r="D36" s="61"/>
      <c r="E36" s="61"/>
      <c r="F36" s="61"/>
      <c r="G36" s="61"/>
      <c r="H36" s="61"/>
      <c r="I36" s="61"/>
    </row>
    <row r="37" spans="1:9" x14ac:dyDescent="0.25">
      <c r="A37" s="61"/>
      <c r="B37" s="61"/>
      <c r="C37" s="61"/>
      <c r="D37" s="61"/>
      <c r="E37" s="61"/>
      <c r="F37" s="61"/>
      <c r="G37" s="61"/>
      <c r="H37" s="61"/>
      <c r="I37" s="61"/>
    </row>
    <row r="38" spans="1:9" x14ac:dyDescent="0.25">
      <c r="A38" s="61"/>
      <c r="B38" s="61"/>
      <c r="C38" s="61"/>
      <c r="D38" s="61"/>
      <c r="E38" s="61"/>
      <c r="F38" s="61"/>
      <c r="G38" s="61"/>
      <c r="H38" s="61"/>
      <c r="I38" s="61"/>
    </row>
    <row r="39" spans="1:9" x14ac:dyDescent="0.25">
      <c r="A39" s="61"/>
      <c r="B39" s="61"/>
      <c r="C39" s="61"/>
      <c r="D39" s="61"/>
      <c r="E39" s="61"/>
      <c r="F39" s="61"/>
      <c r="G39" s="61"/>
      <c r="H39" s="61"/>
      <c r="I39" s="61"/>
    </row>
    <row r="40" spans="1:9" x14ac:dyDescent="0.25">
      <c r="A40" s="61"/>
      <c r="B40" s="61"/>
      <c r="C40" s="61"/>
      <c r="D40" s="61"/>
      <c r="E40" s="61"/>
      <c r="F40" s="61"/>
      <c r="G40" s="61"/>
      <c r="H40" s="61"/>
      <c r="I40" s="61"/>
    </row>
    <row r="41" spans="1:9" x14ac:dyDescent="0.25">
      <c r="A41" s="61"/>
      <c r="B41" s="61"/>
      <c r="C41" s="61"/>
      <c r="D41" s="61"/>
      <c r="E41" s="61"/>
      <c r="F41" s="61"/>
      <c r="G41" s="61"/>
      <c r="H41" s="61"/>
      <c r="I41" s="61"/>
    </row>
    <row r="42" spans="1:9" x14ac:dyDescent="0.25">
      <c r="A42" s="61"/>
      <c r="B42" s="61"/>
      <c r="C42" s="61"/>
      <c r="D42" s="61"/>
      <c r="E42" s="61"/>
      <c r="F42" s="61"/>
      <c r="G42" s="61"/>
      <c r="H42" s="61"/>
      <c r="I42" s="61"/>
    </row>
    <row r="43" spans="1:9" x14ac:dyDescent="0.25">
      <c r="A43" s="61"/>
      <c r="B43" s="61"/>
      <c r="C43" s="61"/>
      <c r="D43" s="61"/>
      <c r="E43" s="61"/>
      <c r="F43" s="61"/>
      <c r="G43" s="61"/>
      <c r="H43" s="61"/>
      <c r="I43" s="61"/>
    </row>
    <row r="44" spans="1:9" x14ac:dyDescent="0.25">
      <c r="A44" s="61"/>
      <c r="B44" s="61"/>
      <c r="C44" s="61"/>
      <c r="D44" s="61"/>
      <c r="E44" s="61"/>
      <c r="F44" s="61"/>
      <c r="G44" s="61"/>
      <c r="H44" s="61"/>
      <c r="I44" s="61"/>
    </row>
    <row r="45" spans="1:9" x14ac:dyDescent="0.25">
      <c r="A45" s="61"/>
      <c r="B45" s="61"/>
      <c r="C45" s="61"/>
      <c r="D45" s="61"/>
      <c r="E45" s="61"/>
      <c r="F45" s="61"/>
      <c r="G45" s="61"/>
      <c r="H45" s="61"/>
      <c r="I45" s="61"/>
    </row>
    <row r="46" spans="1:9" x14ac:dyDescent="0.25">
      <c r="A46" s="61"/>
      <c r="B46" s="61"/>
      <c r="C46" s="61"/>
      <c r="D46" s="61"/>
      <c r="E46" s="61"/>
      <c r="F46" s="61"/>
      <c r="G46" s="61"/>
      <c r="H46" s="61"/>
      <c r="I46" s="61"/>
    </row>
    <row r="47" spans="1:9" x14ac:dyDescent="0.25">
      <c r="A47" s="61"/>
      <c r="B47" s="61"/>
      <c r="C47" s="61"/>
      <c r="D47" s="61"/>
      <c r="E47" s="61"/>
      <c r="F47" s="61"/>
      <c r="G47" s="61"/>
      <c r="H47" s="61"/>
      <c r="I47" s="61"/>
    </row>
    <row r="48" spans="1:9" x14ac:dyDescent="0.25">
      <c r="A48" s="61"/>
      <c r="B48" s="61"/>
      <c r="C48" s="61"/>
      <c r="D48" s="61"/>
      <c r="E48" s="61"/>
      <c r="F48" s="61"/>
      <c r="G48" s="61"/>
      <c r="H48" s="61"/>
      <c r="I48" s="61"/>
    </row>
    <row r="49" spans="1:9" x14ac:dyDescent="0.25">
      <c r="A49" s="61"/>
      <c r="B49" s="61"/>
      <c r="C49" s="61"/>
      <c r="D49" s="61"/>
      <c r="E49" s="61"/>
      <c r="F49" s="61"/>
      <c r="G49" s="61"/>
      <c r="H49" s="61"/>
      <c r="I49" s="61"/>
    </row>
    <row r="50" spans="1:9" x14ac:dyDescent="0.25">
      <c r="A50" s="61"/>
      <c r="B50" s="61"/>
      <c r="C50" s="61"/>
      <c r="D50" s="61"/>
      <c r="E50" s="61"/>
      <c r="F50" s="61"/>
      <c r="G50" s="61"/>
      <c r="H50" s="61"/>
      <c r="I50" s="61"/>
    </row>
    <row r="51" spans="1:9" x14ac:dyDescent="0.25">
      <c r="A51" s="61"/>
      <c r="B51" s="61"/>
      <c r="C51" s="61"/>
      <c r="D51" s="61"/>
      <c r="E51" s="61"/>
      <c r="F51" s="61"/>
      <c r="G51" s="61"/>
      <c r="H51" s="61"/>
      <c r="I51" s="61"/>
    </row>
    <row r="52" spans="1:9" x14ac:dyDescent="0.25">
      <c r="A52" s="61"/>
      <c r="B52" s="61"/>
      <c r="C52" s="61"/>
      <c r="D52" s="61"/>
      <c r="E52" s="61"/>
      <c r="F52" s="61"/>
      <c r="G52" s="61"/>
      <c r="H52" s="61"/>
      <c r="I52" s="61"/>
    </row>
    <row r="53" spans="1:9" x14ac:dyDescent="0.25">
      <c r="A53" s="61"/>
      <c r="B53" s="61"/>
      <c r="C53" s="61"/>
      <c r="D53" s="61"/>
      <c r="E53" s="61"/>
      <c r="F53" s="61"/>
      <c r="G53" s="61"/>
      <c r="H53" s="61"/>
      <c r="I53" s="61"/>
    </row>
    <row r="54" spans="1:9" x14ac:dyDescent="0.25">
      <c r="A54" s="61"/>
      <c r="B54" s="61"/>
      <c r="C54" s="61"/>
      <c r="D54" s="61"/>
      <c r="E54" s="61"/>
      <c r="F54" s="61"/>
      <c r="G54" s="61"/>
      <c r="H54" s="61"/>
      <c r="I54" s="61"/>
    </row>
    <row r="55" spans="1:9" x14ac:dyDescent="0.25">
      <c r="A55" s="61"/>
      <c r="B55" s="61"/>
      <c r="C55" s="61"/>
      <c r="D55" s="61"/>
      <c r="E55" s="61"/>
      <c r="F55" s="61"/>
      <c r="G55" s="61"/>
      <c r="H55" s="61"/>
      <c r="I55" s="61"/>
    </row>
    <row r="56" spans="1:9" x14ac:dyDescent="0.25">
      <c r="A56" s="61"/>
      <c r="B56" s="61"/>
      <c r="C56" s="61"/>
      <c r="D56" s="61"/>
      <c r="E56" s="61"/>
      <c r="F56" s="61"/>
      <c r="G56" s="61"/>
      <c r="H56" s="61"/>
      <c r="I56" s="61"/>
    </row>
    <row r="57" spans="1:9" x14ac:dyDescent="0.25">
      <c r="A57" s="61"/>
      <c r="B57" s="61"/>
      <c r="C57" s="61"/>
      <c r="D57" s="61"/>
      <c r="E57" s="61"/>
      <c r="F57" s="61"/>
      <c r="G57" s="61"/>
      <c r="H57" s="61"/>
      <c r="I57" s="61"/>
    </row>
    <row r="58" spans="1:9" x14ac:dyDescent="0.25">
      <c r="A58" s="61"/>
      <c r="B58" s="61"/>
      <c r="C58" s="61"/>
      <c r="D58" s="61"/>
      <c r="E58" s="61"/>
      <c r="F58" s="61"/>
      <c r="G58" s="61"/>
      <c r="H58" s="61"/>
      <c r="I58" s="61"/>
    </row>
    <row r="59" spans="1:9" x14ac:dyDescent="0.25">
      <c r="A59" s="61"/>
      <c r="B59" s="61"/>
      <c r="C59" s="61"/>
      <c r="D59" s="61"/>
      <c r="E59" s="61"/>
      <c r="F59" s="61"/>
      <c r="G59" s="61"/>
      <c r="H59" s="61"/>
      <c r="I59" s="61"/>
    </row>
    <row r="60" spans="1:9" x14ac:dyDescent="0.25">
      <c r="A60" s="61"/>
      <c r="B60" s="61"/>
      <c r="C60" s="61"/>
      <c r="D60" s="61"/>
      <c r="E60" s="61"/>
      <c r="F60" s="61"/>
      <c r="G60" s="61"/>
      <c r="H60" s="61"/>
      <c r="I60" s="61"/>
    </row>
    <row r="61" spans="1:9" x14ac:dyDescent="0.25">
      <c r="A61" s="61"/>
      <c r="B61" s="61"/>
      <c r="C61" s="61"/>
      <c r="D61" s="61"/>
      <c r="E61" s="61"/>
      <c r="F61" s="61"/>
      <c r="G61" s="61"/>
      <c r="H61" s="61"/>
      <c r="I61" s="61"/>
    </row>
    <row r="62" spans="1:9" x14ac:dyDescent="0.25">
      <c r="A62" s="61"/>
      <c r="B62" s="61"/>
      <c r="C62" s="61"/>
      <c r="D62" s="61"/>
      <c r="E62" s="61"/>
      <c r="F62" s="61"/>
      <c r="G62" s="61"/>
      <c r="H62" s="61"/>
      <c r="I62" s="61"/>
    </row>
    <row r="63" spans="1:9" x14ac:dyDescent="0.25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5">
      <c r="A64" s="61"/>
      <c r="B64" s="61"/>
      <c r="C64" s="61"/>
      <c r="D64" s="61"/>
      <c r="E64" s="61"/>
      <c r="F64" s="61"/>
      <c r="G64" s="61"/>
      <c r="H64" s="61"/>
      <c r="I64" s="61"/>
    </row>
    <row r="65" spans="1:9" x14ac:dyDescent="0.25">
      <c r="A65" s="61"/>
      <c r="B65" s="61"/>
      <c r="C65" s="61"/>
      <c r="D65" s="61"/>
      <c r="E65" s="61"/>
      <c r="F65" s="61"/>
      <c r="G65" s="61"/>
      <c r="H65" s="61"/>
      <c r="I65" s="61"/>
    </row>
    <row r="66" spans="1:9" x14ac:dyDescent="0.25">
      <c r="A66" s="61"/>
      <c r="B66" s="61"/>
      <c r="C66" s="61"/>
      <c r="D66" s="61"/>
      <c r="E66" s="61"/>
      <c r="F66" s="61"/>
      <c r="G66" s="61"/>
      <c r="H66" s="61"/>
      <c r="I66" s="61"/>
    </row>
    <row r="67" spans="1:9" x14ac:dyDescent="0.25">
      <c r="A67" s="61"/>
      <c r="B67" s="61"/>
      <c r="C67" s="61"/>
      <c r="D67" s="61"/>
      <c r="E67" s="61"/>
      <c r="F67" s="61"/>
      <c r="G67" s="61"/>
      <c r="H67" s="61"/>
      <c r="I67" s="61"/>
    </row>
    <row r="68" spans="1:9" x14ac:dyDescent="0.25">
      <c r="A68" s="61"/>
      <c r="B68" s="61"/>
      <c r="C68" s="61"/>
      <c r="D68" s="61"/>
      <c r="E68" s="61"/>
      <c r="F68" s="61"/>
      <c r="G68" s="61"/>
      <c r="H68" s="61"/>
      <c r="I68" s="61"/>
    </row>
    <row r="69" spans="1:9" x14ac:dyDescent="0.25">
      <c r="A69" s="61"/>
      <c r="B69" s="61"/>
      <c r="C69" s="61"/>
      <c r="D69" s="61"/>
      <c r="E69" s="61"/>
      <c r="F69" s="61"/>
      <c r="G69" s="61"/>
      <c r="H69" s="61"/>
      <c r="I69" s="61"/>
    </row>
    <row r="70" spans="1:9" x14ac:dyDescent="0.25">
      <c r="A70" s="61"/>
      <c r="B70" s="61"/>
      <c r="C70" s="61"/>
      <c r="D70" s="61"/>
      <c r="E70" s="61"/>
      <c r="F70" s="61"/>
      <c r="G70" s="61"/>
      <c r="H70" s="61"/>
      <c r="I70" s="61"/>
    </row>
    <row r="71" spans="1:9" x14ac:dyDescent="0.25">
      <c r="A71" s="61"/>
      <c r="B71" s="61"/>
      <c r="C71" s="61"/>
      <c r="D71" s="61"/>
      <c r="E71" s="61"/>
      <c r="F71" s="61"/>
      <c r="G71" s="61"/>
      <c r="H71" s="61"/>
      <c r="I71" s="61"/>
    </row>
    <row r="72" spans="1:9" x14ac:dyDescent="0.25">
      <c r="A72" s="61"/>
      <c r="B72" s="61"/>
      <c r="C72" s="61"/>
      <c r="D72" s="61"/>
      <c r="E72" s="61"/>
      <c r="F72" s="61"/>
      <c r="G72" s="61"/>
      <c r="H72" s="61"/>
      <c r="I72" s="61"/>
    </row>
    <row r="73" spans="1:9" x14ac:dyDescent="0.25">
      <c r="A73" s="61"/>
      <c r="B73" s="61"/>
      <c r="C73" s="61"/>
      <c r="D73" s="61"/>
      <c r="E73" s="61"/>
      <c r="F73" s="61"/>
      <c r="G73" s="61"/>
      <c r="H73" s="61"/>
      <c r="I73" s="61"/>
    </row>
    <row r="74" spans="1:9" x14ac:dyDescent="0.25">
      <c r="A74" s="61"/>
      <c r="B74" s="61"/>
      <c r="C74" s="61"/>
      <c r="D74" s="61"/>
      <c r="E74" s="61"/>
      <c r="F74" s="61"/>
      <c r="G74" s="61"/>
      <c r="H74" s="61"/>
      <c r="I74" s="61"/>
    </row>
    <row r="75" spans="1:9" x14ac:dyDescent="0.25">
      <c r="A75" s="61"/>
      <c r="B75" s="61"/>
      <c r="C75" s="61"/>
      <c r="D75" s="61"/>
      <c r="E75" s="61"/>
      <c r="F75" s="61"/>
      <c r="G75" s="61"/>
      <c r="H75" s="61"/>
      <c r="I75" s="61"/>
    </row>
    <row r="76" spans="1:9" x14ac:dyDescent="0.25">
      <c r="A76" s="61"/>
      <c r="B76" s="61"/>
      <c r="C76" s="61"/>
      <c r="D76" s="61"/>
      <c r="E76" s="61"/>
      <c r="F76" s="61"/>
      <c r="G76" s="61"/>
      <c r="H76" s="61"/>
      <c r="I76" s="61"/>
    </row>
    <row r="77" spans="1:9" x14ac:dyDescent="0.25">
      <c r="A77" s="61"/>
      <c r="B77" s="61"/>
      <c r="C77" s="61"/>
      <c r="D77" s="61"/>
      <c r="E77" s="61"/>
      <c r="F77" s="61"/>
      <c r="G77" s="61"/>
      <c r="H77" s="61"/>
      <c r="I77" s="61"/>
    </row>
    <row r="78" spans="1:9" x14ac:dyDescent="0.25">
      <c r="A78" s="61"/>
      <c r="B78" s="61"/>
      <c r="C78" s="61"/>
      <c r="D78" s="61"/>
      <c r="E78" s="61"/>
      <c r="F78" s="61"/>
      <c r="G78" s="61"/>
      <c r="H78" s="61"/>
      <c r="I78" s="61"/>
    </row>
    <row r="79" spans="1:9" x14ac:dyDescent="0.25">
      <c r="A79" s="61"/>
      <c r="B79" s="61"/>
      <c r="C79" s="61"/>
      <c r="D79" s="61"/>
      <c r="E79" s="61"/>
      <c r="F79" s="61"/>
      <c r="G79" s="61"/>
      <c r="H79" s="61"/>
      <c r="I79" s="61"/>
    </row>
    <row r="80" spans="1:9" x14ac:dyDescent="0.25">
      <c r="A80" s="61"/>
      <c r="B80" s="61"/>
      <c r="C80" s="61"/>
      <c r="D80" s="61"/>
      <c r="E80" s="61"/>
      <c r="F80" s="61"/>
      <c r="G80" s="61"/>
      <c r="H80" s="61"/>
      <c r="I80" s="61"/>
    </row>
    <row r="81" spans="1:9" x14ac:dyDescent="0.25">
      <c r="A81" s="61"/>
      <c r="B81" s="61"/>
      <c r="C81" s="61"/>
      <c r="D81" s="61"/>
      <c r="E81" s="61"/>
      <c r="F81" s="61"/>
      <c r="G81" s="61"/>
      <c r="H81" s="61"/>
      <c r="I81" s="61"/>
    </row>
    <row r="82" spans="1:9" x14ac:dyDescent="0.25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5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5">
      <c r="A84" s="61"/>
      <c r="B84" s="61"/>
      <c r="C84" s="61"/>
      <c r="D84" s="61"/>
      <c r="E84" s="61"/>
      <c r="F84" s="61"/>
      <c r="G84" s="61"/>
      <c r="H84" s="61"/>
      <c r="I84" s="61"/>
    </row>
    <row r="85" spans="1:9" x14ac:dyDescent="0.25">
      <c r="A85" s="61"/>
      <c r="B85" s="61"/>
      <c r="C85" s="61"/>
      <c r="D85" s="61"/>
      <c r="E85" s="61"/>
      <c r="F85" s="61"/>
      <c r="G85" s="61"/>
      <c r="H85" s="61"/>
      <c r="I85" s="61"/>
    </row>
    <row r="86" spans="1:9" x14ac:dyDescent="0.25">
      <c r="A86" s="61"/>
      <c r="B86" s="61"/>
      <c r="C86" s="61"/>
      <c r="D86" s="61"/>
      <c r="E86" s="61"/>
      <c r="F86" s="61"/>
      <c r="G86" s="61"/>
      <c r="H86" s="61"/>
      <c r="I86" s="61"/>
    </row>
    <row r="87" spans="1:9" x14ac:dyDescent="0.25">
      <c r="A87" s="61"/>
      <c r="B87" s="61"/>
      <c r="C87" s="61"/>
      <c r="D87" s="61"/>
      <c r="E87" s="61"/>
      <c r="F87" s="61"/>
      <c r="G87" s="61"/>
      <c r="H87" s="61"/>
      <c r="I87" s="61"/>
    </row>
    <row r="88" spans="1:9" x14ac:dyDescent="0.25">
      <c r="A88" s="61"/>
      <c r="B88" s="61"/>
      <c r="C88" s="61"/>
      <c r="D88" s="61"/>
      <c r="E88" s="61"/>
      <c r="F88" s="61"/>
      <c r="G88" s="61"/>
      <c r="H88" s="61"/>
      <c r="I88" s="61"/>
    </row>
    <row r="89" spans="1:9" x14ac:dyDescent="0.25">
      <c r="A89" s="61"/>
      <c r="B89" s="61"/>
      <c r="C89" s="61"/>
      <c r="D89" s="61"/>
      <c r="E89" s="61"/>
      <c r="F89" s="61"/>
      <c r="G89" s="61"/>
      <c r="H89" s="61"/>
      <c r="I89" s="61"/>
    </row>
    <row r="90" spans="1:9" x14ac:dyDescent="0.25">
      <c r="A90" s="61"/>
      <c r="B90" s="61"/>
      <c r="C90" s="61"/>
      <c r="D90" s="61"/>
      <c r="E90" s="61"/>
      <c r="F90" s="61"/>
      <c r="G90" s="61"/>
      <c r="H90" s="61"/>
      <c r="I90" s="61"/>
    </row>
    <row r="91" spans="1:9" x14ac:dyDescent="0.25">
      <c r="A91" s="61"/>
      <c r="B91" s="61"/>
      <c r="C91" s="61"/>
      <c r="D91" s="61"/>
      <c r="E91" s="61"/>
      <c r="F91" s="61"/>
      <c r="G91" s="61"/>
      <c r="H91" s="61"/>
      <c r="I91" s="61"/>
    </row>
    <row r="92" spans="1:9" x14ac:dyDescent="0.25">
      <c r="A92" s="61"/>
      <c r="B92" s="61"/>
      <c r="C92" s="61"/>
      <c r="D92" s="61"/>
      <c r="E92" s="61"/>
      <c r="F92" s="61"/>
      <c r="G92" s="61"/>
      <c r="H92" s="61"/>
      <c r="I92" s="61"/>
    </row>
    <row r="93" spans="1:9" x14ac:dyDescent="0.25">
      <c r="A93" s="61"/>
      <c r="B93" s="61"/>
      <c r="C93" s="61"/>
      <c r="D93" s="61"/>
      <c r="E93" s="61"/>
      <c r="F93" s="61"/>
      <c r="G93" s="61"/>
      <c r="H93" s="61"/>
      <c r="I93" s="61"/>
    </row>
    <row r="94" spans="1:9" x14ac:dyDescent="0.25">
      <c r="A94" s="61"/>
      <c r="B94" s="61"/>
      <c r="C94" s="61"/>
      <c r="D94" s="61"/>
      <c r="E94" s="61"/>
      <c r="F94" s="61"/>
      <c r="G94" s="61"/>
      <c r="H94" s="61"/>
      <c r="I94" s="61"/>
    </row>
    <row r="95" spans="1:9" x14ac:dyDescent="0.25">
      <c r="A95" s="61"/>
      <c r="B95" s="61"/>
      <c r="C95" s="61"/>
      <c r="D95" s="61"/>
      <c r="E95" s="61"/>
      <c r="F95" s="61"/>
      <c r="G95" s="61"/>
      <c r="H95" s="61"/>
      <c r="I95" s="61"/>
    </row>
    <row r="96" spans="1:9" x14ac:dyDescent="0.25">
      <c r="A96" s="61"/>
      <c r="B96" s="61"/>
      <c r="C96" s="61"/>
      <c r="D96" s="61"/>
      <c r="E96" s="61"/>
      <c r="F96" s="61"/>
      <c r="G96" s="61"/>
      <c r="H96" s="61"/>
      <c r="I96" s="61"/>
    </row>
    <row r="97" spans="1:9" x14ac:dyDescent="0.25">
      <c r="A97" s="61"/>
      <c r="B97" s="61"/>
      <c r="C97" s="61"/>
      <c r="D97" s="61"/>
      <c r="E97" s="61"/>
      <c r="F97" s="61"/>
      <c r="G97" s="61"/>
      <c r="H97" s="61"/>
      <c r="I97" s="61"/>
    </row>
    <row r="98" spans="1:9" x14ac:dyDescent="0.25">
      <c r="A98" s="61"/>
      <c r="B98" s="61"/>
      <c r="C98" s="61"/>
      <c r="D98" s="61"/>
      <c r="E98" s="61"/>
      <c r="F98" s="61"/>
      <c r="G98" s="61"/>
      <c r="H98" s="61"/>
      <c r="I98" s="61"/>
    </row>
    <row r="99" spans="1:9" x14ac:dyDescent="0.25">
      <c r="A99" s="61"/>
      <c r="B99" s="61"/>
      <c r="C99" s="61"/>
      <c r="D99" s="61"/>
      <c r="E99" s="61"/>
      <c r="F99" s="61"/>
      <c r="G99" s="61"/>
      <c r="H99" s="61"/>
      <c r="I99" s="61"/>
    </row>
    <row r="100" spans="1:9" x14ac:dyDescent="0.25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x14ac:dyDescent="0.25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x14ac:dyDescent="0.25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x14ac:dyDescent="0.25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5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5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5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5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x14ac:dyDescent="0.25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x14ac:dyDescent="0.25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x14ac:dyDescent="0.25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x14ac:dyDescent="0.25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x14ac:dyDescent="0.25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x14ac:dyDescent="0.25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x14ac:dyDescent="0.25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x14ac:dyDescent="0.25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x14ac:dyDescent="0.25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x14ac:dyDescent="0.25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x14ac:dyDescent="0.25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x14ac:dyDescent="0.25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25">
      <c r="A120" s="61"/>
      <c r="B120" s="61"/>
      <c r="C120" s="61"/>
      <c r="D120" s="61"/>
      <c r="E120" s="61"/>
      <c r="F120" s="61"/>
      <c r="G120" s="61"/>
      <c r="H120" s="61"/>
      <c r="I120" s="61"/>
    </row>
    <row r="121" spans="1:9" x14ac:dyDescent="0.25">
      <c r="A121" s="61"/>
      <c r="B121" s="61"/>
      <c r="C121" s="61"/>
      <c r="D121" s="61"/>
      <c r="E121" s="61"/>
      <c r="F121" s="61"/>
      <c r="G121" s="61"/>
      <c r="H121" s="61"/>
      <c r="I121" s="61"/>
    </row>
    <row r="122" spans="1:9" x14ac:dyDescent="0.25">
      <c r="A122" s="61"/>
      <c r="B122" s="61"/>
      <c r="C122" s="61"/>
      <c r="D122" s="61"/>
      <c r="E122" s="61"/>
      <c r="F122" s="61"/>
      <c r="G122" s="61"/>
      <c r="H122" s="61"/>
      <c r="I122" s="61"/>
    </row>
    <row r="123" spans="1:9" x14ac:dyDescent="0.25">
      <c r="A123" s="61"/>
      <c r="B123" s="61"/>
      <c r="C123" s="61"/>
      <c r="D123" s="61"/>
      <c r="E123" s="61"/>
      <c r="F123" s="61"/>
      <c r="G123" s="61"/>
      <c r="H123" s="61"/>
      <c r="I123" s="61"/>
    </row>
    <row r="124" spans="1:9" x14ac:dyDescent="0.25">
      <c r="A124" s="61"/>
      <c r="B124" s="61"/>
      <c r="C124" s="61"/>
      <c r="D124" s="61"/>
      <c r="E124" s="61"/>
      <c r="F124" s="61"/>
      <c r="G124" s="61"/>
      <c r="H124" s="61"/>
      <c r="I124" s="61"/>
    </row>
    <row r="125" spans="1:9" x14ac:dyDescent="0.25">
      <c r="A125" s="61"/>
      <c r="B125" s="61"/>
      <c r="C125" s="61"/>
      <c r="D125" s="61"/>
      <c r="E125" s="61"/>
      <c r="F125" s="61"/>
      <c r="G125" s="61"/>
      <c r="H125" s="61"/>
      <c r="I125" s="61"/>
    </row>
    <row r="126" spans="1:9" x14ac:dyDescent="0.25">
      <c r="A126" s="61"/>
      <c r="B126" s="61"/>
      <c r="C126" s="61"/>
      <c r="D126" s="61"/>
      <c r="E126" s="61"/>
      <c r="F126" s="61"/>
      <c r="G126" s="61"/>
      <c r="H126" s="61"/>
      <c r="I126" s="61"/>
    </row>
    <row r="127" spans="1:9" x14ac:dyDescent="0.25">
      <c r="A127" s="61"/>
      <c r="B127" s="61"/>
      <c r="C127" s="61"/>
      <c r="D127" s="61"/>
      <c r="E127" s="61"/>
      <c r="F127" s="61"/>
      <c r="G127" s="61"/>
      <c r="H127" s="61"/>
      <c r="I127" s="61"/>
    </row>
    <row r="128" spans="1:9" x14ac:dyDescent="0.25">
      <c r="A128" s="61"/>
      <c r="B128" s="61"/>
      <c r="C128" s="61"/>
      <c r="D128" s="61"/>
      <c r="E128" s="61"/>
      <c r="F128" s="61"/>
      <c r="G128" s="61"/>
      <c r="H128" s="61"/>
      <c r="I128" s="61"/>
    </row>
    <row r="129" spans="1:9" x14ac:dyDescent="0.25">
      <c r="A129" s="61"/>
      <c r="B129" s="61"/>
      <c r="C129" s="61"/>
      <c r="D129" s="61"/>
      <c r="E129" s="61"/>
      <c r="F129" s="61"/>
      <c r="G129" s="61"/>
      <c r="H129" s="61"/>
      <c r="I129" s="61"/>
    </row>
    <row r="130" spans="1:9" x14ac:dyDescent="0.25">
      <c r="A130" s="61"/>
      <c r="B130" s="61"/>
      <c r="C130" s="61"/>
      <c r="D130" s="61"/>
      <c r="E130" s="61"/>
      <c r="F130" s="61"/>
      <c r="G130" s="61"/>
      <c r="H130" s="61"/>
      <c r="I130" s="61"/>
    </row>
    <row r="131" spans="1:9" x14ac:dyDescent="0.25">
      <c r="A131" s="61"/>
      <c r="B131" s="61"/>
      <c r="C131" s="61"/>
      <c r="D131" s="61"/>
      <c r="E131" s="61"/>
      <c r="F131" s="61"/>
      <c r="G131" s="61"/>
      <c r="H131" s="61"/>
      <c r="I131" s="61"/>
    </row>
    <row r="132" spans="1:9" x14ac:dyDescent="0.25">
      <c r="A132" s="61"/>
      <c r="B132" s="61"/>
      <c r="C132" s="61"/>
      <c r="D132" s="61"/>
      <c r="E132" s="61"/>
      <c r="F132" s="61"/>
      <c r="G132" s="61"/>
      <c r="H132" s="61"/>
      <c r="I132" s="61"/>
    </row>
    <row r="133" spans="1:9" x14ac:dyDescent="0.25">
      <c r="A133" s="61"/>
      <c r="B133" s="61"/>
      <c r="C133" s="61"/>
      <c r="D133" s="61"/>
      <c r="E133" s="61"/>
      <c r="F133" s="61"/>
      <c r="G133" s="61"/>
      <c r="H133" s="61"/>
      <c r="I133" s="61"/>
    </row>
    <row r="134" spans="1:9" x14ac:dyDescent="0.25">
      <c r="A134" s="61"/>
      <c r="B134" s="61"/>
      <c r="C134" s="61"/>
      <c r="D134" s="61"/>
      <c r="E134" s="61"/>
      <c r="F134" s="61"/>
      <c r="G134" s="61"/>
      <c r="H134" s="61"/>
      <c r="I134" s="61"/>
    </row>
    <row r="135" spans="1:9" x14ac:dyDescent="0.25">
      <c r="A135" s="61"/>
      <c r="B135" s="61"/>
      <c r="C135" s="61"/>
      <c r="D135" s="61"/>
      <c r="E135" s="61"/>
      <c r="F135" s="61"/>
      <c r="G135" s="61"/>
      <c r="H135" s="61"/>
      <c r="I135" s="61"/>
    </row>
    <row r="136" spans="1:9" x14ac:dyDescent="0.25">
      <c r="A136" s="61"/>
      <c r="B136" s="61"/>
      <c r="C136" s="61"/>
      <c r="D136" s="61"/>
      <c r="E136" s="61"/>
      <c r="F136" s="61"/>
      <c r="G136" s="61"/>
      <c r="H136" s="61"/>
      <c r="I136" s="61"/>
    </row>
    <row r="137" spans="1:9" x14ac:dyDescent="0.25">
      <c r="A137" s="61"/>
      <c r="B137" s="61"/>
      <c r="C137" s="61"/>
      <c r="D137" s="61"/>
      <c r="E137" s="61"/>
      <c r="F137" s="61"/>
      <c r="G137" s="61"/>
      <c r="H137" s="61"/>
      <c r="I137" s="61"/>
    </row>
    <row r="138" spans="1:9" x14ac:dyDescent="0.25">
      <c r="A138" s="61"/>
      <c r="B138" s="61"/>
      <c r="C138" s="61"/>
      <c r="D138" s="61"/>
      <c r="E138" s="61"/>
      <c r="F138" s="61"/>
      <c r="G138" s="61"/>
      <c r="H138" s="61"/>
      <c r="I138" s="61"/>
    </row>
    <row r="139" spans="1:9" x14ac:dyDescent="0.25">
      <c r="A139" s="61"/>
      <c r="B139" s="61"/>
      <c r="C139" s="61"/>
      <c r="D139" s="61"/>
      <c r="E139" s="61"/>
      <c r="F139" s="61"/>
      <c r="G139" s="61"/>
      <c r="H139" s="61"/>
      <c r="I139" s="61"/>
    </row>
    <row r="140" spans="1:9" x14ac:dyDescent="0.25">
      <c r="A140" s="61"/>
      <c r="B140" s="61"/>
      <c r="C140" s="61"/>
      <c r="D140" s="61"/>
      <c r="E140" s="61"/>
      <c r="F140" s="61"/>
      <c r="G140" s="61"/>
      <c r="H140" s="61"/>
      <c r="I140" s="61"/>
    </row>
    <row r="141" spans="1:9" x14ac:dyDescent="0.25">
      <c r="A141" s="61"/>
      <c r="B141" s="61"/>
      <c r="C141" s="61"/>
      <c r="D141" s="61"/>
      <c r="E141" s="61"/>
      <c r="F141" s="61"/>
      <c r="G141" s="61"/>
      <c r="H141" s="61"/>
      <c r="I141" s="61"/>
    </row>
    <row r="142" spans="1:9" x14ac:dyDescent="0.25">
      <c r="A142" s="61"/>
      <c r="B142" s="61"/>
      <c r="C142" s="61"/>
      <c r="D142" s="61"/>
      <c r="E142" s="61"/>
      <c r="F142" s="61"/>
      <c r="G142" s="61"/>
      <c r="H142" s="61"/>
      <c r="I142" s="61"/>
    </row>
    <row r="143" spans="1:9" x14ac:dyDescent="0.25">
      <c r="A143" s="61"/>
      <c r="B143" s="61"/>
      <c r="C143" s="61"/>
      <c r="D143" s="61"/>
      <c r="E143" s="61"/>
      <c r="F143" s="61"/>
      <c r="G143" s="61"/>
      <c r="H143" s="61"/>
      <c r="I143" s="61"/>
    </row>
    <row r="144" spans="1:9" x14ac:dyDescent="0.25">
      <c r="A144" s="61"/>
      <c r="B144" s="61"/>
      <c r="C144" s="61"/>
      <c r="D144" s="61"/>
      <c r="E144" s="61"/>
      <c r="F144" s="61"/>
      <c r="G144" s="61"/>
      <c r="H144" s="61"/>
      <c r="I144" s="61"/>
    </row>
    <row r="145" spans="1:9" x14ac:dyDescent="0.25">
      <c r="A145" s="61"/>
      <c r="B145" s="61"/>
      <c r="C145" s="61"/>
      <c r="D145" s="61"/>
      <c r="E145" s="61"/>
      <c r="F145" s="61"/>
      <c r="G145" s="61"/>
      <c r="H145" s="61"/>
      <c r="I145" s="61"/>
    </row>
    <row r="146" spans="1:9" x14ac:dyDescent="0.25">
      <c r="A146" s="61"/>
      <c r="B146" s="61"/>
      <c r="C146" s="61"/>
      <c r="D146" s="61"/>
      <c r="E146" s="61"/>
      <c r="F146" s="61"/>
      <c r="G146" s="61"/>
      <c r="H146" s="61"/>
      <c r="I146" s="61"/>
    </row>
    <row r="147" spans="1:9" x14ac:dyDescent="0.25">
      <c r="A147" s="61"/>
      <c r="B147" s="61"/>
      <c r="C147" s="61"/>
      <c r="D147" s="61"/>
      <c r="E147" s="61"/>
      <c r="F147" s="61"/>
      <c r="G147" s="61"/>
      <c r="H147" s="61"/>
      <c r="I147" s="61"/>
    </row>
    <row r="148" spans="1:9" x14ac:dyDescent="0.25">
      <c r="A148" s="61"/>
      <c r="B148" s="61"/>
      <c r="C148" s="61"/>
      <c r="D148" s="61"/>
      <c r="E148" s="61"/>
      <c r="F148" s="61"/>
      <c r="G148" s="61"/>
      <c r="H148" s="61"/>
      <c r="I148" s="61"/>
    </row>
    <row r="149" spans="1:9" x14ac:dyDescent="0.25">
      <c r="A149" s="61"/>
      <c r="B149" s="61"/>
      <c r="C149" s="61"/>
      <c r="D149" s="61"/>
      <c r="E149" s="61"/>
      <c r="F149" s="61"/>
      <c r="G149" s="61"/>
      <c r="H149" s="61"/>
      <c r="I149" s="61"/>
    </row>
    <row r="150" spans="1:9" x14ac:dyDescent="0.25">
      <c r="A150" s="61"/>
      <c r="B150" s="61"/>
      <c r="C150" s="61"/>
      <c r="D150" s="61"/>
      <c r="E150" s="61"/>
      <c r="F150" s="61"/>
      <c r="G150" s="61"/>
      <c r="H150" s="61"/>
      <c r="I150" s="61"/>
    </row>
    <row r="151" spans="1:9" x14ac:dyDescent="0.25">
      <c r="A151" s="61"/>
      <c r="B151" s="61"/>
      <c r="C151" s="61"/>
      <c r="D151" s="61"/>
      <c r="E151" s="61"/>
      <c r="F151" s="61"/>
      <c r="G151" s="61"/>
      <c r="H151" s="61"/>
      <c r="I151" s="61"/>
    </row>
    <row r="152" spans="1:9" x14ac:dyDescent="0.25">
      <c r="A152" s="61"/>
      <c r="B152" s="61"/>
      <c r="C152" s="61"/>
      <c r="D152" s="61"/>
      <c r="E152" s="61"/>
      <c r="F152" s="61"/>
      <c r="G152" s="61"/>
      <c r="H152" s="61"/>
      <c r="I152" s="61"/>
    </row>
    <row r="153" spans="1:9" x14ac:dyDescent="0.25">
      <c r="A153" s="61"/>
      <c r="B153" s="61"/>
      <c r="C153" s="61"/>
      <c r="D153" s="61"/>
      <c r="E153" s="61"/>
      <c r="F153" s="61"/>
      <c r="G153" s="61"/>
      <c r="H153" s="61"/>
      <c r="I153" s="61"/>
    </row>
    <row r="154" spans="1:9" x14ac:dyDescent="0.25">
      <c r="A154" s="61"/>
      <c r="B154" s="61"/>
      <c r="C154" s="61"/>
      <c r="D154" s="61"/>
      <c r="E154" s="61"/>
      <c r="F154" s="61"/>
      <c r="G154" s="61"/>
      <c r="H154" s="61"/>
      <c r="I154" s="61"/>
    </row>
    <row r="155" spans="1:9" x14ac:dyDescent="0.25">
      <c r="A155" s="61"/>
      <c r="B155" s="61"/>
      <c r="C155" s="61"/>
      <c r="D155" s="61"/>
      <c r="E155" s="61"/>
      <c r="F155" s="61"/>
      <c r="G155" s="61"/>
      <c r="H155" s="61"/>
      <c r="I155" s="61"/>
    </row>
    <row r="156" spans="1:9" x14ac:dyDescent="0.25">
      <c r="A156" s="61"/>
      <c r="B156" s="61"/>
      <c r="C156" s="61"/>
      <c r="D156" s="61"/>
      <c r="E156" s="61"/>
      <c r="F156" s="61"/>
      <c r="G156" s="61"/>
      <c r="H156" s="61"/>
      <c r="I156" s="61"/>
    </row>
    <row r="157" spans="1:9" x14ac:dyDescent="0.25">
      <c r="A157" s="61"/>
      <c r="B157" s="61"/>
      <c r="C157" s="61"/>
      <c r="D157" s="61"/>
      <c r="E157" s="61"/>
      <c r="F157" s="61"/>
      <c r="G157" s="61"/>
      <c r="H157" s="61"/>
      <c r="I157" s="61"/>
    </row>
    <row r="158" spans="1:9" x14ac:dyDescent="0.25">
      <c r="A158" s="61"/>
      <c r="B158" s="61"/>
      <c r="C158" s="61"/>
      <c r="D158" s="61"/>
      <c r="E158" s="61"/>
      <c r="F158" s="61"/>
      <c r="G158" s="61"/>
      <c r="H158" s="61"/>
      <c r="I158" s="61"/>
    </row>
    <row r="159" spans="1:9" x14ac:dyDescent="0.25">
      <c r="A159" s="61"/>
      <c r="B159" s="61"/>
      <c r="C159" s="61"/>
      <c r="D159" s="61"/>
      <c r="E159" s="61"/>
      <c r="F159" s="61"/>
      <c r="G159" s="61"/>
      <c r="H159" s="61"/>
      <c r="I159" s="61"/>
    </row>
    <row r="160" spans="1:9" x14ac:dyDescent="0.25">
      <c r="A160" s="61"/>
      <c r="B160" s="61"/>
      <c r="C160" s="61"/>
      <c r="D160" s="61"/>
      <c r="E160" s="61"/>
      <c r="F160" s="61"/>
      <c r="G160" s="61"/>
      <c r="H160" s="61"/>
      <c r="I160" s="61"/>
    </row>
    <row r="161" spans="1:9" x14ac:dyDescent="0.25">
      <c r="A161" s="61"/>
      <c r="B161" s="61"/>
      <c r="C161" s="61"/>
      <c r="D161" s="61"/>
      <c r="E161" s="61"/>
      <c r="F161" s="61"/>
      <c r="G161" s="61"/>
      <c r="H161" s="61"/>
      <c r="I161" s="61"/>
    </row>
    <row r="162" spans="1:9" x14ac:dyDescent="0.25">
      <c r="A162" s="61"/>
      <c r="B162" s="61"/>
      <c r="C162" s="61"/>
      <c r="D162" s="61"/>
      <c r="E162" s="61"/>
      <c r="F162" s="61"/>
      <c r="G162" s="61"/>
      <c r="H162" s="61"/>
      <c r="I162" s="61"/>
    </row>
    <row r="163" spans="1:9" x14ac:dyDescent="0.25">
      <c r="A163" s="61"/>
      <c r="B163" s="61"/>
      <c r="C163" s="61"/>
      <c r="D163" s="61"/>
      <c r="E163" s="61"/>
      <c r="F163" s="61"/>
      <c r="G163" s="61"/>
      <c r="H163" s="61"/>
      <c r="I163" s="61"/>
    </row>
    <row r="164" spans="1:9" x14ac:dyDescent="0.25">
      <c r="A164" s="61"/>
      <c r="B164" s="61"/>
      <c r="C164" s="61"/>
      <c r="D164" s="61"/>
      <c r="E164" s="61"/>
      <c r="F164" s="61"/>
      <c r="G164" s="61"/>
      <c r="H164" s="61"/>
      <c r="I164" s="61"/>
    </row>
    <row r="165" spans="1:9" x14ac:dyDescent="0.25">
      <c r="A165" s="61"/>
      <c r="B165" s="61"/>
      <c r="C165" s="61"/>
      <c r="D165" s="61"/>
      <c r="E165" s="61"/>
      <c r="F165" s="61"/>
      <c r="G165" s="61"/>
      <c r="H165" s="61"/>
      <c r="I165" s="61"/>
    </row>
    <row r="166" spans="1:9" x14ac:dyDescent="0.25">
      <c r="A166" s="61"/>
      <c r="B166" s="61"/>
      <c r="C166" s="61"/>
      <c r="D166" s="61"/>
      <c r="E166" s="61"/>
      <c r="F166" s="61"/>
      <c r="G166" s="61"/>
      <c r="H166" s="61"/>
      <c r="I166" s="61"/>
    </row>
    <row r="167" spans="1:9" x14ac:dyDescent="0.25">
      <c r="A167" s="61"/>
      <c r="B167" s="61"/>
      <c r="C167" s="61"/>
      <c r="D167" s="61"/>
      <c r="E167" s="61"/>
      <c r="F167" s="61"/>
      <c r="G167" s="61"/>
      <c r="H167" s="61"/>
      <c r="I167" s="61"/>
    </row>
    <row r="168" spans="1:9" x14ac:dyDescent="0.25">
      <c r="A168" s="61"/>
      <c r="B168" s="61"/>
      <c r="C168" s="61"/>
      <c r="D168" s="61"/>
      <c r="E168" s="61"/>
      <c r="F168" s="61"/>
      <c r="G168" s="61"/>
      <c r="H168" s="61"/>
      <c r="I168" s="61"/>
    </row>
    <row r="169" spans="1:9" x14ac:dyDescent="0.25">
      <c r="A169" s="61"/>
      <c r="B169" s="61"/>
      <c r="C169" s="61"/>
      <c r="D169" s="61"/>
      <c r="E169" s="61"/>
      <c r="F169" s="61"/>
      <c r="G169" s="61"/>
      <c r="H169" s="61"/>
      <c r="I169" s="61"/>
    </row>
    <row r="170" spans="1:9" x14ac:dyDescent="0.25">
      <c r="A170" s="61"/>
      <c r="B170" s="61"/>
      <c r="C170" s="61"/>
      <c r="D170" s="61"/>
      <c r="E170" s="61"/>
      <c r="F170" s="61"/>
      <c r="G170" s="61"/>
      <c r="H170" s="61"/>
      <c r="I170" s="61"/>
    </row>
    <row r="171" spans="1:9" x14ac:dyDescent="0.25">
      <c r="A171" s="61"/>
      <c r="B171" s="61"/>
      <c r="C171" s="61"/>
      <c r="D171" s="61"/>
      <c r="E171" s="61"/>
      <c r="F171" s="61"/>
      <c r="G171" s="61"/>
      <c r="H171" s="61"/>
      <c r="I171" s="61"/>
    </row>
    <row r="172" spans="1:9" x14ac:dyDescent="0.25">
      <c r="A172" s="61"/>
      <c r="B172" s="61"/>
      <c r="C172" s="61"/>
      <c r="D172" s="61"/>
      <c r="E172" s="61"/>
      <c r="F172" s="61"/>
      <c r="G172" s="61"/>
      <c r="H172" s="61"/>
      <c r="I172" s="61"/>
    </row>
    <row r="173" spans="1:9" x14ac:dyDescent="0.25">
      <c r="A173" s="61"/>
      <c r="B173" s="61"/>
      <c r="C173" s="61"/>
      <c r="D173" s="61"/>
      <c r="E173" s="61"/>
      <c r="F173" s="61"/>
      <c r="G173" s="61"/>
      <c r="H173" s="61"/>
      <c r="I173" s="61"/>
    </row>
    <row r="174" spans="1:9" x14ac:dyDescent="0.25">
      <c r="A174" s="61"/>
      <c r="B174" s="61"/>
      <c r="C174" s="61"/>
      <c r="D174" s="61"/>
      <c r="E174" s="61"/>
      <c r="F174" s="61"/>
      <c r="G174" s="61"/>
      <c r="H174" s="61"/>
      <c r="I174" s="61"/>
    </row>
    <row r="175" spans="1:9" x14ac:dyDescent="0.25">
      <c r="A175" s="61"/>
      <c r="B175" s="61"/>
      <c r="C175" s="61"/>
      <c r="D175" s="61"/>
      <c r="E175" s="61"/>
      <c r="F175" s="61"/>
      <c r="G175" s="61"/>
      <c r="H175" s="61"/>
      <c r="I175" s="61"/>
    </row>
    <row r="176" spans="1:9" x14ac:dyDescent="0.25">
      <c r="A176" s="61"/>
      <c r="B176" s="61"/>
      <c r="C176" s="61"/>
      <c r="D176" s="61"/>
      <c r="E176" s="61"/>
      <c r="F176" s="61"/>
      <c r="G176" s="61"/>
      <c r="H176" s="61"/>
      <c r="I176" s="61"/>
    </row>
    <row r="177" spans="1:9" x14ac:dyDescent="0.25">
      <c r="A177" s="61"/>
      <c r="B177" s="61"/>
      <c r="C177" s="61"/>
      <c r="D177" s="61"/>
      <c r="E177" s="61"/>
      <c r="F177" s="61"/>
      <c r="G177" s="61"/>
      <c r="H177" s="61"/>
      <c r="I177" s="61"/>
    </row>
    <row r="178" spans="1:9" x14ac:dyDescent="0.25">
      <c r="A178" s="61"/>
      <c r="B178" s="61"/>
      <c r="C178" s="61"/>
      <c r="D178" s="61"/>
      <c r="E178" s="61"/>
      <c r="F178" s="61"/>
      <c r="G178" s="61"/>
      <c r="H178" s="61"/>
      <c r="I178" s="61"/>
    </row>
    <row r="179" spans="1:9" x14ac:dyDescent="0.25">
      <c r="A179" s="61"/>
      <c r="B179" s="61"/>
      <c r="C179" s="61"/>
      <c r="D179" s="61"/>
      <c r="E179" s="61"/>
      <c r="F179" s="61"/>
      <c r="G179" s="61"/>
      <c r="H179" s="61"/>
      <c r="I179" s="61"/>
    </row>
    <row r="180" spans="1:9" x14ac:dyDescent="0.25">
      <c r="A180" s="61"/>
      <c r="B180" s="61"/>
      <c r="C180" s="61"/>
      <c r="D180" s="61"/>
      <c r="E180" s="61"/>
      <c r="F180" s="61"/>
      <c r="G180" s="61"/>
      <c r="H180" s="61"/>
      <c r="I180" s="61"/>
    </row>
    <row r="181" spans="1:9" x14ac:dyDescent="0.25">
      <c r="A181" s="61"/>
      <c r="B181" s="61"/>
      <c r="C181" s="61"/>
      <c r="D181" s="61"/>
      <c r="E181" s="61"/>
      <c r="F181" s="61"/>
      <c r="G181" s="61"/>
      <c r="H181" s="61"/>
      <c r="I181" s="61"/>
    </row>
    <row r="182" spans="1:9" x14ac:dyDescent="0.25">
      <c r="A182" s="61"/>
      <c r="B182" s="61"/>
      <c r="C182" s="61"/>
      <c r="D182" s="61"/>
      <c r="E182" s="61"/>
      <c r="F182" s="61"/>
      <c r="G182" s="61"/>
      <c r="H182" s="61"/>
      <c r="I182" s="61"/>
    </row>
    <row r="183" spans="1:9" x14ac:dyDescent="0.25">
      <c r="A183" s="61"/>
      <c r="B183" s="61"/>
      <c r="C183" s="61"/>
      <c r="D183" s="61"/>
      <c r="E183" s="61"/>
      <c r="F183" s="61"/>
      <c r="G183" s="61"/>
      <c r="H183" s="61"/>
      <c r="I183" s="61"/>
    </row>
    <row r="184" spans="1:9" x14ac:dyDescent="0.25">
      <c r="A184" s="61"/>
      <c r="B184" s="61"/>
      <c r="C184" s="61"/>
      <c r="D184" s="61"/>
      <c r="E184" s="61"/>
      <c r="F184" s="61"/>
      <c r="G184" s="61"/>
      <c r="H184" s="61"/>
      <c r="I184" s="61"/>
    </row>
    <row r="185" spans="1:9" x14ac:dyDescent="0.25">
      <c r="A185" s="61"/>
      <c r="B185" s="61"/>
      <c r="C185" s="61"/>
      <c r="D185" s="61"/>
      <c r="E185" s="61"/>
      <c r="F185" s="61"/>
      <c r="G185" s="61"/>
      <c r="H185" s="61"/>
      <c r="I185" s="61"/>
    </row>
    <row r="186" spans="1:9" x14ac:dyDescent="0.25">
      <c r="A186" s="61"/>
      <c r="B186" s="61"/>
      <c r="C186" s="61"/>
      <c r="D186" s="61"/>
      <c r="E186" s="61"/>
      <c r="F186" s="61"/>
      <c r="G186" s="61"/>
      <c r="H186" s="61"/>
      <c r="I186" s="61"/>
    </row>
    <row r="187" spans="1:9" x14ac:dyDescent="0.25">
      <c r="A187" s="61"/>
      <c r="B187" s="61"/>
      <c r="C187" s="61"/>
      <c r="D187" s="61"/>
      <c r="E187" s="61"/>
      <c r="F187" s="61"/>
      <c r="G187" s="61"/>
      <c r="H187" s="61"/>
      <c r="I187" s="61"/>
    </row>
    <row r="188" spans="1:9" x14ac:dyDescent="0.25">
      <c r="A188" s="61"/>
      <c r="B188" s="61"/>
      <c r="C188" s="61"/>
      <c r="D188" s="61"/>
      <c r="E188" s="61"/>
      <c r="F188" s="61"/>
      <c r="G188" s="61"/>
      <c r="H188" s="61"/>
      <c r="I188" s="61"/>
    </row>
    <row r="189" spans="1:9" x14ac:dyDescent="0.25">
      <c r="A189" s="61"/>
      <c r="B189" s="61"/>
      <c r="C189" s="61"/>
      <c r="D189" s="61"/>
      <c r="E189" s="61"/>
      <c r="F189" s="61"/>
      <c r="G189" s="61"/>
      <c r="H189" s="61"/>
      <c r="I189" s="61"/>
    </row>
    <row r="190" spans="1:9" x14ac:dyDescent="0.25">
      <c r="A190" s="61"/>
      <c r="B190" s="61"/>
      <c r="C190" s="61"/>
      <c r="D190" s="61"/>
      <c r="E190" s="61"/>
      <c r="F190" s="61"/>
      <c r="G190" s="61"/>
      <c r="H190" s="61"/>
      <c r="I190" s="61"/>
    </row>
    <row r="191" spans="1:9" x14ac:dyDescent="0.25">
      <c r="A191" s="61"/>
      <c r="B191" s="61"/>
      <c r="C191" s="61"/>
      <c r="D191" s="61"/>
      <c r="E191" s="61"/>
      <c r="F191" s="61"/>
      <c r="G191" s="61"/>
      <c r="H191" s="61"/>
      <c r="I191" s="61"/>
    </row>
    <row r="192" spans="1:9" x14ac:dyDescent="0.25">
      <c r="A192" s="61"/>
      <c r="B192" s="61"/>
      <c r="C192" s="61"/>
      <c r="D192" s="61"/>
      <c r="E192" s="61"/>
      <c r="F192" s="61"/>
      <c r="G192" s="61"/>
      <c r="H192" s="61"/>
      <c r="I192" s="61"/>
    </row>
    <row r="193" spans="1:9" x14ac:dyDescent="0.25">
      <c r="A193" s="61"/>
      <c r="B193" s="61"/>
      <c r="C193" s="61"/>
      <c r="D193" s="61"/>
      <c r="E193" s="61"/>
      <c r="F193" s="61"/>
      <c r="G193" s="61"/>
      <c r="H193" s="61"/>
      <c r="I193" s="61"/>
    </row>
    <row r="194" spans="1:9" x14ac:dyDescent="0.25">
      <c r="A194" s="61"/>
      <c r="B194" s="61"/>
      <c r="C194" s="61"/>
      <c r="D194" s="61"/>
      <c r="E194" s="61"/>
      <c r="F194" s="61"/>
      <c r="G194" s="61"/>
      <c r="H194" s="61"/>
      <c r="I194" s="61"/>
    </row>
    <row r="195" spans="1:9" x14ac:dyDescent="0.25">
      <c r="A195" s="61"/>
      <c r="B195" s="61"/>
      <c r="C195" s="61"/>
      <c r="D195" s="61"/>
      <c r="E195" s="61"/>
      <c r="F195" s="61"/>
      <c r="G195" s="61"/>
      <c r="H195" s="61"/>
      <c r="I195" s="61"/>
    </row>
    <row r="196" spans="1:9" x14ac:dyDescent="0.25">
      <c r="A196" s="61"/>
      <c r="B196" s="61"/>
      <c r="C196" s="61"/>
      <c r="D196" s="61"/>
      <c r="E196" s="61"/>
      <c r="F196" s="61"/>
      <c r="G196" s="61"/>
      <c r="H196" s="61"/>
      <c r="I196" s="61"/>
    </row>
    <row r="197" spans="1:9" x14ac:dyDescent="0.25">
      <c r="A197" s="61"/>
      <c r="B197" s="61"/>
      <c r="C197" s="61"/>
      <c r="D197" s="61"/>
      <c r="E197" s="61"/>
      <c r="F197" s="61"/>
      <c r="G197" s="61"/>
      <c r="H197" s="61"/>
      <c r="I197" s="61"/>
    </row>
    <row r="198" spans="1:9" x14ac:dyDescent="0.25">
      <c r="A198" s="61"/>
      <c r="B198" s="61"/>
      <c r="C198" s="61"/>
      <c r="D198" s="61"/>
      <c r="E198" s="61"/>
      <c r="F198" s="61"/>
      <c r="G198" s="61"/>
      <c r="H198" s="61"/>
      <c r="I198" s="61"/>
    </row>
    <row r="199" spans="1:9" x14ac:dyDescent="0.25">
      <c r="A199" s="61"/>
      <c r="B199" s="61"/>
      <c r="C199" s="61"/>
      <c r="D199" s="61"/>
      <c r="E199" s="61"/>
      <c r="F199" s="61"/>
      <c r="G199" s="61"/>
      <c r="H199" s="61"/>
      <c r="I199" s="61"/>
    </row>
    <row r="200" spans="1:9" x14ac:dyDescent="0.25">
      <c r="A200" s="61"/>
      <c r="B200" s="61"/>
      <c r="C200" s="61"/>
      <c r="D200" s="61"/>
      <c r="E200" s="61"/>
      <c r="F200" s="61"/>
      <c r="G200" s="61"/>
      <c r="H200" s="61"/>
      <c r="I200" s="61"/>
    </row>
    <row r="201" spans="1:9" x14ac:dyDescent="0.25">
      <c r="A201" s="61"/>
      <c r="B201" s="61"/>
      <c r="C201" s="61"/>
      <c r="D201" s="61"/>
      <c r="E201" s="61"/>
      <c r="F201" s="61"/>
      <c r="G201" s="61"/>
      <c r="H201" s="61"/>
      <c r="I201" s="61"/>
    </row>
    <row r="202" spans="1:9" x14ac:dyDescent="0.25">
      <c r="A202" s="61"/>
      <c r="B202" s="61"/>
      <c r="C202" s="61"/>
      <c r="D202" s="61"/>
      <c r="E202" s="61"/>
      <c r="F202" s="61"/>
      <c r="G202" s="61"/>
      <c r="H202" s="61"/>
      <c r="I202" s="61"/>
    </row>
    <row r="203" spans="1:9" x14ac:dyDescent="0.25">
      <c r="A203" s="61"/>
      <c r="B203" s="61"/>
      <c r="C203" s="61"/>
      <c r="D203" s="61"/>
      <c r="E203" s="61"/>
      <c r="F203" s="61"/>
      <c r="G203" s="61"/>
      <c r="H203" s="61"/>
      <c r="I203" s="61"/>
    </row>
    <row r="204" spans="1:9" x14ac:dyDescent="0.25">
      <c r="A204" s="61"/>
      <c r="B204" s="61"/>
      <c r="C204" s="61"/>
      <c r="D204" s="61"/>
      <c r="E204" s="61"/>
      <c r="F204" s="61"/>
      <c r="G204" s="61"/>
      <c r="H204" s="61"/>
      <c r="I204" s="61"/>
    </row>
    <row r="205" spans="1:9" x14ac:dyDescent="0.25">
      <c r="A205" s="61"/>
      <c r="B205" s="61"/>
      <c r="C205" s="61"/>
      <c r="D205" s="61"/>
      <c r="E205" s="61"/>
      <c r="F205" s="61"/>
      <c r="G205" s="61"/>
      <c r="H205" s="61"/>
      <c r="I205" s="61"/>
    </row>
    <row r="206" spans="1:9" x14ac:dyDescent="0.25">
      <c r="A206" s="61"/>
      <c r="B206" s="61"/>
      <c r="C206" s="61"/>
      <c r="D206" s="61"/>
      <c r="E206" s="61"/>
      <c r="F206" s="61"/>
      <c r="G206" s="61"/>
      <c r="H206" s="61"/>
      <c r="I206" s="61"/>
    </row>
    <row r="207" spans="1:9" x14ac:dyDescent="0.25">
      <c r="A207" s="61"/>
      <c r="B207" s="61"/>
      <c r="C207" s="61"/>
      <c r="D207" s="61"/>
      <c r="E207" s="61"/>
      <c r="F207" s="61"/>
      <c r="G207" s="61"/>
      <c r="H207" s="61"/>
      <c r="I207" s="61"/>
    </row>
    <row r="208" spans="1:9" x14ac:dyDescent="0.25">
      <c r="A208" s="61"/>
      <c r="B208" s="61"/>
      <c r="C208" s="61"/>
      <c r="D208" s="61"/>
      <c r="E208" s="61"/>
      <c r="F208" s="61"/>
      <c r="G208" s="61"/>
      <c r="H208" s="61"/>
      <c r="I208" s="61"/>
    </row>
    <row r="209" spans="1:9" x14ac:dyDescent="0.25">
      <c r="A209" s="61"/>
      <c r="B209" s="61"/>
      <c r="C209" s="61"/>
      <c r="D209" s="61"/>
      <c r="E209" s="61"/>
      <c r="F209" s="61"/>
      <c r="G209" s="61"/>
      <c r="H209" s="61"/>
      <c r="I209" s="61"/>
    </row>
    <row r="210" spans="1:9" x14ac:dyDescent="0.25">
      <c r="A210" s="61"/>
      <c r="B210" s="61"/>
      <c r="C210" s="61"/>
      <c r="D210" s="61"/>
      <c r="E210" s="61"/>
      <c r="F210" s="61"/>
      <c r="G210" s="61"/>
      <c r="H210" s="61"/>
      <c r="I210" s="61"/>
    </row>
    <row r="211" spans="1:9" x14ac:dyDescent="0.25">
      <c r="A211" s="61"/>
      <c r="B211" s="61"/>
      <c r="C211" s="61"/>
      <c r="D211" s="61"/>
      <c r="E211" s="61"/>
      <c r="F211" s="61"/>
      <c r="G211" s="61"/>
      <c r="H211" s="61"/>
      <c r="I211" s="61"/>
    </row>
    <row r="212" spans="1:9" x14ac:dyDescent="0.25">
      <c r="A212" s="61"/>
      <c r="B212" s="61"/>
      <c r="C212" s="61"/>
      <c r="D212" s="61"/>
      <c r="E212" s="61"/>
      <c r="F212" s="61"/>
      <c r="G212" s="61"/>
      <c r="H212" s="61"/>
      <c r="I212" s="61"/>
    </row>
    <row r="213" spans="1:9" x14ac:dyDescent="0.25">
      <c r="A213" s="61"/>
      <c r="B213" s="61"/>
      <c r="C213" s="61"/>
      <c r="D213" s="61"/>
      <c r="E213" s="61"/>
      <c r="F213" s="61"/>
      <c r="G213" s="61"/>
      <c r="H213" s="61"/>
      <c r="I213" s="61"/>
    </row>
    <row r="214" spans="1:9" x14ac:dyDescent="0.25">
      <c r="A214" s="61"/>
      <c r="B214" s="61"/>
      <c r="C214" s="61"/>
      <c r="D214" s="61"/>
      <c r="E214" s="61"/>
      <c r="F214" s="61"/>
      <c r="G214" s="61"/>
      <c r="H214" s="61"/>
      <c r="I214" s="61"/>
    </row>
    <row r="215" spans="1:9" x14ac:dyDescent="0.25">
      <c r="A215" s="61"/>
      <c r="B215" s="61"/>
      <c r="C215" s="61"/>
      <c r="D215" s="61"/>
      <c r="E215" s="61"/>
      <c r="F215" s="61"/>
      <c r="G215" s="61"/>
      <c r="H215" s="61"/>
      <c r="I215" s="61"/>
    </row>
    <row r="216" spans="1:9" x14ac:dyDescent="0.25">
      <c r="A216" s="61"/>
      <c r="B216" s="61"/>
      <c r="C216" s="61"/>
      <c r="D216" s="61"/>
      <c r="E216" s="61"/>
      <c r="F216" s="61"/>
      <c r="G216" s="61"/>
      <c r="H216" s="61"/>
      <c r="I216" s="61"/>
    </row>
    <row r="217" spans="1:9" x14ac:dyDescent="0.25">
      <c r="A217" s="61"/>
      <c r="B217" s="61"/>
      <c r="C217" s="61"/>
      <c r="D217" s="61"/>
      <c r="E217" s="61"/>
      <c r="F217" s="61"/>
      <c r="G217" s="61"/>
      <c r="H217" s="61"/>
      <c r="I217" s="61"/>
    </row>
    <row r="218" spans="1:9" x14ac:dyDescent="0.25">
      <c r="A218" s="61"/>
      <c r="B218" s="61"/>
      <c r="C218" s="61"/>
      <c r="D218" s="61"/>
      <c r="E218" s="61"/>
      <c r="F218" s="61"/>
      <c r="G218" s="61"/>
      <c r="H218" s="61"/>
      <c r="I218" s="61"/>
    </row>
    <row r="219" spans="1:9" x14ac:dyDescent="0.25">
      <c r="A219" s="61"/>
      <c r="B219" s="61"/>
      <c r="C219" s="61"/>
      <c r="D219" s="61"/>
      <c r="E219" s="61"/>
      <c r="F219" s="61"/>
      <c r="G219" s="61"/>
      <c r="H219" s="61"/>
      <c r="I219" s="61"/>
    </row>
    <row r="220" spans="1:9" x14ac:dyDescent="0.25">
      <c r="A220" s="61"/>
      <c r="B220" s="61"/>
      <c r="C220" s="61"/>
      <c r="D220" s="61"/>
      <c r="E220" s="61"/>
      <c r="F220" s="61"/>
      <c r="G220" s="61"/>
      <c r="H220" s="61"/>
      <c r="I220" s="61"/>
    </row>
    <row r="221" spans="1:9" x14ac:dyDescent="0.25">
      <c r="A221" s="61"/>
      <c r="B221" s="61"/>
      <c r="C221" s="61"/>
      <c r="D221" s="61"/>
      <c r="E221" s="61"/>
      <c r="F221" s="61"/>
      <c r="G221" s="61"/>
      <c r="H221" s="61"/>
      <c r="I221" s="61"/>
    </row>
    <row r="222" spans="1:9" x14ac:dyDescent="0.25">
      <c r="A222" s="61"/>
      <c r="B222" s="61"/>
      <c r="C222" s="61"/>
      <c r="D222" s="61"/>
      <c r="E222" s="61"/>
      <c r="F222" s="61"/>
      <c r="G222" s="61"/>
      <c r="H222" s="61"/>
      <c r="I222" s="61"/>
    </row>
    <row r="223" spans="1:9" x14ac:dyDescent="0.25">
      <c r="A223" s="61"/>
      <c r="B223" s="61"/>
      <c r="C223" s="61"/>
      <c r="D223" s="61"/>
      <c r="E223" s="61"/>
      <c r="F223" s="61"/>
      <c r="G223" s="61"/>
      <c r="H223" s="61"/>
      <c r="I223" s="61"/>
    </row>
    <row r="224" spans="1:9" x14ac:dyDescent="0.25">
      <c r="A224" s="61"/>
      <c r="B224" s="61"/>
      <c r="C224" s="61"/>
      <c r="D224" s="61"/>
      <c r="E224" s="61"/>
      <c r="F224" s="61"/>
      <c r="G224" s="61"/>
      <c r="H224" s="61"/>
      <c r="I224" s="61"/>
    </row>
    <row r="225" spans="1:9" x14ac:dyDescent="0.25">
      <c r="A225" s="61"/>
      <c r="B225" s="61"/>
      <c r="C225" s="61"/>
      <c r="D225" s="61"/>
      <c r="E225" s="61"/>
      <c r="F225" s="61"/>
      <c r="G225" s="61"/>
      <c r="H225" s="61"/>
      <c r="I225" s="61"/>
    </row>
    <row r="226" spans="1:9" x14ac:dyDescent="0.25">
      <c r="A226" s="61"/>
      <c r="B226" s="61"/>
      <c r="C226" s="61"/>
      <c r="D226" s="61"/>
      <c r="E226" s="61"/>
      <c r="F226" s="61"/>
      <c r="G226" s="61"/>
      <c r="H226" s="61"/>
      <c r="I226" s="61"/>
    </row>
    <row r="227" spans="1:9" x14ac:dyDescent="0.25">
      <c r="A227" s="61"/>
      <c r="B227" s="61"/>
      <c r="C227" s="61"/>
      <c r="D227" s="61"/>
      <c r="E227" s="61"/>
      <c r="F227" s="61"/>
      <c r="G227" s="61"/>
      <c r="H227" s="61"/>
      <c r="I227" s="61"/>
    </row>
    <row r="228" spans="1:9" x14ac:dyDescent="0.25">
      <c r="A228" s="61"/>
      <c r="B228" s="61"/>
      <c r="C228" s="61"/>
      <c r="D228" s="61"/>
      <c r="E228" s="61"/>
      <c r="F228" s="61"/>
      <c r="G228" s="61"/>
      <c r="H228" s="61"/>
      <c r="I228" s="61"/>
    </row>
    <row r="229" spans="1:9" x14ac:dyDescent="0.25">
      <c r="A229" s="61"/>
      <c r="B229" s="61"/>
      <c r="C229" s="61"/>
      <c r="D229" s="61"/>
      <c r="E229" s="61"/>
      <c r="F229" s="61"/>
      <c r="G229" s="61"/>
      <c r="H229" s="61"/>
      <c r="I229" s="61"/>
    </row>
    <row r="230" spans="1:9" x14ac:dyDescent="0.25">
      <c r="A230" s="61"/>
      <c r="B230" s="61"/>
      <c r="C230" s="61"/>
      <c r="D230" s="61"/>
      <c r="E230" s="61"/>
      <c r="F230" s="61"/>
      <c r="G230" s="61"/>
      <c r="H230" s="61"/>
      <c r="I230" s="61"/>
    </row>
    <row r="231" spans="1:9" x14ac:dyDescent="0.25">
      <c r="A231" s="61"/>
      <c r="B231" s="61"/>
      <c r="C231" s="61"/>
      <c r="D231" s="61"/>
      <c r="E231" s="61"/>
      <c r="F231" s="61"/>
      <c r="G231" s="61"/>
      <c r="H231" s="61"/>
      <c r="I231" s="61"/>
    </row>
    <row r="232" spans="1:9" x14ac:dyDescent="0.25">
      <c r="A232" s="61"/>
      <c r="B232" s="61"/>
      <c r="C232" s="61"/>
      <c r="D232" s="61"/>
      <c r="E232" s="61"/>
      <c r="F232" s="61"/>
      <c r="G232" s="61"/>
      <c r="H232" s="61"/>
      <c r="I232" s="61"/>
    </row>
    <row r="233" spans="1:9" x14ac:dyDescent="0.25">
      <c r="A233" s="61"/>
      <c r="B233" s="61"/>
      <c r="C233" s="61"/>
      <c r="D233" s="61"/>
      <c r="E233" s="61"/>
      <c r="F233" s="61"/>
      <c r="G233" s="61"/>
      <c r="H233" s="61"/>
      <c r="I233" s="61"/>
    </row>
    <row r="234" spans="1:9" x14ac:dyDescent="0.25">
      <c r="A234" s="61"/>
      <c r="B234" s="61"/>
      <c r="C234" s="61"/>
      <c r="D234" s="61"/>
      <c r="E234" s="61"/>
      <c r="F234" s="61"/>
      <c r="G234" s="61"/>
      <c r="H234" s="61"/>
      <c r="I234" s="61"/>
    </row>
    <row r="235" spans="1:9" x14ac:dyDescent="0.25">
      <c r="A235" s="61"/>
      <c r="B235" s="61"/>
      <c r="C235" s="61"/>
      <c r="D235" s="61"/>
      <c r="E235" s="61"/>
      <c r="F235" s="61"/>
      <c r="G235" s="61"/>
      <c r="H235" s="61"/>
      <c r="I235" s="61"/>
    </row>
    <row r="236" spans="1:9" x14ac:dyDescent="0.25">
      <c r="A236" s="61"/>
      <c r="B236" s="61"/>
      <c r="C236" s="61"/>
      <c r="D236" s="61"/>
      <c r="E236" s="61"/>
      <c r="F236" s="61"/>
      <c r="G236" s="61"/>
      <c r="H236" s="61"/>
      <c r="I236" s="61"/>
    </row>
    <row r="237" spans="1:9" x14ac:dyDescent="0.25">
      <c r="A237" s="61"/>
      <c r="B237" s="61"/>
      <c r="C237" s="61"/>
      <c r="D237" s="61"/>
      <c r="E237" s="61"/>
      <c r="F237" s="61"/>
      <c r="G237" s="61"/>
      <c r="H237" s="61"/>
      <c r="I237" s="61"/>
    </row>
    <row r="238" spans="1:9" x14ac:dyDescent="0.25">
      <c r="A238" s="61"/>
      <c r="B238" s="61"/>
      <c r="C238" s="61"/>
      <c r="D238" s="61"/>
      <c r="E238" s="61"/>
      <c r="F238" s="61"/>
      <c r="G238" s="61"/>
      <c r="H238" s="61"/>
      <c r="I238" s="61"/>
    </row>
    <row r="239" spans="1:9" x14ac:dyDescent="0.25">
      <c r="A239" s="61"/>
      <c r="B239" s="61"/>
      <c r="C239" s="61"/>
      <c r="D239" s="61"/>
      <c r="E239" s="61"/>
      <c r="F239" s="61"/>
      <c r="G239" s="61"/>
      <c r="H239" s="61"/>
      <c r="I239" s="61"/>
    </row>
    <row r="240" spans="1:9" x14ac:dyDescent="0.25">
      <c r="A240" s="61"/>
      <c r="B240" s="61"/>
      <c r="C240" s="61"/>
      <c r="D240" s="61"/>
      <c r="E240" s="61"/>
      <c r="F240" s="61"/>
      <c r="G240" s="61"/>
      <c r="H240" s="61"/>
      <c r="I240" s="61"/>
    </row>
    <row r="241" spans="1:9" x14ac:dyDescent="0.25">
      <c r="A241" s="61"/>
      <c r="B241" s="61"/>
      <c r="C241" s="61"/>
      <c r="D241" s="61"/>
      <c r="E241" s="61"/>
      <c r="F241" s="61"/>
      <c r="G241" s="61"/>
      <c r="H241" s="61"/>
      <c r="I241" s="61"/>
    </row>
    <row r="242" spans="1:9" x14ac:dyDescent="0.25">
      <c r="A242" s="61"/>
      <c r="B242" s="61"/>
      <c r="C242" s="61"/>
      <c r="D242" s="61"/>
      <c r="E242" s="61"/>
      <c r="F242" s="61"/>
      <c r="G242" s="61"/>
      <c r="H242" s="61"/>
      <c r="I242" s="61"/>
    </row>
    <row r="243" spans="1:9" x14ac:dyDescent="0.25">
      <c r="A243" s="61"/>
      <c r="B243" s="61"/>
      <c r="C243" s="61"/>
      <c r="D243" s="61"/>
      <c r="E243" s="61"/>
      <c r="F243" s="61"/>
      <c r="G243" s="61"/>
      <c r="H243" s="61"/>
      <c r="I243" s="61"/>
    </row>
    <row r="244" spans="1:9" x14ac:dyDescent="0.25">
      <c r="A244" s="61"/>
      <c r="B244" s="61"/>
      <c r="C244" s="61"/>
      <c r="D244" s="61"/>
      <c r="E244" s="61"/>
      <c r="F244" s="61"/>
      <c r="G244" s="61"/>
      <c r="H244" s="61"/>
      <c r="I244" s="61"/>
    </row>
    <row r="245" spans="1:9" x14ac:dyDescent="0.25">
      <c r="A245" s="61"/>
      <c r="B245" s="61"/>
      <c r="C245" s="61"/>
      <c r="D245" s="61"/>
      <c r="E245" s="61"/>
      <c r="F245" s="61"/>
      <c r="G245" s="61"/>
      <c r="H245" s="61"/>
      <c r="I245" s="61"/>
    </row>
    <row r="246" spans="1:9" x14ac:dyDescent="0.25">
      <c r="A246" s="61"/>
      <c r="B246" s="61"/>
      <c r="C246" s="61"/>
      <c r="D246" s="61"/>
      <c r="E246" s="61"/>
      <c r="F246" s="61"/>
      <c r="G246" s="61"/>
      <c r="H246" s="61"/>
      <c r="I246" s="61"/>
    </row>
    <row r="247" spans="1:9" x14ac:dyDescent="0.25">
      <c r="A247" s="61"/>
      <c r="B247" s="61"/>
      <c r="C247" s="61"/>
      <c r="D247" s="61"/>
      <c r="E247" s="61"/>
      <c r="F247" s="61"/>
      <c r="G247" s="61"/>
      <c r="H247" s="61"/>
      <c r="I247" s="61"/>
    </row>
    <row r="248" spans="1:9" x14ac:dyDescent="0.25">
      <c r="A248" s="61"/>
      <c r="B248" s="61"/>
      <c r="C248" s="61"/>
      <c r="D248" s="61"/>
      <c r="E248" s="61"/>
      <c r="F248" s="61"/>
      <c r="G248" s="61"/>
      <c r="H248" s="61"/>
      <c r="I248" s="61"/>
    </row>
    <row r="249" spans="1:9" x14ac:dyDescent="0.25">
      <c r="A249" s="61"/>
      <c r="B249" s="61"/>
      <c r="C249" s="61"/>
      <c r="D249" s="61"/>
      <c r="E249" s="61"/>
      <c r="F249" s="61"/>
      <c r="G249" s="61"/>
      <c r="H249" s="61"/>
      <c r="I249" s="61"/>
    </row>
    <row r="250" spans="1:9" x14ac:dyDescent="0.25">
      <c r="A250" s="61"/>
      <c r="B250" s="61"/>
      <c r="C250" s="61"/>
      <c r="D250" s="61"/>
      <c r="E250" s="61"/>
      <c r="F250" s="61"/>
      <c r="G250" s="61"/>
      <c r="H250" s="61"/>
      <c r="I250" s="61"/>
    </row>
    <row r="251" spans="1:9" x14ac:dyDescent="0.25">
      <c r="A251" s="61"/>
      <c r="B251" s="61"/>
      <c r="C251" s="61"/>
      <c r="D251" s="61"/>
      <c r="E251" s="61"/>
      <c r="F251" s="61"/>
      <c r="G251" s="61"/>
      <c r="H251" s="61"/>
      <c r="I251" s="61"/>
    </row>
    <row r="252" spans="1:9" x14ac:dyDescent="0.25">
      <c r="A252" s="61"/>
      <c r="B252" s="61"/>
      <c r="C252" s="61"/>
      <c r="D252" s="61"/>
      <c r="E252" s="61"/>
      <c r="F252" s="61"/>
      <c r="G252" s="61"/>
      <c r="H252" s="61"/>
      <c r="I252" s="61"/>
    </row>
    <row r="253" spans="1:9" x14ac:dyDescent="0.25">
      <c r="A253" s="61"/>
      <c r="B253" s="61"/>
      <c r="C253" s="61"/>
      <c r="D253" s="61"/>
      <c r="E253" s="61"/>
      <c r="F253" s="61"/>
      <c r="G253" s="61"/>
      <c r="H253" s="61"/>
      <c r="I253" s="61"/>
    </row>
    <row r="254" spans="1:9" x14ac:dyDescent="0.25">
      <c r="A254" s="61"/>
      <c r="B254" s="61"/>
      <c r="C254" s="61"/>
      <c r="D254" s="61"/>
      <c r="E254" s="61"/>
      <c r="F254" s="61"/>
      <c r="G254" s="61"/>
      <c r="H254" s="61"/>
      <c r="I254" s="61"/>
    </row>
    <row r="255" spans="1:9" x14ac:dyDescent="0.25">
      <c r="A255" s="61"/>
      <c r="B255" s="61"/>
      <c r="C255" s="61"/>
      <c r="D255" s="61"/>
      <c r="E255" s="61"/>
      <c r="F255" s="61"/>
      <c r="G255" s="61"/>
      <c r="H255" s="61"/>
      <c r="I255" s="61"/>
    </row>
    <row r="256" spans="1:9" x14ac:dyDescent="0.25">
      <c r="A256" s="61"/>
      <c r="B256" s="61"/>
      <c r="C256" s="61"/>
      <c r="D256" s="61"/>
      <c r="E256" s="61"/>
      <c r="F256" s="61"/>
      <c r="G256" s="61"/>
      <c r="H256" s="61"/>
      <c r="I256" s="61"/>
    </row>
    <row r="257" spans="1:9" x14ac:dyDescent="0.25">
      <c r="A257" s="61"/>
      <c r="B257" s="61"/>
      <c r="C257" s="61"/>
      <c r="D257" s="61"/>
      <c r="E257" s="61"/>
      <c r="F257" s="61"/>
      <c r="G257" s="61"/>
      <c r="H257" s="61"/>
      <c r="I257" s="61"/>
    </row>
    <row r="258" spans="1:9" x14ac:dyDescent="0.25">
      <c r="A258" s="61"/>
      <c r="B258" s="61"/>
      <c r="C258" s="61"/>
      <c r="D258" s="61"/>
      <c r="E258" s="61"/>
      <c r="F258" s="61"/>
      <c r="G258" s="61"/>
      <c r="H258" s="61"/>
      <c r="I258" s="61"/>
    </row>
    <row r="259" spans="1:9" x14ac:dyDescent="0.25">
      <c r="A259" s="61"/>
      <c r="B259" s="61"/>
      <c r="C259" s="61"/>
      <c r="D259" s="61"/>
      <c r="E259" s="61"/>
      <c r="F259" s="61"/>
      <c r="G259" s="61"/>
      <c r="H259" s="61"/>
      <c r="I259" s="61"/>
    </row>
    <row r="260" spans="1:9" x14ac:dyDescent="0.25">
      <c r="A260" s="61"/>
      <c r="B260" s="61"/>
      <c r="C260" s="61"/>
      <c r="D260" s="61"/>
      <c r="E260" s="61"/>
      <c r="F260" s="61"/>
      <c r="G260" s="61"/>
      <c r="H260" s="61"/>
      <c r="I260" s="61"/>
    </row>
    <row r="261" spans="1:9" x14ac:dyDescent="0.25">
      <c r="A261" s="61"/>
      <c r="B261" s="61"/>
      <c r="C261" s="61"/>
      <c r="D261" s="61"/>
      <c r="E261" s="61"/>
      <c r="F261" s="61"/>
      <c r="G261" s="61"/>
      <c r="H261" s="61"/>
      <c r="I261" s="61"/>
    </row>
    <row r="262" spans="1:9" x14ac:dyDescent="0.25">
      <c r="A262" s="61"/>
      <c r="B262" s="61"/>
      <c r="C262" s="61"/>
      <c r="D262" s="61"/>
      <c r="E262" s="61"/>
      <c r="F262" s="61"/>
      <c r="G262" s="61"/>
      <c r="H262" s="61"/>
      <c r="I262" s="61"/>
    </row>
    <row r="263" spans="1:9" x14ac:dyDescent="0.25">
      <c r="A263" s="61"/>
      <c r="B263" s="61"/>
      <c r="C263" s="61"/>
      <c r="D263" s="61"/>
      <c r="E263" s="61"/>
      <c r="F263" s="61"/>
      <c r="G263" s="61"/>
      <c r="H263" s="61"/>
      <c r="I263" s="61"/>
    </row>
    <row r="264" spans="1:9" x14ac:dyDescent="0.25">
      <c r="A264" s="61"/>
      <c r="B264" s="61"/>
      <c r="C264" s="61"/>
      <c r="D264" s="61"/>
      <c r="E264" s="61"/>
      <c r="F264" s="61"/>
      <c r="G264" s="61"/>
      <c r="H264" s="61"/>
      <c r="I264" s="61"/>
    </row>
    <row r="265" spans="1:9" x14ac:dyDescent="0.25">
      <c r="A265" s="61"/>
      <c r="B265" s="61"/>
      <c r="C265" s="61"/>
      <c r="D265" s="61"/>
      <c r="E265" s="61"/>
      <c r="F265" s="61"/>
      <c r="G265" s="61"/>
      <c r="H265" s="61"/>
      <c r="I265" s="61"/>
    </row>
    <row r="266" spans="1:9" x14ac:dyDescent="0.25">
      <c r="A266" s="61"/>
      <c r="B266" s="61"/>
      <c r="C266" s="61"/>
      <c r="D266" s="61"/>
      <c r="E266" s="61"/>
      <c r="F266" s="61"/>
      <c r="G266" s="61"/>
      <c r="H266" s="61"/>
      <c r="I266" s="61"/>
    </row>
    <row r="267" spans="1:9" x14ac:dyDescent="0.25">
      <c r="A267" s="61"/>
      <c r="B267" s="61"/>
      <c r="C267" s="61"/>
      <c r="D267" s="61"/>
      <c r="E267" s="61"/>
      <c r="F267" s="61"/>
      <c r="G267" s="61"/>
      <c r="H267" s="61"/>
      <c r="I267" s="61"/>
    </row>
    <row r="268" spans="1:9" x14ac:dyDescent="0.25">
      <c r="A268" s="61"/>
      <c r="B268" s="61"/>
      <c r="C268" s="61"/>
      <c r="D268" s="61"/>
      <c r="E268" s="61"/>
      <c r="F268" s="61"/>
      <c r="G268" s="61"/>
      <c r="H268" s="61"/>
      <c r="I268" s="61"/>
    </row>
    <row r="269" spans="1:9" x14ac:dyDescent="0.25">
      <c r="A269" s="61"/>
      <c r="B269" s="61"/>
      <c r="C269" s="61"/>
      <c r="D269" s="61"/>
      <c r="E269" s="61"/>
      <c r="F269" s="61"/>
      <c r="G269" s="61"/>
      <c r="H269" s="61"/>
      <c r="I269" s="61"/>
    </row>
    <row r="270" spans="1:9" x14ac:dyDescent="0.25">
      <c r="A270" s="61"/>
      <c r="B270" s="61"/>
      <c r="C270" s="61"/>
      <c r="D270" s="61"/>
      <c r="E270" s="61"/>
      <c r="F270" s="61"/>
      <c r="G270" s="61"/>
      <c r="H270" s="61"/>
      <c r="I270" s="61"/>
    </row>
    <row r="271" spans="1:9" x14ac:dyDescent="0.25">
      <c r="A271" s="61"/>
      <c r="B271" s="61"/>
      <c r="C271" s="61"/>
      <c r="D271" s="61"/>
      <c r="E271" s="61"/>
      <c r="F271" s="61"/>
      <c r="G271" s="61"/>
      <c r="H271" s="61"/>
      <c r="I271" s="61"/>
    </row>
    <row r="272" spans="1:9" x14ac:dyDescent="0.25">
      <c r="A272" s="61"/>
      <c r="B272" s="61"/>
      <c r="C272" s="61"/>
      <c r="D272" s="61"/>
      <c r="E272" s="61"/>
      <c r="F272" s="61"/>
      <c r="G272" s="61"/>
      <c r="H272" s="61"/>
      <c r="I272" s="61"/>
    </row>
    <row r="273" spans="1:9" x14ac:dyDescent="0.25">
      <c r="A273" s="61"/>
      <c r="B273" s="61"/>
      <c r="C273" s="61"/>
      <c r="D273" s="61"/>
      <c r="E273" s="61"/>
      <c r="F273" s="61"/>
      <c r="G273" s="61"/>
      <c r="H273" s="61"/>
      <c r="I273" s="61"/>
    </row>
    <row r="274" spans="1:9" x14ac:dyDescent="0.25">
      <c r="A274" s="61"/>
      <c r="B274" s="61"/>
      <c r="C274" s="61"/>
      <c r="D274" s="61"/>
      <c r="E274" s="61"/>
      <c r="F274" s="61"/>
      <c r="G274" s="61"/>
      <c r="H274" s="61"/>
      <c r="I274" s="61"/>
    </row>
    <row r="275" spans="1:9" x14ac:dyDescent="0.25">
      <c r="A275" s="61"/>
      <c r="B275" s="61"/>
      <c r="C275" s="61"/>
      <c r="D275" s="61"/>
      <c r="E275" s="61"/>
      <c r="F275" s="61"/>
      <c r="G275" s="61"/>
      <c r="H275" s="61"/>
      <c r="I275" s="61"/>
    </row>
    <row r="276" spans="1:9" x14ac:dyDescent="0.25">
      <c r="A276" s="61"/>
      <c r="B276" s="61"/>
      <c r="C276" s="61"/>
      <c r="D276" s="61"/>
      <c r="E276" s="61"/>
      <c r="F276" s="61"/>
      <c r="G276" s="61"/>
      <c r="H276" s="61"/>
      <c r="I276" s="61"/>
    </row>
    <row r="277" spans="1:9" x14ac:dyDescent="0.25">
      <c r="A277" s="61"/>
      <c r="B277" s="61"/>
      <c r="C277" s="61"/>
      <c r="D277" s="61"/>
      <c r="E277" s="61"/>
      <c r="F277" s="61"/>
      <c r="G277" s="61"/>
      <c r="H277" s="61"/>
      <c r="I277" s="61"/>
    </row>
    <row r="278" spans="1:9" x14ac:dyDescent="0.25">
      <c r="A278" s="61"/>
      <c r="B278" s="61"/>
      <c r="C278" s="61"/>
      <c r="D278" s="61"/>
      <c r="E278" s="61"/>
      <c r="F278" s="61"/>
      <c r="G278" s="61"/>
      <c r="H278" s="61"/>
      <c r="I278" s="61"/>
    </row>
    <row r="279" spans="1:9" x14ac:dyDescent="0.25">
      <c r="A279" s="61"/>
      <c r="B279" s="61"/>
      <c r="C279" s="61"/>
      <c r="D279" s="61"/>
      <c r="E279" s="61"/>
      <c r="F279" s="61"/>
      <c r="G279" s="61"/>
      <c r="H279" s="61"/>
      <c r="I279" s="61"/>
    </row>
    <row r="280" spans="1:9" x14ac:dyDescent="0.25">
      <c r="A280" s="61"/>
      <c r="B280" s="61"/>
      <c r="C280" s="61"/>
      <c r="D280" s="61"/>
      <c r="E280" s="61"/>
      <c r="F280" s="61"/>
      <c r="G280" s="61"/>
      <c r="H280" s="61"/>
      <c r="I280" s="61"/>
    </row>
    <row r="281" spans="1:9" x14ac:dyDescent="0.25">
      <c r="A281" s="61"/>
      <c r="B281" s="61"/>
      <c r="C281" s="61"/>
      <c r="D281" s="61"/>
      <c r="E281" s="61"/>
      <c r="F281" s="61"/>
      <c r="G281" s="61"/>
      <c r="H281" s="61"/>
      <c r="I281" s="61"/>
    </row>
    <row r="282" spans="1:9" x14ac:dyDescent="0.25">
      <c r="A282" s="61"/>
      <c r="B282" s="61"/>
      <c r="C282" s="61"/>
      <c r="D282" s="61"/>
      <c r="E282" s="61"/>
      <c r="F282" s="61"/>
      <c r="G282" s="61"/>
      <c r="H282" s="61"/>
      <c r="I282" s="61"/>
    </row>
    <row r="283" spans="1:9" x14ac:dyDescent="0.25">
      <c r="A283" s="61"/>
      <c r="B283" s="61"/>
      <c r="C283" s="61"/>
      <c r="D283" s="61"/>
      <c r="E283" s="61"/>
      <c r="F283" s="61"/>
      <c r="G283" s="61"/>
      <c r="H283" s="61"/>
      <c r="I283" s="61"/>
    </row>
    <row r="284" spans="1:9" x14ac:dyDescent="0.25">
      <c r="A284" s="61"/>
      <c r="B284" s="61"/>
      <c r="C284" s="61"/>
      <c r="D284" s="61"/>
      <c r="E284" s="61"/>
      <c r="F284" s="61"/>
      <c r="G284" s="61"/>
      <c r="H284" s="61"/>
      <c r="I284" s="61"/>
    </row>
    <row r="285" spans="1:9" x14ac:dyDescent="0.25">
      <c r="A285" s="61"/>
      <c r="B285" s="61"/>
      <c r="C285" s="61"/>
      <c r="D285" s="61"/>
      <c r="E285" s="61"/>
      <c r="F285" s="61"/>
      <c r="G285" s="61"/>
      <c r="H285" s="61"/>
      <c r="I285" s="61"/>
    </row>
    <row r="286" spans="1:9" x14ac:dyDescent="0.25">
      <c r="A286" s="61"/>
      <c r="B286" s="61"/>
      <c r="C286" s="61"/>
      <c r="D286" s="61"/>
      <c r="E286" s="61"/>
      <c r="F286" s="61"/>
      <c r="G286" s="61"/>
      <c r="H286" s="61"/>
      <c r="I286" s="61"/>
    </row>
    <row r="287" spans="1:9" x14ac:dyDescent="0.25">
      <c r="A287" s="61"/>
      <c r="B287" s="61"/>
      <c r="C287" s="61"/>
      <c r="D287" s="61"/>
      <c r="E287" s="61"/>
      <c r="F287" s="61"/>
      <c r="G287" s="61"/>
      <c r="H287" s="61"/>
      <c r="I287" s="61"/>
    </row>
    <row r="288" spans="1:9" x14ac:dyDescent="0.25">
      <c r="A288" s="61"/>
      <c r="B288" s="61"/>
      <c r="C288" s="61"/>
      <c r="D288" s="61"/>
      <c r="E288" s="61"/>
      <c r="F288" s="61"/>
      <c r="G288" s="61"/>
      <c r="H288" s="61"/>
      <c r="I288" s="61"/>
    </row>
    <row r="289" spans="1:9" x14ac:dyDescent="0.25">
      <c r="A289" s="61"/>
      <c r="B289" s="61"/>
      <c r="C289" s="61"/>
      <c r="D289" s="61"/>
      <c r="E289" s="61"/>
      <c r="F289" s="61"/>
      <c r="G289" s="61"/>
      <c r="H289" s="61"/>
      <c r="I289" s="61"/>
    </row>
    <row r="290" spans="1:9" x14ac:dyDescent="0.25">
      <c r="A290" s="61"/>
      <c r="B290" s="61"/>
      <c r="C290" s="61"/>
      <c r="D290" s="61"/>
      <c r="E290" s="61"/>
      <c r="F290" s="61"/>
      <c r="G290" s="61"/>
      <c r="H290" s="61"/>
      <c r="I290" s="61"/>
    </row>
    <row r="291" spans="1:9" x14ac:dyDescent="0.25">
      <c r="A291" s="61"/>
      <c r="B291" s="61"/>
      <c r="C291" s="61"/>
      <c r="D291" s="61"/>
      <c r="E291" s="61"/>
      <c r="F291" s="61"/>
      <c r="G291" s="61"/>
      <c r="H291" s="61"/>
      <c r="I291" s="61"/>
    </row>
    <row r="292" spans="1:9" x14ac:dyDescent="0.25">
      <c r="A292" s="61"/>
      <c r="B292" s="61"/>
      <c r="C292" s="61"/>
      <c r="D292" s="61"/>
      <c r="E292" s="61"/>
      <c r="F292" s="61"/>
      <c r="G292" s="61"/>
      <c r="H292" s="61"/>
      <c r="I292" s="61"/>
    </row>
    <row r="293" spans="1:9" x14ac:dyDescent="0.25">
      <c r="A293" s="61"/>
      <c r="B293" s="61"/>
      <c r="C293" s="61"/>
      <c r="D293" s="61"/>
      <c r="E293" s="61"/>
      <c r="F293" s="61"/>
      <c r="G293" s="61"/>
      <c r="H293" s="61"/>
      <c r="I293" s="61"/>
    </row>
    <row r="294" spans="1:9" x14ac:dyDescent="0.25">
      <c r="A294" s="61"/>
      <c r="B294" s="61"/>
      <c r="C294" s="61"/>
      <c r="D294" s="61"/>
      <c r="E294" s="61"/>
      <c r="F294" s="61"/>
      <c r="G294" s="61"/>
      <c r="H294" s="61"/>
      <c r="I294" s="61"/>
    </row>
    <row r="295" spans="1:9" x14ac:dyDescent="0.25">
      <c r="A295" s="61"/>
      <c r="B295" s="61"/>
      <c r="C295" s="61"/>
      <c r="D295" s="61"/>
      <c r="E295" s="61"/>
      <c r="F295" s="61"/>
      <c r="G295" s="61"/>
      <c r="H295" s="61"/>
      <c r="I295" s="61"/>
    </row>
    <row r="296" spans="1:9" x14ac:dyDescent="0.25">
      <c r="A296" s="61"/>
      <c r="B296" s="61"/>
      <c r="C296" s="61"/>
      <c r="D296" s="61"/>
      <c r="E296" s="61"/>
      <c r="F296" s="61"/>
      <c r="G296" s="61"/>
      <c r="H296" s="61"/>
      <c r="I296" s="61"/>
    </row>
    <row r="297" spans="1:9" x14ac:dyDescent="0.25">
      <c r="A297" s="61"/>
      <c r="B297" s="61"/>
      <c r="C297" s="61"/>
      <c r="D297" s="61"/>
      <c r="E297" s="61"/>
      <c r="F297" s="61"/>
      <c r="G297" s="61"/>
      <c r="H297" s="61"/>
      <c r="I297" s="61"/>
    </row>
    <row r="298" spans="1:9" x14ac:dyDescent="0.25">
      <c r="A298" s="61"/>
      <c r="B298" s="61"/>
      <c r="C298" s="61"/>
      <c r="D298" s="61"/>
      <c r="E298" s="61"/>
      <c r="F298" s="61"/>
      <c r="G298" s="61"/>
      <c r="H298" s="61"/>
      <c r="I298" s="61"/>
    </row>
    <row r="299" spans="1:9" x14ac:dyDescent="0.25">
      <c r="A299" s="61"/>
      <c r="B299" s="61"/>
      <c r="C299" s="61"/>
      <c r="D299" s="61"/>
      <c r="E299" s="61"/>
      <c r="F299" s="61"/>
      <c r="G299" s="61"/>
      <c r="H299" s="61"/>
      <c r="I299" s="61"/>
    </row>
    <row r="300" spans="1:9" x14ac:dyDescent="0.25">
      <c r="A300" s="61"/>
      <c r="B300" s="61"/>
      <c r="C300" s="61"/>
      <c r="D300" s="61"/>
      <c r="E300" s="61"/>
      <c r="F300" s="61"/>
      <c r="G300" s="61"/>
      <c r="H300" s="61"/>
      <c r="I300" s="61"/>
    </row>
    <row r="301" spans="1:9" x14ac:dyDescent="0.25">
      <c r="A301" s="61"/>
      <c r="B301" s="61"/>
      <c r="C301" s="61"/>
      <c r="D301" s="61"/>
      <c r="E301" s="61"/>
      <c r="F301" s="61"/>
      <c r="G301" s="61"/>
      <c r="H301" s="61"/>
      <c r="I301" s="61"/>
    </row>
    <row r="302" spans="1:9" x14ac:dyDescent="0.25">
      <c r="A302" s="61"/>
      <c r="B302" s="61"/>
      <c r="C302" s="61"/>
      <c r="D302" s="61"/>
      <c r="E302" s="61"/>
      <c r="F302" s="61"/>
      <c r="G302" s="61"/>
      <c r="H302" s="61"/>
      <c r="I302" s="61"/>
    </row>
    <row r="303" spans="1:9" x14ac:dyDescent="0.25">
      <c r="A303" s="61"/>
      <c r="B303" s="61"/>
      <c r="C303" s="61"/>
      <c r="D303" s="61"/>
      <c r="E303" s="61"/>
      <c r="F303" s="61"/>
      <c r="G303" s="61"/>
      <c r="H303" s="61"/>
      <c r="I303" s="61"/>
    </row>
    <row r="304" spans="1:9" x14ac:dyDescent="0.25">
      <c r="A304" s="61"/>
      <c r="B304" s="61"/>
      <c r="C304" s="61"/>
      <c r="D304" s="61"/>
      <c r="E304" s="61"/>
      <c r="F304" s="61"/>
      <c r="G304" s="61"/>
      <c r="H304" s="61"/>
      <c r="I304" s="61"/>
    </row>
    <row r="305" spans="1:9" x14ac:dyDescent="0.25">
      <c r="A305" s="61"/>
      <c r="B305" s="61"/>
      <c r="C305" s="61"/>
      <c r="D305" s="61"/>
      <c r="E305" s="61"/>
      <c r="F305" s="61"/>
      <c r="G305" s="61"/>
      <c r="H305" s="61"/>
      <c r="I305" s="61"/>
    </row>
    <row r="306" spans="1:9" x14ac:dyDescent="0.25">
      <c r="A306" s="61"/>
      <c r="B306" s="61"/>
      <c r="C306" s="61"/>
      <c r="D306" s="61"/>
      <c r="E306" s="61"/>
      <c r="F306" s="61"/>
      <c r="G306" s="61"/>
      <c r="H306" s="61"/>
      <c r="I306" s="61"/>
    </row>
    <row r="307" spans="1:9" x14ac:dyDescent="0.25">
      <c r="A307" s="61"/>
      <c r="B307" s="61"/>
      <c r="C307" s="61"/>
      <c r="D307" s="61"/>
      <c r="E307" s="61"/>
      <c r="F307" s="61"/>
      <c r="G307" s="61"/>
      <c r="H307" s="61"/>
      <c r="I307" s="61"/>
    </row>
    <row r="308" spans="1:9" x14ac:dyDescent="0.25">
      <c r="A308" s="61"/>
      <c r="B308" s="61"/>
      <c r="C308" s="61"/>
      <c r="D308" s="61"/>
      <c r="E308" s="61"/>
      <c r="F308" s="61"/>
      <c r="G308" s="61"/>
      <c r="H308" s="61"/>
      <c r="I308" s="61"/>
    </row>
    <row r="309" spans="1:9" x14ac:dyDescent="0.25">
      <c r="A309" s="61"/>
      <c r="B309" s="61"/>
      <c r="C309" s="61"/>
      <c r="D309" s="61"/>
      <c r="E309" s="61"/>
      <c r="F309" s="61"/>
      <c r="G309" s="61"/>
      <c r="H309" s="61"/>
      <c r="I309" s="61"/>
    </row>
    <row r="310" spans="1:9" x14ac:dyDescent="0.25">
      <c r="A310" s="61"/>
      <c r="B310" s="61"/>
      <c r="C310" s="61"/>
      <c r="D310" s="61"/>
      <c r="E310" s="61"/>
      <c r="F310" s="61"/>
      <c r="G310" s="61"/>
      <c r="H310" s="61"/>
      <c r="I310" s="61"/>
    </row>
    <row r="311" spans="1:9" x14ac:dyDescent="0.25">
      <c r="A311" s="61"/>
      <c r="B311" s="61"/>
      <c r="C311" s="61"/>
      <c r="D311" s="61"/>
      <c r="E311" s="61"/>
      <c r="F311" s="61"/>
      <c r="G311" s="61"/>
      <c r="H311" s="61"/>
      <c r="I311" s="61"/>
    </row>
    <row r="312" spans="1:9" x14ac:dyDescent="0.25">
      <c r="A312" s="61"/>
      <c r="B312" s="61"/>
      <c r="C312" s="61"/>
      <c r="D312" s="61"/>
      <c r="E312" s="61"/>
      <c r="F312" s="61"/>
      <c r="G312" s="61"/>
      <c r="H312" s="61"/>
      <c r="I312" s="61"/>
    </row>
    <row r="313" spans="1:9" x14ac:dyDescent="0.25">
      <c r="A313" s="61"/>
      <c r="B313" s="61"/>
      <c r="C313" s="61"/>
      <c r="D313" s="61"/>
      <c r="E313" s="61"/>
      <c r="F313" s="61"/>
      <c r="G313" s="61"/>
      <c r="H313" s="61"/>
      <c r="I313" s="61"/>
    </row>
    <row r="314" spans="1:9" x14ac:dyDescent="0.25">
      <c r="A314" s="61"/>
      <c r="B314" s="61"/>
      <c r="C314" s="61"/>
      <c r="D314" s="61"/>
      <c r="E314" s="61"/>
      <c r="F314" s="61"/>
      <c r="G314" s="61"/>
      <c r="H314" s="61"/>
      <c r="I314" s="61"/>
    </row>
    <row r="315" spans="1:9" x14ac:dyDescent="0.25">
      <c r="A315" s="61"/>
      <c r="B315" s="61"/>
      <c r="C315" s="61"/>
      <c r="D315" s="61"/>
      <c r="E315" s="61"/>
      <c r="F315" s="61"/>
      <c r="G315" s="61"/>
      <c r="H315" s="61"/>
      <c r="I315" s="61"/>
    </row>
    <row r="316" spans="1:9" x14ac:dyDescent="0.25">
      <c r="A316" s="61"/>
      <c r="B316" s="61"/>
      <c r="C316" s="61"/>
      <c r="D316" s="61"/>
      <c r="E316" s="61"/>
      <c r="F316" s="61"/>
      <c r="G316" s="61"/>
      <c r="H316" s="61"/>
      <c r="I316" s="61"/>
    </row>
    <row r="317" spans="1:9" x14ac:dyDescent="0.25">
      <c r="A317" s="61"/>
      <c r="B317" s="61"/>
      <c r="C317" s="61"/>
      <c r="D317" s="61"/>
      <c r="E317" s="61"/>
      <c r="F317" s="61"/>
      <c r="G317" s="61"/>
      <c r="H317" s="61"/>
      <c r="I317" s="61"/>
    </row>
    <row r="318" spans="1:9" x14ac:dyDescent="0.25">
      <c r="A318" s="61"/>
      <c r="B318" s="61"/>
      <c r="C318" s="61"/>
      <c r="D318" s="61"/>
      <c r="E318" s="61"/>
      <c r="F318" s="61"/>
      <c r="G318" s="61"/>
      <c r="H318" s="61"/>
      <c r="I318" s="61"/>
    </row>
    <row r="319" spans="1:9" x14ac:dyDescent="0.25">
      <c r="A319" s="61"/>
      <c r="B319" s="61"/>
      <c r="C319" s="61"/>
      <c r="D319" s="61"/>
      <c r="E319" s="61"/>
      <c r="F319" s="61"/>
      <c r="G319" s="61"/>
      <c r="H319" s="61"/>
      <c r="I319" s="61"/>
    </row>
    <row r="320" spans="1:9" x14ac:dyDescent="0.25">
      <c r="A320" s="61"/>
      <c r="B320" s="61"/>
      <c r="C320" s="61"/>
      <c r="D320" s="61"/>
      <c r="E320" s="61"/>
      <c r="F320" s="61"/>
      <c r="G320" s="61"/>
      <c r="H320" s="61"/>
      <c r="I320" s="61"/>
    </row>
    <row r="321" spans="1:9" x14ac:dyDescent="0.25">
      <c r="A321" s="61"/>
      <c r="B321" s="61"/>
      <c r="C321" s="61"/>
      <c r="D321" s="61"/>
      <c r="E321" s="61"/>
      <c r="F321" s="61"/>
      <c r="G321" s="61"/>
      <c r="H321" s="61"/>
      <c r="I321" s="61"/>
    </row>
    <row r="322" spans="1:9" x14ac:dyDescent="0.25">
      <c r="A322" s="61"/>
      <c r="B322" s="61"/>
      <c r="C322" s="61"/>
      <c r="D322" s="61"/>
      <c r="E322" s="61"/>
      <c r="F322" s="61"/>
      <c r="G322" s="61"/>
      <c r="H322" s="61"/>
      <c r="I322" s="61"/>
    </row>
    <row r="323" spans="1:9" x14ac:dyDescent="0.25">
      <c r="A323" s="61"/>
      <c r="B323" s="61"/>
      <c r="C323" s="61"/>
      <c r="D323" s="61"/>
      <c r="E323" s="61"/>
      <c r="F323" s="61"/>
      <c r="G323" s="61"/>
      <c r="H323" s="61"/>
      <c r="I323" s="61"/>
    </row>
    <row r="324" spans="1:9" x14ac:dyDescent="0.25">
      <c r="A324" s="61"/>
      <c r="B324" s="61"/>
      <c r="C324" s="61"/>
      <c r="D324" s="61"/>
      <c r="E324" s="61"/>
      <c r="F324" s="61"/>
      <c r="G324" s="61"/>
      <c r="H324" s="61"/>
      <c r="I324" s="61"/>
    </row>
    <row r="325" spans="1:9" x14ac:dyDescent="0.25">
      <c r="A325" s="61"/>
      <c r="B325" s="61"/>
      <c r="C325" s="61"/>
      <c r="D325" s="61"/>
      <c r="E325" s="61"/>
      <c r="F325" s="61"/>
      <c r="G325" s="61"/>
      <c r="H325" s="61"/>
      <c r="I325" s="61"/>
    </row>
    <row r="326" spans="1:9" x14ac:dyDescent="0.25">
      <c r="A326" s="61"/>
      <c r="B326" s="61"/>
      <c r="C326" s="61"/>
      <c r="D326" s="61"/>
      <c r="E326" s="61"/>
      <c r="F326" s="61"/>
      <c r="G326" s="61"/>
      <c r="H326" s="61"/>
      <c r="I326" s="61"/>
    </row>
    <row r="327" spans="1:9" x14ac:dyDescent="0.25">
      <c r="A327" s="61"/>
      <c r="B327" s="61"/>
      <c r="C327" s="61"/>
      <c r="D327" s="61"/>
      <c r="E327" s="61"/>
      <c r="F327" s="61"/>
      <c r="G327" s="61"/>
      <c r="H327" s="61"/>
      <c r="I327" s="61"/>
    </row>
    <row r="328" spans="1:9" x14ac:dyDescent="0.25">
      <c r="A328" s="61"/>
      <c r="B328" s="61"/>
      <c r="C328" s="61"/>
      <c r="D328" s="61"/>
      <c r="E328" s="61"/>
      <c r="F328" s="61"/>
      <c r="G328" s="61"/>
      <c r="H328" s="61"/>
      <c r="I328" s="61"/>
    </row>
    <row r="329" spans="1:9" x14ac:dyDescent="0.25">
      <c r="A329" s="61"/>
      <c r="B329" s="61"/>
      <c r="C329" s="61"/>
      <c r="D329" s="61"/>
      <c r="E329" s="61"/>
      <c r="F329" s="61"/>
      <c r="G329" s="61"/>
      <c r="H329" s="61"/>
      <c r="I329" s="61"/>
    </row>
    <row r="330" spans="1:9" x14ac:dyDescent="0.25">
      <c r="A330" s="61"/>
      <c r="B330" s="61"/>
      <c r="C330" s="61"/>
      <c r="D330" s="61"/>
      <c r="E330" s="61"/>
      <c r="F330" s="61"/>
      <c r="G330" s="61"/>
      <c r="H330" s="61"/>
      <c r="I330" s="61"/>
    </row>
    <row r="331" spans="1:9" x14ac:dyDescent="0.25">
      <c r="A331" s="61"/>
      <c r="B331" s="61"/>
      <c r="C331" s="61"/>
      <c r="D331" s="61"/>
      <c r="E331" s="61"/>
      <c r="F331" s="61"/>
      <c r="G331" s="61"/>
      <c r="H331" s="61"/>
      <c r="I331" s="61"/>
    </row>
    <row r="332" spans="1:9" x14ac:dyDescent="0.25">
      <c r="A332" s="61"/>
      <c r="B332" s="61"/>
      <c r="C332" s="61"/>
      <c r="D332" s="61"/>
      <c r="E332" s="61"/>
      <c r="F332" s="61"/>
      <c r="G332" s="61"/>
      <c r="H332" s="61"/>
      <c r="I332" s="61"/>
    </row>
    <row r="333" spans="1:9" x14ac:dyDescent="0.25">
      <c r="A333" s="61"/>
      <c r="B333" s="61"/>
      <c r="C333" s="61"/>
      <c r="D333" s="61"/>
      <c r="E333" s="61"/>
      <c r="F333" s="61"/>
      <c r="G333" s="61"/>
      <c r="H333" s="61"/>
      <c r="I333" s="61"/>
    </row>
    <row r="334" spans="1:9" x14ac:dyDescent="0.25">
      <c r="A334" s="61"/>
      <c r="B334" s="61"/>
      <c r="C334" s="61"/>
      <c r="D334" s="61"/>
      <c r="E334" s="61"/>
      <c r="F334" s="61"/>
      <c r="G334" s="61"/>
      <c r="H334" s="61"/>
      <c r="I334" s="61"/>
    </row>
    <row r="335" spans="1:9" x14ac:dyDescent="0.25">
      <c r="A335" s="61"/>
      <c r="B335" s="61"/>
      <c r="C335" s="61"/>
      <c r="D335" s="61"/>
      <c r="E335" s="61"/>
      <c r="F335" s="61"/>
      <c r="G335" s="61"/>
      <c r="H335" s="61"/>
      <c r="I335" s="61"/>
    </row>
    <row r="336" spans="1:9" x14ac:dyDescent="0.25">
      <c r="A336" s="61"/>
      <c r="B336" s="61"/>
      <c r="C336" s="61"/>
      <c r="D336" s="61"/>
      <c r="E336" s="61"/>
      <c r="F336" s="61"/>
      <c r="G336" s="61"/>
      <c r="H336" s="61"/>
      <c r="I336" s="61"/>
    </row>
    <row r="337" spans="1:9" x14ac:dyDescent="0.25">
      <c r="A337" s="61"/>
      <c r="B337" s="61"/>
      <c r="C337" s="61"/>
      <c r="D337" s="61"/>
      <c r="E337" s="61"/>
      <c r="F337" s="61"/>
      <c r="G337" s="61"/>
      <c r="H337" s="61"/>
      <c r="I337" s="61"/>
    </row>
    <row r="338" spans="1:9" x14ac:dyDescent="0.25">
      <c r="A338" s="61"/>
      <c r="B338" s="61"/>
      <c r="C338" s="61"/>
      <c r="D338" s="61"/>
      <c r="E338" s="61"/>
      <c r="F338" s="61"/>
      <c r="G338" s="61"/>
      <c r="H338" s="61"/>
      <c r="I338" s="61"/>
    </row>
    <row r="339" spans="1:9" x14ac:dyDescent="0.25">
      <c r="A339" s="61"/>
      <c r="B339" s="61"/>
      <c r="C339" s="61"/>
      <c r="D339" s="61"/>
      <c r="E339" s="61"/>
      <c r="F339" s="61"/>
      <c r="G339" s="61"/>
      <c r="H339" s="61"/>
      <c r="I339" s="61"/>
    </row>
    <row r="340" spans="1:9" x14ac:dyDescent="0.25">
      <c r="A340" s="61"/>
      <c r="B340" s="61"/>
      <c r="C340" s="61"/>
      <c r="D340" s="61"/>
      <c r="E340" s="61"/>
      <c r="F340" s="61"/>
      <c r="G340" s="61"/>
      <c r="H340" s="61"/>
      <c r="I340" s="61"/>
    </row>
    <row r="341" spans="1:9" x14ac:dyDescent="0.25">
      <c r="A341" s="61"/>
      <c r="B341" s="61"/>
      <c r="C341" s="61"/>
      <c r="D341" s="61"/>
      <c r="E341" s="61"/>
      <c r="F341" s="61"/>
      <c r="G341" s="61"/>
      <c r="H341" s="61"/>
      <c r="I341" s="61"/>
    </row>
    <row r="342" spans="1:9" x14ac:dyDescent="0.25">
      <c r="A342" s="61"/>
      <c r="B342" s="61"/>
      <c r="C342" s="61"/>
      <c r="D342" s="61"/>
      <c r="E342" s="61"/>
      <c r="F342" s="61"/>
      <c r="G342" s="61"/>
      <c r="H342" s="61"/>
      <c r="I342" s="61"/>
    </row>
    <row r="343" spans="1:9" x14ac:dyDescent="0.25">
      <c r="A343" s="61"/>
      <c r="B343" s="61"/>
      <c r="C343" s="61"/>
      <c r="D343" s="61"/>
      <c r="E343" s="61"/>
      <c r="F343" s="61"/>
      <c r="G343" s="61"/>
      <c r="H343" s="61"/>
      <c r="I343" s="61"/>
    </row>
    <row r="344" spans="1:9" x14ac:dyDescent="0.25">
      <c r="A344" s="61"/>
      <c r="B344" s="61"/>
      <c r="C344" s="61"/>
      <c r="D344" s="61"/>
      <c r="E344" s="61"/>
      <c r="F344" s="61"/>
      <c r="G344" s="61"/>
      <c r="H344" s="61"/>
      <c r="I344" s="61"/>
    </row>
    <row r="345" spans="1:9" x14ac:dyDescent="0.25">
      <c r="A345" s="61"/>
      <c r="B345" s="61"/>
      <c r="C345" s="61"/>
      <c r="D345" s="61"/>
      <c r="E345" s="61"/>
      <c r="F345" s="61"/>
      <c r="G345" s="61"/>
      <c r="H345" s="61"/>
      <c r="I345" s="61"/>
    </row>
    <row r="346" spans="1:9" x14ac:dyDescent="0.25">
      <c r="A346" s="61"/>
      <c r="B346" s="61"/>
      <c r="C346" s="61"/>
      <c r="D346" s="61"/>
      <c r="E346" s="61"/>
      <c r="F346" s="61"/>
      <c r="G346" s="61"/>
      <c r="H346" s="61"/>
      <c r="I346" s="61"/>
    </row>
    <row r="347" spans="1:9" x14ac:dyDescent="0.25">
      <c r="A347" s="61"/>
      <c r="B347" s="61"/>
      <c r="C347" s="61"/>
      <c r="D347" s="61"/>
      <c r="E347" s="61"/>
      <c r="F347" s="61"/>
      <c r="G347" s="61"/>
      <c r="H347" s="61"/>
      <c r="I347" s="61"/>
    </row>
    <row r="348" spans="1:9" x14ac:dyDescent="0.25">
      <c r="A348" s="61"/>
      <c r="B348" s="61"/>
      <c r="C348" s="61"/>
      <c r="D348" s="61"/>
      <c r="E348" s="61"/>
      <c r="F348" s="61"/>
      <c r="G348" s="61"/>
      <c r="H348" s="61"/>
      <c r="I348" s="61"/>
    </row>
    <row r="349" spans="1:9" x14ac:dyDescent="0.25">
      <c r="A349" s="61"/>
      <c r="B349" s="61"/>
      <c r="C349" s="61"/>
      <c r="D349" s="61"/>
      <c r="E349" s="61"/>
      <c r="F349" s="61"/>
      <c r="G349" s="61"/>
      <c r="H349" s="61"/>
      <c r="I349" s="61"/>
    </row>
    <row r="350" spans="1:9" x14ac:dyDescent="0.25">
      <c r="A350" s="61"/>
      <c r="B350" s="61"/>
      <c r="C350" s="61"/>
      <c r="D350" s="61"/>
      <c r="E350" s="61"/>
      <c r="F350" s="61"/>
      <c r="G350" s="61"/>
      <c r="H350" s="61"/>
      <c r="I350" s="61"/>
    </row>
    <row r="351" spans="1:9" x14ac:dyDescent="0.25">
      <c r="A351" s="61"/>
      <c r="B351" s="61"/>
      <c r="C351" s="61"/>
      <c r="D351" s="61"/>
      <c r="E351" s="61"/>
      <c r="F351" s="61"/>
      <c r="G351" s="61"/>
      <c r="H351" s="61"/>
      <c r="I351" s="61"/>
    </row>
    <row r="352" spans="1:9" x14ac:dyDescent="0.25">
      <c r="A352" s="61"/>
      <c r="B352" s="61"/>
      <c r="C352" s="61"/>
      <c r="D352" s="61"/>
      <c r="E352" s="61"/>
      <c r="F352" s="61"/>
      <c r="G352" s="61"/>
      <c r="H352" s="61"/>
      <c r="I352" s="61"/>
    </row>
    <row r="353" spans="1:9" x14ac:dyDescent="0.25">
      <c r="A353" s="61"/>
      <c r="B353" s="61"/>
      <c r="C353" s="61"/>
      <c r="D353" s="61"/>
      <c r="E353" s="61"/>
      <c r="F353" s="61"/>
      <c r="G353" s="61"/>
      <c r="H353" s="61"/>
      <c r="I353" s="61"/>
    </row>
    <row r="354" spans="1:9" x14ac:dyDescent="0.25">
      <c r="A354" s="61"/>
      <c r="B354" s="61"/>
      <c r="C354" s="61"/>
      <c r="D354" s="61"/>
      <c r="E354" s="61"/>
      <c r="F354" s="61"/>
      <c r="G354" s="61"/>
      <c r="H354" s="61"/>
      <c r="I354" s="61"/>
    </row>
    <row r="355" spans="1:9" x14ac:dyDescent="0.25">
      <c r="A355" s="61"/>
      <c r="B355" s="61"/>
      <c r="C355" s="61"/>
      <c r="D355" s="61"/>
      <c r="E355" s="61"/>
      <c r="F355" s="61"/>
      <c r="G355" s="61"/>
      <c r="H355" s="61"/>
      <c r="I355" s="61"/>
    </row>
    <row r="356" spans="1:9" x14ac:dyDescent="0.25">
      <c r="A356" s="61"/>
      <c r="B356" s="61"/>
      <c r="C356" s="61"/>
      <c r="D356" s="61"/>
      <c r="E356" s="61"/>
      <c r="F356" s="61"/>
      <c r="G356" s="61"/>
      <c r="H356" s="61"/>
      <c r="I356" s="61"/>
    </row>
    <row r="357" spans="1:9" x14ac:dyDescent="0.25">
      <c r="A357" s="61"/>
      <c r="B357" s="61"/>
      <c r="C357" s="61"/>
      <c r="D357" s="61"/>
      <c r="E357" s="61"/>
      <c r="F357" s="61"/>
      <c r="G357" s="61"/>
      <c r="H357" s="61"/>
      <c r="I357" s="61"/>
    </row>
    <row r="358" spans="1:9" x14ac:dyDescent="0.25">
      <c r="A358" s="61"/>
      <c r="B358" s="61"/>
      <c r="C358" s="61"/>
      <c r="D358" s="61"/>
      <c r="E358" s="61"/>
      <c r="F358" s="61"/>
      <c r="G358" s="61"/>
      <c r="H358" s="61"/>
      <c r="I358" s="61"/>
    </row>
    <row r="359" spans="1:9" x14ac:dyDescent="0.25">
      <c r="A359" s="61"/>
      <c r="B359" s="61"/>
      <c r="C359" s="61"/>
      <c r="D359" s="61"/>
      <c r="E359" s="61"/>
      <c r="F359" s="61"/>
      <c r="G359" s="61"/>
      <c r="H359" s="61"/>
      <c r="I359" s="61"/>
    </row>
    <row r="360" spans="1:9" x14ac:dyDescent="0.25">
      <c r="A360" s="61"/>
      <c r="B360" s="61"/>
      <c r="C360" s="61"/>
      <c r="D360" s="61"/>
      <c r="E360" s="61"/>
      <c r="F360" s="61"/>
      <c r="G360" s="61"/>
      <c r="H360" s="61"/>
      <c r="I360" s="61"/>
    </row>
    <row r="361" spans="1:9" x14ac:dyDescent="0.25">
      <c r="A361" s="61"/>
      <c r="B361" s="61"/>
      <c r="C361" s="61"/>
      <c r="D361" s="61"/>
      <c r="E361" s="61"/>
      <c r="F361" s="61"/>
      <c r="G361" s="61"/>
      <c r="H361" s="61"/>
      <c r="I361" s="61"/>
    </row>
    <row r="362" spans="1:9" x14ac:dyDescent="0.25">
      <c r="A362" s="61"/>
      <c r="B362" s="61"/>
      <c r="C362" s="61"/>
      <c r="D362" s="61"/>
      <c r="E362" s="61"/>
      <c r="F362" s="61"/>
      <c r="G362" s="61"/>
      <c r="H362" s="61"/>
      <c r="I362" s="61"/>
    </row>
    <row r="363" spans="1:9" x14ac:dyDescent="0.25">
      <c r="A363" s="61"/>
      <c r="B363" s="61"/>
      <c r="C363" s="61"/>
      <c r="D363" s="61"/>
      <c r="E363" s="61"/>
      <c r="F363" s="61"/>
      <c r="G363" s="61"/>
      <c r="H363" s="61"/>
      <c r="I363" s="61"/>
    </row>
    <row r="364" spans="1:9" x14ac:dyDescent="0.25">
      <c r="A364" s="61"/>
      <c r="B364" s="61"/>
      <c r="C364" s="61"/>
      <c r="D364" s="61"/>
      <c r="E364" s="61"/>
      <c r="F364" s="61"/>
      <c r="G364" s="61"/>
      <c r="H364" s="61"/>
      <c r="I364" s="61"/>
    </row>
    <row r="365" spans="1:9" x14ac:dyDescent="0.25">
      <c r="A365" s="61"/>
      <c r="B365" s="61"/>
      <c r="C365" s="61"/>
      <c r="D365" s="61"/>
      <c r="E365" s="61"/>
      <c r="F365" s="61"/>
      <c r="G365" s="61"/>
      <c r="H365" s="61"/>
      <c r="I365" s="61"/>
    </row>
    <row r="366" spans="1:9" x14ac:dyDescent="0.25">
      <c r="A366" s="61"/>
      <c r="B366" s="61"/>
      <c r="C366" s="61"/>
      <c r="D366" s="61"/>
      <c r="E366" s="61"/>
      <c r="F366" s="61"/>
      <c r="G366" s="61"/>
      <c r="H366" s="61"/>
      <c r="I366" s="61"/>
    </row>
    <row r="367" spans="1:9" x14ac:dyDescent="0.25">
      <c r="A367" s="61"/>
      <c r="B367" s="61"/>
      <c r="C367" s="61"/>
      <c r="D367" s="61"/>
      <c r="E367" s="61"/>
      <c r="F367" s="61"/>
      <c r="G367" s="61"/>
      <c r="H367" s="61"/>
      <c r="I367" s="61"/>
    </row>
    <row r="368" spans="1:9" x14ac:dyDescent="0.25">
      <c r="A368" s="61"/>
      <c r="B368" s="61"/>
      <c r="C368" s="61"/>
      <c r="D368" s="61"/>
      <c r="E368" s="61"/>
      <c r="F368" s="61"/>
      <c r="G368" s="61"/>
      <c r="H368" s="61"/>
      <c r="I368" s="61"/>
    </row>
    <row r="369" spans="1:9" x14ac:dyDescent="0.25">
      <c r="A369" s="61"/>
      <c r="B369" s="61"/>
      <c r="C369" s="61"/>
      <c r="D369" s="61"/>
      <c r="E369" s="61"/>
      <c r="F369" s="61"/>
      <c r="G369" s="61"/>
      <c r="H369" s="61"/>
      <c r="I369" s="61"/>
    </row>
    <row r="370" spans="1:9" x14ac:dyDescent="0.25">
      <c r="A370" s="61"/>
      <c r="B370" s="61"/>
      <c r="C370" s="61"/>
      <c r="D370" s="61"/>
      <c r="E370" s="61"/>
      <c r="F370" s="61"/>
      <c r="G370" s="61"/>
      <c r="H370" s="61"/>
      <c r="I370" s="61"/>
    </row>
    <row r="371" spans="1:9" x14ac:dyDescent="0.25">
      <c r="A371" s="61"/>
      <c r="B371" s="61"/>
      <c r="C371" s="61"/>
      <c r="D371" s="61"/>
      <c r="E371" s="61"/>
      <c r="F371" s="61"/>
      <c r="G371" s="61"/>
      <c r="H371" s="61"/>
      <c r="I371" s="61"/>
    </row>
    <row r="372" spans="1:9" x14ac:dyDescent="0.25">
      <c r="A372" s="61"/>
      <c r="B372" s="61"/>
      <c r="C372" s="61"/>
      <c r="D372" s="61"/>
      <c r="E372" s="61"/>
      <c r="F372" s="61"/>
      <c r="G372" s="61"/>
      <c r="H372" s="61"/>
      <c r="I372" s="61"/>
    </row>
    <row r="373" spans="1:9" x14ac:dyDescent="0.25">
      <c r="A373" s="61"/>
      <c r="B373" s="61"/>
      <c r="C373" s="61"/>
      <c r="D373" s="61"/>
      <c r="E373" s="61"/>
      <c r="F373" s="61"/>
      <c r="G373" s="61"/>
      <c r="H373" s="61"/>
      <c r="I373" s="61"/>
    </row>
    <row r="374" spans="1:9" x14ac:dyDescent="0.25">
      <c r="A374" s="61"/>
      <c r="B374" s="61"/>
      <c r="C374" s="61"/>
      <c r="D374" s="61"/>
      <c r="E374" s="61"/>
      <c r="F374" s="61"/>
      <c r="G374" s="61"/>
      <c r="H374" s="61"/>
      <c r="I374" s="61"/>
    </row>
    <row r="375" spans="1:9" x14ac:dyDescent="0.25">
      <c r="A375" s="61"/>
      <c r="B375" s="61"/>
      <c r="C375" s="61"/>
      <c r="D375" s="61"/>
      <c r="E375" s="61"/>
      <c r="F375" s="61"/>
      <c r="G375" s="61"/>
      <c r="H375" s="61"/>
      <c r="I375" s="61"/>
    </row>
    <row r="376" spans="1:9" x14ac:dyDescent="0.25">
      <c r="A376" s="61"/>
      <c r="B376" s="61"/>
      <c r="C376" s="61"/>
      <c r="D376" s="61"/>
      <c r="E376" s="61"/>
      <c r="F376" s="61"/>
      <c r="G376" s="61"/>
      <c r="H376" s="61"/>
      <c r="I376" s="61"/>
    </row>
    <row r="377" spans="1:9" x14ac:dyDescent="0.25">
      <c r="A377" s="61"/>
      <c r="B377" s="61"/>
      <c r="C377" s="61"/>
      <c r="D377" s="61"/>
      <c r="E377" s="61"/>
      <c r="F377" s="61"/>
      <c r="G377" s="61"/>
      <c r="H377" s="61"/>
      <c r="I377" s="61"/>
    </row>
    <row r="378" spans="1:9" x14ac:dyDescent="0.25">
      <c r="A378" s="61"/>
      <c r="B378" s="61"/>
      <c r="C378" s="61"/>
      <c r="D378" s="61"/>
      <c r="E378" s="61"/>
      <c r="F378" s="61"/>
      <c r="G378" s="61"/>
      <c r="H378" s="61"/>
      <c r="I378" s="61"/>
    </row>
    <row r="379" spans="1:9" x14ac:dyDescent="0.25">
      <c r="A379" s="61"/>
      <c r="B379" s="61"/>
      <c r="C379" s="61"/>
      <c r="D379" s="61"/>
      <c r="E379" s="61"/>
      <c r="F379" s="61"/>
      <c r="G379" s="61"/>
      <c r="H379" s="61"/>
      <c r="I379" s="61"/>
    </row>
    <row r="380" spans="1:9" x14ac:dyDescent="0.25">
      <c r="A380" s="61"/>
      <c r="B380" s="61"/>
      <c r="C380" s="61"/>
      <c r="D380" s="61"/>
      <c r="E380" s="61"/>
      <c r="F380" s="61"/>
      <c r="G380" s="61"/>
      <c r="H380" s="61"/>
      <c r="I380" s="61"/>
    </row>
    <row r="381" spans="1:9" x14ac:dyDescent="0.25">
      <c r="A381" s="61"/>
      <c r="B381" s="61"/>
      <c r="C381" s="61"/>
      <c r="D381" s="61"/>
      <c r="E381" s="61"/>
      <c r="F381" s="61"/>
      <c r="G381" s="61"/>
      <c r="H381" s="61"/>
      <c r="I381" s="61"/>
    </row>
    <row r="382" spans="1:9" x14ac:dyDescent="0.25">
      <c r="A382" s="61"/>
      <c r="B382" s="61"/>
      <c r="C382" s="61"/>
      <c r="D382" s="61"/>
      <c r="E382" s="61"/>
      <c r="F382" s="61"/>
      <c r="G382" s="61"/>
      <c r="H382" s="61"/>
      <c r="I382" s="61"/>
    </row>
    <row r="383" spans="1:9" x14ac:dyDescent="0.25">
      <c r="A383" s="61"/>
      <c r="B383" s="61"/>
      <c r="C383" s="61"/>
      <c r="D383" s="61"/>
      <c r="E383" s="61"/>
      <c r="F383" s="61"/>
      <c r="G383" s="61"/>
      <c r="H383" s="61"/>
      <c r="I383" s="61"/>
    </row>
    <row r="384" spans="1:9" x14ac:dyDescent="0.25">
      <c r="A384" s="61"/>
      <c r="B384" s="61"/>
      <c r="C384" s="61"/>
      <c r="D384" s="61"/>
      <c r="E384" s="61"/>
      <c r="F384" s="61"/>
      <c r="G384" s="61"/>
      <c r="H384" s="61"/>
      <c r="I384" s="61"/>
    </row>
    <row r="385" spans="1:9" x14ac:dyDescent="0.25">
      <c r="A385" s="61"/>
      <c r="B385" s="61"/>
      <c r="C385" s="61"/>
      <c r="D385" s="61"/>
      <c r="E385" s="61"/>
      <c r="F385" s="61"/>
      <c r="G385" s="61"/>
      <c r="H385" s="61"/>
      <c r="I385" s="61"/>
    </row>
    <row r="386" spans="1:9" x14ac:dyDescent="0.25">
      <c r="A386" s="61"/>
      <c r="B386" s="61"/>
      <c r="C386" s="61"/>
      <c r="D386" s="61"/>
      <c r="E386" s="61"/>
      <c r="F386" s="61"/>
      <c r="G386" s="61"/>
      <c r="H386" s="61"/>
      <c r="I386" s="61"/>
    </row>
    <row r="387" spans="1:9" x14ac:dyDescent="0.25">
      <c r="A387" s="61"/>
      <c r="B387" s="61"/>
      <c r="C387" s="61"/>
      <c r="D387" s="61"/>
      <c r="E387" s="61"/>
      <c r="F387" s="61"/>
      <c r="G387" s="61"/>
      <c r="H387" s="61"/>
      <c r="I387" s="61"/>
    </row>
    <row r="388" spans="1:9" x14ac:dyDescent="0.25">
      <c r="A388" s="61"/>
      <c r="B388" s="61"/>
      <c r="C388" s="61"/>
      <c r="D388" s="61"/>
      <c r="E388" s="61"/>
      <c r="F388" s="61"/>
      <c r="G388" s="61"/>
      <c r="H388" s="61"/>
      <c r="I388" s="61"/>
    </row>
    <row r="389" spans="1:9" x14ac:dyDescent="0.25">
      <c r="A389" s="61"/>
      <c r="B389" s="61"/>
      <c r="C389" s="61"/>
      <c r="D389" s="61"/>
      <c r="E389" s="61"/>
      <c r="F389" s="61"/>
      <c r="G389" s="61"/>
      <c r="H389" s="61"/>
      <c r="I389" s="61"/>
    </row>
    <row r="390" spans="1:9" x14ac:dyDescent="0.25">
      <c r="A390" s="61"/>
      <c r="B390" s="61"/>
      <c r="C390" s="61"/>
      <c r="D390" s="61"/>
      <c r="E390" s="61"/>
      <c r="F390" s="61"/>
      <c r="G390" s="61"/>
      <c r="H390" s="61"/>
      <c r="I390" s="61"/>
    </row>
    <row r="391" spans="1:9" x14ac:dyDescent="0.25">
      <c r="A391" s="61"/>
      <c r="B391" s="61"/>
      <c r="C391" s="61"/>
      <c r="D391" s="61"/>
      <c r="E391" s="61"/>
      <c r="F391" s="61"/>
      <c r="G391" s="61"/>
      <c r="H391" s="61"/>
      <c r="I391" s="61"/>
    </row>
    <row r="392" spans="1:9" x14ac:dyDescent="0.25">
      <c r="A392" s="61"/>
      <c r="B392" s="61"/>
      <c r="C392" s="61"/>
      <c r="D392" s="61"/>
      <c r="E392" s="61"/>
      <c r="F392" s="61"/>
      <c r="G392" s="61"/>
      <c r="H392" s="61"/>
      <c r="I392" s="61"/>
    </row>
    <row r="393" spans="1:9" x14ac:dyDescent="0.25">
      <c r="A393" s="61"/>
      <c r="B393" s="61"/>
      <c r="C393" s="61"/>
      <c r="D393" s="61"/>
      <c r="E393" s="61"/>
      <c r="F393" s="61"/>
      <c r="G393" s="61"/>
      <c r="H393" s="61"/>
      <c r="I393" s="61"/>
    </row>
    <row r="394" spans="1:9" x14ac:dyDescent="0.25">
      <c r="A394" s="61"/>
      <c r="B394" s="61"/>
      <c r="C394" s="61"/>
      <c r="D394" s="61"/>
      <c r="E394" s="61"/>
      <c r="F394" s="61"/>
      <c r="G394" s="61"/>
      <c r="H394" s="61"/>
      <c r="I394" s="61"/>
    </row>
    <row r="395" spans="1:9" x14ac:dyDescent="0.25">
      <c r="A395" s="61"/>
      <c r="B395" s="61"/>
      <c r="C395" s="61"/>
      <c r="D395" s="61"/>
      <c r="E395" s="61"/>
      <c r="F395" s="61"/>
      <c r="G395" s="61"/>
      <c r="H395" s="61"/>
      <c r="I395" s="61"/>
    </row>
    <row r="396" spans="1:9" x14ac:dyDescent="0.25">
      <c r="A396" s="61"/>
      <c r="B396" s="61"/>
      <c r="C396" s="61"/>
      <c r="D396" s="61"/>
      <c r="E396" s="61"/>
      <c r="F396" s="61"/>
      <c r="G396" s="61"/>
      <c r="H396" s="61"/>
      <c r="I396" s="61"/>
    </row>
    <row r="397" spans="1:9" x14ac:dyDescent="0.25">
      <c r="A397" s="61"/>
      <c r="B397" s="61"/>
      <c r="C397" s="61"/>
      <c r="D397" s="61"/>
      <c r="E397" s="61"/>
      <c r="F397" s="61"/>
      <c r="G397" s="61"/>
      <c r="H397" s="61"/>
      <c r="I397" s="61"/>
    </row>
    <row r="398" spans="1:9" x14ac:dyDescent="0.25">
      <c r="A398" s="61"/>
      <c r="B398" s="61"/>
      <c r="C398" s="61"/>
      <c r="D398" s="61"/>
      <c r="E398" s="61"/>
      <c r="F398" s="61"/>
      <c r="G398" s="61"/>
      <c r="H398" s="61"/>
      <c r="I398" s="61"/>
    </row>
    <row r="399" spans="1:9" x14ac:dyDescent="0.25">
      <c r="A399" s="61"/>
      <c r="B399" s="61"/>
      <c r="C399" s="61"/>
      <c r="D399" s="61"/>
      <c r="E399" s="61"/>
      <c r="F399" s="61"/>
      <c r="G399" s="61"/>
      <c r="H399" s="61"/>
      <c r="I399" s="61"/>
    </row>
    <row r="400" spans="1:9" x14ac:dyDescent="0.25">
      <c r="A400" s="61"/>
      <c r="B400" s="61"/>
      <c r="C400" s="61"/>
      <c r="D400" s="61"/>
      <c r="E400" s="61"/>
      <c r="F400" s="61"/>
      <c r="G400" s="61"/>
      <c r="H400" s="61"/>
      <c r="I400" s="61"/>
    </row>
    <row r="401" spans="1:9" x14ac:dyDescent="0.25">
      <c r="A401" s="61"/>
      <c r="B401" s="61"/>
      <c r="C401" s="61"/>
      <c r="D401" s="61"/>
      <c r="E401" s="61"/>
      <c r="F401" s="61"/>
      <c r="G401" s="61"/>
      <c r="H401" s="61"/>
      <c r="I401" s="61"/>
    </row>
    <row r="402" spans="1:9" x14ac:dyDescent="0.25">
      <c r="A402" s="61"/>
      <c r="B402" s="61"/>
      <c r="C402" s="61"/>
      <c r="D402" s="61"/>
      <c r="E402" s="61"/>
      <c r="F402" s="61"/>
      <c r="G402" s="61"/>
      <c r="H402" s="61"/>
      <c r="I402" s="61"/>
    </row>
    <row r="403" spans="1:9" x14ac:dyDescent="0.25">
      <c r="A403" s="61"/>
      <c r="B403" s="61"/>
      <c r="C403" s="61"/>
      <c r="D403" s="61"/>
      <c r="E403" s="61"/>
      <c r="F403" s="61"/>
      <c r="G403" s="61"/>
      <c r="H403" s="61"/>
      <c r="I403" s="61"/>
    </row>
    <row r="404" spans="1:9" x14ac:dyDescent="0.25">
      <c r="A404" s="61"/>
      <c r="B404" s="61"/>
      <c r="C404" s="61"/>
      <c r="D404" s="61"/>
      <c r="E404" s="61"/>
      <c r="F404" s="61"/>
      <c r="G404" s="61"/>
      <c r="H404" s="61"/>
      <c r="I404" s="61"/>
    </row>
    <row r="405" spans="1:9" x14ac:dyDescent="0.25">
      <c r="A405" s="61"/>
      <c r="B405" s="61"/>
      <c r="C405" s="61"/>
      <c r="D405" s="61"/>
      <c r="E405" s="61"/>
      <c r="F405" s="61"/>
      <c r="G405" s="61"/>
      <c r="H405" s="61"/>
      <c r="I405" s="61"/>
    </row>
    <row r="406" spans="1:9" x14ac:dyDescent="0.25">
      <c r="A406" s="61"/>
      <c r="B406" s="61"/>
      <c r="C406" s="61"/>
      <c r="D406" s="61"/>
      <c r="E406" s="61"/>
      <c r="F406" s="61"/>
      <c r="G406" s="61"/>
      <c r="H406" s="61"/>
      <c r="I406" s="61"/>
    </row>
    <row r="407" spans="1:9" x14ac:dyDescent="0.25">
      <c r="A407" s="61"/>
      <c r="B407" s="61"/>
      <c r="C407" s="61"/>
      <c r="D407" s="61"/>
      <c r="E407" s="61"/>
      <c r="F407" s="61"/>
      <c r="G407" s="61"/>
      <c r="H407" s="61"/>
      <c r="I407" s="61"/>
    </row>
    <row r="408" spans="1:9" x14ac:dyDescent="0.25">
      <c r="A408" s="61"/>
      <c r="B408" s="61"/>
      <c r="C408" s="61"/>
      <c r="D408" s="61"/>
      <c r="E408" s="61"/>
      <c r="F408" s="61"/>
      <c r="G408" s="61"/>
      <c r="H408" s="61"/>
      <c r="I408" s="61"/>
    </row>
    <row r="409" spans="1:9" x14ac:dyDescent="0.25">
      <c r="A409" s="61"/>
      <c r="B409" s="61"/>
      <c r="C409" s="61"/>
      <c r="D409" s="61"/>
      <c r="E409" s="61"/>
      <c r="F409" s="61"/>
      <c r="G409" s="61"/>
      <c r="H409" s="61"/>
      <c r="I409" s="61"/>
    </row>
    <row r="410" spans="1:9" x14ac:dyDescent="0.25">
      <c r="A410" s="61"/>
      <c r="B410" s="61"/>
      <c r="C410" s="61"/>
      <c r="D410" s="61"/>
      <c r="E410" s="61"/>
      <c r="F410" s="61"/>
      <c r="G410" s="61"/>
      <c r="H410" s="61"/>
      <c r="I410" s="61"/>
    </row>
    <row r="411" spans="1:9" x14ac:dyDescent="0.25">
      <c r="A411" s="61"/>
      <c r="B411" s="61"/>
      <c r="C411" s="61"/>
      <c r="D411" s="61"/>
      <c r="E411" s="61"/>
      <c r="F411" s="61"/>
      <c r="G411" s="61"/>
      <c r="H411" s="61"/>
      <c r="I411" s="61"/>
    </row>
    <row r="412" spans="1:9" x14ac:dyDescent="0.25">
      <c r="A412" s="61"/>
      <c r="B412" s="61"/>
      <c r="C412" s="61"/>
      <c r="D412" s="61"/>
      <c r="E412" s="61"/>
      <c r="F412" s="61"/>
      <c r="G412" s="61"/>
      <c r="H412" s="61"/>
      <c r="I412" s="61"/>
    </row>
    <row r="413" spans="1:9" x14ac:dyDescent="0.25">
      <c r="A413" s="61"/>
      <c r="B413" s="61"/>
      <c r="C413" s="61"/>
      <c r="D413" s="61"/>
      <c r="E413" s="61"/>
      <c r="F413" s="61"/>
      <c r="G413" s="61"/>
      <c r="H413" s="61"/>
      <c r="I413" s="61"/>
    </row>
    <row r="414" spans="1:9" x14ac:dyDescent="0.25">
      <c r="A414" s="61"/>
      <c r="B414" s="61"/>
      <c r="C414" s="61"/>
      <c r="D414" s="61"/>
      <c r="E414" s="61"/>
      <c r="F414" s="61"/>
      <c r="G414" s="61"/>
      <c r="H414" s="61"/>
      <c r="I414" s="61"/>
    </row>
    <row r="415" spans="1:9" x14ac:dyDescent="0.25">
      <c r="A415" s="61"/>
      <c r="B415" s="61"/>
      <c r="C415" s="61"/>
      <c r="D415" s="61"/>
      <c r="E415" s="61"/>
      <c r="F415" s="61"/>
      <c r="G415" s="61"/>
      <c r="H415" s="61"/>
      <c r="I415" s="61"/>
    </row>
    <row r="416" spans="1:9" x14ac:dyDescent="0.25">
      <c r="A416" s="61"/>
      <c r="B416" s="61"/>
      <c r="C416" s="61"/>
      <c r="D416" s="61"/>
      <c r="E416" s="61"/>
      <c r="F416" s="61"/>
      <c r="G416" s="61"/>
      <c r="H416" s="61"/>
      <c r="I416" s="61"/>
    </row>
    <row r="417" spans="1:9" x14ac:dyDescent="0.25">
      <c r="A417" s="61"/>
      <c r="B417" s="61"/>
      <c r="C417" s="61"/>
      <c r="D417" s="61"/>
      <c r="E417" s="61"/>
      <c r="F417" s="61"/>
      <c r="G417" s="61"/>
      <c r="H417" s="61"/>
      <c r="I417" s="61"/>
    </row>
    <row r="418" spans="1:9" x14ac:dyDescent="0.25">
      <c r="A418" s="61"/>
      <c r="B418" s="61"/>
      <c r="C418" s="61"/>
      <c r="D418" s="61"/>
      <c r="E418" s="61"/>
      <c r="F418" s="61"/>
      <c r="G418" s="61"/>
      <c r="H418" s="61"/>
      <c r="I418" s="61"/>
    </row>
    <row r="419" spans="1:9" x14ac:dyDescent="0.25">
      <c r="A419" s="61"/>
      <c r="B419" s="61"/>
      <c r="C419" s="61"/>
      <c r="D419" s="61"/>
      <c r="E419" s="61"/>
      <c r="F419" s="61"/>
      <c r="G419" s="61"/>
      <c r="H419" s="61"/>
      <c r="I419" s="61"/>
    </row>
    <row r="420" spans="1:9" x14ac:dyDescent="0.25">
      <c r="A420" s="61"/>
      <c r="B420" s="61"/>
      <c r="C420" s="61"/>
      <c r="D420" s="61"/>
      <c r="E420" s="61"/>
      <c r="F420" s="61"/>
      <c r="G420" s="61"/>
      <c r="H420" s="61"/>
      <c r="I420" s="61"/>
    </row>
    <row r="421" spans="1:9" x14ac:dyDescent="0.25">
      <c r="A421" s="61"/>
      <c r="B421" s="61"/>
      <c r="C421" s="61"/>
      <c r="D421" s="61"/>
      <c r="E421" s="61"/>
      <c r="F421" s="61"/>
      <c r="G421" s="61"/>
      <c r="H421" s="61"/>
      <c r="I421" s="61"/>
    </row>
    <row r="422" spans="1:9" x14ac:dyDescent="0.25">
      <c r="A422" s="61"/>
      <c r="B422" s="61"/>
      <c r="C422" s="61"/>
      <c r="D422" s="61"/>
      <c r="E422" s="61"/>
      <c r="F422" s="61"/>
      <c r="G422" s="61"/>
      <c r="H422" s="61"/>
      <c r="I422" s="61"/>
    </row>
    <row r="423" spans="1:9" x14ac:dyDescent="0.25">
      <c r="A423" s="61"/>
      <c r="B423" s="61"/>
      <c r="C423" s="61"/>
      <c r="D423" s="61"/>
      <c r="E423" s="61"/>
      <c r="F423" s="61"/>
      <c r="G423" s="61"/>
      <c r="H423" s="61"/>
      <c r="I423" s="61"/>
    </row>
    <row r="424" spans="1:9" x14ac:dyDescent="0.25">
      <c r="A424" s="61"/>
      <c r="B424" s="61"/>
      <c r="C424" s="61"/>
      <c r="D424" s="61"/>
      <c r="E424" s="61"/>
      <c r="F424" s="61"/>
      <c r="G424" s="61"/>
      <c r="H424" s="61"/>
      <c r="I424" s="61"/>
    </row>
    <row r="425" spans="1:9" x14ac:dyDescent="0.25">
      <c r="A425" s="61"/>
      <c r="B425" s="61"/>
      <c r="C425" s="61"/>
      <c r="D425" s="61"/>
      <c r="E425" s="61"/>
      <c r="F425" s="61"/>
      <c r="G425" s="61"/>
      <c r="H425" s="61"/>
      <c r="I425" s="61"/>
    </row>
    <row r="426" spans="1:9" x14ac:dyDescent="0.25">
      <c r="A426" s="61"/>
      <c r="B426" s="61"/>
      <c r="C426" s="61"/>
      <c r="D426" s="61"/>
      <c r="E426" s="61"/>
      <c r="F426" s="61"/>
      <c r="G426" s="61"/>
      <c r="H426" s="61"/>
      <c r="I426" s="61"/>
    </row>
    <row r="427" spans="1:9" x14ac:dyDescent="0.25">
      <c r="A427" s="61"/>
      <c r="B427" s="61"/>
      <c r="C427" s="61"/>
      <c r="D427" s="61"/>
      <c r="E427" s="61"/>
      <c r="F427" s="61"/>
      <c r="G427" s="61"/>
      <c r="H427" s="61"/>
      <c r="I427" s="61"/>
    </row>
    <row r="428" spans="1:9" x14ac:dyDescent="0.25">
      <c r="A428" s="61"/>
      <c r="B428" s="61"/>
      <c r="C428" s="61"/>
      <c r="D428" s="61"/>
      <c r="E428" s="61"/>
      <c r="F428" s="61"/>
      <c r="G428" s="61"/>
      <c r="H428" s="61"/>
      <c r="I428" s="61"/>
    </row>
    <row r="429" spans="1:9" x14ac:dyDescent="0.25">
      <c r="A429" s="61"/>
      <c r="B429" s="61"/>
      <c r="C429" s="61"/>
      <c r="D429" s="61"/>
      <c r="E429" s="61"/>
      <c r="F429" s="61"/>
      <c r="G429" s="61"/>
      <c r="H429" s="61"/>
      <c r="I429" s="61"/>
    </row>
    <row r="430" spans="1:9" x14ac:dyDescent="0.25">
      <c r="A430" s="61"/>
      <c r="B430" s="61"/>
      <c r="C430" s="61"/>
      <c r="D430" s="61"/>
      <c r="E430" s="61"/>
      <c r="F430" s="61"/>
      <c r="G430" s="61"/>
      <c r="H430" s="61"/>
      <c r="I430" s="61"/>
    </row>
    <row r="431" spans="1:9" x14ac:dyDescent="0.25">
      <c r="A431" s="61"/>
      <c r="B431" s="61"/>
      <c r="C431" s="61"/>
      <c r="D431" s="61"/>
      <c r="E431" s="61"/>
      <c r="F431" s="61"/>
      <c r="G431" s="61"/>
      <c r="H431" s="61"/>
      <c r="I431" s="61"/>
    </row>
    <row r="432" spans="1:9" x14ac:dyDescent="0.25">
      <c r="A432" s="61"/>
      <c r="B432" s="61"/>
      <c r="C432" s="61"/>
      <c r="D432" s="61"/>
      <c r="E432" s="61"/>
      <c r="F432" s="61"/>
      <c r="G432" s="61"/>
      <c r="H432" s="61"/>
      <c r="I432" s="61"/>
    </row>
    <row r="433" spans="1:9" x14ac:dyDescent="0.25">
      <c r="A433" s="61"/>
      <c r="B433" s="61"/>
      <c r="C433" s="61"/>
      <c r="D433" s="61"/>
      <c r="E433" s="61"/>
      <c r="F433" s="61"/>
      <c r="G433" s="61"/>
      <c r="H433" s="61"/>
      <c r="I433" s="61"/>
    </row>
    <row r="434" spans="1:9" x14ac:dyDescent="0.25">
      <c r="A434" s="61"/>
      <c r="B434" s="61"/>
      <c r="C434" s="61"/>
      <c r="D434" s="61"/>
      <c r="E434" s="61"/>
      <c r="F434" s="61"/>
      <c r="G434" s="61"/>
      <c r="H434" s="61"/>
      <c r="I434" s="61"/>
    </row>
    <row r="435" spans="1:9" x14ac:dyDescent="0.25">
      <c r="A435" s="61"/>
      <c r="B435" s="61"/>
      <c r="C435" s="61"/>
      <c r="D435" s="61"/>
      <c r="E435" s="61"/>
      <c r="F435" s="61"/>
      <c r="G435" s="61"/>
      <c r="H435" s="61"/>
      <c r="I435" s="61"/>
    </row>
    <row r="436" spans="1:9" x14ac:dyDescent="0.25">
      <c r="A436" s="61"/>
      <c r="B436" s="61"/>
      <c r="C436" s="61"/>
      <c r="D436" s="61"/>
      <c r="E436" s="61"/>
      <c r="F436" s="61"/>
      <c r="G436" s="61"/>
      <c r="H436" s="61"/>
      <c r="I436" s="61"/>
    </row>
    <row r="437" spans="1:9" x14ac:dyDescent="0.25">
      <c r="A437" s="61"/>
      <c r="B437" s="61"/>
      <c r="C437" s="61"/>
      <c r="D437" s="61"/>
      <c r="E437" s="61"/>
      <c r="F437" s="61"/>
      <c r="G437" s="61"/>
      <c r="H437" s="61"/>
      <c r="I437" s="61"/>
    </row>
    <row r="438" spans="1:9" x14ac:dyDescent="0.25">
      <c r="A438" s="61"/>
      <c r="B438" s="61"/>
      <c r="C438" s="61"/>
      <c r="D438" s="61"/>
      <c r="E438" s="61"/>
      <c r="F438" s="61"/>
      <c r="G438" s="61"/>
      <c r="H438" s="61"/>
      <c r="I438" s="61"/>
    </row>
    <row r="439" spans="1:9" x14ac:dyDescent="0.25">
      <c r="A439" s="61"/>
      <c r="B439" s="61"/>
      <c r="C439" s="61"/>
      <c r="D439" s="61"/>
      <c r="E439" s="61"/>
      <c r="F439" s="61"/>
      <c r="G439" s="61"/>
      <c r="H439" s="61"/>
      <c r="I439" s="61"/>
    </row>
    <row r="440" spans="1:9" x14ac:dyDescent="0.25">
      <c r="A440" s="61"/>
      <c r="B440" s="61"/>
      <c r="C440" s="61"/>
      <c r="D440" s="61"/>
      <c r="E440" s="61"/>
      <c r="F440" s="61"/>
      <c r="G440" s="61"/>
      <c r="H440" s="61"/>
      <c r="I440" s="61"/>
    </row>
    <row r="441" spans="1:9" x14ac:dyDescent="0.25">
      <c r="A441" s="61"/>
      <c r="B441" s="61"/>
      <c r="C441" s="61"/>
      <c r="D441" s="61"/>
      <c r="E441" s="61"/>
      <c r="F441" s="61"/>
      <c r="G441" s="61"/>
      <c r="H441" s="61"/>
      <c r="I441" s="61"/>
    </row>
    <row r="442" spans="1:9" x14ac:dyDescent="0.25">
      <c r="A442" s="61"/>
      <c r="B442" s="61"/>
      <c r="C442" s="61"/>
      <c r="D442" s="61"/>
      <c r="E442" s="61"/>
      <c r="F442" s="61"/>
      <c r="G442" s="61"/>
      <c r="H442" s="61"/>
      <c r="I442" s="61"/>
    </row>
    <row r="443" spans="1:9" x14ac:dyDescent="0.25">
      <c r="A443" s="61"/>
      <c r="B443" s="61"/>
      <c r="C443" s="61"/>
      <c r="D443" s="61"/>
      <c r="E443" s="61"/>
      <c r="F443" s="61"/>
      <c r="G443" s="61"/>
      <c r="H443" s="61"/>
      <c r="I443" s="61"/>
    </row>
    <row r="444" spans="1:9" x14ac:dyDescent="0.25">
      <c r="A444" s="61"/>
      <c r="B444" s="61"/>
      <c r="C444" s="61"/>
      <c r="D444" s="61"/>
      <c r="E444" s="61"/>
      <c r="F444" s="61"/>
      <c r="G444" s="61"/>
      <c r="H444" s="61"/>
      <c r="I444" s="61"/>
    </row>
    <row r="445" spans="1:9" x14ac:dyDescent="0.25">
      <c r="A445" s="61"/>
      <c r="B445" s="61"/>
      <c r="C445" s="61"/>
      <c r="D445" s="61"/>
      <c r="E445" s="61"/>
      <c r="F445" s="61"/>
      <c r="G445" s="61"/>
      <c r="H445" s="61"/>
      <c r="I445" s="61"/>
    </row>
    <row r="446" spans="1:9" x14ac:dyDescent="0.25">
      <c r="A446" s="61"/>
      <c r="B446" s="61"/>
      <c r="C446" s="61"/>
      <c r="D446" s="61"/>
      <c r="E446" s="61"/>
      <c r="F446" s="61"/>
      <c r="G446" s="61"/>
      <c r="H446" s="61"/>
      <c r="I446" s="61"/>
    </row>
    <row r="447" spans="1:9" x14ac:dyDescent="0.25">
      <c r="A447" s="61"/>
      <c r="B447" s="61"/>
      <c r="C447" s="61"/>
      <c r="D447" s="61"/>
      <c r="E447" s="61"/>
      <c r="F447" s="61"/>
      <c r="G447" s="61"/>
      <c r="H447" s="61"/>
      <c r="I447" s="61"/>
    </row>
    <row r="448" spans="1:9" x14ac:dyDescent="0.25">
      <c r="A448" s="61"/>
      <c r="B448" s="61"/>
      <c r="C448" s="61"/>
      <c r="D448" s="61"/>
      <c r="E448" s="61"/>
      <c r="F448" s="61"/>
      <c r="G448" s="61"/>
      <c r="H448" s="61"/>
      <c r="I448" s="61"/>
    </row>
    <row r="449" spans="1:9" x14ac:dyDescent="0.25">
      <c r="A449" s="61"/>
      <c r="B449" s="61"/>
      <c r="C449" s="61"/>
      <c r="D449" s="61"/>
      <c r="E449" s="61"/>
      <c r="F449" s="61"/>
      <c r="G449" s="61"/>
      <c r="H449" s="61"/>
      <c r="I449" s="61"/>
    </row>
    <row r="450" spans="1:9" x14ac:dyDescent="0.25">
      <c r="A450" s="61"/>
      <c r="B450" s="61"/>
      <c r="C450" s="61"/>
      <c r="D450" s="61"/>
      <c r="E450" s="61"/>
      <c r="F450" s="61"/>
      <c r="G450" s="61"/>
      <c r="H450" s="61"/>
      <c r="I450" s="61"/>
    </row>
    <row r="451" spans="1:9" x14ac:dyDescent="0.25">
      <c r="A451" s="61"/>
      <c r="B451" s="61"/>
      <c r="C451" s="61"/>
      <c r="D451" s="61"/>
      <c r="E451" s="61"/>
      <c r="F451" s="61"/>
      <c r="G451" s="61"/>
      <c r="H451" s="61"/>
      <c r="I451" s="61"/>
    </row>
    <row r="452" spans="1:9" x14ac:dyDescent="0.25">
      <c r="A452" s="61"/>
      <c r="B452" s="61"/>
      <c r="C452" s="61"/>
      <c r="D452" s="61"/>
      <c r="E452" s="61"/>
      <c r="F452" s="61"/>
      <c r="G452" s="61"/>
      <c r="H452" s="61"/>
      <c r="I452" s="61"/>
    </row>
    <row r="453" spans="1:9" x14ac:dyDescent="0.25">
      <c r="A453" s="61"/>
      <c r="B453" s="61"/>
      <c r="C453" s="61"/>
      <c r="D453" s="61"/>
      <c r="E453" s="61"/>
      <c r="F453" s="61"/>
      <c r="G453" s="61"/>
      <c r="H453" s="61"/>
      <c r="I453" s="61"/>
    </row>
    <row r="454" spans="1:9" x14ac:dyDescent="0.25">
      <c r="A454" s="61"/>
      <c r="B454" s="61"/>
      <c r="C454" s="61"/>
      <c r="D454" s="61"/>
      <c r="E454" s="61"/>
      <c r="F454" s="61"/>
      <c r="G454" s="61"/>
      <c r="H454" s="61"/>
      <c r="I454" s="61"/>
    </row>
    <row r="455" spans="1:9" x14ac:dyDescent="0.25">
      <c r="A455" s="61"/>
      <c r="B455" s="61"/>
      <c r="C455" s="61"/>
      <c r="D455" s="61"/>
      <c r="E455" s="61"/>
      <c r="F455" s="61"/>
      <c r="G455" s="61"/>
      <c r="H455" s="61"/>
      <c r="I455" s="61"/>
    </row>
    <row r="456" spans="1:9" x14ac:dyDescent="0.25">
      <c r="A456" s="61"/>
      <c r="B456" s="61"/>
      <c r="C456" s="61"/>
      <c r="D456" s="61"/>
      <c r="E456" s="61"/>
      <c r="F456" s="61"/>
      <c r="G456" s="61"/>
      <c r="H456" s="61"/>
      <c r="I456" s="61"/>
    </row>
  </sheetData>
  <mergeCells count="3">
    <mergeCell ref="A1:P1"/>
    <mergeCell ref="A3:B4"/>
    <mergeCell ref="C3:W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56"/>
  <sheetViews>
    <sheetView workbookViewId="0">
      <selection activeCell="C5" sqref="C5:C26"/>
    </sheetView>
  </sheetViews>
  <sheetFormatPr defaultColWidth="8.85546875" defaultRowHeight="15" x14ac:dyDescent="0.25"/>
  <cols>
    <col min="1" max="1" width="8.85546875" style="29"/>
    <col min="2" max="2" width="63.42578125" style="29" bestFit="1" customWidth="1"/>
    <col min="3" max="22" width="8.28515625" style="29" customWidth="1"/>
    <col min="23" max="26" width="6.5703125" style="29" customWidth="1"/>
    <col min="27" max="16384" width="8.85546875" style="29"/>
  </cols>
  <sheetData>
    <row r="1" spans="1:25" x14ac:dyDescent="0.25">
      <c r="A1" s="262" t="s">
        <v>212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25" x14ac:dyDescent="0.25">
      <c r="A2" s="97"/>
      <c r="B2" s="102"/>
      <c r="C2" s="102"/>
      <c r="D2" s="102"/>
      <c r="E2" s="102"/>
      <c r="F2" s="102"/>
      <c r="G2" s="102"/>
      <c r="H2" s="103"/>
      <c r="I2" s="103"/>
    </row>
    <row r="3" spans="1:25" x14ac:dyDescent="0.25">
      <c r="A3" s="263" t="s">
        <v>1</v>
      </c>
      <c r="B3" s="263"/>
      <c r="C3" s="264" t="s">
        <v>51</v>
      </c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</row>
    <row r="4" spans="1:25" x14ac:dyDescent="0.25">
      <c r="A4" s="263"/>
      <c r="B4" s="263"/>
      <c r="C4" s="116">
        <v>2002</v>
      </c>
      <c r="D4" s="116">
        <v>2003</v>
      </c>
      <c r="E4" s="116">
        <v>2004</v>
      </c>
      <c r="F4" s="116">
        <v>2005</v>
      </c>
      <c r="G4" s="116">
        <v>2006</v>
      </c>
      <c r="H4" s="116">
        <v>2007</v>
      </c>
      <c r="I4" s="116">
        <v>2008</v>
      </c>
      <c r="J4" s="85">
        <v>2009</v>
      </c>
      <c r="K4" s="85">
        <v>2010</v>
      </c>
      <c r="L4" s="85">
        <v>2011</v>
      </c>
      <c r="M4" s="85">
        <v>2012</v>
      </c>
      <c r="N4" s="85">
        <v>2013</v>
      </c>
      <c r="O4" s="85">
        <v>2014</v>
      </c>
      <c r="P4" s="85">
        <v>2015</v>
      </c>
      <c r="Q4" s="85">
        <v>2016</v>
      </c>
      <c r="R4" s="85">
        <v>2017</v>
      </c>
      <c r="S4" s="85">
        <v>2018</v>
      </c>
      <c r="T4" s="85">
        <v>2019</v>
      </c>
      <c r="U4" s="85">
        <v>2020</v>
      </c>
      <c r="V4" s="85">
        <v>2021</v>
      </c>
      <c r="W4" s="85">
        <v>2022</v>
      </c>
      <c r="X4" s="85">
        <v>2023</v>
      </c>
      <c r="Y4" s="85">
        <v>2024</v>
      </c>
    </row>
    <row r="5" spans="1:25" x14ac:dyDescent="0.25">
      <c r="A5" s="105">
        <v>1</v>
      </c>
      <c r="B5" s="83" t="s">
        <v>5</v>
      </c>
      <c r="C5" s="3"/>
      <c r="D5" s="3">
        <v>98.075216416529997</v>
      </c>
      <c r="E5" s="3">
        <v>40.78986150096199</v>
      </c>
      <c r="F5" s="3">
        <v>26.686120367777889</v>
      </c>
      <c r="G5" s="3">
        <v>12.864411546295557</v>
      </c>
      <c r="H5" s="3">
        <v>14.914731789282442</v>
      </c>
      <c r="I5" s="3">
        <v>13.59779338235272</v>
      </c>
      <c r="J5" s="3">
        <v>10.083279937393172</v>
      </c>
      <c r="K5" s="3">
        <v>19.043694993992943</v>
      </c>
      <c r="L5" s="3">
        <v>18.228044563781197</v>
      </c>
      <c r="M5" s="3">
        <v>10.909429269416421</v>
      </c>
      <c r="N5" s="3">
        <v>10.308503049701329</v>
      </c>
      <c r="O5" s="3">
        <v>12.090903496480905</v>
      </c>
      <c r="P5" s="3">
        <v>12.116456780826297</v>
      </c>
      <c r="Q5" s="3">
        <v>24.525265540896086</v>
      </c>
      <c r="R5" s="3">
        <v>25.788491566764591</v>
      </c>
      <c r="S5" s="3">
        <v>11.967594492900986</v>
      </c>
      <c r="T5" s="3">
        <v>11.559803439890516</v>
      </c>
      <c r="U5" s="3">
        <v>29.407923102322172</v>
      </c>
      <c r="V5" s="3">
        <v>40.310913750735153</v>
      </c>
      <c r="W5" s="3">
        <v>35.915886297711438</v>
      </c>
      <c r="X5" s="3">
        <v>26.730310368545759</v>
      </c>
      <c r="Y5" s="3">
        <v>30.63292695100273</v>
      </c>
    </row>
    <row r="6" spans="1:25" x14ac:dyDescent="0.25">
      <c r="A6" s="104"/>
      <c r="B6" s="83" t="s">
        <v>6</v>
      </c>
      <c r="C6" s="4"/>
      <c r="D6" s="4">
        <v>99.478317080473488</v>
      </c>
      <c r="E6" s="4">
        <v>42.365822176901105</v>
      </c>
      <c r="F6" s="4">
        <v>26.853265122770154</v>
      </c>
      <c r="G6" s="4">
        <v>11.866755023683083</v>
      </c>
      <c r="H6" s="4">
        <v>15.406552349418007</v>
      </c>
      <c r="I6" s="4">
        <v>12.567135417853947</v>
      </c>
      <c r="J6" s="4">
        <v>10.379745661111642</v>
      </c>
      <c r="K6" s="4">
        <v>19.16497415453054</v>
      </c>
      <c r="L6" s="4">
        <v>18.262625470514422</v>
      </c>
      <c r="M6" s="4">
        <v>10.073944180843796</v>
      </c>
      <c r="N6" s="4">
        <v>9.8968896973979241</v>
      </c>
      <c r="O6" s="4">
        <v>12.720559882995715</v>
      </c>
      <c r="P6" s="4">
        <v>12.997104960567938</v>
      </c>
      <c r="Q6" s="4">
        <v>25.23641545694089</v>
      </c>
      <c r="R6" s="4">
        <v>26.064017231372645</v>
      </c>
      <c r="S6" s="4">
        <v>12.699978104486817</v>
      </c>
      <c r="T6" s="4">
        <v>10.862490758746148</v>
      </c>
      <c r="U6" s="4">
        <v>29.321402699046331</v>
      </c>
      <c r="V6" s="4">
        <v>41.361137411634331</v>
      </c>
      <c r="W6" s="4">
        <v>36.424719202205182</v>
      </c>
      <c r="X6" s="4">
        <v>27.312381443338182</v>
      </c>
      <c r="Y6" s="4">
        <v>31.398795431686096</v>
      </c>
    </row>
    <row r="7" spans="1:25" x14ac:dyDescent="0.25">
      <c r="A7" s="104"/>
      <c r="B7" s="104" t="s">
        <v>47</v>
      </c>
      <c r="C7" s="4"/>
      <c r="D7" s="4">
        <v>84.99978263612735</v>
      </c>
      <c r="E7" s="4">
        <v>24.461690604725433</v>
      </c>
      <c r="F7" s="4">
        <v>24.716938397882004</v>
      </c>
      <c r="G7" s="4">
        <v>23.949377596551116</v>
      </c>
      <c r="H7" s="4">
        <v>10.03017468317428</v>
      </c>
      <c r="I7" s="4">
        <v>24.735246153631124</v>
      </c>
      <c r="J7" s="4">
        <v>7.2444151808940944</v>
      </c>
      <c r="K7" s="4">
        <v>17.723939854705193</v>
      </c>
      <c r="L7" s="4">
        <v>17.873855112942479</v>
      </c>
      <c r="M7" s="4">
        <v>19.202480179533993</v>
      </c>
      <c r="N7" s="4">
        <v>14.170362339308042</v>
      </c>
      <c r="O7" s="4">
        <v>7.5005455985547798</v>
      </c>
      <c r="P7" s="4">
        <v>6.0761569465720413</v>
      </c>
      <c r="Q7" s="4">
        <v>19.604341147589977</v>
      </c>
      <c r="R7" s="4">
        <v>23.768841883298975</v>
      </c>
      <c r="S7" s="4">
        <v>6.3011209458084778</v>
      </c>
      <c r="T7" s="4">
        <v>18.363289621725087</v>
      </c>
      <c r="U7" s="4">
        <v>30.295855258945068</v>
      </c>
      <c r="V7" s="4">
        <v>32.629336126481718</v>
      </c>
      <c r="W7" s="4">
        <v>31.964369042845846</v>
      </c>
      <c r="X7" s="4">
        <v>22.064690536242026</v>
      </c>
      <c r="Y7" s="4">
        <v>24.044258853550815</v>
      </c>
    </row>
    <row r="8" spans="1:25" x14ac:dyDescent="0.25">
      <c r="A8" s="105">
        <v>2</v>
      </c>
      <c r="B8" s="83" t="s">
        <v>7</v>
      </c>
      <c r="C8" s="3"/>
      <c r="D8" s="3">
        <v>88.990617768776644</v>
      </c>
      <c r="E8" s="3">
        <v>32.678458621997464</v>
      </c>
      <c r="F8" s="3">
        <v>48.800477206547043</v>
      </c>
      <c r="G8" s="3">
        <v>11.646736006123206</v>
      </c>
      <c r="H8" s="3">
        <v>6.3247927443659933</v>
      </c>
      <c r="I8" s="3">
        <v>17.355509105333923</v>
      </c>
      <c r="J8" s="3">
        <v>-33.970281545442404</v>
      </c>
      <c r="K8" s="3">
        <v>55.334896358076548</v>
      </c>
      <c r="L8" s="3">
        <v>45.292675311065409</v>
      </c>
      <c r="M8" s="3">
        <v>7.2133330665192972</v>
      </c>
      <c r="N8" s="3">
        <v>-1.5772563454623878</v>
      </c>
      <c r="O8" s="3">
        <v>-3.2006975534652184</v>
      </c>
      <c r="P8" s="3">
        <v>-21.030660100026324</v>
      </c>
      <c r="Q8" s="3">
        <v>20.041048947961443</v>
      </c>
      <c r="R8" s="3">
        <v>25.45471055776693</v>
      </c>
      <c r="S8" s="3">
        <v>43.471468255062149</v>
      </c>
      <c r="T8" s="3">
        <v>26.326904564957474</v>
      </c>
      <c r="U8" s="3">
        <v>7.7454508065034418</v>
      </c>
      <c r="V8" s="3">
        <v>53.193700658258763</v>
      </c>
      <c r="W8" s="3">
        <v>7.5644817990422979</v>
      </c>
      <c r="X8" s="3">
        <v>20.068974303391357</v>
      </c>
      <c r="Y8" s="3">
        <v>21.468396955484678</v>
      </c>
    </row>
    <row r="9" spans="1:25" x14ac:dyDescent="0.25">
      <c r="A9" s="105"/>
      <c r="B9" s="83" t="s">
        <v>8</v>
      </c>
      <c r="C9" s="4"/>
      <c r="D9" s="4">
        <v>90.835938887561895</v>
      </c>
      <c r="E9" s="4">
        <v>33.368667172490092</v>
      </c>
      <c r="F9" s="4">
        <v>51.72695753086748</v>
      </c>
      <c r="G9" s="4">
        <v>8.0409639101155221</v>
      </c>
      <c r="H9" s="4">
        <v>5.1586238288526545</v>
      </c>
      <c r="I9" s="4">
        <v>20.375573738937817</v>
      </c>
      <c r="J9" s="4">
        <v>-49.294732427765908</v>
      </c>
      <c r="K9" s="4">
        <v>92.178091160159852</v>
      </c>
      <c r="L9" s="4">
        <v>63.540836473081924</v>
      </c>
      <c r="M9" s="4">
        <v>2.9177263634205559</v>
      </c>
      <c r="N9" s="4">
        <v>-5.1782140033558761</v>
      </c>
      <c r="O9" s="4">
        <v>-12.871352154685582</v>
      </c>
      <c r="P9" s="4">
        <v>-41.182878749497988</v>
      </c>
      <c r="Q9" s="4">
        <v>14.219508869640563</v>
      </c>
      <c r="R9" s="4">
        <v>38.138614140258397</v>
      </c>
      <c r="S9" s="4">
        <v>97.542935488929032</v>
      </c>
      <c r="T9" s="4">
        <v>33.68982917085944</v>
      </c>
      <c r="U9" s="4">
        <v>-0.25973198795618657</v>
      </c>
      <c r="V9" s="4">
        <v>85.908938453361827</v>
      </c>
      <c r="W9" s="4">
        <v>0.80390149704490454</v>
      </c>
      <c r="X9" s="4">
        <v>22.006155558672006</v>
      </c>
      <c r="Y9" s="4">
        <v>22.038832882661879</v>
      </c>
    </row>
    <row r="10" spans="1:25" x14ac:dyDescent="0.25">
      <c r="A10" s="105"/>
      <c r="B10" s="83" t="s">
        <v>9</v>
      </c>
      <c r="C10" s="4"/>
      <c r="D10" s="4">
        <v>72.739739771010278</v>
      </c>
      <c r="E10" s="4">
        <v>30.378056644065822</v>
      </c>
      <c r="F10" s="4">
        <v>82.320179043958518</v>
      </c>
      <c r="G10" s="4">
        <v>-27.978119063744813</v>
      </c>
      <c r="H10" s="4">
        <v>-16.261481632632226</v>
      </c>
      <c r="I10" s="4">
        <v>-4.7938951278306519</v>
      </c>
      <c r="J10" s="4">
        <v>-46.795616286666373</v>
      </c>
      <c r="K10" s="4">
        <v>80.841291895929601</v>
      </c>
      <c r="L10" s="4">
        <v>21.513022871465523</v>
      </c>
      <c r="M10" s="4">
        <v>-0.26127220718773003</v>
      </c>
      <c r="N10" s="4">
        <v>3.0340725966027122</v>
      </c>
      <c r="O10" s="4">
        <v>11.160000000000011</v>
      </c>
      <c r="P10" s="4">
        <v>-10.90724363655734</v>
      </c>
      <c r="Q10" s="4">
        <v>35.723014080016014</v>
      </c>
      <c r="R10" s="4">
        <v>1.2063585257272109</v>
      </c>
      <c r="S10" s="4">
        <v>82.330346237591613</v>
      </c>
      <c r="T10" s="4">
        <v>42.57491570925589</v>
      </c>
      <c r="U10" s="4">
        <v>107.53402912986778</v>
      </c>
      <c r="V10" s="4">
        <v>-2.0102018573695233</v>
      </c>
      <c r="W10" s="4">
        <v>9.0702603214596138</v>
      </c>
      <c r="X10" s="4">
        <v>14.429559411973841</v>
      </c>
      <c r="Y10" s="4">
        <v>68.089247318558733</v>
      </c>
    </row>
    <row r="11" spans="1:25" x14ac:dyDescent="0.25">
      <c r="A11" s="105"/>
      <c r="B11" s="83" t="s">
        <v>10</v>
      </c>
      <c r="C11" s="4"/>
      <c r="D11" s="4">
        <v>97.652713482591622</v>
      </c>
      <c r="E11" s="4">
        <v>49.331898849682148</v>
      </c>
      <c r="F11" s="4">
        <v>23.384099603648806</v>
      </c>
      <c r="G11" s="4">
        <v>13.57926050291141</v>
      </c>
      <c r="H11" s="4">
        <v>7.7118513640421611</v>
      </c>
      <c r="I11" s="4">
        <v>30.61383634388045</v>
      </c>
      <c r="J11" s="4">
        <v>12.467962221656023</v>
      </c>
      <c r="K11" s="4">
        <v>11.97792121574372</v>
      </c>
      <c r="L11" s="4">
        <v>13.918766018471175</v>
      </c>
      <c r="M11" s="4">
        <v>12.338310828205152</v>
      </c>
      <c r="N11" s="4">
        <v>10.000661556390853</v>
      </c>
      <c r="O11" s="4">
        <v>14.559461037247587</v>
      </c>
      <c r="P11" s="4">
        <v>3.552360006454137</v>
      </c>
      <c r="Q11" s="4">
        <v>26.654758277462179</v>
      </c>
      <c r="R11" s="4">
        <v>20.420719538998071</v>
      </c>
      <c r="S11" s="4">
        <v>14.219861813848794</v>
      </c>
      <c r="T11" s="4">
        <v>24.04118463440264</v>
      </c>
      <c r="U11" s="4">
        <v>18.341847130865617</v>
      </c>
      <c r="V11" s="4">
        <v>31.29614947798359</v>
      </c>
      <c r="W11" s="4">
        <v>28.726075915924383</v>
      </c>
      <c r="X11" s="4">
        <v>26.363417663216808</v>
      </c>
      <c r="Y11" s="4">
        <v>14.416982724545505</v>
      </c>
    </row>
    <row r="12" spans="1:25" x14ac:dyDescent="0.25">
      <c r="A12" s="105"/>
      <c r="B12" s="83" t="s">
        <v>204</v>
      </c>
      <c r="C12" s="4"/>
      <c r="D12" s="4">
        <v>164.01366945791631</v>
      </c>
      <c r="E12" s="4">
        <v>14.376929917094913</v>
      </c>
      <c r="F12" s="4">
        <v>-4.6674009756053465</v>
      </c>
      <c r="G12" s="4">
        <v>120.64091366913709</v>
      </c>
      <c r="H12" s="4">
        <v>46.475481377154836</v>
      </c>
      <c r="I12" s="4">
        <v>-21.531446783023654</v>
      </c>
      <c r="J12" s="4">
        <v>0.48718010027289438</v>
      </c>
      <c r="K12" s="4">
        <v>4.8468458518541979E-2</v>
      </c>
      <c r="L12" s="4">
        <v>-0.38399781729907545</v>
      </c>
      <c r="M12" s="4">
        <v>-0.38560914585220019</v>
      </c>
      <c r="N12" s="4">
        <v>-0.38891614880029124</v>
      </c>
      <c r="O12" s="4">
        <v>-0.39226453518330118</v>
      </c>
      <c r="P12" s="4">
        <v>5.5544206306581856</v>
      </c>
      <c r="Q12" s="4">
        <v>19.07655426370718</v>
      </c>
      <c r="R12" s="4">
        <v>1.5024227773400014</v>
      </c>
      <c r="S12" s="4">
        <v>41.284789820197204</v>
      </c>
      <c r="T12" s="4">
        <v>26.813558708918507</v>
      </c>
      <c r="U12" s="4">
        <v>24.771220204781514</v>
      </c>
      <c r="V12" s="4">
        <v>25.71503274513023</v>
      </c>
      <c r="W12" s="4">
        <v>22.977563106182217</v>
      </c>
      <c r="X12" s="4">
        <v>24.084660860383252</v>
      </c>
      <c r="Y12" s="4">
        <v>22.500594613392195</v>
      </c>
    </row>
    <row r="13" spans="1:25" x14ac:dyDescent="0.25">
      <c r="A13" s="105"/>
      <c r="B13" s="83" t="s">
        <v>11</v>
      </c>
      <c r="C13" s="4"/>
      <c r="D13" s="4">
        <v>70.360989810407744</v>
      </c>
      <c r="E13" s="4">
        <v>22.339872026642979</v>
      </c>
      <c r="F13" s="4">
        <v>47.261915488411688</v>
      </c>
      <c r="G13" s="4">
        <v>40.25909704205958</v>
      </c>
      <c r="H13" s="4">
        <v>10.293674227509825</v>
      </c>
      <c r="I13" s="4">
        <v>7.942197397542941</v>
      </c>
      <c r="J13" s="4">
        <v>21.633622290998318</v>
      </c>
      <c r="K13" s="4">
        <v>9.0091823731309688</v>
      </c>
      <c r="L13" s="4">
        <v>12.125612300387161</v>
      </c>
      <c r="M13" s="4">
        <v>23.053582943990136</v>
      </c>
      <c r="N13" s="4">
        <v>3.9489495139220878</v>
      </c>
      <c r="O13" s="4">
        <v>13.246054196838571</v>
      </c>
      <c r="P13" s="4">
        <v>13.143939570027797</v>
      </c>
      <c r="Q13" s="4">
        <v>23.615597519757486</v>
      </c>
      <c r="R13" s="4">
        <v>18.417462199417017</v>
      </c>
      <c r="S13" s="4">
        <v>-0.76694633959084513</v>
      </c>
      <c r="T13" s="4">
        <v>12.888018670833972</v>
      </c>
      <c r="U13" s="4">
        <v>8.5621854014963645</v>
      </c>
      <c r="V13" s="4">
        <v>14.314292907809772</v>
      </c>
      <c r="W13" s="4">
        <v>8.9234223732600668</v>
      </c>
      <c r="X13" s="4">
        <v>5.854559364156728</v>
      </c>
      <c r="Y13" s="4">
        <v>12.812801960925</v>
      </c>
    </row>
    <row r="14" spans="1:25" x14ac:dyDescent="0.25">
      <c r="A14" s="105">
        <v>3</v>
      </c>
      <c r="B14" s="104" t="s">
        <v>12</v>
      </c>
      <c r="C14" s="3"/>
      <c r="D14" s="3">
        <v>106.08782138387264</v>
      </c>
      <c r="E14" s="3">
        <v>33.773988106507744</v>
      </c>
      <c r="F14" s="3">
        <v>31.146851451825484</v>
      </c>
      <c r="G14" s="3">
        <v>24.598781584475773</v>
      </c>
      <c r="H14" s="3">
        <v>3.8801538616185667</v>
      </c>
      <c r="I14" s="3">
        <v>17.987149598092714</v>
      </c>
      <c r="J14" s="3">
        <v>8.3741012708497493</v>
      </c>
      <c r="K14" s="3">
        <v>10.134299803682239</v>
      </c>
      <c r="L14" s="3">
        <v>15.243902118211366</v>
      </c>
      <c r="M14" s="3">
        <v>10.104011794865485</v>
      </c>
      <c r="N14" s="3">
        <v>7.9532637312592414</v>
      </c>
      <c r="O14" s="3">
        <v>6.2799155521877026</v>
      </c>
      <c r="P14" s="3">
        <v>8.1322794015021032</v>
      </c>
      <c r="Q14" s="3">
        <v>20.423470466859442</v>
      </c>
      <c r="R14" s="3">
        <v>21.74220075101951</v>
      </c>
      <c r="S14" s="3">
        <v>14.234534842387021</v>
      </c>
      <c r="T14" s="3">
        <v>17.370114340998441</v>
      </c>
      <c r="U14" s="3">
        <v>19.900713301027139</v>
      </c>
      <c r="V14" s="3">
        <v>21.385610444747698</v>
      </c>
      <c r="W14" s="3">
        <v>20.668133138203487</v>
      </c>
      <c r="X14" s="3">
        <v>15.512676920082953</v>
      </c>
      <c r="Y14" s="3">
        <v>31.808269992165634</v>
      </c>
    </row>
    <row r="15" spans="1:25" x14ac:dyDescent="0.25">
      <c r="A15" s="105"/>
      <c r="B15" s="104" t="s">
        <v>13</v>
      </c>
      <c r="C15" s="4"/>
      <c r="D15" s="4">
        <v>111.16046078881436</v>
      </c>
      <c r="E15" s="4">
        <v>41.451807015530449</v>
      </c>
      <c r="F15" s="4">
        <v>32.555381931921886</v>
      </c>
      <c r="G15" s="4">
        <v>6.6366376774105333</v>
      </c>
      <c r="H15" s="4">
        <v>6.255290685721576</v>
      </c>
      <c r="I15" s="4">
        <v>5.4519146497157465</v>
      </c>
      <c r="J15" s="4">
        <v>11.632945197183716</v>
      </c>
      <c r="K15" s="4">
        <v>16.353606161455559</v>
      </c>
      <c r="L15" s="4">
        <v>17.263769882628523</v>
      </c>
      <c r="M15" s="4">
        <v>12.415979722299681</v>
      </c>
      <c r="N15" s="4">
        <v>9.9486162084614165</v>
      </c>
      <c r="O15" s="4">
        <v>12.24915970266656</v>
      </c>
      <c r="P15" s="4">
        <v>9.1252069040870225</v>
      </c>
      <c r="Q15" s="4">
        <v>28.612857892307971</v>
      </c>
      <c r="R15" s="4">
        <v>32.91638637991872</v>
      </c>
      <c r="S15" s="4">
        <v>19.75459844658252</v>
      </c>
      <c r="T15" s="4">
        <v>17.493481733415777</v>
      </c>
      <c r="U15" s="4">
        <v>22.44078568637498</v>
      </c>
      <c r="V15" s="4">
        <v>25.434735091390095</v>
      </c>
      <c r="W15" s="4">
        <v>22.61447717566918</v>
      </c>
      <c r="X15" s="4">
        <v>13.906423517674568</v>
      </c>
      <c r="Y15" s="4">
        <v>33.438770717269875</v>
      </c>
    </row>
    <row r="16" spans="1:25" x14ac:dyDescent="0.25">
      <c r="A16" s="105"/>
      <c r="B16" s="104" t="s">
        <v>25</v>
      </c>
      <c r="C16" s="4"/>
      <c r="D16" s="4">
        <v>89.090013634376874</v>
      </c>
      <c r="E16" s="4">
        <v>-6.7136543877538202E-2</v>
      </c>
      <c r="F16" s="4">
        <v>88.262985840977194</v>
      </c>
      <c r="G16" s="4">
        <v>80.662243917983545</v>
      </c>
      <c r="H16" s="4">
        <v>36.559948909276869</v>
      </c>
      <c r="I16" s="4">
        <v>24.53513373568758</v>
      </c>
      <c r="J16" s="4">
        <v>7.744291025186925</v>
      </c>
      <c r="K16" s="4">
        <v>20.67000000000003</v>
      </c>
      <c r="L16" s="4">
        <v>23.923557746987754</v>
      </c>
      <c r="M16" s="4">
        <v>13.862000000000023</v>
      </c>
      <c r="N16" s="4">
        <v>10.688000000000031</v>
      </c>
      <c r="O16" s="4">
        <v>-7.3467183315818545</v>
      </c>
      <c r="P16" s="4">
        <v>11.090811702457998</v>
      </c>
      <c r="Q16" s="4">
        <v>-9.9761821675067353</v>
      </c>
      <c r="R16" s="4">
        <v>27.733431453322737</v>
      </c>
      <c r="S16" s="4">
        <v>19.329619560624351</v>
      </c>
      <c r="T16" s="4">
        <v>17.388251017674762</v>
      </c>
      <c r="U16" s="4">
        <v>23.572130326070635</v>
      </c>
      <c r="V16" s="4">
        <v>21.685492519634792</v>
      </c>
      <c r="W16" s="4">
        <v>21.68549251963492</v>
      </c>
      <c r="X16" s="4">
        <v>15.808447221730916</v>
      </c>
      <c r="Y16" s="4">
        <v>29.941810006108938</v>
      </c>
    </row>
    <row r="17" spans="1:25" x14ac:dyDescent="0.25">
      <c r="A17" s="106"/>
      <c r="B17" s="104" t="s">
        <v>14</v>
      </c>
      <c r="C17" s="4"/>
      <c r="D17" s="4">
        <v>103.51739021801171</v>
      </c>
      <c r="E17" s="4">
        <v>27.441526402529732</v>
      </c>
      <c r="F17" s="4">
        <v>25.481284455987321</v>
      </c>
      <c r="G17" s="4">
        <v>26.799242084563261</v>
      </c>
      <c r="H17" s="4">
        <v>22.197898054580989</v>
      </c>
      <c r="I17" s="4">
        <v>30.251278079118379</v>
      </c>
      <c r="J17" s="4">
        <v>8.0147489583443132</v>
      </c>
      <c r="K17" s="4">
        <v>7.5979999999999706</v>
      </c>
      <c r="L17" s="4">
        <v>5.7150000000000034</v>
      </c>
      <c r="M17" s="4">
        <v>2.8199999999999932</v>
      </c>
      <c r="N17" s="4">
        <v>3.1370000000000147</v>
      </c>
      <c r="O17" s="4">
        <v>1.5559999999999974</v>
      </c>
      <c r="P17" s="4">
        <v>1.5560000000000258</v>
      </c>
      <c r="Q17" s="4">
        <v>8.5560000000000116</v>
      </c>
      <c r="R17" s="4">
        <v>8.9483914938078186</v>
      </c>
      <c r="S17" s="4">
        <v>6.7478097175076783</v>
      </c>
      <c r="T17" s="4">
        <v>5.079404095180152</v>
      </c>
      <c r="U17" s="4">
        <v>11.07215964272234</v>
      </c>
      <c r="V17" s="4">
        <v>16.942199049735592</v>
      </c>
      <c r="W17" s="4">
        <v>8.1838018527408281</v>
      </c>
      <c r="X17" s="4">
        <v>2.3182701343005476</v>
      </c>
      <c r="Y17" s="4">
        <v>12.830719761526765</v>
      </c>
    </row>
    <row r="18" spans="1:25" x14ac:dyDescent="0.25">
      <c r="A18" s="106"/>
      <c r="B18" s="89" t="s">
        <v>203</v>
      </c>
      <c r="C18" s="4"/>
      <c r="D18" s="4">
        <v>101.72123863407836</v>
      </c>
      <c r="E18" s="4">
        <v>10.910769471594335</v>
      </c>
      <c r="F18" s="4">
        <v>233.94565364801707</v>
      </c>
      <c r="G18" s="4">
        <v>24.245547004733808</v>
      </c>
      <c r="H18" s="4">
        <v>9.5846420802483863</v>
      </c>
      <c r="I18" s="4">
        <v>6.5219067586036914</v>
      </c>
      <c r="J18" s="4">
        <v>0.33652242851182734</v>
      </c>
      <c r="K18" s="4">
        <v>1.0000000000000284</v>
      </c>
      <c r="L18" s="4">
        <v>3.706975080108549</v>
      </c>
      <c r="M18" s="4">
        <v>4.0470771932444194</v>
      </c>
      <c r="N18" s="4">
        <v>-0.5959600161139349</v>
      </c>
      <c r="O18" s="4">
        <v>1</v>
      </c>
      <c r="P18" s="4">
        <v>0.69999999999998863</v>
      </c>
      <c r="Q18" s="4">
        <v>0</v>
      </c>
      <c r="R18" s="4">
        <v>2.3239950786831969</v>
      </c>
      <c r="S18" s="4">
        <v>0.84965133600532283</v>
      </c>
      <c r="T18" s="4">
        <v>1.4031163914296485E-5</v>
      </c>
      <c r="U18" s="4">
        <v>-6.4509211004974532E-2</v>
      </c>
      <c r="V18" s="4">
        <v>1.6754401566174693E-3</v>
      </c>
      <c r="W18" s="4">
        <v>-4.6979121403353474E-2</v>
      </c>
      <c r="X18" s="4">
        <v>9.0892589559637713</v>
      </c>
      <c r="Y18" s="4">
        <v>10.691660854457623</v>
      </c>
    </row>
    <row r="19" spans="1:25" x14ac:dyDescent="0.25">
      <c r="A19" s="106"/>
      <c r="B19" s="89" t="s">
        <v>15</v>
      </c>
      <c r="C19" s="4"/>
      <c r="D19" s="4">
        <v>86.043276306158987</v>
      </c>
      <c r="E19" s="4">
        <v>43.614448689352088</v>
      </c>
      <c r="F19" s="4">
        <v>12.187564498581423</v>
      </c>
      <c r="G19" s="4">
        <v>6.2285181481205711</v>
      </c>
      <c r="H19" s="4">
        <v>37.541575982777175</v>
      </c>
      <c r="I19" s="4">
        <v>23.567096999641706</v>
      </c>
      <c r="J19" s="4">
        <v>11.958218979739783</v>
      </c>
      <c r="K19" s="4">
        <v>13.202145240999982</v>
      </c>
      <c r="L19" s="4">
        <v>18.6450209372708</v>
      </c>
      <c r="M19" s="4">
        <v>13.202850738567022</v>
      </c>
      <c r="N19" s="4">
        <v>7.7561584129279879</v>
      </c>
      <c r="O19" s="4">
        <v>9.3365028125581944</v>
      </c>
      <c r="P19" s="4">
        <v>7.4084324433889606</v>
      </c>
      <c r="Q19" s="4">
        <v>22.442459151086936</v>
      </c>
      <c r="R19" s="4">
        <v>31.692140439641037</v>
      </c>
      <c r="S19" s="4">
        <v>21.4897249247378</v>
      </c>
      <c r="T19" s="4">
        <v>16.572298694507509</v>
      </c>
      <c r="U19" s="4">
        <v>23.755244927264414</v>
      </c>
      <c r="V19" s="4">
        <v>20.204138864092513</v>
      </c>
      <c r="W19" s="4">
        <v>22.455654862039026</v>
      </c>
      <c r="X19" s="4">
        <v>12.833002838988577</v>
      </c>
      <c r="Y19" s="4">
        <v>43.877026188263557</v>
      </c>
    </row>
    <row r="20" spans="1:25" x14ac:dyDescent="0.25">
      <c r="A20" s="106"/>
      <c r="B20" s="89" t="s">
        <v>16</v>
      </c>
      <c r="C20" s="4"/>
      <c r="D20" s="4">
        <v>122.90061579408712</v>
      </c>
      <c r="E20" s="4">
        <v>22.000518517104567</v>
      </c>
      <c r="F20" s="4">
        <v>29.162674405719599</v>
      </c>
      <c r="G20" s="4">
        <v>16.965582583051386</v>
      </c>
      <c r="H20" s="4">
        <v>12.36715651395383</v>
      </c>
      <c r="I20" s="4">
        <v>31.376130901700861</v>
      </c>
      <c r="J20" s="4">
        <v>4.7918963201773153</v>
      </c>
      <c r="K20" s="4">
        <v>4.2525781495635613</v>
      </c>
      <c r="L20" s="4">
        <v>25.694422621796335</v>
      </c>
      <c r="M20" s="4">
        <v>14.08583384310549</v>
      </c>
      <c r="N20" s="4">
        <v>10.246265595269179</v>
      </c>
      <c r="O20" s="4">
        <v>4.7445307559436287</v>
      </c>
      <c r="P20" s="4">
        <v>10.278379451173024</v>
      </c>
      <c r="Q20" s="4">
        <v>22.832282177493553</v>
      </c>
      <c r="R20" s="4">
        <v>12.867607372113525</v>
      </c>
      <c r="S20" s="4">
        <v>1.7302515559923535</v>
      </c>
      <c r="T20" s="4">
        <v>32.559389419993551</v>
      </c>
      <c r="U20" s="4">
        <v>22.812885700343372</v>
      </c>
      <c r="V20" s="4">
        <v>17.08382336632792</v>
      </c>
      <c r="W20" s="4">
        <v>23.546326662788573</v>
      </c>
      <c r="X20" s="4">
        <v>28.42104189311911</v>
      </c>
      <c r="Y20" s="4">
        <v>38.556988490256003</v>
      </c>
    </row>
    <row r="21" spans="1:25" x14ac:dyDescent="0.25">
      <c r="A21" s="106"/>
      <c r="B21" s="89" t="s">
        <v>17</v>
      </c>
      <c r="C21" s="4"/>
      <c r="D21" s="4">
        <v>65.152026179881346</v>
      </c>
      <c r="E21" s="4">
        <v>83.530434217669807</v>
      </c>
      <c r="F21" s="4">
        <v>8.7756857439562879</v>
      </c>
      <c r="G21" s="4">
        <v>18.551549133935168</v>
      </c>
      <c r="H21" s="4">
        <v>17.0243548049813</v>
      </c>
      <c r="I21" s="4">
        <v>1.8024004346136451</v>
      </c>
      <c r="J21" s="4">
        <v>12.123700796322296</v>
      </c>
      <c r="K21" s="4">
        <v>9.3199999999999932</v>
      </c>
      <c r="L21" s="4">
        <v>2.096100000000007</v>
      </c>
      <c r="M21" s="4">
        <v>5.1012135074385725</v>
      </c>
      <c r="N21" s="4">
        <v>6.5152001039184597</v>
      </c>
      <c r="O21" s="4">
        <v>7.2799999999999727</v>
      </c>
      <c r="P21" s="4">
        <v>8.7053536695147642</v>
      </c>
      <c r="Q21" s="4">
        <v>35.252011718175567</v>
      </c>
      <c r="R21" s="4">
        <v>9.3973093748086001</v>
      </c>
      <c r="S21" s="4">
        <v>16.250972137860956</v>
      </c>
      <c r="T21" s="4">
        <v>14.833532615530373</v>
      </c>
      <c r="U21" s="4">
        <v>11.365460390081438</v>
      </c>
      <c r="V21" s="4">
        <v>11.655496410584036</v>
      </c>
      <c r="W21" s="4">
        <v>22.446611464860069</v>
      </c>
      <c r="X21" s="4">
        <v>6.7224523951904303</v>
      </c>
      <c r="Y21" s="4">
        <v>24.518204680342137</v>
      </c>
    </row>
    <row r="22" spans="1:25" x14ac:dyDescent="0.25">
      <c r="A22" s="106"/>
      <c r="B22" s="89" t="s">
        <v>18</v>
      </c>
      <c r="C22" s="4"/>
      <c r="D22" s="4">
        <v>117.77967665901429</v>
      </c>
      <c r="E22" s="4">
        <v>20.325843116535054</v>
      </c>
      <c r="F22" s="4">
        <v>36.761730606101253</v>
      </c>
      <c r="G22" s="4">
        <v>62.655783054589108</v>
      </c>
      <c r="H22" s="4">
        <v>-40.979277700694816</v>
      </c>
      <c r="I22" s="4">
        <v>20.072311762258963</v>
      </c>
      <c r="J22" s="4">
        <v>11.00480030944766</v>
      </c>
      <c r="K22" s="4">
        <v>12.768699139671043</v>
      </c>
      <c r="L22" s="4">
        <v>12.681321961682727</v>
      </c>
      <c r="M22" s="4">
        <v>8.8499897982598412</v>
      </c>
      <c r="N22" s="4">
        <v>7.7888457219617635</v>
      </c>
      <c r="O22" s="4">
        <v>6.866089970775306</v>
      </c>
      <c r="P22" s="4">
        <v>10.254932380853205</v>
      </c>
      <c r="Q22" s="4">
        <v>18.222266248438828</v>
      </c>
      <c r="R22" s="4">
        <v>31.960298059247066</v>
      </c>
      <c r="S22" s="4">
        <v>23.356041811375007</v>
      </c>
      <c r="T22" s="4">
        <v>10.905647417706987</v>
      </c>
      <c r="U22" s="4">
        <v>18.116782278737588</v>
      </c>
      <c r="V22" s="4">
        <v>25.60344841136795</v>
      </c>
      <c r="W22" s="4">
        <v>18.057207976348664</v>
      </c>
      <c r="X22" s="4">
        <v>12.878605826741634</v>
      </c>
      <c r="Y22" s="4">
        <v>27.710194775129125</v>
      </c>
    </row>
    <row r="23" spans="1:25" x14ac:dyDescent="0.25">
      <c r="A23" s="84"/>
      <c r="B23" s="83" t="s">
        <v>48</v>
      </c>
      <c r="C23" s="3"/>
      <c r="D23" s="3">
        <v>96.542762701540767</v>
      </c>
      <c r="E23" s="3">
        <v>33.907396282062876</v>
      </c>
      <c r="F23" s="3">
        <v>40.049582537340967</v>
      </c>
      <c r="G23" s="3">
        <v>16.230246236940872</v>
      </c>
      <c r="H23" s="3">
        <v>6.1629263614986058</v>
      </c>
      <c r="I23" s="3">
        <v>17.264403489772945</v>
      </c>
      <c r="J23" s="3">
        <v>-14.520785187501644</v>
      </c>
      <c r="K23" s="3">
        <v>29.684880966933093</v>
      </c>
      <c r="L23" s="3">
        <v>29.643826489250017</v>
      </c>
      <c r="M23" s="3">
        <v>8.6318162499231335</v>
      </c>
      <c r="N23" s="3">
        <v>3.1904657953912334</v>
      </c>
      <c r="O23" s="3">
        <v>2.4434460600862593</v>
      </c>
      <c r="P23" s="3">
        <v>-4.6013688142975866</v>
      </c>
      <c r="Q23" s="3">
        <v>20.868296231412614</v>
      </c>
      <c r="R23" s="3">
        <v>23.72676951687825</v>
      </c>
      <c r="S23" s="3">
        <v>23.72676951687825</v>
      </c>
      <c r="T23" s="3">
        <v>20.258795384604028</v>
      </c>
      <c r="U23" s="3">
        <v>16.234526104782461</v>
      </c>
      <c r="V23" s="3">
        <v>35.598881066477958</v>
      </c>
      <c r="W23" s="3">
        <v>18.067700866017077</v>
      </c>
      <c r="X23" s="3">
        <v>19.331639139218467</v>
      </c>
      <c r="Y23" s="3">
        <v>27.873713297596112</v>
      </c>
    </row>
    <row r="24" spans="1:25" x14ac:dyDescent="0.25">
      <c r="A24" s="106"/>
      <c r="B24" s="107" t="s">
        <v>20</v>
      </c>
      <c r="C24" s="4"/>
      <c r="D24" s="4">
        <v>106.81800360699444</v>
      </c>
      <c r="E24" s="4">
        <v>34.710879094894239</v>
      </c>
      <c r="F24" s="4">
        <v>16.681309027015146</v>
      </c>
      <c r="G24" s="4">
        <v>20.992460212136393</v>
      </c>
      <c r="H24" s="4">
        <v>19.601471270935249</v>
      </c>
      <c r="I24" s="4">
        <v>37.081066696689504</v>
      </c>
      <c r="J24" s="4">
        <v>0</v>
      </c>
      <c r="K24" s="4">
        <v>3.3268447607351703</v>
      </c>
      <c r="L24" s="4">
        <v>9.8438976737941601</v>
      </c>
      <c r="M24" s="4">
        <v>3.9726683924841382</v>
      </c>
      <c r="N24" s="4">
        <v>0</v>
      </c>
      <c r="O24" s="4">
        <v>7.1209864286188918</v>
      </c>
      <c r="P24" s="4">
        <v>21.784582752704225</v>
      </c>
      <c r="Q24" s="4">
        <v>20.877977696999722</v>
      </c>
      <c r="R24" s="4">
        <v>23.697924750072261</v>
      </c>
      <c r="S24" s="4">
        <v>23.697924750072261</v>
      </c>
      <c r="T24" s="4">
        <v>19.861151555303636</v>
      </c>
      <c r="U24" s="4">
        <v>16.063423558633943</v>
      </c>
      <c r="V24" s="4">
        <v>35.654681194982572</v>
      </c>
      <c r="W24" s="4">
        <v>18.113374054843263</v>
      </c>
      <c r="X24" s="4">
        <v>17.928811608297607</v>
      </c>
      <c r="Y24" s="4">
        <v>25.358524618384365</v>
      </c>
    </row>
    <row r="25" spans="1:25" x14ac:dyDescent="0.25">
      <c r="A25" s="106"/>
      <c r="B25" s="107" t="s">
        <v>21</v>
      </c>
      <c r="C25" s="4"/>
      <c r="D25" s="4">
        <v>207.92203709525307</v>
      </c>
      <c r="E25" s="4">
        <v>50.957651147900862</v>
      </c>
      <c r="F25" s="4">
        <v>15.860665007916765</v>
      </c>
      <c r="G25" s="4">
        <v>-0.17607330255698628</v>
      </c>
      <c r="H25" s="4">
        <v>64.242593354693611</v>
      </c>
      <c r="I25" s="4">
        <v>-30.713300036984776</v>
      </c>
      <c r="J25" s="4">
        <v>0</v>
      </c>
      <c r="K25" s="4">
        <v>26.097950804463508</v>
      </c>
      <c r="L25" s="4">
        <v>6.4987813849815694</v>
      </c>
      <c r="M25" s="4">
        <v>73.532943192992519</v>
      </c>
      <c r="N25" s="4">
        <v>-8.3636128822533351E-2</v>
      </c>
      <c r="O25" s="4">
        <v>-38.476616826508867</v>
      </c>
      <c r="P25" s="4">
        <v>-45.128434089452284</v>
      </c>
      <c r="Q25" s="4">
        <v>20.877977696999722</v>
      </c>
      <c r="R25" s="4">
        <v>23.697924750072261</v>
      </c>
      <c r="S25" s="4">
        <v>23.697924750072261</v>
      </c>
      <c r="T25" s="4">
        <v>19.861151555303636</v>
      </c>
      <c r="U25" s="4">
        <v>16.063423558633943</v>
      </c>
      <c r="V25" s="4">
        <v>35.654681194982572</v>
      </c>
      <c r="W25" s="4">
        <v>18.113374054843263</v>
      </c>
      <c r="X25" s="4">
        <v>17.928811608297607</v>
      </c>
      <c r="Y25" s="4">
        <v>25.358524618384351</v>
      </c>
    </row>
    <row r="26" spans="1:25" x14ac:dyDescent="0.25">
      <c r="A26" s="110"/>
      <c r="B26" s="83" t="s">
        <v>22</v>
      </c>
      <c r="C26" s="3"/>
      <c r="D26" s="3">
        <v>94.607261141595359</v>
      </c>
      <c r="E26" s="3">
        <v>33.382323723096448</v>
      </c>
      <c r="F26" s="3">
        <v>40.136451093037266</v>
      </c>
      <c r="G26" s="3">
        <v>16.814417740971749</v>
      </c>
      <c r="H26" s="3">
        <v>5.1745141238523473</v>
      </c>
      <c r="I26" s="3">
        <v>19.42738250374407</v>
      </c>
      <c r="J26" s="3">
        <v>-14.271278584114256</v>
      </c>
      <c r="K26" s="3">
        <v>28.67079991177755</v>
      </c>
      <c r="L26" s="3">
        <v>29.64487913946968</v>
      </c>
      <c r="M26" s="3">
        <v>7.112269637589236</v>
      </c>
      <c r="N26" s="3">
        <v>3.2335080378420429</v>
      </c>
      <c r="O26" s="3">
        <v>4.0817318808242646</v>
      </c>
      <c r="P26" s="3">
        <v>-2.9573458264035537</v>
      </c>
      <c r="Q26" s="3">
        <v>20.868553843562324</v>
      </c>
      <c r="R26" s="3">
        <v>23.725962596640088</v>
      </c>
      <c r="S26" s="3">
        <v>23.725962596640088</v>
      </c>
      <c r="T26" s="3">
        <v>20.249856267058107</v>
      </c>
      <c r="U26" s="3">
        <v>16.230479871569116</v>
      </c>
      <c r="V26" s="3">
        <v>35.599492975413767</v>
      </c>
      <c r="W26" s="3">
        <v>18.067765393198741</v>
      </c>
      <c r="X26" s="3">
        <v>19.333981381622124</v>
      </c>
      <c r="Y26" s="3">
        <v>27.87485391244013</v>
      </c>
    </row>
    <row r="27" spans="1:25" x14ac:dyDescent="0.25">
      <c r="B27" s="98" t="s">
        <v>23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</row>
    <row r="28" spans="1:25" x14ac:dyDescent="0.25">
      <c r="B28" s="98"/>
      <c r="C28" s="60"/>
      <c r="D28" s="60"/>
      <c r="H28" s="108"/>
      <c r="I28" s="108"/>
    </row>
    <row r="29" spans="1:25" x14ac:dyDescent="0.25">
      <c r="A29" s="61"/>
      <c r="B29" s="61"/>
      <c r="C29" s="61"/>
      <c r="D29" s="61"/>
      <c r="E29" s="61"/>
      <c r="F29" s="61"/>
      <c r="G29" s="61"/>
      <c r="H29" s="61"/>
      <c r="I29" s="61"/>
    </row>
    <row r="30" spans="1:25" x14ac:dyDescent="0.25">
      <c r="A30" s="61"/>
      <c r="B30" s="61"/>
      <c r="C30" s="61"/>
      <c r="D30" s="61"/>
      <c r="E30" s="61"/>
      <c r="F30" s="61"/>
      <c r="G30" s="61"/>
      <c r="H30" s="61"/>
      <c r="I30" s="61"/>
    </row>
    <row r="31" spans="1:25" x14ac:dyDescent="0.25">
      <c r="A31" s="61"/>
      <c r="B31" s="61"/>
      <c r="C31" s="61"/>
      <c r="D31" s="61"/>
      <c r="E31" s="61"/>
      <c r="F31" s="61"/>
      <c r="G31" s="61"/>
      <c r="H31" s="61"/>
      <c r="I31" s="61"/>
    </row>
    <row r="32" spans="1:25" x14ac:dyDescent="0.25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5">
      <c r="A33" s="61"/>
      <c r="B33" s="61"/>
      <c r="C33" s="61"/>
      <c r="D33" s="61"/>
      <c r="E33" s="61"/>
      <c r="F33" s="61"/>
      <c r="G33" s="61"/>
      <c r="H33" s="61"/>
      <c r="I33" s="61"/>
    </row>
    <row r="34" spans="1:9" x14ac:dyDescent="0.25">
      <c r="A34" s="61"/>
      <c r="B34" s="61"/>
      <c r="C34" s="61"/>
      <c r="D34" s="61"/>
      <c r="E34" s="61"/>
      <c r="F34" s="61"/>
      <c r="G34" s="61"/>
      <c r="H34" s="61"/>
      <c r="I34" s="61"/>
    </row>
    <row r="35" spans="1:9" x14ac:dyDescent="0.25">
      <c r="A35" s="61"/>
      <c r="B35" s="61"/>
      <c r="C35" s="61"/>
      <c r="D35" s="61"/>
      <c r="E35" s="61"/>
      <c r="F35" s="61"/>
      <c r="G35" s="61"/>
      <c r="H35" s="61"/>
      <c r="I35" s="61"/>
    </row>
    <row r="36" spans="1:9" x14ac:dyDescent="0.25">
      <c r="A36" s="61"/>
      <c r="B36" s="61"/>
      <c r="C36" s="61"/>
      <c r="D36" s="61"/>
      <c r="E36" s="61"/>
      <c r="F36" s="61"/>
      <c r="G36" s="61"/>
      <c r="H36" s="61"/>
      <c r="I36" s="61"/>
    </row>
    <row r="37" spans="1:9" x14ac:dyDescent="0.25">
      <c r="A37" s="61"/>
      <c r="B37" s="61"/>
      <c r="C37" s="61"/>
      <c r="D37" s="61"/>
      <c r="E37" s="61"/>
      <c r="F37" s="61"/>
      <c r="G37" s="61"/>
      <c r="H37" s="61"/>
      <c r="I37" s="61"/>
    </row>
    <row r="38" spans="1:9" x14ac:dyDescent="0.25">
      <c r="A38" s="61"/>
      <c r="B38" s="61"/>
      <c r="C38" s="61"/>
      <c r="D38" s="61"/>
      <c r="E38" s="61"/>
      <c r="F38" s="61"/>
      <c r="G38" s="61"/>
      <c r="H38" s="61"/>
      <c r="I38" s="61"/>
    </row>
    <row r="39" spans="1:9" x14ac:dyDescent="0.25">
      <c r="A39" s="61"/>
      <c r="B39" s="61"/>
      <c r="C39" s="61"/>
      <c r="D39" s="61"/>
      <c r="E39" s="61"/>
      <c r="F39" s="61"/>
      <c r="G39" s="61"/>
      <c r="H39" s="61"/>
      <c r="I39" s="61"/>
    </row>
    <row r="40" spans="1:9" x14ac:dyDescent="0.25">
      <c r="A40" s="61"/>
      <c r="B40" s="61"/>
      <c r="C40" s="61"/>
      <c r="D40" s="61"/>
      <c r="E40" s="61"/>
      <c r="F40" s="61"/>
      <c r="G40" s="61"/>
      <c r="H40" s="61"/>
      <c r="I40" s="61"/>
    </row>
    <row r="41" spans="1:9" x14ac:dyDescent="0.25">
      <c r="A41" s="61"/>
      <c r="B41" s="61"/>
      <c r="C41" s="61"/>
      <c r="D41" s="61"/>
      <c r="E41" s="61"/>
      <c r="F41" s="61"/>
      <c r="G41" s="61"/>
      <c r="H41" s="61"/>
      <c r="I41" s="61"/>
    </row>
    <row r="42" spans="1:9" x14ac:dyDescent="0.25">
      <c r="A42" s="61"/>
      <c r="B42" s="61"/>
      <c r="C42" s="61"/>
      <c r="D42" s="61"/>
      <c r="E42" s="61"/>
      <c r="F42" s="61"/>
      <c r="G42" s="61"/>
      <c r="H42" s="61"/>
      <c r="I42" s="61"/>
    </row>
    <row r="43" spans="1:9" x14ac:dyDescent="0.25">
      <c r="A43" s="61"/>
      <c r="B43" s="61"/>
      <c r="C43" s="61"/>
      <c r="D43" s="61"/>
      <c r="E43" s="61"/>
      <c r="F43" s="61"/>
      <c r="G43" s="61"/>
      <c r="H43" s="61"/>
      <c r="I43" s="61"/>
    </row>
    <row r="44" spans="1:9" x14ac:dyDescent="0.25">
      <c r="A44" s="61"/>
      <c r="B44" s="61"/>
      <c r="C44" s="61"/>
      <c r="D44" s="61"/>
      <c r="E44" s="61"/>
      <c r="F44" s="61"/>
      <c r="G44" s="61"/>
      <c r="H44" s="61"/>
      <c r="I44" s="61"/>
    </row>
    <row r="45" spans="1:9" x14ac:dyDescent="0.25">
      <c r="A45" s="61"/>
      <c r="B45" s="61"/>
      <c r="C45" s="61"/>
      <c r="D45" s="61"/>
      <c r="E45" s="61"/>
      <c r="F45" s="61"/>
      <c r="G45" s="61"/>
      <c r="H45" s="61"/>
      <c r="I45" s="61"/>
    </row>
    <row r="46" spans="1:9" x14ac:dyDescent="0.25">
      <c r="A46" s="61"/>
      <c r="B46" s="61"/>
      <c r="C46" s="61"/>
      <c r="D46" s="61"/>
      <c r="E46" s="61"/>
      <c r="F46" s="61"/>
      <c r="G46" s="61"/>
      <c r="H46" s="61"/>
      <c r="I46" s="61"/>
    </row>
    <row r="47" spans="1:9" x14ac:dyDescent="0.25">
      <c r="A47" s="61"/>
      <c r="B47" s="61"/>
      <c r="C47" s="61"/>
      <c r="D47" s="61"/>
      <c r="E47" s="61"/>
      <c r="F47" s="61"/>
      <c r="G47" s="61"/>
      <c r="H47" s="61"/>
      <c r="I47" s="61"/>
    </row>
    <row r="48" spans="1:9" x14ac:dyDescent="0.25">
      <c r="A48" s="61"/>
      <c r="B48" s="61"/>
      <c r="C48" s="61"/>
      <c r="D48" s="61"/>
      <c r="E48" s="61"/>
      <c r="F48" s="61"/>
      <c r="G48" s="61"/>
      <c r="H48" s="61"/>
      <c r="I48" s="61"/>
    </row>
    <row r="49" spans="1:9" x14ac:dyDescent="0.25">
      <c r="A49" s="61"/>
      <c r="B49" s="61"/>
      <c r="C49" s="61"/>
      <c r="D49" s="61"/>
      <c r="E49" s="61"/>
      <c r="F49" s="61"/>
      <c r="G49" s="61"/>
      <c r="H49" s="61"/>
      <c r="I49" s="61"/>
    </row>
    <row r="50" spans="1:9" x14ac:dyDescent="0.25">
      <c r="A50" s="61"/>
      <c r="B50" s="61"/>
      <c r="C50" s="61"/>
      <c r="D50" s="61"/>
      <c r="E50" s="61"/>
      <c r="F50" s="61"/>
      <c r="G50" s="61"/>
      <c r="H50" s="61"/>
      <c r="I50" s="61"/>
    </row>
    <row r="51" spans="1:9" x14ac:dyDescent="0.25">
      <c r="A51" s="61"/>
      <c r="B51" s="61"/>
      <c r="C51" s="61"/>
      <c r="D51" s="61"/>
      <c r="E51" s="61"/>
      <c r="F51" s="61"/>
      <c r="G51" s="61"/>
      <c r="H51" s="61"/>
      <c r="I51" s="61"/>
    </row>
    <row r="52" spans="1:9" x14ac:dyDescent="0.25">
      <c r="A52" s="61"/>
      <c r="B52" s="61"/>
      <c r="C52" s="61"/>
      <c r="D52" s="61"/>
      <c r="E52" s="61"/>
      <c r="F52" s="61"/>
      <c r="G52" s="61"/>
      <c r="H52" s="61"/>
      <c r="I52" s="61"/>
    </row>
    <row r="53" spans="1:9" x14ac:dyDescent="0.25">
      <c r="A53" s="61"/>
      <c r="B53" s="61"/>
      <c r="C53" s="61"/>
      <c r="D53" s="61"/>
      <c r="E53" s="61"/>
      <c r="F53" s="61"/>
      <c r="G53" s="61"/>
      <c r="H53" s="61"/>
      <c r="I53" s="61"/>
    </row>
    <row r="54" spans="1:9" x14ac:dyDescent="0.25">
      <c r="A54" s="61"/>
      <c r="B54" s="61"/>
      <c r="C54" s="61"/>
      <c r="D54" s="61"/>
      <c r="E54" s="61"/>
      <c r="F54" s="61"/>
      <c r="G54" s="61"/>
      <c r="H54" s="61"/>
      <c r="I54" s="61"/>
    </row>
    <row r="55" spans="1:9" x14ac:dyDescent="0.25">
      <c r="A55" s="61"/>
      <c r="B55" s="61"/>
      <c r="C55" s="61"/>
      <c r="D55" s="61"/>
      <c r="E55" s="61"/>
      <c r="F55" s="61"/>
      <c r="G55" s="61"/>
      <c r="H55" s="61"/>
      <c r="I55" s="61"/>
    </row>
    <row r="56" spans="1:9" x14ac:dyDescent="0.25">
      <c r="A56" s="61"/>
      <c r="B56" s="61"/>
      <c r="C56" s="61"/>
      <c r="D56" s="61"/>
      <c r="E56" s="61"/>
      <c r="F56" s="61"/>
      <c r="G56" s="61"/>
      <c r="H56" s="61"/>
      <c r="I56" s="61"/>
    </row>
    <row r="57" spans="1:9" x14ac:dyDescent="0.25">
      <c r="A57" s="61"/>
      <c r="B57" s="61"/>
      <c r="C57" s="61"/>
      <c r="D57" s="61"/>
      <c r="E57" s="61"/>
      <c r="F57" s="61"/>
      <c r="G57" s="61"/>
      <c r="H57" s="61"/>
      <c r="I57" s="61"/>
    </row>
    <row r="58" spans="1:9" x14ac:dyDescent="0.25">
      <c r="A58" s="61"/>
      <c r="B58" s="61"/>
      <c r="C58" s="61"/>
      <c r="D58" s="61"/>
      <c r="E58" s="61"/>
      <c r="F58" s="61"/>
      <c r="G58" s="61"/>
      <c r="H58" s="61"/>
      <c r="I58" s="61"/>
    </row>
    <row r="59" spans="1:9" x14ac:dyDescent="0.25">
      <c r="A59" s="61"/>
      <c r="B59" s="61"/>
      <c r="C59" s="61"/>
      <c r="D59" s="61"/>
      <c r="E59" s="61"/>
      <c r="F59" s="61"/>
      <c r="G59" s="61"/>
      <c r="H59" s="61"/>
      <c r="I59" s="61"/>
    </row>
    <row r="60" spans="1:9" x14ac:dyDescent="0.25">
      <c r="A60" s="61"/>
      <c r="B60" s="61"/>
      <c r="C60" s="61"/>
      <c r="D60" s="61"/>
      <c r="E60" s="61"/>
      <c r="F60" s="61"/>
      <c r="G60" s="61"/>
      <c r="H60" s="61"/>
      <c r="I60" s="61"/>
    </row>
    <row r="61" spans="1:9" x14ac:dyDescent="0.25">
      <c r="A61" s="61"/>
      <c r="B61" s="61"/>
      <c r="C61" s="61"/>
      <c r="D61" s="61"/>
      <c r="E61" s="61"/>
      <c r="F61" s="61"/>
      <c r="G61" s="61"/>
      <c r="H61" s="61"/>
      <c r="I61" s="61"/>
    </row>
    <row r="62" spans="1:9" x14ac:dyDescent="0.25">
      <c r="A62" s="61"/>
      <c r="B62" s="61"/>
      <c r="C62" s="61"/>
      <c r="D62" s="61"/>
      <c r="E62" s="61"/>
      <c r="F62" s="61"/>
      <c r="G62" s="61"/>
      <c r="H62" s="61"/>
      <c r="I62" s="61"/>
    </row>
    <row r="63" spans="1:9" x14ac:dyDescent="0.25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5">
      <c r="A64" s="61"/>
      <c r="B64" s="61"/>
      <c r="C64" s="61"/>
      <c r="D64" s="61"/>
      <c r="E64" s="61"/>
      <c r="F64" s="61"/>
      <c r="G64" s="61"/>
      <c r="H64" s="61"/>
      <c r="I64" s="61"/>
    </row>
    <row r="65" spans="1:9" x14ac:dyDescent="0.25">
      <c r="A65" s="61"/>
      <c r="B65" s="61"/>
      <c r="C65" s="61"/>
      <c r="D65" s="61"/>
      <c r="E65" s="61"/>
      <c r="F65" s="61"/>
      <c r="G65" s="61"/>
      <c r="H65" s="61"/>
      <c r="I65" s="61"/>
    </row>
    <row r="66" spans="1:9" x14ac:dyDescent="0.25">
      <c r="A66" s="61"/>
      <c r="B66" s="61"/>
      <c r="C66" s="61"/>
      <c r="D66" s="61"/>
      <c r="E66" s="61"/>
      <c r="F66" s="61"/>
      <c r="G66" s="61"/>
      <c r="H66" s="61"/>
      <c r="I66" s="61"/>
    </row>
    <row r="67" spans="1:9" x14ac:dyDescent="0.25">
      <c r="A67" s="61"/>
      <c r="B67" s="61"/>
      <c r="C67" s="61"/>
      <c r="D67" s="61"/>
      <c r="E67" s="61"/>
      <c r="F67" s="61"/>
      <c r="G67" s="61"/>
      <c r="H67" s="61"/>
      <c r="I67" s="61"/>
    </row>
    <row r="68" spans="1:9" x14ac:dyDescent="0.25">
      <c r="A68" s="61"/>
      <c r="B68" s="61"/>
      <c r="C68" s="61"/>
      <c r="D68" s="61"/>
      <c r="E68" s="61"/>
      <c r="F68" s="61"/>
      <c r="G68" s="61"/>
      <c r="H68" s="61"/>
      <c r="I68" s="61"/>
    </row>
    <row r="69" spans="1:9" x14ac:dyDescent="0.25">
      <c r="A69" s="61"/>
      <c r="B69" s="61"/>
      <c r="C69" s="61"/>
      <c r="D69" s="61"/>
      <c r="E69" s="61"/>
      <c r="F69" s="61"/>
      <c r="G69" s="61"/>
      <c r="H69" s="61"/>
      <c r="I69" s="61"/>
    </row>
    <row r="70" spans="1:9" x14ac:dyDescent="0.25">
      <c r="A70" s="61"/>
      <c r="B70" s="61"/>
      <c r="C70" s="61"/>
      <c r="D70" s="61"/>
      <c r="E70" s="61"/>
      <c r="F70" s="61"/>
      <c r="G70" s="61"/>
      <c r="H70" s="61"/>
      <c r="I70" s="61"/>
    </row>
    <row r="71" spans="1:9" x14ac:dyDescent="0.25">
      <c r="A71" s="61"/>
      <c r="B71" s="61"/>
      <c r="C71" s="61"/>
      <c r="D71" s="61"/>
      <c r="E71" s="61"/>
      <c r="F71" s="61"/>
      <c r="G71" s="61"/>
      <c r="H71" s="61"/>
      <c r="I71" s="61"/>
    </row>
    <row r="72" spans="1:9" x14ac:dyDescent="0.25">
      <c r="A72" s="61"/>
      <c r="B72" s="61"/>
      <c r="C72" s="61"/>
      <c r="D72" s="61"/>
      <c r="E72" s="61"/>
      <c r="F72" s="61"/>
      <c r="G72" s="61"/>
      <c r="H72" s="61"/>
      <c r="I72" s="61"/>
    </row>
    <row r="73" spans="1:9" x14ac:dyDescent="0.25">
      <c r="A73" s="61"/>
      <c r="B73" s="61"/>
      <c r="C73" s="61"/>
      <c r="D73" s="61"/>
      <c r="E73" s="61"/>
      <c r="F73" s="61"/>
      <c r="G73" s="61"/>
      <c r="H73" s="61"/>
      <c r="I73" s="61"/>
    </row>
    <row r="74" spans="1:9" x14ac:dyDescent="0.25">
      <c r="A74" s="61"/>
      <c r="B74" s="61"/>
      <c r="C74" s="61"/>
      <c r="D74" s="61"/>
      <c r="E74" s="61"/>
      <c r="F74" s="61"/>
      <c r="G74" s="61"/>
      <c r="H74" s="61"/>
      <c r="I74" s="61"/>
    </row>
    <row r="75" spans="1:9" x14ac:dyDescent="0.25">
      <c r="A75" s="61"/>
      <c r="B75" s="61"/>
      <c r="C75" s="61"/>
      <c r="D75" s="61"/>
      <c r="E75" s="61"/>
      <c r="F75" s="61"/>
      <c r="G75" s="61"/>
      <c r="H75" s="61"/>
      <c r="I75" s="61"/>
    </row>
    <row r="76" spans="1:9" x14ac:dyDescent="0.25">
      <c r="A76" s="61"/>
      <c r="B76" s="61"/>
      <c r="C76" s="61"/>
      <c r="D76" s="61"/>
      <c r="E76" s="61"/>
      <c r="F76" s="61"/>
      <c r="G76" s="61"/>
      <c r="H76" s="61"/>
      <c r="I76" s="61"/>
    </row>
    <row r="77" spans="1:9" x14ac:dyDescent="0.25">
      <c r="A77" s="61"/>
      <c r="B77" s="61"/>
      <c r="C77" s="61"/>
      <c r="D77" s="61"/>
      <c r="E77" s="61"/>
      <c r="F77" s="61"/>
      <c r="G77" s="61"/>
      <c r="H77" s="61"/>
      <c r="I77" s="61"/>
    </row>
    <row r="78" spans="1:9" x14ac:dyDescent="0.25">
      <c r="A78" s="61"/>
      <c r="B78" s="61"/>
      <c r="C78" s="61"/>
      <c r="D78" s="61"/>
      <c r="E78" s="61"/>
      <c r="F78" s="61"/>
      <c r="G78" s="61"/>
      <c r="H78" s="61"/>
      <c r="I78" s="61"/>
    </row>
    <row r="79" spans="1:9" x14ac:dyDescent="0.25">
      <c r="A79" s="61"/>
      <c r="B79" s="61"/>
      <c r="C79" s="61"/>
      <c r="D79" s="61"/>
      <c r="E79" s="61"/>
      <c r="F79" s="61"/>
      <c r="G79" s="61"/>
      <c r="H79" s="61"/>
      <c r="I79" s="61"/>
    </row>
    <row r="80" spans="1:9" x14ac:dyDescent="0.25">
      <c r="A80" s="61"/>
      <c r="B80" s="61"/>
      <c r="C80" s="61"/>
      <c r="D80" s="61"/>
      <c r="E80" s="61"/>
      <c r="F80" s="61"/>
      <c r="G80" s="61"/>
      <c r="H80" s="61"/>
      <c r="I80" s="61"/>
    </row>
    <row r="81" spans="1:9" x14ac:dyDescent="0.25">
      <c r="A81" s="61"/>
      <c r="B81" s="61"/>
      <c r="C81" s="61"/>
      <c r="D81" s="61"/>
      <c r="E81" s="61"/>
      <c r="F81" s="61"/>
      <c r="G81" s="61"/>
      <c r="H81" s="61"/>
      <c r="I81" s="61"/>
    </row>
    <row r="82" spans="1:9" x14ac:dyDescent="0.25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5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5">
      <c r="A84" s="61"/>
      <c r="B84" s="61"/>
      <c r="C84" s="61"/>
      <c r="D84" s="61"/>
      <c r="E84" s="61"/>
      <c r="F84" s="61"/>
      <c r="G84" s="61"/>
      <c r="H84" s="61"/>
      <c r="I84" s="61"/>
    </row>
    <row r="85" spans="1:9" x14ac:dyDescent="0.25">
      <c r="A85" s="61"/>
      <c r="B85" s="61"/>
      <c r="C85" s="61"/>
      <c r="D85" s="61"/>
      <c r="E85" s="61"/>
      <c r="F85" s="61"/>
      <c r="G85" s="61"/>
      <c r="H85" s="61"/>
      <c r="I85" s="61"/>
    </row>
    <row r="86" spans="1:9" x14ac:dyDescent="0.25">
      <c r="A86" s="61"/>
      <c r="B86" s="61"/>
      <c r="C86" s="61"/>
      <c r="D86" s="61"/>
      <c r="E86" s="61"/>
      <c r="F86" s="61"/>
      <c r="G86" s="61"/>
      <c r="H86" s="61"/>
      <c r="I86" s="61"/>
    </row>
    <row r="87" spans="1:9" x14ac:dyDescent="0.25">
      <c r="A87" s="61"/>
      <c r="B87" s="61"/>
      <c r="C87" s="61"/>
      <c r="D87" s="61"/>
      <c r="E87" s="61"/>
      <c r="F87" s="61"/>
      <c r="G87" s="61"/>
      <c r="H87" s="61"/>
      <c r="I87" s="61"/>
    </row>
    <row r="88" spans="1:9" x14ac:dyDescent="0.25">
      <c r="A88" s="61"/>
      <c r="B88" s="61"/>
      <c r="C88" s="61"/>
      <c r="D88" s="61"/>
      <c r="E88" s="61"/>
      <c r="F88" s="61"/>
      <c r="G88" s="61"/>
      <c r="H88" s="61"/>
      <c r="I88" s="61"/>
    </row>
    <row r="89" spans="1:9" x14ac:dyDescent="0.25">
      <c r="A89" s="61"/>
      <c r="B89" s="61"/>
      <c r="C89" s="61"/>
      <c r="D89" s="61"/>
      <c r="E89" s="61"/>
      <c r="F89" s="61"/>
      <c r="G89" s="61"/>
      <c r="H89" s="61"/>
      <c r="I89" s="61"/>
    </row>
    <row r="90" spans="1:9" x14ac:dyDescent="0.25">
      <c r="A90" s="61"/>
      <c r="B90" s="61"/>
      <c r="C90" s="61"/>
      <c r="D90" s="61"/>
      <c r="E90" s="61"/>
      <c r="F90" s="61"/>
      <c r="G90" s="61"/>
      <c r="H90" s="61"/>
      <c r="I90" s="61"/>
    </row>
    <row r="91" spans="1:9" x14ac:dyDescent="0.25">
      <c r="A91" s="61"/>
      <c r="B91" s="61"/>
      <c r="C91" s="61"/>
      <c r="D91" s="61"/>
      <c r="E91" s="61"/>
      <c r="F91" s="61"/>
      <c r="G91" s="61"/>
      <c r="H91" s="61"/>
      <c r="I91" s="61"/>
    </row>
    <row r="92" spans="1:9" x14ac:dyDescent="0.25">
      <c r="A92" s="61"/>
      <c r="B92" s="61"/>
      <c r="C92" s="61"/>
      <c r="D92" s="61"/>
      <c r="E92" s="61"/>
      <c r="F92" s="61"/>
      <c r="G92" s="61"/>
      <c r="H92" s="61"/>
      <c r="I92" s="61"/>
    </row>
    <row r="93" spans="1:9" x14ac:dyDescent="0.25">
      <c r="A93" s="61"/>
      <c r="B93" s="61"/>
      <c r="C93" s="61"/>
      <c r="D93" s="61"/>
      <c r="E93" s="61"/>
      <c r="F93" s="61"/>
      <c r="G93" s="61"/>
      <c r="H93" s="61"/>
      <c r="I93" s="61"/>
    </row>
    <row r="94" spans="1:9" x14ac:dyDescent="0.25">
      <c r="A94" s="61"/>
      <c r="B94" s="61"/>
      <c r="C94" s="61"/>
      <c r="D94" s="61"/>
      <c r="E94" s="61"/>
      <c r="F94" s="61"/>
      <c r="G94" s="61"/>
      <c r="H94" s="61"/>
      <c r="I94" s="61"/>
    </row>
    <row r="95" spans="1:9" x14ac:dyDescent="0.25">
      <c r="A95" s="61"/>
      <c r="B95" s="61"/>
      <c r="C95" s="61"/>
      <c r="D95" s="61"/>
      <c r="E95" s="61"/>
      <c r="F95" s="61"/>
      <c r="G95" s="61"/>
      <c r="H95" s="61"/>
      <c r="I95" s="61"/>
    </row>
    <row r="96" spans="1:9" x14ac:dyDescent="0.25">
      <c r="A96" s="61"/>
      <c r="B96" s="61"/>
      <c r="C96" s="61"/>
      <c r="D96" s="61"/>
      <c r="E96" s="61"/>
      <c r="F96" s="61"/>
      <c r="G96" s="61"/>
      <c r="H96" s="61"/>
      <c r="I96" s="61"/>
    </row>
    <row r="97" spans="1:9" x14ac:dyDescent="0.25">
      <c r="A97" s="61"/>
      <c r="B97" s="61"/>
      <c r="C97" s="61"/>
      <c r="D97" s="61"/>
      <c r="E97" s="61"/>
      <c r="F97" s="61"/>
      <c r="G97" s="61"/>
      <c r="H97" s="61"/>
      <c r="I97" s="61"/>
    </row>
    <row r="98" spans="1:9" x14ac:dyDescent="0.25">
      <c r="A98" s="61"/>
      <c r="B98" s="61"/>
      <c r="C98" s="61"/>
      <c r="D98" s="61"/>
      <c r="E98" s="61"/>
      <c r="F98" s="61"/>
      <c r="G98" s="61"/>
      <c r="H98" s="61"/>
      <c r="I98" s="61"/>
    </row>
    <row r="99" spans="1:9" x14ac:dyDescent="0.25">
      <c r="A99" s="61"/>
      <c r="B99" s="61"/>
      <c r="C99" s="61"/>
      <c r="D99" s="61"/>
      <c r="E99" s="61"/>
      <c r="F99" s="61"/>
      <c r="G99" s="61"/>
      <c r="H99" s="61"/>
      <c r="I99" s="61"/>
    </row>
    <row r="100" spans="1:9" x14ac:dyDescent="0.25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x14ac:dyDescent="0.25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x14ac:dyDescent="0.25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x14ac:dyDescent="0.25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5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5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5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5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x14ac:dyDescent="0.25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x14ac:dyDescent="0.25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x14ac:dyDescent="0.25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x14ac:dyDescent="0.25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x14ac:dyDescent="0.25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x14ac:dyDescent="0.25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x14ac:dyDescent="0.25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x14ac:dyDescent="0.25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x14ac:dyDescent="0.25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x14ac:dyDescent="0.25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x14ac:dyDescent="0.25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x14ac:dyDescent="0.25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25">
      <c r="A120" s="61"/>
      <c r="B120" s="61"/>
      <c r="C120" s="61"/>
      <c r="D120" s="61"/>
      <c r="E120" s="61"/>
      <c r="F120" s="61"/>
      <c r="G120" s="61"/>
      <c r="H120" s="61"/>
      <c r="I120" s="61"/>
    </row>
    <row r="121" spans="1:9" x14ac:dyDescent="0.25">
      <c r="A121" s="61"/>
      <c r="B121" s="61"/>
      <c r="C121" s="61"/>
      <c r="D121" s="61"/>
      <c r="E121" s="61"/>
      <c r="F121" s="61"/>
      <c r="G121" s="61"/>
      <c r="H121" s="61"/>
      <c r="I121" s="61"/>
    </row>
    <row r="122" spans="1:9" x14ac:dyDescent="0.25">
      <c r="A122" s="61"/>
      <c r="B122" s="61"/>
      <c r="C122" s="61"/>
      <c r="D122" s="61"/>
      <c r="E122" s="61"/>
      <c r="F122" s="61"/>
      <c r="G122" s="61"/>
      <c r="H122" s="61"/>
      <c r="I122" s="61"/>
    </row>
    <row r="123" spans="1:9" x14ac:dyDescent="0.25">
      <c r="A123" s="61"/>
      <c r="B123" s="61"/>
      <c r="C123" s="61"/>
      <c r="D123" s="61"/>
      <c r="E123" s="61"/>
      <c r="F123" s="61"/>
      <c r="G123" s="61"/>
      <c r="H123" s="61"/>
      <c r="I123" s="61"/>
    </row>
    <row r="124" spans="1:9" x14ac:dyDescent="0.25">
      <c r="A124" s="61"/>
      <c r="B124" s="61"/>
      <c r="C124" s="61"/>
      <c r="D124" s="61"/>
      <c r="E124" s="61"/>
      <c r="F124" s="61"/>
      <c r="G124" s="61"/>
      <c r="H124" s="61"/>
      <c r="I124" s="61"/>
    </row>
    <row r="125" spans="1:9" x14ac:dyDescent="0.25">
      <c r="A125" s="61"/>
      <c r="B125" s="61"/>
      <c r="C125" s="61"/>
      <c r="D125" s="61"/>
      <c r="E125" s="61"/>
      <c r="F125" s="61"/>
      <c r="G125" s="61"/>
      <c r="H125" s="61"/>
      <c r="I125" s="61"/>
    </row>
    <row r="126" spans="1:9" x14ac:dyDescent="0.25">
      <c r="A126" s="61"/>
      <c r="B126" s="61"/>
      <c r="C126" s="61"/>
      <c r="D126" s="61"/>
      <c r="E126" s="61"/>
      <c r="F126" s="61"/>
      <c r="G126" s="61"/>
      <c r="H126" s="61"/>
      <c r="I126" s="61"/>
    </row>
    <row r="127" spans="1:9" x14ac:dyDescent="0.25">
      <c r="A127" s="61"/>
      <c r="B127" s="61"/>
      <c r="C127" s="61"/>
      <c r="D127" s="61"/>
      <c r="E127" s="61"/>
      <c r="F127" s="61"/>
      <c r="G127" s="61"/>
      <c r="H127" s="61"/>
      <c r="I127" s="61"/>
    </row>
    <row r="128" spans="1:9" x14ac:dyDescent="0.25">
      <c r="A128" s="61"/>
      <c r="B128" s="61"/>
      <c r="C128" s="61"/>
      <c r="D128" s="61"/>
      <c r="E128" s="61"/>
      <c r="F128" s="61"/>
      <c r="G128" s="61"/>
      <c r="H128" s="61"/>
      <c r="I128" s="61"/>
    </row>
    <row r="129" spans="1:9" x14ac:dyDescent="0.25">
      <c r="A129" s="61"/>
      <c r="B129" s="61"/>
      <c r="C129" s="61"/>
      <c r="D129" s="61"/>
      <c r="E129" s="61"/>
      <c r="F129" s="61"/>
      <c r="G129" s="61"/>
      <c r="H129" s="61"/>
      <c r="I129" s="61"/>
    </row>
    <row r="130" spans="1:9" x14ac:dyDescent="0.25">
      <c r="A130" s="61"/>
      <c r="B130" s="61"/>
      <c r="C130" s="61"/>
      <c r="D130" s="61"/>
      <c r="E130" s="61"/>
      <c r="F130" s="61"/>
      <c r="G130" s="61"/>
      <c r="H130" s="61"/>
      <c r="I130" s="61"/>
    </row>
    <row r="131" spans="1:9" x14ac:dyDescent="0.25">
      <c r="A131" s="61"/>
      <c r="B131" s="61"/>
      <c r="C131" s="61"/>
      <c r="D131" s="61"/>
      <c r="E131" s="61"/>
      <c r="F131" s="61"/>
      <c r="G131" s="61"/>
      <c r="H131" s="61"/>
      <c r="I131" s="61"/>
    </row>
    <row r="132" spans="1:9" x14ac:dyDescent="0.25">
      <c r="A132" s="61"/>
      <c r="B132" s="61"/>
      <c r="C132" s="61"/>
      <c r="D132" s="61"/>
      <c r="E132" s="61"/>
      <c r="F132" s="61"/>
      <c r="G132" s="61"/>
      <c r="H132" s="61"/>
      <c r="I132" s="61"/>
    </row>
    <row r="133" spans="1:9" x14ac:dyDescent="0.25">
      <c r="A133" s="61"/>
      <c r="B133" s="61"/>
      <c r="C133" s="61"/>
      <c r="D133" s="61"/>
      <c r="E133" s="61"/>
      <c r="F133" s="61"/>
      <c r="G133" s="61"/>
      <c r="H133" s="61"/>
      <c r="I133" s="61"/>
    </row>
    <row r="134" spans="1:9" x14ac:dyDescent="0.25">
      <c r="A134" s="61"/>
      <c r="B134" s="61"/>
      <c r="C134" s="61"/>
      <c r="D134" s="61"/>
      <c r="E134" s="61"/>
      <c r="F134" s="61"/>
      <c r="G134" s="61"/>
      <c r="H134" s="61"/>
      <c r="I134" s="61"/>
    </row>
    <row r="135" spans="1:9" x14ac:dyDescent="0.25">
      <c r="A135" s="61"/>
      <c r="B135" s="61"/>
      <c r="C135" s="61"/>
      <c r="D135" s="61"/>
      <c r="E135" s="61"/>
      <c r="F135" s="61"/>
      <c r="G135" s="61"/>
      <c r="H135" s="61"/>
      <c r="I135" s="61"/>
    </row>
    <row r="136" spans="1:9" x14ac:dyDescent="0.25">
      <c r="A136" s="61"/>
      <c r="B136" s="61"/>
      <c r="C136" s="61"/>
      <c r="D136" s="61"/>
      <c r="E136" s="61"/>
      <c r="F136" s="61"/>
      <c r="G136" s="61"/>
      <c r="H136" s="61"/>
      <c r="I136" s="61"/>
    </row>
    <row r="137" spans="1:9" x14ac:dyDescent="0.25">
      <c r="A137" s="61"/>
      <c r="B137" s="61"/>
      <c r="C137" s="61"/>
      <c r="D137" s="61"/>
      <c r="E137" s="61"/>
      <c r="F137" s="61"/>
      <c r="G137" s="61"/>
      <c r="H137" s="61"/>
      <c r="I137" s="61"/>
    </row>
    <row r="138" spans="1:9" x14ac:dyDescent="0.25">
      <c r="A138" s="61"/>
      <c r="B138" s="61"/>
      <c r="C138" s="61"/>
      <c r="D138" s="61"/>
      <c r="E138" s="61"/>
      <c r="F138" s="61"/>
      <c r="G138" s="61"/>
      <c r="H138" s="61"/>
      <c r="I138" s="61"/>
    </row>
    <row r="139" spans="1:9" x14ac:dyDescent="0.25">
      <c r="A139" s="61"/>
      <c r="B139" s="61"/>
      <c r="C139" s="61"/>
      <c r="D139" s="61"/>
      <c r="E139" s="61"/>
      <c r="F139" s="61"/>
      <c r="G139" s="61"/>
      <c r="H139" s="61"/>
      <c r="I139" s="61"/>
    </row>
    <row r="140" spans="1:9" x14ac:dyDescent="0.25">
      <c r="A140" s="61"/>
      <c r="B140" s="61"/>
      <c r="C140" s="61"/>
      <c r="D140" s="61"/>
      <c r="E140" s="61"/>
      <c r="F140" s="61"/>
      <c r="G140" s="61"/>
      <c r="H140" s="61"/>
      <c r="I140" s="61"/>
    </row>
    <row r="141" spans="1:9" x14ac:dyDescent="0.25">
      <c r="A141" s="61"/>
      <c r="B141" s="61"/>
      <c r="C141" s="61"/>
      <c r="D141" s="61"/>
      <c r="E141" s="61"/>
      <c r="F141" s="61"/>
      <c r="G141" s="61"/>
      <c r="H141" s="61"/>
      <c r="I141" s="61"/>
    </row>
    <row r="142" spans="1:9" x14ac:dyDescent="0.25">
      <c r="A142" s="61"/>
      <c r="B142" s="61"/>
      <c r="C142" s="61"/>
      <c r="D142" s="61"/>
      <c r="E142" s="61"/>
      <c r="F142" s="61"/>
      <c r="G142" s="61"/>
      <c r="H142" s="61"/>
      <c r="I142" s="61"/>
    </row>
    <row r="143" spans="1:9" x14ac:dyDescent="0.25">
      <c r="A143" s="61"/>
      <c r="B143" s="61"/>
      <c r="C143" s="61"/>
      <c r="D143" s="61"/>
      <c r="E143" s="61"/>
      <c r="F143" s="61"/>
      <c r="G143" s="61"/>
      <c r="H143" s="61"/>
      <c r="I143" s="61"/>
    </row>
    <row r="144" spans="1:9" x14ac:dyDescent="0.25">
      <c r="A144" s="61"/>
      <c r="B144" s="61"/>
      <c r="C144" s="61"/>
      <c r="D144" s="61"/>
      <c r="E144" s="61"/>
      <c r="F144" s="61"/>
      <c r="G144" s="61"/>
      <c r="H144" s="61"/>
      <c r="I144" s="61"/>
    </row>
    <row r="145" spans="1:9" x14ac:dyDescent="0.25">
      <c r="A145" s="61"/>
      <c r="B145" s="61"/>
      <c r="C145" s="61"/>
      <c r="D145" s="61"/>
      <c r="E145" s="61"/>
      <c r="F145" s="61"/>
      <c r="G145" s="61"/>
      <c r="H145" s="61"/>
      <c r="I145" s="61"/>
    </row>
    <row r="146" spans="1:9" x14ac:dyDescent="0.25">
      <c r="A146" s="61"/>
      <c r="B146" s="61"/>
      <c r="C146" s="61"/>
      <c r="D146" s="61"/>
      <c r="E146" s="61"/>
      <c r="F146" s="61"/>
      <c r="G146" s="61"/>
      <c r="H146" s="61"/>
      <c r="I146" s="61"/>
    </row>
    <row r="147" spans="1:9" x14ac:dyDescent="0.25">
      <c r="A147" s="61"/>
      <c r="B147" s="61"/>
      <c r="C147" s="61"/>
      <c r="D147" s="61"/>
      <c r="E147" s="61"/>
      <c r="F147" s="61"/>
      <c r="G147" s="61"/>
      <c r="H147" s="61"/>
      <c r="I147" s="61"/>
    </row>
    <row r="148" spans="1:9" x14ac:dyDescent="0.25">
      <c r="A148" s="61"/>
      <c r="B148" s="61"/>
      <c r="C148" s="61"/>
      <c r="D148" s="61"/>
      <c r="E148" s="61"/>
      <c r="F148" s="61"/>
      <c r="G148" s="61"/>
      <c r="H148" s="61"/>
      <c r="I148" s="61"/>
    </row>
    <row r="149" spans="1:9" x14ac:dyDescent="0.25">
      <c r="A149" s="61"/>
      <c r="B149" s="61"/>
      <c r="C149" s="61"/>
      <c r="D149" s="61"/>
      <c r="E149" s="61"/>
      <c r="F149" s="61"/>
      <c r="G149" s="61"/>
      <c r="H149" s="61"/>
      <c r="I149" s="61"/>
    </row>
    <row r="150" spans="1:9" x14ac:dyDescent="0.25">
      <c r="A150" s="61"/>
      <c r="B150" s="61"/>
      <c r="C150" s="61"/>
      <c r="D150" s="61"/>
      <c r="E150" s="61"/>
      <c r="F150" s="61"/>
      <c r="G150" s="61"/>
      <c r="H150" s="61"/>
      <c r="I150" s="61"/>
    </row>
    <row r="151" spans="1:9" x14ac:dyDescent="0.25">
      <c r="A151" s="61"/>
      <c r="B151" s="61"/>
      <c r="C151" s="61"/>
      <c r="D151" s="61"/>
      <c r="E151" s="61"/>
      <c r="F151" s="61"/>
      <c r="G151" s="61"/>
      <c r="H151" s="61"/>
      <c r="I151" s="61"/>
    </row>
    <row r="152" spans="1:9" x14ac:dyDescent="0.25">
      <c r="A152" s="61"/>
      <c r="B152" s="61"/>
      <c r="C152" s="61"/>
      <c r="D152" s="61"/>
      <c r="E152" s="61"/>
      <c r="F152" s="61"/>
      <c r="G152" s="61"/>
      <c r="H152" s="61"/>
      <c r="I152" s="61"/>
    </row>
    <row r="153" spans="1:9" x14ac:dyDescent="0.25">
      <c r="A153" s="61"/>
      <c r="B153" s="61"/>
      <c r="C153" s="61"/>
      <c r="D153" s="61"/>
      <c r="E153" s="61"/>
      <c r="F153" s="61"/>
      <c r="G153" s="61"/>
      <c r="H153" s="61"/>
      <c r="I153" s="61"/>
    </row>
    <row r="154" spans="1:9" x14ac:dyDescent="0.25">
      <c r="A154" s="61"/>
      <c r="B154" s="61"/>
      <c r="C154" s="61"/>
      <c r="D154" s="61"/>
      <c r="E154" s="61"/>
      <c r="F154" s="61"/>
      <c r="G154" s="61"/>
      <c r="H154" s="61"/>
      <c r="I154" s="61"/>
    </row>
    <row r="155" spans="1:9" x14ac:dyDescent="0.25">
      <c r="A155" s="61"/>
      <c r="B155" s="61"/>
      <c r="C155" s="61"/>
      <c r="D155" s="61"/>
      <c r="E155" s="61"/>
      <c r="F155" s="61"/>
      <c r="G155" s="61"/>
      <c r="H155" s="61"/>
      <c r="I155" s="61"/>
    </row>
    <row r="156" spans="1:9" x14ac:dyDescent="0.25">
      <c r="A156" s="61"/>
      <c r="B156" s="61"/>
      <c r="C156" s="61"/>
      <c r="D156" s="61"/>
      <c r="E156" s="61"/>
      <c r="F156" s="61"/>
      <c r="G156" s="61"/>
      <c r="H156" s="61"/>
      <c r="I156" s="61"/>
    </row>
    <row r="157" spans="1:9" x14ac:dyDescent="0.25">
      <c r="A157" s="61"/>
      <c r="B157" s="61"/>
      <c r="C157" s="61"/>
      <c r="D157" s="61"/>
      <c r="E157" s="61"/>
      <c r="F157" s="61"/>
      <c r="G157" s="61"/>
      <c r="H157" s="61"/>
      <c r="I157" s="61"/>
    </row>
    <row r="158" spans="1:9" x14ac:dyDescent="0.25">
      <c r="A158" s="61"/>
      <c r="B158" s="61"/>
      <c r="C158" s="61"/>
      <c r="D158" s="61"/>
      <c r="E158" s="61"/>
      <c r="F158" s="61"/>
      <c r="G158" s="61"/>
      <c r="H158" s="61"/>
      <c r="I158" s="61"/>
    </row>
    <row r="159" spans="1:9" x14ac:dyDescent="0.25">
      <c r="A159" s="61"/>
      <c r="B159" s="61"/>
      <c r="C159" s="61"/>
      <c r="D159" s="61"/>
      <c r="E159" s="61"/>
      <c r="F159" s="61"/>
      <c r="G159" s="61"/>
      <c r="H159" s="61"/>
      <c r="I159" s="61"/>
    </row>
    <row r="160" spans="1:9" x14ac:dyDescent="0.25">
      <c r="A160" s="61"/>
      <c r="B160" s="61"/>
      <c r="C160" s="61"/>
      <c r="D160" s="61"/>
      <c r="E160" s="61"/>
      <c r="F160" s="61"/>
      <c r="G160" s="61"/>
      <c r="H160" s="61"/>
      <c r="I160" s="61"/>
    </row>
    <row r="161" spans="1:9" x14ac:dyDescent="0.25">
      <c r="A161" s="61"/>
      <c r="B161" s="61"/>
      <c r="C161" s="61"/>
      <c r="D161" s="61"/>
      <c r="E161" s="61"/>
      <c r="F161" s="61"/>
      <c r="G161" s="61"/>
      <c r="H161" s="61"/>
      <c r="I161" s="61"/>
    </row>
    <row r="162" spans="1:9" x14ac:dyDescent="0.25">
      <c r="A162" s="61"/>
      <c r="B162" s="61"/>
      <c r="C162" s="61"/>
      <c r="D162" s="61"/>
      <c r="E162" s="61"/>
      <c r="F162" s="61"/>
      <c r="G162" s="61"/>
      <c r="H162" s="61"/>
      <c r="I162" s="61"/>
    </row>
    <row r="163" spans="1:9" x14ac:dyDescent="0.25">
      <c r="A163" s="61"/>
      <c r="B163" s="61"/>
      <c r="C163" s="61"/>
      <c r="D163" s="61"/>
      <c r="E163" s="61"/>
      <c r="F163" s="61"/>
      <c r="G163" s="61"/>
      <c r="H163" s="61"/>
      <c r="I163" s="61"/>
    </row>
    <row r="164" spans="1:9" x14ac:dyDescent="0.25">
      <c r="A164" s="61"/>
      <c r="B164" s="61"/>
      <c r="C164" s="61"/>
      <c r="D164" s="61"/>
      <c r="E164" s="61"/>
      <c r="F164" s="61"/>
      <c r="G164" s="61"/>
      <c r="H164" s="61"/>
      <c r="I164" s="61"/>
    </row>
    <row r="165" spans="1:9" x14ac:dyDescent="0.25">
      <c r="A165" s="61"/>
      <c r="B165" s="61"/>
      <c r="C165" s="61"/>
      <c r="D165" s="61"/>
      <c r="E165" s="61"/>
      <c r="F165" s="61"/>
      <c r="G165" s="61"/>
      <c r="H165" s="61"/>
      <c r="I165" s="61"/>
    </row>
    <row r="166" spans="1:9" x14ac:dyDescent="0.25">
      <c r="A166" s="61"/>
      <c r="B166" s="61"/>
      <c r="C166" s="61"/>
      <c r="D166" s="61"/>
      <c r="E166" s="61"/>
      <c r="F166" s="61"/>
      <c r="G166" s="61"/>
      <c r="H166" s="61"/>
      <c r="I166" s="61"/>
    </row>
    <row r="167" spans="1:9" x14ac:dyDescent="0.25">
      <c r="A167" s="61"/>
      <c r="B167" s="61"/>
      <c r="C167" s="61"/>
      <c r="D167" s="61"/>
      <c r="E167" s="61"/>
      <c r="F167" s="61"/>
      <c r="G167" s="61"/>
      <c r="H167" s="61"/>
      <c r="I167" s="61"/>
    </row>
    <row r="168" spans="1:9" x14ac:dyDescent="0.25">
      <c r="A168" s="61"/>
      <c r="B168" s="61"/>
      <c r="C168" s="61"/>
      <c r="D168" s="61"/>
      <c r="E168" s="61"/>
      <c r="F168" s="61"/>
      <c r="G168" s="61"/>
      <c r="H168" s="61"/>
      <c r="I168" s="61"/>
    </row>
    <row r="169" spans="1:9" x14ac:dyDescent="0.25">
      <c r="A169" s="61"/>
      <c r="B169" s="61"/>
      <c r="C169" s="61"/>
      <c r="D169" s="61"/>
      <c r="E169" s="61"/>
      <c r="F169" s="61"/>
      <c r="G169" s="61"/>
      <c r="H169" s="61"/>
      <c r="I169" s="61"/>
    </row>
    <row r="170" spans="1:9" x14ac:dyDescent="0.25">
      <c r="A170" s="61"/>
      <c r="B170" s="61"/>
      <c r="C170" s="61"/>
      <c r="D170" s="61"/>
      <c r="E170" s="61"/>
      <c r="F170" s="61"/>
      <c r="G170" s="61"/>
      <c r="H170" s="61"/>
      <c r="I170" s="61"/>
    </row>
    <row r="171" spans="1:9" x14ac:dyDescent="0.25">
      <c r="A171" s="61"/>
      <c r="B171" s="61"/>
      <c r="C171" s="61"/>
      <c r="D171" s="61"/>
      <c r="E171" s="61"/>
      <c r="F171" s="61"/>
      <c r="G171" s="61"/>
      <c r="H171" s="61"/>
      <c r="I171" s="61"/>
    </row>
    <row r="172" spans="1:9" x14ac:dyDescent="0.25">
      <c r="A172" s="61"/>
      <c r="B172" s="61"/>
      <c r="C172" s="61"/>
      <c r="D172" s="61"/>
      <c r="E172" s="61"/>
      <c r="F172" s="61"/>
      <c r="G172" s="61"/>
      <c r="H172" s="61"/>
      <c r="I172" s="61"/>
    </row>
    <row r="173" spans="1:9" x14ac:dyDescent="0.25">
      <c r="A173" s="61"/>
      <c r="B173" s="61"/>
      <c r="C173" s="61"/>
      <c r="D173" s="61"/>
      <c r="E173" s="61"/>
      <c r="F173" s="61"/>
      <c r="G173" s="61"/>
      <c r="H173" s="61"/>
      <c r="I173" s="61"/>
    </row>
    <row r="174" spans="1:9" x14ac:dyDescent="0.25">
      <c r="A174" s="61"/>
      <c r="B174" s="61"/>
      <c r="C174" s="61"/>
      <c r="D174" s="61"/>
      <c r="E174" s="61"/>
      <c r="F174" s="61"/>
      <c r="G174" s="61"/>
      <c r="H174" s="61"/>
      <c r="I174" s="61"/>
    </row>
    <row r="175" spans="1:9" x14ac:dyDescent="0.25">
      <c r="A175" s="61"/>
      <c r="B175" s="61"/>
      <c r="C175" s="61"/>
      <c r="D175" s="61"/>
      <c r="E175" s="61"/>
      <c r="F175" s="61"/>
      <c r="G175" s="61"/>
      <c r="H175" s="61"/>
      <c r="I175" s="61"/>
    </row>
    <row r="176" spans="1:9" x14ac:dyDescent="0.25">
      <c r="A176" s="61"/>
      <c r="B176" s="61"/>
      <c r="C176" s="61"/>
      <c r="D176" s="61"/>
      <c r="E176" s="61"/>
      <c r="F176" s="61"/>
      <c r="G176" s="61"/>
      <c r="H176" s="61"/>
      <c r="I176" s="61"/>
    </row>
    <row r="177" spans="1:9" x14ac:dyDescent="0.25">
      <c r="A177" s="61"/>
      <c r="B177" s="61"/>
      <c r="C177" s="61"/>
      <c r="D177" s="61"/>
      <c r="E177" s="61"/>
      <c r="F177" s="61"/>
      <c r="G177" s="61"/>
      <c r="H177" s="61"/>
      <c r="I177" s="61"/>
    </row>
    <row r="178" spans="1:9" x14ac:dyDescent="0.25">
      <c r="A178" s="61"/>
      <c r="B178" s="61"/>
      <c r="C178" s="61"/>
      <c r="D178" s="61"/>
      <c r="E178" s="61"/>
      <c r="F178" s="61"/>
      <c r="G178" s="61"/>
      <c r="H178" s="61"/>
      <c r="I178" s="61"/>
    </row>
    <row r="179" spans="1:9" x14ac:dyDescent="0.25">
      <c r="A179" s="61"/>
      <c r="B179" s="61"/>
      <c r="C179" s="61"/>
      <c r="D179" s="61"/>
      <c r="E179" s="61"/>
      <c r="F179" s="61"/>
      <c r="G179" s="61"/>
      <c r="H179" s="61"/>
      <c r="I179" s="61"/>
    </row>
    <row r="180" spans="1:9" x14ac:dyDescent="0.25">
      <c r="A180" s="61"/>
      <c r="B180" s="61"/>
      <c r="C180" s="61"/>
      <c r="D180" s="61"/>
      <c r="E180" s="61"/>
      <c r="F180" s="61"/>
      <c r="G180" s="61"/>
      <c r="H180" s="61"/>
      <c r="I180" s="61"/>
    </row>
    <row r="181" spans="1:9" x14ac:dyDescent="0.25">
      <c r="A181" s="61"/>
      <c r="B181" s="61"/>
      <c r="C181" s="61"/>
      <c r="D181" s="61"/>
      <c r="E181" s="61"/>
      <c r="F181" s="61"/>
      <c r="G181" s="61"/>
      <c r="H181" s="61"/>
      <c r="I181" s="61"/>
    </row>
    <row r="182" spans="1:9" x14ac:dyDescent="0.25">
      <c r="A182" s="61"/>
      <c r="B182" s="61"/>
      <c r="C182" s="61"/>
      <c r="D182" s="61"/>
      <c r="E182" s="61"/>
      <c r="F182" s="61"/>
      <c r="G182" s="61"/>
      <c r="H182" s="61"/>
      <c r="I182" s="61"/>
    </row>
    <row r="183" spans="1:9" x14ac:dyDescent="0.25">
      <c r="A183" s="61"/>
      <c r="B183" s="61"/>
      <c r="C183" s="61"/>
      <c r="D183" s="61"/>
      <c r="E183" s="61"/>
      <c r="F183" s="61"/>
      <c r="G183" s="61"/>
      <c r="H183" s="61"/>
      <c r="I183" s="61"/>
    </row>
    <row r="184" spans="1:9" x14ac:dyDescent="0.25">
      <c r="A184" s="61"/>
      <c r="B184" s="61"/>
      <c r="C184" s="61"/>
      <c r="D184" s="61"/>
      <c r="E184" s="61"/>
      <c r="F184" s="61"/>
      <c r="G184" s="61"/>
      <c r="H184" s="61"/>
      <c r="I184" s="61"/>
    </row>
    <row r="185" spans="1:9" x14ac:dyDescent="0.25">
      <c r="A185" s="61"/>
      <c r="B185" s="61"/>
      <c r="C185" s="61"/>
      <c r="D185" s="61"/>
      <c r="E185" s="61"/>
      <c r="F185" s="61"/>
      <c r="G185" s="61"/>
      <c r="H185" s="61"/>
      <c r="I185" s="61"/>
    </row>
    <row r="186" spans="1:9" x14ac:dyDescent="0.25">
      <c r="A186" s="61"/>
      <c r="B186" s="61"/>
      <c r="C186" s="61"/>
      <c r="D186" s="61"/>
      <c r="E186" s="61"/>
      <c r="F186" s="61"/>
      <c r="G186" s="61"/>
      <c r="H186" s="61"/>
      <c r="I186" s="61"/>
    </row>
    <row r="187" spans="1:9" x14ac:dyDescent="0.25">
      <c r="A187" s="61"/>
      <c r="B187" s="61"/>
      <c r="C187" s="61"/>
      <c r="D187" s="61"/>
      <c r="E187" s="61"/>
      <c r="F187" s="61"/>
      <c r="G187" s="61"/>
      <c r="H187" s="61"/>
      <c r="I187" s="61"/>
    </row>
    <row r="188" spans="1:9" x14ac:dyDescent="0.25">
      <c r="A188" s="61"/>
      <c r="B188" s="61"/>
      <c r="C188" s="61"/>
      <c r="D188" s="61"/>
      <c r="E188" s="61"/>
      <c r="F188" s="61"/>
      <c r="G188" s="61"/>
      <c r="H188" s="61"/>
      <c r="I188" s="61"/>
    </row>
    <row r="189" spans="1:9" x14ac:dyDescent="0.25">
      <c r="A189" s="61"/>
      <c r="B189" s="61"/>
      <c r="C189" s="61"/>
      <c r="D189" s="61"/>
      <c r="E189" s="61"/>
      <c r="F189" s="61"/>
      <c r="G189" s="61"/>
      <c r="H189" s="61"/>
      <c r="I189" s="61"/>
    </row>
    <row r="190" spans="1:9" x14ac:dyDescent="0.25">
      <c r="A190" s="61"/>
      <c r="B190" s="61"/>
      <c r="C190" s="61"/>
      <c r="D190" s="61"/>
      <c r="E190" s="61"/>
      <c r="F190" s="61"/>
      <c r="G190" s="61"/>
      <c r="H190" s="61"/>
      <c r="I190" s="61"/>
    </row>
    <row r="191" spans="1:9" x14ac:dyDescent="0.25">
      <c r="A191" s="61"/>
      <c r="B191" s="61"/>
      <c r="C191" s="61"/>
      <c r="D191" s="61"/>
      <c r="E191" s="61"/>
      <c r="F191" s="61"/>
      <c r="G191" s="61"/>
      <c r="H191" s="61"/>
      <c r="I191" s="61"/>
    </row>
    <row r="192" spans="1:9" x14ac:dyDescent="0.25">
      <c r="A192" s="61"/>
      <c r="B192" s="61"/>
      <c r="C192" s="61"/>
      <c r="D192" s="61"/>
      <c r="E192" s="61"/>
      <c r="F192" s="61"/>
      <c r="G192" s="61"/>
      <c r="H192" s="61"/>
      <c r="I192" s="61"/>
    </row>
    <row r="193" spans="1:9" x14ac:dyDescent="0.25">
      <c r="A193" s="61"/>
      <c r="B193" s="61"/>
      <c r="C193" s="61"/>
      <c r="D193" s="61"/>
      <c r="E193" s="61"/>
      <c r="F193" s="61"/>
      <c r="G193" s="61"/>
      <c r="H193" s="61"/>
      <c r="I193" s="61"/>
    </row>
    <row r="194" spans="1:9" x14ac:dyDescent="0.25">
      <c r="A194" s="61"/>
      <c r="B194" s="61"/>
      <c r="C194" s="61"/>
      <c r="D194" s="61"/>
      <c r="E194" s="61"/>
      <c r="F194" s="61"/>
      <c r="G194" s="61"/>
      <c r="H194" s="61"/>
      <c r="I194" s="61"/>
    </row>
    <row r="195" spans="1:9" x14ac:dyDescent="0.25">
      <c r="A195" s="61"/>
      <c r="B195" s="61"/>
      <c r="C195" s="61"/>
      <c r="D195" s="61"/>
      <c r="E195" s="61"/>
      <c r="F195" s="61"/>
      <c r="G195" s="61"/>
      <c r="H195" s="61"/>
      <c r="I195" s="61"/>
    </row>
    <row r="196" spans="1:9" x14ac:dyDescent="0.25">
      <c r="A196" s="61"/>
      <c r="B196" s="61"/>
      <c r="C196" s="61"/>
      <c r="D196" s="61"/>
      <c r="E196" s="61"/>
      <c r="F196" s="61"/>
      <c r="G196" s="61"/>
      <c r="H196" s="61"/>
      <c r="I196" s="61"/>
    </row>
    <row r="197" spans="1:9" x14ac:dyDescent="0.25">
      <c r="A197" s="61"/>
      <c r="B197" s="61"/>
      <c r="C197" s="61"/>
      <c r="D197" s="61"/>
      <c r="E197" s="61"/>
      <c r="F197" s="61"/>
      <c r="G197" s="61"/>
      <c r="H197" s="61"/>
      <c r="I197" s="61"/>
    </row>
    <row r="198" spans="1:9" x14ac:dyDescent="0.25">
      <c r="A198" s="61"/>
      <c r="B198" s="61"/>
      <c r="C198" s="61"/>
      <c r="D198" s="61"/>
      <c r="E198" s="61"/>
      <c r="F198" s="61"/>
      <c r="G198" s="61"/>
      <c r="H198" s="61"/>
      <c r="I198" s="61"/>
    </row>
    <row r="199" spans="1:9" x14ac:dyDescent="0.25">
      <c r="A199" s="61"/>
      <c r="B199" s="61"/>
      <c r="C199" s="61"/>
      <c r="D199" s="61"/>
      <c r="E199" s="61"/>
      <c r="F199" s="61"/>
      <c r="G199" s="61"/>
      <c r="H199" s="61"/>
      <c r="I199" s="61"/>
    </row>
    <row r="200" spans="1:9" x14ac:dyDescent="0.25">
      <c r="A200" s="61"/>
      <c r="B200" s="61"/>
      <c r="C200" s="61"/>
      <c r="D200" s="61"/>
      <c r="E200" s="61"/>
      <c r="F200" s="61"/>
      <c r="G200" s="61"/>
      <c r="H200" s="61"/>
      <c r="I200" s="61"/>
    </row>
    <row r="201" spans="1:9" x14ac:dyDescent="0.25">
      <c r="A201" s="61"/>
      <c r="B201" s="61"/>
      <c r="C201" s="61"/>
      <c r="D201" s="61"/>
      <c r="E201" s="61"/>
      <c r="F201" s="61"/>
      <c r="G201" s="61"/>
      <c r="H201" s="61"/>
      <c r="I201" s="61"/>
    </row>
    <row r="202" spans="1:9" x14ac:dyDescent="0.25">
      <c r="A202" s="61"/>
      <c r="B202" s="61"/>
      <c r="C202" s="61"/>
      <c r="D202" s="61"/>
      <c r="E202" s="61"/>
      <c r="F202" s="61"/>
      <c r="G202" s="61"/>
      <c r="H202" s="61"/>
      <c r="I202" s="61"/>
    </row>
    <row r="203" spans="1:9" x14ac:dyDescent="0.25">
      <c r="A203" s="61"/>
      <c r="B203" s="61"/>
      <c r="C203" s="61"/>
      <c r="D203" s="61"/>
      <c r="E203" s="61"/>
      <c r="F203" s="61"/>
      <c r="G203" s="61"/>
      <c r="H203" s="61"/>
      <c r="I203" s="61"/>
    </row>
    <row r="204" spans="1:9" x14ac:dyDescent="0.25">
      <c r="A204" s="61"/>
      <c r="B204" s="61"/>
      <c r="C204" s="61"/>
      <c r="D204" s="61"/>
      <c r="E204" s="61"/>
      <c r="F204" s="61"/>
      <c r="G204" s="61"/>
      <c r="H204" s="61"/>
      <c r="I204" s="61"/>
    </row>
    <row r="205" spans="1:9" x14ac:dyDescent="0.25">
      <c r="A205" s="61"/>
      <c r="B205" s="61"/>
      <c r="C205" s="61"/>
      <c r="D205" s="61"/>
      <c r="E205" s="61"/>
      <c r="F205" s="61"/>
      <c r="G205" s="61"/>
      <c r="H205" s="61"/>
      <c r="I205" s="61"/>
    </row>
    <row r="206" spans="1:9" x14ac:dyDescent="0.25">
      <c r="A206" s="61"/>
      <c r="B206" s="61"/>
      <c r="C206" s="61"/>
      <c r="D206" s="61"/>
      <c r="E206" s="61"/>
      <c r="F206" s="61"/>
      <c r="G206" s="61"/>
      <c r="H206" s="61"/>
      <c r="I206" s="61"/>
    </row>
    <row r="207" spans="1:9" x14ac:dyDescent="0.25">
      <c r="A207" s="61"/>
      <c r="B207" s="61"/>
      <c r="C207" s="61"/>
      <c r="D207" s="61"/>
      <c r="E207" s="61"/>
      <c r="F207" s="61"/>
      <c r="G207" s="61"/>
      <c r="H207" s="61"/>
      <c r="I207" s="61"/>
    </row>
    <row r="208" spans="1:9" x14ac:dyDescent="0.25">
      <c r="A208" s="61"/>
      <c r="B208" s="61"/>
      <c r="C208" s="61"/>
      <c r="D208" s="61"/>
      <c r="E208" s="61"/>
      <c r="F208" s="61"/>
      <c r="G208" s="61"/>
      <c r="H208" s="61"/>
      <c r="I208" s="61"/>
    </row>
    <row r="209" spans="1:9" x14ac:dyDescent="0.25">
      <c r="A209" s="61"/>
      <c r="B209" s="61"/>
      <c r="C209" s="61"/>
      <c r="D209" s="61"/>
      <c r="E209" s="61"/>
      <c r="F209" s="61"/>
      <c r="G209" s="61"/>
      <c r="H209" s="61"/>
      <c r="I209" s="61"/>
    </row>
    <row r="210" spans="1:9" x14ac:dyDescent="0.25">
      <c r="A210" s="61"/>
      <c r="B210" s="61"/>
      <c r="C210" s="61"/>
      <c r="D210" s="61"/>
      <c r="E210" s="61"/>
      <c r="F210" s="61"/>
      <c r="G210" s="61"/>
      <c r="H210" s="61"/>
      <c r="I210" s="61"/>
    </row>
    <row r="211" spans="1:9" x14ac:dyDescent="0.25">
      <c r="A211" s="61"/>
      <c r="B211" s="61"/>
      <c r="C211" s="61"/>
      <c r="D211" s="61"/>
      <c r="E211" s="61"/>
      <c r="F211" s="61"/>
      <c r="G211" s="61"/>
      <c r="H211" s="61"/>
      <c r="I211" s="61"/>
    </row>
    <row r="212" spans="1:9" x14ac:dyDescent="0.25">
      <c r="A212" s="61"/>
      <c r="B212" s="61"/>
      <c r="C212" s="61"/>
      <c r="D212" s="61"/>
      <c r="E212" s="61"/>
      <c r="F212" s="61"/>
      <c r="G212" s="61"/>
      <c r="H212" s="61"/>
      <c r="I212" s="61"/>
    </row>
    <row r="213" spans="1:9" x14ac:dyDescent="0.25">
      <c r="A213" s="61"/>
      <c r="B213" s="61"/>
      <c r="C213" s="61"/>
      <c r="D213" s="61"/>
      <c r="E213" s="61"/>
      <c r="F213" s="61"/>
      <c r="G213" s="61"/>
      <c r="H213" s="61"/>
      <c r="I213" s="61"/>
    </row>
    <row r="214" spans="1:9" x14ac:dyDescent="0.25">
      <c r="A214" s="61"/>
      <c r="B214" s="61"/>
      <c r="C214" s="61"/>
      <c r="D214" s="61"/>
      <c r="E214" s="61"/>
      <c r="F214" s="61"/>
      <c r="G214" s="61"/>
      <c r="H214" s="61"/>
      <c r="I214" s="61"/>
    </row>
    <row r="215" spans="1:9" x14ac:dyDescent="0.25">
      <c r="A215" s="61"/>
      <c r="B215" s="61"/>
      <c r="C215" s="61"/>
      <c r="D215" s="61"/>
      <c r="E215" s="61"/>
      <c r="F215" s="61"/>
      <c r="G215" s="61"/>
      <c r="H215" s="61"/>
      <c r="I215" s="61"/>
    </row>
    <row r="216" spans="1:9" x14ac:dyDescent="0.25">
      <c r="A216" s="61"/>
      <c r="B216" s="61"/>
      <c r="C216" s="61"/>
      <c r="D216" s="61"/>
      <c r="E216" s="61"/>
      <c r="F216" s="61"/>
      <c r="G216" s="61"/>
      <c r="H216" s="61"/>
      <c r="I216" s="61"/>
    </row>
    <row r="217" spans="1:9" x14ac:dyDescent="0.25">
      <c r="A217" s="61"/>
      <c r="B217" s="61"/>
      <c r="C217" s="61"/>
      <c r="D217" s="61"/>
      <c r="E217" s="61"/>
      <c r="F217" s="61"/>
      <c r="G217" s="61"/>
      <c r="H217" s="61"/>
      <c r="I217" s="61"/>
    </row>
    <row r="218" spans="1:9" x14ac:dyDescent="0.25">
      <c r="A218" s="61"/>
      <c r="B218" s="61"/>
      <c r="C218" s="61"/>
      <c r="D218" s="61"/>
      <c r="E218" s="61"/>
      <c r="F218" s="61"/>
      <c r="G218" s="61"/>
      <c r="H218" s="61"/>
      <c r="I218" s="61"/>
    </row>
    <row r="219" spans="1:9" x14ac:dyDescent="0.25">
      <c r="A219" s="61"/>
      <c r="B219" s="61"/>
      <c r="C219" s="61"/>
      <c r="D219" s="61"/>
      <c r="E219" s="61"/>
      <c r="F219" s="61"/>
      <c r="G219" s="61"/>
      <c r="H219" s="61"/>
      <c r="I219" s="61"/>
    </row>
    <row r="220" spans="1:9" x14ac:dyDescent="0.25">
      <c r="A220" s="61"/>
      <c r="B220" s="61"/>
      <c r="C220" s="61"/>
      <c r="D220" s="61"/>
      <c r="E220" s="61"/>
      <c r="F220" s="61"/>
      <c r="G220" s="61"/>
      <c r="H220" s="61"/>
      <c r="I220" s="61"/>
    </row>
    <row r="221" spans="1:9" x14ac:dyDescent="0.25">
      <c r="A221" s="61"/>
      <c r="B221" s="61"/>
      <c r="C221" s="61"/>
      <c r="D221" s="61"/>
      <c r="E221" s="61"/>
      <c r="F221" s="61"/>
      <c r="G221" s="61"/>
      <c r="H221" s="61"/>
      <c r="I221" s="61"/>
    </row>
    <row r="222" spans="1:9" x14ac:dyDescent="0.25">
      <c r="A222" s="61"/>
      <c r="B222" s="61"/>
      <c r="C222" s="61"/>
      <c r="D222" s="61"/>
      <c r="E222" s="61"/>
      <c r="F222" s="61"/>
      <c r="G222" s="61"/>
      <c r="H222" s="61"/>
      <c r="I222" s="61"/>
    </row>
    <row r="223" spans="1:9" x14ac:dyDescent="0.25">
      <c r="A223" s="61"/>
      <c r="B223" s="61"/>
      <c r="C223" s="61"/>
      <c r="D223" s="61"/>
      <c r="E223" s="61"/>
      <c r="F223" s="61"/>
      <c r="G223" s="61"/>
      <c r="H223" s="61"/>
      <c r="I223" s="61"/>
    </row>
    <row r="224" spans="1:9" x14ac:dyDescent="0.25">
      <c r="A224" s="61"/>
      <c r="B224" s="61"/>
      <c r="C224" s="61"/>
      <c r="D224" s="61"/>
      <c r="E224" s="61"/>
      <c r="F224" s="61"/>
      <c r="G224" s="61"/>
      <c r="H224" s="61"/>
      <c r="I224" s="61"/>
    </row>
    <row r="225" spans="1:9" x14ac:dyDescent="0.25">
      <c r="A225" s="61"/>
      <c r="B225" s="61"/>
      <c r="C225" s="61"/>
      <c r="D225" s="61"/>
      <c r="E225" s="61"/>
      <c r="F225" s="61"/>
      <c r="G225" s="61"/>
      <c r="H225" s="61"/>
      <c r="I225" s="61"/>
    </row>
    <row r="226" spans="1:9" x14ac:dyDescent="0.25">
      <c r="A226" s="61"/>
      <c r="B226" s="61"/>
      <c r="C226" s="61"/>
      <c r="D226" s="61"/>
      <c r="E226" s="61"/>
      <c r="F226" s="61"/>
      <c r="G226" s="61"/>
      <c r="H226" s="61"/>
      <c r="I226" s="61"/>
    </row>
    <row r="227" spans="1:9" x14ac:dyDescent="0.25">
      <c r="A227" s="61"/>
      <c r="B227" s="61"/>
      <c r="C227" s="61"/>
      <c r="D227" s="61"/>
      <c r="E227" s="61"/>
      <c r="F227" s="61"/>
      <c r="G227" s="61"/>
      <c r="H227" s="61"/>
      <c r="I227" s="61"/>
    </row>
    <row r="228" spans="1:9" x14ac:dyDescent="0.25">
      <c r="A228" s="61"/>
      <c r="B228" s="61"/>
      <c r="C228" s="61"/>
      <c r="D228" s="61"/>
      <c r="E228" s="61"/>
      <c r="F228" s="61"/>
      <c r="G228" s="61"/>
      <c r="H228" s="61"/>
      <c r="I228" s="61"/>
    </row>
    <row r="229" spans="1:9" x14ac:dyDescent="0.25">
      <c r="A229" s="61"/>
      <c r="B229" s="61"/>
      <c r="C229" s="61"/>
      <c r="D229" s="61"/>
      <c r="E229" s="61"/>
      <c r="F229" s="61"/>
      <c r="G229" s="61"/>
      <c r="H229" s="61"/>
      <c r="I229" s="61"/>
    </row>
    <row r="230" spans="1:9" x14ac:dyDescent="0.25">
      <c r="A230" s="61"/>
      <c r="B230" s="61"/>
      <c r="C230" s="61"/>
      <c r="D230" s="61"/>
      <c r="E230" s="61"/>
      <c r="F230" s="61"/>
      <c r="G230" s="61"/>
      <c r="H230" s="61"/>
      <c r="I230" s="61"/>
    </row>
    <row r="231" spans="1:9" x14ac:dyDescent="0.25">
      <c r="A231" s="61"/>
      <c r="B231" s="61"/>
      <c r="C231" s="61"/>
      <c r="D231" s="61"/>
      <c r="E231" s="61"/>
      <c r="F231" s="61"/>
      <c r="G231" s="61"/>
      <c r="H231" s="61"/>
      <c r="I231" s="61"/>
    </row>
    <row r="232" spans="1:9" x14ac:dyDescent="0.25">
      <c r="A232" s="61"/>
      <c r="B232" s="61"/>
      <c r="C232" s="61"/>
      <c r="D232" s="61"/>
      <c r="E232" s="61"/>
      <c r="F232" s="61"/>
      <c r="G232" s="61"/>
      <c r="H232" s="61"/>
      <c r="I232" s="61"/>
    </row>
    <row r="233" spans="1:9" x14ac:dyDescent="0.25">
      <c r="A233" s="61"/>
      <c r="B233" s="61"/>
      <c r="C233" s="61"/>
      <c r="D233" s="61"/>
      <c r="E233" s="61"/>
      <c r="F233" s="61"/>
      <c r="G233" s="61"/>
      <c r="H233" s="61"/>
      <c r="I233" s="61"/>
    </row>
    <row r="234" spans="1:9" x14ac:dyDescent="0.25">
      <c r="A234" s="61"/>
      <c r="B234" s="61"/>
      <c r="C234" s="61"/>
      <c r="D234" s="61"/>
      <c r="E234" s="61"/>
      <c r="F234" s="61"/>
      <c r="G234" s="61"/>
      <c r="H234" s="61"/>
      <c r="I234" s="61"/>
    </row>
    <row r="235" spans="1:9" x14ac:dyDescent="0.25">
      <c r="A235" s="61"/>
      <c r="B235" s="61"/>
      <c r="C235" s="61"/>
      <c r="D235" s="61"/>
      <c r="E235" s="61"/>
      <c r="F235" s="61"/>
      <c r="G235" s="61"/>
      <c r="H235" s="61"/>
      <c r="I235" s="61"/>
    </row>
    <row r="236" spans="1:9" x14ac:dyDescent="0.25">
      <c r="A236" s="61"/>
      <c r="B236" s="61"/>
      <c r="C236" s="61"/>
      <c r="D236" s="61"/>
      <c r="E236" s="61"/>
      <c r="F236" s="61"/>
      <c r="G236" s="61"/>
      <c r="H236" s="61"/>
      <c r="I236" s="61"/>
    </row>
    <row r="237" spans="1:9" x14ac:dyDescent="0.25">
      <c r="A237" s="61"/>
      <c r="B237" s="61"/>
      <c r="C237" s="61"/>
      <c r="D237" s="61"/>
      <c r="E237" s="61"/>
      <c r="F237" s="61"/>
      <c r="G237" s="61"/>
      <c r="H237" s="61"/>
      <c r="I237" s="61"/>
    </row>
    <row r="238" spans="1:9" x14ac:dyDescent="0.25">
      <c r="A238" s="61"/>
      <c r="B238" s="61"/>
      <c r="C238" s="61"/>
      <c r="D238" s="61"/>
      <c r="E238" s="61"/>
      <c r="F238" s="61"/>
      <c r="G238" s="61"/>
      <c r="H238" s="61"/>
      <c r="I238" s="61"/>
    </row>
    <row r="239" spans="1:9" x14ac:dyDescent="0.25">
      <c r="A239" s="61"/>
      <c r="B239" s="61"/>
      <c r="C239" s="61"/>
      <c r="D239" s="61"/>
      <c r="E239" s="61"/>
      <c r="F239" s="61"/>
      <c r="G239" s="61"/>
      <c r="H239" s="61"/>
      <c r="I239" s="61"/>
    </row>
    <row r="240" spans="1:9" x14ac:dyDescent="0.25">
      <c r="A240" s="61"/>
      <c r="B240" s="61"/>
      <c r="C240" s="61"/>
      <c r="D240" s="61"/>
      <c r="E240" s="61"/>
      <c r="F240" s="61"/>
      <c r="G240" s="61"/>
      <c r="H240" s="61"/>
      <c r="I240" s="61"/>
    </row>
    <row r="241" spans="1:9" x14ac:dyDescent="0.25">
      <c r="A241" s="61"/>
      <c r="B241" s="61"/>
      <c r="C241" s="61"/>
      <c r="D241" s="61"/>
      <c r="E241" s="61"/>
      <c r="F241" s="61"/>
      <c r="G241" s="61"/>
      <c r="H241" s="61"/>
      <c r="I241" s="61"/>
    </row>
    <row r="242" spans="1:9" x14ac:dyDescent="0.25">
      <c r="A242" s="61"/>
      <c r="B242" s="61"/>
      <c r="C242" s="61"/>
      <c r="D242" s="61"/>
      <c r="E242" s="61"/>
      <c r="F242" s="61"/>
      <c r="G242" s="61"/>
      <c r="H242" s="61"/>
      <c r="I242" s="61"/>
    </row>
    <row r="243" spans="1:9" x14ac:dyDescent="0.25">
      <c r="A243" s="61"/>
      <c r="B243" s="61"/>
      <c r="C243" s="61"/>
      <c r="D243" s="61"/>
      <c r="E243" s="61"/>
      <c r="F243" s="61"/>
      <c r="G243" s="61"/>
      <c r="H243" s="61"/>
      <c r="I243" s="61"/>
    </row>
    <row r="244" spans="1:9" x14ac:dyDescent="0.25">
      <c r="A244" s="61"/>
      <c r="B244" s="61"/>
      <c r="C244" s="61"/>
      <c r="D244" s="61"/>
      <c r="E244" s="61"/>
      <c r="F244" s="61"/>
      <c r="G244" s="61"/>
      <c r="H244" s="61"/>
      <c r="I244" s="61"/>
    </row>
    <row r="245" spans="1:9" x14ac:dyDescent="0.25">
      <c r="A245" s="61"/>
      <c r="B245" s="61"/>
      <c r="C245" s="61"/>
      <c r="D245" s="61"/>
      <c r="E245" s="61"/>
      <c r="F245" s="61"/>
      <c r="G245" s="61"/>
      <c r="H245" s="61"/>
      <c r="I245" s="61"/>
    </row>
    <row r="246" spans="1:9" x14ac:dyDescent="0.25">
      <c r="A246" s="61"/>
      <c r="B246" s="61"/>
      <c r="C246" s="61"/>
      <c r="D246" s="61"/>
      <c r="E246" s="61"/>
      <c r="F246" s="61"/>
      <c r="G246" s="61"/>
      <c r="H246" s="61"/>
      <c r="I246" s="61"/>
    </row>
    <row r="247" spans="1:9" x14ac:dyDescent="0.25">
      <c r="A247" s="61"/>
      <c r="B247" s="61"/>
      <c r="C247" s="61"/>
      <c r="D247" s="61"/>
      <c r="E247" s="61"/>
      <c r="F247" s="61"/>
      <c r="G247" s="61"/>
      <c r="H247" s="61"/>
      <c r="I247" s="61"/>
    </row>
    <row r="248" spans="1:9" x14ac:dyDescent="0.25">
      <c r="A248" s="61"/>
      <c r="B248" s="61"/>
      <c r="C248" s="61"/>
      <c r="D248" s="61"/>
      <c r="E248" s="61"/>
      <c r="F248" s="61"/>
      <c r="G248" s="61"/>
      <c r="H248" s="61"/>
      <c r="I248" s="61"/>
    </row>
    <row r="249" spans="1:9" x14ac:dyDescent="0.25">
      <c r="A249" s="61"/>
      <c r="B249" s="61"/>
      <c r="C249" s="61"/>
      <c r="D249" s="61"/>
      <c r="E249" s="61"/>
      <c r="F249" s="61"/>
      <c r="G249" s="61"/>
      <c r="H249" s="61"/>
      <c r="I249" s="61"/>
    </row>
    <row r="250" spans="1:9" x14ac:dyDescent="0.25">
      <c r="A250" s="61"/>
      <c r="B250" s="61"/>
      <c r="C250" s="61"/>
      <c r="D250" s="61"/>
      <c r="E250" s="61"/>
      <c r="F250" s="61"/>
      <c r="G250" s="61"/>
      <c r="H250" s="61"/>
      <c r="I250" s="61"/>
    </row>
    <row r="251" spans="1:9" x14ac:dyDescent="0.25">
      <c r="A251" s="61"/>
      <c r="B251" s="61"/>
      <c r="C251" s="61"/>
      <c r="D251" s="61"/>
      <c r="E251" s="61"/>
      <c r="F251" s="61"/>
      <c r="G251" s="61"/>
      <c r="H251" s="61"/>
      <c r="I251" s="61"/>
    </row>
    <row r="252" spans="1:9" x14ac:dyDescent="0.25">
      <c r="A252" s="61"/>
      <c r="B252" s="61"/>
      <c r="C252" s="61"/>
      <c r="D252" s="61"/>
      <c r="E252" s="61"/>
      <c r="F252" s="61"/>
      <c r="G252" s="61"/>
      <c r="H252" s="61"/>
      <c r="I252" s="61"/>
    </row>
    <row r="253" spans="1:9" x14ac:dyDescent="0.25">
      <c r="A253" s="61"/>
      <c r="B253" s="61"/>
      <c r="C253" s="61"/>
      <c r="D253" s="61"/>
      <c r="E253" s="61"/>
      <c r="F253" s="61"/>
      <c r="G253" s="61"/>
      <c r="H253" s="61"/>
      <c r="I253" s="61"/>
    </row>
    <row r="254" spans="1:9" x14ac:dyDescent="0.25">
      <c r="A254" s="61"/>
      <c r="B254" s="61"/>
      <c r="C254" s="61"/>
      <c r="D254" s="61"/>
      <c r="E254" s="61"/>
      <c r="F254" s="61"/>
      <c r="G254" s="61"/>
      <c r="H254" s="61"/>
      <c r="I254" s="61"/>
    </row>
    <row r="255" spans="1:9" x14ac:dyDescent="0.25">
      <c r="A255" s="61"/>
      <c r="B255" s="61"/>
      <c r="C255" s="61"/>
      <c r="D255" s="61"/>
      <c r="E255" s="61"/>
      <c r="F255" s="61"/>
      <c r="G255" s="61"/>
      <c r="H255" s="61"/>
      <c r="I255" s="61"/>
    </row>
    <row r="256" spans="1:9" x14ac:dyDescent="0.25">
      <c r="A256" s="61"/>
      <c r="B256" s="61"/>
      <c r="C256" s="61"/>
      <c r="D256" s="61"/>
      <c r="E256" s="61"/>
      <c r="F256" s="61"/>
      <c r="G256" s="61"/>
      <c r="H256" s="61"/>
      <c r="I256" s="61"/>
    </row>
    <row r="257" spans="1:9" x14ac:dyDescent="0.25">
      <c r="A257" s="61"/>
      <c r="B257" s="61"/>
      <c r="C257" s="61"/>
      <c r="D257" s="61"/>
      <c r="E257" s="61"/>
      <c r="F257" s="61"/>
      <c r="G257" s="61"/>
      <c r="H257" s="61"/>
      <c r="I257" s="61"/>
    </row>
    <row r="258" spans="1:9" x14ac:dyDescent="0.25">
      <c r="A258" s="61"/>
      <c r="B258" s="61"/>
      <c r="C258" s="61"/>
      <c r="D258" s="61"/>
      <c r="E258" s="61"/>
      <c r="F258" s="61"/>
      <c r="G258" s="61"/>
      <c r="H258" s="61"/>
      <c r="I258" s="61"/>
    </row>
    <row r="259" spans="1:9" x14ac:dyDescent="0.25">
      <c r="A259" s="61"/>
      <c r="B259" s="61"/>
      <c r="C259" s="61"/>
      <c r="D259" s="61"/>
      <c r="E259" s="61"/>
      <c r="F259" s="61"/>
      <c r="G259" s="61"/>
      <c r="H259" s="61"/>
      <c r="I259" s="61"/>
    </row>
    <row r="260" spans="1:9" x14ac:dyDescent="0.25">
      <c r="A260" s="61"/>
      <c r="B260" s="61"/>
      <c r="C260" s="61"/>
      <c r="D260" s="61"/>
      <c r="E260" s="61"/>
      <c r="F260" s="61"/>
      <c r="G260" s="61"/>
      <c r="H260" s="61"/>
      <c r="I260" s="61"/>
    </row>
    <row r="261" spans="1:9" x14ac:dyDescent="0.25">
      <c r="A261" s="61"/>
      <c r="B261" s="61"/>
      <c r="C261" s="61"/>
      <c r="D261" s="61"/>
      <c r="E261" s="61"/>
      <c r="F261" s="61"/>
      <c r="G261" s="61"/>
      <c r="H261" s="61"/>
      <c r="I261" s="61"/>
    </row>
    <row r="262" spans="1:9" x14ac:dyDescent="0.25">
      <c r="A262" s="61"/>
      <c r="B262" s="61"/>
      <c r="C262" s="61"/>
      <c r="D262" s="61"/>
      <c r="E262" s="61"/>
      <c r="F262" s="61"/>
      <c r="G262" s="61"/>
      <c r="H262" s="61"/>
      <c r="I262" s="61"/>
    </row>
    <row r="263" spans="1:9" x14ac:dyDescent="0.25">
      <c r="A263" s="61"/>
      <c r="B263" s="61"/>
      <c r="C263" s="61"/>
      <c r="D263" s="61"/>
      <c r="E263" s="61"/>
      <c r="F263" s="61"/>
      <c r="G263" s="61"/>
      <c r="H263" s="61"/>
      <c r="I263" s="61"/>
    </row>
    <row r="264" spans="1:9" x14ac:dyDescent="0.25">
      <c r="A264" s="61"/>
      <c r="B264" s="61"/>
      <c r="C264" s="61"/>
      <c r="D264" s="61"/>
      <c r="E264" s="61"/>
      <c r="F264" s="61"/>
      <c r="G264" s="61"/>
      <c r="H264" s="61"/>
      <c r="I264" s="61"/>
    </row>
    <row r="265" spans="1:9" x14ac:dyDescent="0.25">
      <c r="A265" s="61"/>
      <c r="B265" s="61"/>
      <c r="C265" s="61"/>
      <c r="D265" s="61"/>
      <c r="E265" s="61"/>
      <c r="F265" s="61"/>
      <c r="G265" s="61"/>
      <c r="H265" s="61"/>
      <c r="I265" s="61"/>
    </row>
    <row r="266" spans="1:9" x14ac:dyDescent="0.25">
      <c r="A266" s="61"/>
      <c r="B266" s="61"/>
      <c r="C266" s="61"/>
      <c r="D266" s="61"/>
      <c r="E266" s="61"/>
      <c r="F266" s="61"/>
      <c r="G266" s="61"/>
      <c r="H266" s="61"/>
      <c r="I266" s="61"/>
    </row>
    <row r="267" spans="1:9" x14ac:dyDescent="0.25">
      <c r="A267" s="61"/>
      <c r="B267" s="61"/>
      <c r="C267" s="61"/>
      <c r="D267" s="61"/>
      <c r="E267" s="61"/>
      <c r="F267" s="61"/>
      <c r="G267" s="61"/>
      <c r="H267" s="61"/>
      <c r="I267" s="61"/>
    </row>
    <row r="268" spans="1:9" x14ac:dyDescent="0.25">
      <c r="A268" s="61"/>
      <c r="B268" s="61"/>
      <c r="C268" s="61"/>
      <c r="D268" s="61"/>
      <c r="E268" s="61"/>
      <c r="F268" s="61"/>
      <c r="G268" s="61"/>
      <c r="H268" s="61"/>
      <c r="I268" s="61"/>
    </row>
    <row r="269" spans="1:9" x14ac:dyDescent="0.25">
      <c r="A269" s="61"/>
      <c r="B269" s="61"/>
      <c r="C269" s="61"/>
      <c r="D269" s="61"/>
      <c r="E269" s="61"/>
      <c r="F269" s="61"/>
      <c r="G269" s="61"/>
      <c r="H269" s="61"/>
      <c r="I269" s="61"/>
    </row>
    <row r="270" spans="1:9" x14ac:dyDescent="0.25">
      <c r="A270" s="61"/>
      <c r="B270" s="61"/>
      <c r="C270" s="61"/>
      <c r="D270" s="61"/>
      <c r="E270" s="61"/>
      <c r="F270" s="61"/>
      <c r="G270" s="61"/>
      <c r="H270" s="61"/>
      <c r="I270" s="61"/>
    </row>
    <row r="271" spans="1:9" x14ac:dyDescent="0.25">
      <c r="A271" s="61"/>
      <c r="B271" s="61"/>
      <c r="C271" s="61"/>
      <c r="D271" s="61"/>
      <c r="E271" s="61"/>
      <c r="F271" s="61"/>
      <c r="G271" s="61"/>
      <c r="H271" s="61"/>
      <c r="I271" s="61"/>
    </row>
    <row r="272" spans="1:9" x14ac:dyDescent="0.25">
      <c r="A272" s="61"/>
      <c r="B272" s="61"/>
      <c r="C272" s="61"/>
      <c r="D272" s="61"/>
      <c r="E272" s="61"/>
      <c r="F272" s="61"/>
      <c r="G272" s="61"/>
      <c r="H272" s="61"/>
      <c r="I272" s="61"/>
    </row>
    <row r="273" spans="1:9" x14ac:dyDescent="0.25">
      <c r="A273" s="61"/>
      <c r="B273" s="61"/>
      <c r="C273" s="61"/>
      <c r="D273" s="61"/>
      <c r="E273" s="61"/>
      <c r="F273" s="61"/>
      <c r="G273" s="61"/>
      <c r="H273" s="61"/>
      <c r="I273" s="61"/>
    </row>
    <row r="274" spans="1:9" x14ac:dyDescent="0.25">
      <c r="A274" s="61"/>
      <c r="B274" s="61"/>
      <c r="C274" s="61"/>
      <c r="D274" s="61"/>
      <c r="E274" s="61"/>
      <c r="F274" s="61"/>
      <c r="G274" s="61"/>
      <c r="H274" s="61"/>
      <c r="I274" s="61"/>
    </row>
    <row r="275" spans="1:9" x14ac:dyDescent="0.25">
      <c r="A275" s="61"/>
      <c r="B275" s="61"/>
      <c r="C275" s="61"/>
      <c r="D275" s="61"/>
      <c r="E275" s="61"/>
      <c r="F275" s="61"/>
      <c r="G275" s="61"/>
      <c r="H275" s="61"/>
      <c r="I275" s="61"/>
    </row>
    <row r="276" spans="1:9" x14ac:dyDescent="0.25">
      <c r="A276" s="61"/>
      <c r="B276" s="61"/>
      <c r="C276" s="61"/>
      <c r="D276" s="61"/>
      <c r="E276" s="61"/>
      <c r="F276" s="61"/>
      <c r="G276" s="61"/>
      <c r="H276" s="61"/>
      <c r="I276" s="61"/>
    </row>
    <row r="277" spans="1:9" x14ac:dyDescent="0.25">
      <c r="A277" s="61"/>
      <c r="B277" s="61"/>
      <c r="C277" s="61"/>
      <c r="D277" s="61"/>
      <c r="E277" s="61"/>
      <c r="F277" s="61"/>
      <c r="G277" s="61"/>
      <c r="H277" s="61"/>
      <c r="I277" s="61"/>
    </row>
    <row r="278" spans="1:9" x14ac:dyDescent="0.25">
      <c r="A278" s="61"/>
      <c r="B278" s="61"/>
      <c r="C278" s="61"/>
      <c r="D278" s="61"/>
      <c r="E278" s="61"/>
      <c r="F278" s="61"/>
      <c r="G278" s="61"/>
      <c r="H278" s="61"/>
      <c r="I278" s="61"/>
    </row>
    <row r="279" spans="1:9" x14ac:dyDescent="0.25">
      <c r="A279" s="61"/>
      <c r="B279" s="61"/>
      <c r="C279" s="61"/>
      <c r="D279" s="61"/>
      <c r="E279" s="61"/>
      <c r="F279" s="61"/>
      <c r="G279" s="61"/>
      <c r="H279" s="61"/>
      <c r="I279" s="61"/>
    </row>
    <row r="280" spans="1:9" x14ac:dyDescent="0.25">
      <c r="A280" s="61"/>
      <c r="B280" s="61"/>
      <c r="C280" s="61"/>
      <c r="D280" s="61"/>
      <c r="E280" s="61"/>
      <c r="F280" s="61"/>
      <c r="G280" s="61"/>
      <c r="H280" s="61"/>
      <c r="I280" s="61"/>
    </row>
    <row r="281" spans="1:9" x14ac:dyDescent="0.25">
      <c r="A281" s="61"/>
      <c r="B281" s="61"/>
      <c r="C281" s="61"/>
      <c r="D281" s="61"/>
      <c r="E281" s="61"/>
      <c r="F281" s="61"/>
      <c r="G281" s="61"/>
      <c r="H281" s="61"/>
      <c r="I281" s="61"/>
    </row>
    <row r="282" spans="1:9" x14ac:dyDescent="0.25">
      <c r="A282" s="61"/>
      <c r="B282" s="61"/>
      <c r="C282" s="61"/>
      <c r="D282" s="61"/>
      <c r="E282" s="61"/>
      <c r="F282" s="61"/>
      <c r="G282" s="61"/>
      <c r="H282" s="61"/>
      <c r="I282" s="61"/>
    </row>
    <row r="283" spans="1:9" x14ac:dyDescent="0.25">
      <c r="A283" s="61"/>
      <c r="B283" s="61"/>
      <c r="C283" s="61"/>
      <c r="D283" s="61"/>
      <c r="E283" s="61"/>
      <c r="F283" s="61"/>
      <c r="G283" s="61"/>
      <c r="H283" s="61"/>
      <c r="I283" s="61"/>
    </row>
    <row r="284" spans="1:9" x14ac:dyDescent="0.25">
      <c r="A284" s="61"/>
      <c r="B284" s="61"/>
      <c r="C284" s="61"/>
      <c r="D284" s="61"/>
      <c r="E284" s="61"/>
      <c r="F284" s="61"/>
      <c r="G284" s="61"/>
      <c r="H284" s="61"/>
      <c r="I284" s="61"/>
    </row>
    <row r="285" spans="1:9" x14ac:dyDescent="0.25">
      <c r="A285" s="61"/>
      <c r="B285" s="61"/>
      <c r="C285" s="61"/>
      <c r="D285" s="61"/>
      <c r="E285" s="61"/>
      <c r="F285" s="61"/>
      <c r="G285" s="61"/>
      <c r="H285" s="61"/>
      <c r="I285" s="61"/>
    </row>
    <row r="286" spans="1:9" x14ac:dyDescent="0.25">
      <c r="A286" s="61"/>
      <c r="B286" s="61"/>
      <c r="C286" s="61"/>
      <c r="D286" s="61"/>
      <c r="E286" s="61"/>
      <c r="F286" s="61"/>
      <c r="G286" s="61"/>
      <c r="H286" s="61"/>
      <c r="I286" s="61"/>
    </row>
    <row r="287" spans="1:9" x14ac:dyDescent="0.25">
      <c r="A287" s="61"/>
      <c r="B287" s="61"/>
      <c r="C287" s="61"/>
      <c r="D287" s="61"/>
      <c r="E287" s="61"/>
      <c r="F287" s="61"/>
      <c r="G287" s="61"/>
      <c r="H287" s="61"/>
      <c r="I287" s="61"/>
    </row>
    <row r="288" spans="1:9" x14ac:dyDescent="0.25">
      <c r="A288" s="61"/>
      <c r="B288" s="61"/>
      <c r="C288" s="61"/>
      <c r="D288" s="61"/>
      <c r="E288" s="61"/>
      <c r="F288" s="61"/>
      <c r="G288" s="61"/>
      <c r="H288" s="61"/>
      <c r="I288" s="61"/>
    </row>
    <row r="289" spans="1:9" x14ac:dyDescent="0.25">
      <c r="A289" s="61"/>
      <c r="B289" s="61"/>
      <c r="C289" s="61"/>
      <c r="D289" s="61"/>
      <c r="E289" s="61"/>
      <c r="F289" s="61"/>
      <c r="G289" s="61"/>
      <c r="H289" s="61"/>
      <c r="I289" s="61"/>
    </row>
    <row r="290" spans="1:9" x14ac:dyDescent="0.25">
      <c r="A290" s="61"/>
      <c r="B290" s="61"/>
      <c r="C290" s="61"/>
      <c r="D290" s="61"/>
      <c r="E290" s="61"/>
      <c r="F290" s="61"/>
      <c r="G290" s="61"/>
      <c r="H290" s="61"/>
      <c r="I290" s="61"/>
    </row>
    <row r="291" spans="1:9" x14ac:dyDescent="0.25">
      <c r="A291" s="61"/>
      <c r="B291" s="61"/>
      <c r="C291" s="61"/>
      <c r="D291" s="61"/>
      <c r="E291" s="61"/>
      <c r="F291" s="61"/>
      <c r="G291" s="61"/>
      <c r="H291" s="61"/>
      <c r="I291" s="61"/>
    </row>
    <row r="292" spans="1:9" x14ac:dyDescent="0.25">
      <c r="A292" s="61"/>
      <c r="B292" s="61"/>
      <c r="C292" s="61"/>
      <c r="D292" s="61"/>
      <c r="E292" s="61"/>
      <c r="F292" s="61"/>
      <c r="G292" s="61"/>
      <c r="H292" s="61"/>
      <c r="I292" s="61"/>
    </row>
    <row r="293" spans="1:9" x14ac:dyDescent="0.25">
      <c r="A293" s="61"/>
      <c r="B293" s="61"/>
      <c r="C293" s="61"/>
      <c r="D293" s="61"/>
      <c r="E293" s="61"/>
      <c r="F293" s="61"/>
      <c r="G293" s="61"/>
      <c r="H293" s="61"/>
      <c r="I293" s="61"/>
    </row>
    <row r="294" spans="1:9" x14ac:dyDescent="0.25">
      <c r="A294" s="61"/>
      <c r="B294" s="61"/>
      <c r="C294" s="61"/>
      <c r="D294" s="61"/>
      <c r="E294" s="61"/>
      <c r="F294" s="61"/>
      <c r="G294" s="61"/>
      <c r="H294" s="61"/>
      <c r="I294" s="61"/>
    </row>
    <row r="295" spans="1:9" x14ac:dyDescent="0.25">
      <c r="A295" s="61"/>
      <c r="B295" s="61"/>
      <c r="C295" s="61"/>
      <c r="D295" s="61"/>
      <c r="E295" s="61"/>
      <c r="F295" s="61"/>
      <c r="G295" s="61"/>
      <c r="H295" s="61"/>
      <c r="I295" s="61"/>
    </row>
    <row r="296" spans="1:9" x14ac:dyDescent="0.25">
      <c r="A296" s="61"/>
      <c r="B296" s="61"/>
      <c r="C296" s="61"/>
      <c r="D296" s="61"/>
      <c r="E296" s="61"/>
      <c r="F296" s="61"/>
      <c r="G296" s="61"/>
      <c r="H296" s="61"/>
      <c r="I296" s="61"/>
    </row>
    <row r="297" spans="1:9" x14ac:dyDescent="0.25">
      <c r="A297" s="61"/>
      <c r="B297" s="61"/>
      <c r="C297" s="61"/>
      <c r="D297" s="61"/>
      <c r="E297" s="61"/>
      <c r="F297" s="61"/>
      <c r="G297" s="61"/>
      <c r="H297" s="61"/>
      <c r="I297" s="61"/>
    </row>
    <row r="298" spans="1:9" x14ac:dyDescent="0.25">
      <c r="A298" s="61"/>
      <c r="B298" s="61"/>
      <c r="C298" s="61"/>
      <c r="D298" s="61"/>
      <c r="E298" s="61"/>
      <c r="F298" s="61"/>
      <c r="G298" s="61"/>
      <c r="H298" s="61"/>
      <c r="I298" s="61"/>
    </row>
    <row r="299" spans="1:9" x14ac:dyDescent="0.25">
      <c r="A299" s="61"/>
      <c r="B299" s="61"/>
      <c r="C299" s="61"/>
      <c r="D299" s="61"/>
      <c r="E299" s="61"/>
      <c r="F299" s="61"/>
      <c r="G299" s="61"/>
      <c r="H299" s="61"/>
      <c r="I299" s="61"/>
    </row>
    <row r="300" spans="1:9" x14ac:dyDescent="0.25">
      <c r="A300" s="61"/>
      <c r="B300" s="61"/>
      <c r="C300" s="61"/>
      <c r="D300" s="61"/>
      <c r="E300" s="61"/>
      <c r="F300" s="61"/>
      <c r="G300" s="61"/>
      <c r="H300" s="61"/>
      <c r="I300" s="61"/>
    </row>
    <row r="301" spans="1:9" x14ac:dyDescent="0.25">
      <c r="A301" s="61"/>
      <c r="B301" s="61"/>
      <c r="C301" s="61"/>
      <c r="D301" s="61"/>
      <c r="E301" s="61"/>
      <c r="F301" s="61"/>
      <c r="G301" s="61"/>
      <c r="H301" s="61"/>
      <c r="I301" s="61"/>
    </row>
    <row r="302" spans="1:9" x14ac:dyDescent="0.25">
      <c r="A302" s="61"/>
      <c r="B302" s="61"/>
      <c r="C302" s="61"/>
      <c r="D302" s="61"/>
      <c r="E302" s="61"/>
      <c r="F302" s="61"/>
      <c r="G302" s="61"/>
      <c r="H302" s="61"/>
      <c r="I302" s="61"/>
    </row>
    <row r="303" spans="1:9" x14ac:dyDescent="0.25">
      <c r="A303" s="61"/>
      <c r="B303" s="61"/>
      <c r="C303" s="61"/>
      <c r="D303" s="61"/>
      <c r="E303" s="61"/>
      <c r="F303" s="61"/>
      <c r="G303" s="61"/>
      <c r="H303" s="61"/>
      <c r="I303" s="61"/>
    </row>
    <row r="304" spans="1:9" x14ac:dyDescent="0.25">
      <c r="A304" s="61"/>
      <c r="B304" s="61"/>
      <c r="C304" s="61"/>
      <c r="D304" s="61"/>
      <c r="E304" s="61"/>
      <c r="F304" s="61"/>
      <c r="G304" s="61"/>
      <c r="H304" s="61"/>
      <c r="I304" s="61"/>
    </row>
    <row r="305" spans="1:9" x14ac:dyDescent="0.25">
      <c r="A305" s="61"/>
      <c r="B305" s="61"/>
      <c r="C305" s="61"/>
      <c r="D305" s="61"/>
      <c r="E305" s="61"/>
      <c r="F305" s="61"/>
      <c r="G305" s="61"/>
      <c r="H305" s="61"/>
      <c r="I305" s="61"/>
    </row>
    <row r="306" spans="1:9" x14ac:dyDescent="0.25">
      <c r="A306" s="61"/>
      <c r="B306" s="61"/>
      <c r="C306" s="61"/>
      <c r="D306" s="61"/>
      <c r="E306" s="61"/>
      <c r="F306" s="61"/>
      <c r="G306" s="61"/>
      <c r="H306" s="61"/>
      <c r="I306" s="61"/>
    </row>
    <row r="307" spans="1:9" x14ac:dyDescent="0.25">
      <c r="A307" s="61"/>
      <c r="B307" s="61"/>
      <c r="C307" s="61"/>
      <c r="D307" s="61"/>
      <c r="E307" s="61"/>
      <c r="F307" s="61"/>
      <c r="G307" s="61"/>
      <c r="H307" s="61"/>
      <c r="I307" s="61"/>
    </row>
    <row r="308" spans="1:9" x14ac:dyDescent="0.25">
      <c r="A308" s="61"/>
      <c r="B308" s="61"/>
      <c r="C308" s="61"/>
      <c r="D308" s="61"/>
      <c r="E308" s="61"/>
      <c r="F308" s="61"/>
      <c r="G308" s="61"/>
      <c r="H308" s="61"/>
      <c r="I308" s="61"/>
    </row>
    <row r="309" spans="1:9" x14ac:dyDescent="0.25">
      <c r="A309" s="61"/>
      <c r="B309" s="61"/>
      <c r="C309" s="61"/>
      <c r="D309" s="61"/>
      <c r="E309" s="61"/>
      <c r="F309" s="61"/>
      <c r="G309" s="61"/>
      <c r="H309" s="61"/>
      <c r="I309" s="61"/>
    </row>
    <row r="310" spans="1:9" x14ac:dyDescent="0.25">
      <c r="A310" s="61"/>
      <c r="B310" s="61"/>
      <c r="C310" s="61"/>
      <c r="D310" s="61"/>
      <c r="E310" s="61"/>
      <c r="F310" s="61"/>
      <c r="G310" s="61"/>
      <c r="H310" s="61"/>
      <c r="I310" s="61"/>
    </row>
    <row r="311" spans="1:9" x14ac:dyDescent="0.25">
      <c r="A311" s="61"/>
      <c r="B311" s="61"/>
      <c r="C311" s="61"/>
      <c r="D311" s="61"/>
      <c r="E311" s="61"/>
      <c r="F311" s="61"/>
      <c r="G311" s="61"/>
      <c r="H311" s="61"/>
      <c r="I311" s="61"/>
    </row>
    <row r="312" spans="1:9" x14ac:dyDescent="0.25">
      <c r="A312" s="61"/>
      <c r="B312" s="61"/>
      <c r="C312" s="61"/>
      <c r="D312" s="61"/>
      <c r="E312" s="61"/>
      <c r="F312" s="61"/>
      <c r="G312" s="61"/>
      <c r="H312" s="61"/>
      <c r="I312" s="61"/>
    </row>
    <row r="313" spans="1:9" x14ac:dyDescent="0.25">
      <c r="A313" s="61"/>
      <c r="B313" s="61"/>
      <c r="C313" s="61"/>
      <c r="D313" s="61"/>
      <c r="E313" s="61"/>
      <c r="F313" s="61"/>
      <c r="G313" s="61"/>
      <c r="H313" s="61"/>
      <c r="I313" s="61"/>
    </row>
    <row r="314" spans="1:9" x14ac:dyDescent="0.25">
      <c r="A314" s="61"/>
      <c r="B314" s="61"/>
      <c r="C314" s="61"/>
      <c r="D314" s="61"/>
      <c r="E314" s="61"/>
      <c r="F314" s="61"/>
      <c r="G314" s="61"/>
      <c r="H314" s="61"/>
      <c r="I314" s="61"/>
    </row>
    <row r="315" spans="1:9" x14ac:dyDescent="0.25">
      <c r="A315" s="61"/>
      <c r="B315" s="61"/>
      <c r="C315" s="61"/>
      <c r="D315" s="61"/>
      <c r="E315" s="61"/>
      <c r="F315" s="61"/>
      <c r="G315" s="61"/>
      <c r="H315" s="61"/>
      <c r="I315" s="61"/>
    </row>
    <row r="316" spans="1:9" x14ac:dyDescent="0.25">
      <c r="A316" s="61"/>
      <c r="B316" s="61"/>
      <c r="C316" s="61"/>
      <c r="D316" s="61"/>
      <c r="E316" s="61"/>
      <c r="F316" s="61"/>
      <c r="G316" s="61"/>
      <c r="H316" s="61"/>
      <c r="I316" s="61"/>
    </row>
    <row r="317" spans="1:9" x14ac:dyDescent="0.25">
      <c r="A317" s="61"/>
      <c r="B317" s="61"/>
      <c r="C317" s="61"/>
      <c r="D317" s="61"/>
      <c r="E317" s="61"/>
      <c r="F317" s="61"/>
      <c r="G317" s="61"/>
      <c r="H317" s="61"/>
      <c r="I317" s="61"/>
    </row>
    <row r="318" spans="1:9" x14ac:dyDescent="0.25">
      <c r="A318" s="61"/>
      <c r="B318" s="61"/>
      <c r="C318" s="61"/>
      <c r="D318" s="61"/>
      <c r="E318" s="61"/>
      <c r="F318" s="61"/>
      <c r="G318" s="61"/>
      <c r="H318" s="61"/>
      <c r="I318" s="61"/>
    </row>
    <row r="319" spans="1:9" x14ac:dyDescent="0.25">
      <c r="A319" s="61"/>
      <c r="B319" s="61"/>
      <c r="C319" s="61"/>
      <c r="D319" s="61"/>
      <c r="E319" s="61"/>
      <c r="F319" s="61"/>
      <c r="G319" s="61"/>
      <c r="H319" s="61"/>
      <c r="I319" s="61"/>
    </row>
    <row r="320" spans="1:9" x14ac:dyDescent="0.25">
      <c r="A320" s="61"/>
      <c r="B320" s="61"/>
      <c r="C320" s="61"/>
      <c r="D320" s="61"/>
      <c r="E320" s="61"/>
      <c r="F320" s="61"/>
      <c r="G320" s="61"/>
      <c r="H320" s="61"/>
      <c r="I320" s="61"/>
    </row>
    <row r="321" spans="1:9" x14ac:dyDescent="0.25">
      <c r="A321" s="61"/>
      <c r="B321" s="61"/>
      <c r="C321" s="61"/>
      <c r="D321" s="61"/>
      <c r="E321" s="61"/>
      <c r="F321" s="61"/>
      <c r="G321" s="61"/>
      <c r="H321" s="61"/>
      <c r="I321" s="61"/>
    </row>
    <row r="322" spans="1:9" x14ac:dyDescent="0.25">
      <c r="A322" s="61"/>
      <c r="B322" s="61"/>
      <c r="C322" s="61"/>
      <c r="D322" s="61"/>
      <c r="E322" s="61"/>
      <c r="F322" s="61"/>
      <c r="G322" s="61"/>
      <c r="H322" s="61"/>
      <c r="I322" s="61"/>
    </row>
    <row r="323" spans="1:9" x14ac:dyDescent="0.25">
      <c r="A323" s="61"/>
      <c r="B323" s="61"/>
      <c r="C323" s="61"/>
      <c r="D323" s="61"/>
      <c r="E323" s="61"/>
      <c r="F323" s="61"/>
      <c r="G323" s="61"/>
      <c r="H323" s="61"/>
      <c r="I323" s="61"/>
    </row>
    <row r="324" spans="1:9" x14ac:dyDescent="0.25">
      <c r="A324" s="61"/>
      <c r="B324" s="61"/>
      <c r="C324" s="61"/>
      <c r="D324" s="61"/>
      <c r="E324" s="61"/>
      <c r="F324" s="61"/>
      <c r="G324" s="61"/>
      <c r="H324" s="61"/>
      <c r="I324" s="61"/>
    </row>
    <row r="325" spans="1:9" x14ac:dyDescent="0.25">
      <c r="A325" s="61"/>
      <c r="B325" s="61"/>
      <c r="C325" s="61"/>
      <c r="D325" s="61"/>
      <c r="E325" s="61"/>
      <c r="F325" s="61"/>
      <c r="G325" s="61"/>
      <c r="H325" s="61"/>
      <c r="I325" s="61"/>
    </row>
    <row r="326" spans="1:9" x14ac:dyDescent="0.25">
      <c r="A326" s="61"/>
      <c r="B326" s="61"/>
      <c r="C326" s="61"/>
      <c r="D326" s="61"/>
      <c r="E326" s="61"/>
      <c r="F326" s="61"/>
      <c r="G326" s="61"/>
      <c r="H326" s="61"/>
      <c r="I326" s="61"/>
    </row>
    <row r="327" spans="1:9" x14ac:dyDescent="0.25">
      <c r="A327" s="61"/>
      <c r="B327" s="61"/>
      <c r="C327" s="61"/>
      <c r="D327" s="61"/>
      <c r="E327" s="61"/>
      <c r="F327" s="61"/>
      <c r="G327" s="61"/>
      <c r="H327" s="61"/>
      <c r="I327" s="61"/>
    </row>
    <row r="328" spans="1:9" x14ac:dyDescent="0.25">
      <c r="A328" s="61"/>
      <c r="B328" s="61"/>
      <c r="C328" s="61"/>
      <c r="D328" s="61"/>
      <c r="E328" s="61"/>
      <c r="F328" s="61"/>
      <c r="G328" s="61"/>
      <c r="H328" s="61"/>
      <c r="I328" s="61"/>
    </row>
    <row r="329" spans="1:9" x14ac:dyDescent="0.25">
      <c r="A329" s="61"/>
      <c r="B329" s="61"/>
      <c r="C329" s="61"/>
      <c r="D329" s="61"/>
      <c r="E329" s="61"/>
      <c r="F329" s="61"/>
      <c r="G329" s="61"/>
      <c r="H329" s="61"/>
      <c r="I329" s="61"/>
    </row>
    <row r="330" spans="1:9" x14ac:dyDescent="0.25">
      <c r="A330" s="61"/>
      <c r="B330" s="61"/>
      <c r="C330" s="61"/>
      <c r="D330" s="61"/>
      <c r="E330" s="61"/>
      <c r="F330" s="61"/>
      <c r="G330" s="61"/>
      <c r="H330" s="61"/>
      <c r="I330" s="61"/>
    </row>
    <row r="331" spans="1:9" x14ac:dyDescent="0.25">
      <c r="A331" s="61"/>
      <c r="B331" s="61"/>
      <c r="C331" s="61"/>
      <c r="D331" s="61"/>
      <c r="E331" s="61"/>
      <c r="F331" s="61"/>
      <c r="G331" s="61"/>
      <c r="H331" s="61"/>
      <c r="I331" s="61"/>
    </row>
    <row r="332" spans="1:9" x14ac:dyDescent="0.25">
      <c r="A332" s="61"/>
      <c r="B332" s="61"/>
      <c r="C332" s="61"/>
      <c r="D332" s="61"/>
      <c r="E332" s="61"/>
      <c r="F332" s="61"/>
      <c r="G332" s="61"/>
      <c r="H332" s="61"/>
      <c r="I332" s="61"/>
    </row>
    <row r="333" spans="1:9" x14ac:dyDescent="0.25">
      <c r="A333" s="61"/>
      <c r="B333" s="61"/>
      <c r="C333" s="61"/>
      <c r="D333" s="61"/>
      <c r="E333" s="61"/>
      <c r="F333" s="61"/>
      <c r="G333" s="61"/>
      <c r="H333" s="61"/>
      <c r="I333" s="61"/>
    </row>
    <row r="334" spans="1:9" x14ac:dyDescent="0.25">
      <c r="A334" s="61"/>
      <c r="B334" s="61"/>
      <c r="C334" s="61"/>
      <c r="D334" s="61"/>
      <c r="E334" s="61"/>
      <c r="F334" s="61"/>
      <c r="G334" s="61"/>
      <c r="H334" s="61"/>
      <c r="I334" s="61"/>
    </row>
    <row r="335" spans="1:9" x14ac:dyDescent="0.25">
      <c r="A335" s="61"/>
      <c r="B335" s="61"/>
      <c r="C335" s="61"/>
      <c r="D335" s="61"/>
      <c r="E335" s="61"/>
      <c r="F335" s="61"/>
      <c r="G335" s="61"/>
      <c r="H335" s="61"/>
      <c r="I335" s="61"/>
    </row>
    <row r="336" spans="1:9" x14ac:dyDescent="0.25">
      <c r="A336" s="61"/>
      <c r="B336" s="61"/>
      <c r="C336" s="61"/>
      <c r="D336" s="61"/>
      <c r="E336" s="61"/>
      <c r="F336" s="61"/>
      <c r="G336" s="61"/>
      <c r="H336" s="61"/>
      <c r="I336" s="61"/>
    </row>
    <row r="337" spans="1:9" x14ac:dyDescent="0.25">
      <c r="A337" s="61"/>
      <c r="B337" s="61"/>
      <c r="C337" s="61"/>
      <c r="D337" s="61"/>
      <c r="E337" s="61"/>
      <c r="F337" s="61"/>
      <c r="G337" s="61"/>
      <c r="H337" s="61"/>
      <c r="I337" s="61"/>
    </row>
    <row r="338" spans="1:9" x14ac:dyDescent="0.25">
      <c r="A338" s="61"/>
      <c r="B338" s="61"/>
      <c r="C338" s="61"/>
      <c r="D338" s="61"/>
      <c r="E338" s="61"/>
      <c r="F338" s="61"/>
      <c r="G338" s="61"/>
      <c r="H338" s="61"/>
      <c r="I338" s="61"/>
    </row>
    <row r="339" spans="1:9" x14ac:dyDescent="0.25">
      <c r="A339" s="61"/>
      <c r="B339" s="61"/>
      <c r="C339" s="61"/>
      <c r="D339" s="61"/>
      <c r="E339" s="61"/>
      <c r="F339" s="61"/>
      <c r="G339" s="61"/>
      <c r="H339" s="61"/>
      <c r="I339" s="61"/>
    </row>
    <row r="340" spans="1:9" x14ac:dyDescent="0.25">
      <c r="A340" s="61"/>
      <c r="B340" s="61"/>
      <c r="C340" s="61"/>
      <c r="D340" s="61"/>
      <c r="E340" s="61"/>
      <c r="F340" s="61"/>
      <c r="G340" s="61"/>
      <c r="H340" s="61"/>
      <c r="I340" s="61"/>
    </row>
    <row r="341" spans="1:9" x14ac:dyDescent="0.25">
      <c r="A341" s="61"/>
      <c r="B341" s="61"/>
      <c r="C341" s="61"/>
      <c r="D341" s="61"/>
      <c r="E341" s="61"/>
      <c r="F341" s="61"/>
      <c r="G341" s="61"/>
      <c r="H341" s="61"/>
      <c r="I341" s="61"/>
    </row>
    <row r="342" spans="1:9" x14ac:dyDescent="0.25">
      <c r="A342" s="61"/>
      <c r="B342" s="61"/>
      <c r="C342" s="61"/>
      <c r="D342" s="61"/>
      <c r="E342" s="61"/>
      <c r="F342" s="61"/>
      <c r="G342" s="61"/>
      <c r="H342" s="61"/>
      <c r="I342" s="61"/>
    </row>
    <row r="343" spans="1:9" x14ac:dyDescent="0.25">
      <c r="A343" s="61"/>
      <c r="B343" s="61"/>
      <c r="C343" s="61"/>
      <c r="D343" s="61"/>
      <c r="E343" s="61"/>
      <c r="F343" s="61"/>
      <c r="G343" s="61"/>
      <c r="H343" s="61"/>
      <c r="I343" s="61"/>
    </row>
    <row r="344" spans="1:9" x14ac:dyDescent="0.25">
      <c r="A344" s="61"/>
      <c r="B344" s="61"/>
      <c r="C344" s="61"/>
      <c r="D344" s="61"/>
      <c r="E344" s="61"/>
      <c r="F344" s="61"/>
      <c r="G344" s="61"/>
      <c r="H344" s="61"/>
      <c r="I344" s="61"/>
    </row>
    <row r="345" spans="1:9" x14ac:dyDescent="0.25">
      <c r="A345" s="61"/>
      <c r="B345" s="61"/>
      <c r="C345" s="61"/>
      <c r="D345" s="61"/>
      <c r="E345" s="61"/>
      <c r="F345" s="61"/>
      <c r="G345" s="61"/>
      <c r="H345" s="61"/>
      <c r="I345" s="61"/>
    </row>
    <row r="346" spans="1:9" x14ac:dyDescent="0.25">
      <c r="A346" s="61"/>
      <c r="B346" s="61"/>
      <c r="C346" s="61"/>
      <c r="D346" s="61"/>
      <c r="E346" s="61"/>
      <c r="F346" s="61"/>
      <c r="G346" s="61"/>
      <c r="H346" s="61"/>
      <c r="I346" s="61"/>
    </row>
    <row r="347" spans="1:9" x14ac:dyDescent="0.25">
      <c r="A347" s="61"/>
      <c r="B347" s="61"/>
      <c r="C347" s="61"/>
      <c r="D347" s="61"/>
      <c r="E347" s="61"/>
      <c r="F347" s="61"/>
      <c r="G347" s="61"/>
      <c r="H347" s="61"/>
      <c r="I347" s="61"/>
    </row>
    <row r="348" spans="1:9" x14ac:dyDescent="0.25">
      <c r="A348" s="61"/>
      <c r="B348" s="61"/>
      <c r="C348" s="61"/>
      <c r="D348" s="61"/>
      <c r="E348" s="61"/>
      <c r="F348" s="61"/>
      <c r="G348" s="61"/>
      <c r="H348" s="61"/>
      <c r="I348" s="61"/>
    </row>
    <row r="349" spans="1:9" x14ac:dyDescent="0.25">
      <c r="A349" s="61"/>
      <c r="B349" s="61"/>
      <c r="C349" s="61"/>
      <c r="D349" s="61"/>
      <c r="E349" s="61"/>
      <c r="F349" s="61"/>
      <c r="G349" s="61"/>
      <c r="H349" s="61"/>
      <c r="I349" s="61"/>
    </row>
    <row r="350" spans="1:9" x14ac:dyDescent="0.25">
      <c r="A350" s="61"/>
      <c r="B350" s="61"/>
      <c r="C350" s="61"/>
      <c r="D350" s="61"/>
      <c r="E350" s="61"/>
      <c r="F350" s="61"/>
      <c r="G350" s="61"/>
      <c r="H350" s="61"/>
      <c r="I350" s="61"/>
    </row>
    <row r="351" spans="1:9" x14ac:dyDescent="0.25">
      <c r="A351" s="61"/>
      <c r="B351" s="61"/>
      <c r="C351" s="61"/>
      <c r="D351" s="61"/>
      <c r="E351" s="61"/>
      <c r="F351" s="61"/>
      <c r="G351" s="61"/>
      <c r="H351" s="61"/>
      <c r="I351" s="61"/>
    </row>
    <row r="352" spans="1:9" x14ac:dyDescent="0.25">
      <c r="A352" s="61"/>
      <c r="B352" s="61"/>
      <c r="C352" s="61"/>
      <c r="D352" s="61"/>
      <c r="E352" s="61"/>
      <c r="F352" s="61"/>
      <c r="G352" s="61"/>
      <c r="H352" s="61"/>
      <c r="I352" s="61"/>
    </row>
    <row r="353" spans="1:9" x14ac:dyDescent="0.25">
      <c r="A353" s="61"/>
      <c r="B353" s="61"/>
      <c r="C353" s="61"/>
      <c r="D353" s="61"/>
      <c r="E353" s="61"/>
      <c r="F353" s="61"/>
      <c r="G353" s="61"/>
      <c r="H353" s="61"/>
      <c r="I353" s="61"/>
    </row>
    <row r="354" spans="1:9" x14ac:dyDescent="0.25">
      <c r="A354" s="61"/>
      <c r="B354" s="61"/>
      <c r="C354" s="61"/>
      <c r="D354" s="61"/>
      <c r="E354" s="61"/>
      <c r="F354" s="61"/>
      <c r="G354" s="61"/>
      <c r="H354" s="61"/>
      <c r="I354" s="61"/>
    </row>
    <row r="355" spans="1:9" x14ac:dyDescent="0.25">
      <c r="A355" s="61"/>
      <c r="B355" s="61"/>
      <c r="C355" s="61"/>
      <c r="D355" s="61"/>
      <c r="E355" s="61"/>
      <c r="F355" s="61"/>
      <c r="G355" s="61"/>
      <c r="H355" s="61"/>
      <c r="I355" s="61"/>
    </row>
    <row r="356" spans="1:9" x14ac:dyDescent="0.25">
      <c r="A356" s="61"/>
      <c r="B356" s="61"/>
      <c r="C356" s="61"/>
      <c r="D356" s="61"/>
      <c r="E356" s="61"/>
      <c r="F356" s="61"/>
      <c r="G356" s="61"/>
      <c r="H356" s="61"/>
      <c r="I356" s="61"/>
    </row>
    <row r="357" spans="1:9" x14ac:dyDescent="0.25">
      <c r="A357" s="61"/>
      <c r="B357" s="61"/>
      <c r="C357" s="61"/>
      <c r="D357" s="61"/>
      <c r="E357" s="61"/>
      <c r="F357" s="61"/>
      <c r="G357" s="61"/>
      <c r="H357" s="61"/>
      <c r="I357" s="61"/>
    </row>
    <row r="358" spans="1:9" x14ac:dyDescent="0.25">
      <c r="A358" s="61"/>
      <c r="B358" s="61"/>
      <c r="C358" s="61"/>
      <c r="D358" s="61"/>
      <c r="E358" s="61"/>
      <c r="F358" s="61"/>
      <c r="G358" s="61"/>
      <c r="H358" s="61"/>
      <c r="I358" s="61"/>
    </row>
    <row r="359" spans="1:9" x14ac:dyDescent="0.25">
      <c r="A359" s="61"/>
      <c r="B359" s="61"/>
      <c r="C359" s="61"/>
      <c r="D359" s="61"/>
      <c r="E359" s="61"/>
      <c r="F359" s="61"/>
      <c r="G359" s="61"/>
      <c r="H359" s="61"/>
      <c r="I359" s="61"/>
    </row>
    <row r="360" spans="1:9" x14ac:dyDescent="0.25">
      <c r="A360" s="61"/>
      <c r="B360" s="61"/>
      <c r="C360" s="61"/>
      <c r="D360" s="61"/>
      <c r="E360" s="61"/>
      <c r="F360" s="61"/>
      <c r="G360" s="61"/>
      <c r="H360" s="61"/>
      <c r="I360" s="61"/>
    </row>
    <row r="361" spans="1:9" x14ac:dyDescent="0.25">
      <c r="A361" s="61"/>
      <c r="B361" s="61"/>
      <c r="C361" s="61"/>
      <c r="D361" s="61"/>
      <c r="E361" s="61"/>
      <c r="F361" s="61"/>
      <c r="G361" s="61"/>
      <c r="H361" s="61"/>
      <c r="I361" s="61"/>
    </row>
    <row r="362" spans="1:9" x14ac:dyDescent="0.25">
      <c r="A362" s="61"/>
      <c r="B362" s="61"/>
      <c r="C362" s="61"/>
      <c r="D362" s="61"/>
      <c r="E362" s="61"/>
      <c r="F362" s="61"/>
      <c r="G362" s="61"/>
      <c r="H362" s="61"/>
      <c r="I362" s="61"/>
    </row>
    <row r="363" spans="1:9" x14ac:dyDescent="0.25">
      <c r="A363" s="61"/>
      <c r="B363" s="61"/>
      <c r="C363" s="61"/>
      <c r="D363" s="61"/>
      <c r="E363" s="61"/>
      <c r="F363" s="61"/>
      <c r="G363" s="61"/>
      <c r="H363" s="61"/>
      <c r="I363" s="61"/>
    </row>
    <row r="364" spans="1:9" x14ac:dyDescent="0.25">
      <c r="A364" s="61"/>
      <c r="B364" s="61"/>
      <c r="C364" s="61"/>
      <c r="D364" s="61"/>
      <c r="E364" s="61"/>
      <c r="F364" s="61"/>
      <c r="G364" s="61"/>
      <c r="H364" s="61"/>
      <c r="I364" s="61"/>
    </row>
    <row r="365" spans="1:9" x14ac:dyDescent="0.25">
      <c r="A365" s="61"/>
      <c r="B365" s="61"/>
      <c r="C365" s="61"/>
      <c r="D365" s="61"/>
      <c r="E365" s="61"/>
      <c r="F365" s="61"/>
      <c r="G365" s="61"/>
      <c r="H365" s="61"/>
      <c r="I365" s="61"/>
    </row>
    <row r="366" spans="1:9" x14ac:dyDescent="0.25">
      <c r="A366" s="61"/>
      <c r="B366" s="61"/>
      <c r="C366" s="61"/>
      <c r="D366" s="61"/>
      <c r="E366" s="61"/>
      <c r="F366" s="61"/>
      <c r="G366" s="61"/>
      <c r="H366" s="61"/>
      <c r="I366" s="61"/>
    </row>
    <row r="367" spans="1:9" x14ac:dyDescent="0.25">
      <c r="A367" s="61"/>
      <c r="B367" s="61"/>
      <c r="C367" s="61"/>
      <c r="D367" s="61"/>
      <c r="E367" s="61"/>
      <c r="F367" s="61"/>
      <c r="G367" s="61"/>
      <c r="H367" s="61"/>
      <c r="I367" s="61"/>
    </row>
    <row r="368" spans="1:9" x14ac:dyDescent="0.25">
      <c r="A368" s="61"/>
      <c r="B368" s="61"/>
      <c r="C368" s="61"/>
      <c r="D368" s="61"/>
      <c r="E368" s="61"/>
      <c r="F368" s="61"/>
      <c r="G368" s="61"/>
      <c r="H368" s="61"/>
      <c r="I368" s="61"/>
    </row>
    <row r="369" spans="1:9" x14ac:dyDescent="0.25">
      <c r="A369" s="61"/>
      <c r="B369" s="61"/>
      <c r="C369" s="61"/>
      <c r="D369" s="61"/>
      <c r="E369" s="61"/>
      <c r="F369" s="61"/>
      <c r="G369" s="61"/>
      <c r="H369" s="61"/>
      <c r="I369" s="61"/>
    </row>
    <row r="370" spans="1:9" x14ac:dyDescent="0.25">
      <c r="A370" s="61"/>
      <c r="B370" s="61"/>
      <c r="C370" s="61"/>
      <c r="D370" s="61"/>
      <c r="E370" s="61"/>
      <c r="F370" s="61"/>
      <c r="G370" s="61"/>
      <c r="H370" s="61"/>
      <c r="I370" s="61"/>
    </row>
    <row r="371" spans="1:9" x14ac:dyDescent="0.25">
      <c r="A371" s="61"/>
      <c r="B371" s="61"/>
      <c r="C371" s="61"/>
      <c r="D371" s="61"/>
      <c r="E371" s="61"/>
      <c r="F371" s="61"/>
      <c r="G371" s="61"/>
      <c r="H371" s="61"/>
      <c r="I371" s="61"/>
    </row>
    <row r="372" spans="1:9" x14ac:dyDescent="0.25">
      <c r="A372" s="61"/>
      <c r="B372" s="61"/>
      <c r="C372" s="61"/>
      <c r="D372" s="61"/>
      <c r="E372" s="61"/>
      <c r="F372" s="61"/>
      <c r="G372" s="61"/>
      <c r="H372" s="61"/>
      <c r="I372" s="61"/>
    </row>
    <row r="373" spans="1:9" x14ac:dyDescent="0.25">
      <c r="A373" s="61"/>
      <c r="B373" s="61"/>
      <c r="C373" s="61"/>
      <c r="D373" s="61"/>
      <c r="E373" s="61"/>
      <c r="F373" s="61"/>
      <c r="G373" s="61"/>
      <c r="H373" s="61"/>
      <c r="I373" s="61"/>
    </row>
    <row r="374" spans="1:9" x14ac:dyDescent="0.25">
      <c r="A374" s="61"/>
      <c r="B374" s="61"/>
      <c r="C374" s="61"/>
      <c r="D374" s="61"/>
      <c r="E374" s="61"/>
      <c r="F374" s="61"/>
      <c r="G374" s="61"/>
      <c r="H374" s="61"/>
      <c r="I374" s="61"/>
    </row>
    <row r="375" spans="1:9" x14ac:dyDescent="0.25">
      <c r="A375" s="61"/>
      <c r="B375" s="61"/>
      <c r="C375" s="61"/>
      <c r="D375" s="61"/>
      <c r="E375" s="61"/>
      <c r="F375" s="61"/>
      <c r="G375" s="61"/>
      <c r="H375" s="61"/>
      <c r="I375" s="61"/>
    </row>
    <row r="376" spans="1:9" x14ac:dyDescent="0.25">
      <c r="A376" s="61"/>
      <c r="B376" s="61"/>
      <c r="C376" s="61"/>
      <c r="D376" s="61"/>
      <c r="E376" s="61"/>
      <c r="F376" s="61"/>
      <c r="G376" s="61"/>
      <c r="H376" s="61"/>
      <c r="I376" s="61"/>
    </row>
    <row r="377" spans="1:9" x14ac:dyDescent="0.25">
      <c r="A377" s="61"/>
      <c r="B377" s="61"/>
      <c r="C377" s="61"/>
      <c r="D377" s="61"/>
      <c r="E377" s="61"/>
      <c r="F377" s="61"/>
      <c r="G377" s="61"/>
      <c r="H377" s="61"/>
      <c r="I377" s="61"/>
    </row>
    <row r="378" spans="1:9" x14ac:dyDescent="0.25">
      <c r="A378" s="61"/>
      <c r="B378" s="61"/>
      <c r="C378" s="61"/>
      <c r="D378" s="61"/>
      <c r="E378" s="61"/>
      <c r="F378" s="61"/>
      <c r="G378" s="61"/>
      <c r="H378" s="61"/>
      <c r="I378" s="61"/>
    </row>
    <row r="379" spans="1:9" x14ac:dyDescent="0.25">
      <c r="A379" s="61"/>
      <c r="B379" s="61"/>
      <c r="C379" s="61"/>
      <c r="D379" s="61"/>
      <c r="E379" s="61"/>
      <c r="F379" s="61"/>
      <c r="G379" s="61"/>
      <c r="H379" s="61"/>
      <c r="I379" s="61"/>
    </row>
    <row r="380" spans="1:9" x14ac:dyDescent="0.25">
      <c r="A380" s="61"/>
      <c r="B380" s="61"/>
      <c r="C380" s="61"/>
      <c r="D380" s="61"/>
      <c r="E380" s="61"/>
      <c r="F380" s="61"/>
      <c r="G380" s="61"/>
      <c r="H380" s="61"/>
      <c r="I380" s="61"/>
    </row>
    <row r="381" spans="1:9" x14ac:dyDescent="0.25">
      <c r="A381" s="61"/>
      <c r="B381" s="61"/>
      <c r="C381" s="61"/>
      <c r="D381" s="61"/>
      <c r="E381" s="61"/>
      <c r="F381" s="61"/>
      <c r="G381" s="61"/>
      <c r="H381" s="61"/>
      <c r="I381" s="61"/>
    </row>
    <row r="382" spans="1:9" x14ac:dyDescent="0.25">
      <c r="A382" s="61"/>
      <c r="B382" s="61"/>
      <c r="C382" s="61"/>
      <c r="D382" s="61"/>
      <c r="E382" s="61"/>
      <c r="F382" s="61"/>
      <c r="G382" s="61"/>
      <c r="H382" s="61"/>
      <c r="I382" s="61"/>
    </row>
    <row r="383" spans="1:9" x14ac:dyDescent="0.25">
      <c r="A383" s="61"/>
      <c r="B383" s="61"/>
      <c r="C383" s="61"/>
      <c r="D383" s="61"/>
      <c r="E383" s="61"/>
      <c r="F383" s="61"/>
      <c r="G383" s="61"/>
      <c r="H383" s="61"/>
      <c r="I383" s="61"/>
    </row>
    <row r="384" spans="1:9" x14ac:dyDescent="0.25">
      <c r="A384" s="61"/>
      <c r="B384" s="61"/>
      <c r="C384" s="61"/>
      <c r="D384" s="61"/>
      <c r="E384" s="61"/>
      <c r="F384" s="61"/>
      <c r="G384" s="61"/>
      <c r="H384" s="61"/>
      <c r="I384" s="61"/>
    </row>
    <row r="385" spans="1:9" x14ac:dyDescent="0.25">
      <c r="A385" s="61"/>
      <c r="B385" s="61"/>
      <c r="C385" s="61"/>
      <c r="D385" s="61"/>
      <c r="E385" s="61"/>
      <c r="F385" s="61"/>
      <c r="G385" s="61"/>
      <c r="H385" s="61"/>
      <c r="I385" s="61"/>
    </row>
    <row r="386" spans="1:9" x14ac:dyDescent="0.25">
      <c r="A386" s="61"/>
      <c r="B386" s="61"/>
      <c r="C386" s="61"/>
      <c r="D386" s="61"/>
      <c r="E386" s="61"/>
      <c r="F386" s="61"/>
      <c r="G386" s="61"/>
      <c r="H386" s="61"/>
      <c r="I386" s="61"/>
    </row>
    <row r="387" spans="1:9" x14ac:dyDescent="0.25">
      <c r="A387" s="61"/>
      <c r="B387" s="61"/>
      <c r="C387" s="61"/>
      <c r="D387" s="61"/>
      <c r="E387" s="61"/>
      <c r="F387" s="61"/>
      <c r="G387" s="61"/>
      <c r="H387" s="61"/>
      <c r="I387" s="61"/>
    </row>
    <row r="388" spans="1:9" x14ac:dyDescent="0.25">
      <c r="A388" s="61"/>
      <c r="B388" s="61"/>
      <c r="C388" s="61"/>
      <c r="D388" s="61"/>
      <c r="E388" s="61"/>
      <c r="F388" s="61"/>
      <c r="G388" s="61"/>
      <c r="H388" s="61"/>
      <c r="I388" s="61"/>
    </row>
    <row r="389" spans="1:9" x14ac:dyDescent="0.25">
      <c r="A389" s="61"/>
      <c r="B389" s="61"/>
      <c r="C389" s="61"/>
      <c r="D389" s="61"/>
      <c r="E389" s="61"/>
      <c r="F389" s="61"/>
      <c r="G389" s="61"/>
      <c r="H389" s="61"/>
      <c r="I389" s="61"/>
    </row>
    <row r="390" spans="1:9" x14ac:dyDescent="0.25">
      <c r="A390" s="61"/>
      <c r="B390" s="61"/>
      <c r="C390" s="61"/>
      <c r="D390" s="61"/>
      <c r="E390" s="61"/>
      <c r="F390" s="61"/>
      <c r="G390" s="61"/>
      <c r="H390" s="61"/>
      <c r="I390" s="61"/>
    </row>
    <row r="391" spans="1:9" x14ac:dyDescent="0.25">
      <c r="A391" s="61"/>
      <c r="B391" s="61"/>
      <c r="C391" s="61"/>
      <c r="D391" s="61"/>
      <c r="E391" s="61"/>
      <c r="F391" s="61"/>
      <c r="G391" s="61"/>
      <c r="H391" s="61"/>
      <c r="I391" s="61"/>
    </row>
    <row r="392" spans="1:9" x14ac:dyDescent="0.25">
      <c r="A392" s="61"/>
      <c r="B392" s="61"/>
      <c r="C392" s="61"/>
      <c r="D392" s="61"/>
      <c r="E392" s="61"/>
      <c r="F392" s="61"/>
      <c r="G392" s="61"/>
      <c r="H392" s="61"/>
      <c r="I392" s="61"/>
    </row>
    <row r="393" spans="1:9" x14ac:dyDescent="0.25">
      <c r="A393" s="61"/>
      <c r="B393" s="61"/>
      <c r="C393" s="61"/>
      <c r="D393" s="61"/>
      <c r="E393" s="61"/>
      <c r="F393" s="61"/>
      <c r="G393" s="61"/>
      <c r="H393" s="61"/>
      <c r="I393" s="61"/>
    </row>
    <row r="394" spans="1:9" x14ac:dyDescent="0.25">
      <c r="A394" s="61"/>
      <c r="B394" s="61"/>
      <c r="C394" s="61"/>
      <c r="D394" s="61"/>
      <c r="E394" s="61"/>
      <c r="F394" s="61"/>
      <c r="G394" s="61"/>
      <c r="H394" s="61"/>
      <c r="I394" s="61"/>
    </row>
    <row r="395" spans="1:9" x14ac:dyDescent="0.25">
      <c r="A395" s="61"/>
      <c r="B395" s="61"/>
      <c r="C395" s="61"/>
      <c r="D395" s="61"/>
      <c r="E395" s="61"/>
      <c r="F395" s="61"/>
      <c r="G395" s="61"/>
      <c r="H395" s="61"/>
      <c r="I395" s="61"/>
    </row>
    <row r="396" spans="1:9" x14ac:dyDescent="0.25">
      <c r="A396" s="61"/>
      <c r="B396" s="61"/>
      <c r="C396" s="61"/>
      <c r="D396" s="61"/>
      <c r="E396" s="61"/>
      <c r="F396" s="61"/>
      <c r="G396" s="61"/>
      <c r="H396" s="61"/>
      <c r="I396" s="61"/>
    </row>
    <row r="397" spans="1:9" x14ac:dyDescent="0.25">
      <c r="A397" s="61"/>
      <c r="B397" s="61"/>
      <c r="C397" s="61"/>
      <c r="D397" s="61"/>
      <c r="E397" s="61"/>
      <c r="F397" s="61"/>
      <c r="G397" s="61"/>
      <c r="H397" s="61"/>
      <c r="I397" s="61"/>
    </row>
    <row r="398" spans="1:9" x14ac:dyDescent="0.25">
      <c r="A398" s="61"/>
      <c r="B398" s="61"/>
      <c r="C398" s="61"/>
      <c r="D398" s="61"/>
      <c r="E398" s="61"/>
      <c r="F398" s="61"/>
      <c r="G398" s="61"/>
      <c r="H398" s="61"/>
      <c r="I398" s="61"/>
    </row>
    <row r="399" spans="1:9" x14ac:dyDescent="0.25">
      <c r="A399" s="61"/>
      <c r="B399" s="61"/>
      <c r="C399" s="61"/>
      <c r="D399" s="61"/>
      <c r="E399" s="61"/>
      <c r="F399" s="61"/>
      <c r="G399" s="61"/>
      <c r="H399" s="61"/>
      <c r="I399" s="61"/>
    </row>
    <row r="400" spans="1:9" x14ac:dyDescent="0.25">
      <c r="A400" s="61"/>
      <c r="B400" s="61"/>
      <c r="C400" s="61"/>
      <c r="D400" s="61"/>
      <c r="E400" s="61"/>
      <c r="F400" s="61"/>
      <c r="G400" s="61"/>
      <c r="H400" s="61"/>
      <c r="I400" s="61"/>
    </row>
    <row r="401" spans="1:9" x14ac:dyDescent="0.25">
      <c r="A401" s="61"/>
      <c r="B401" s="61"/>
      <c r="C401" s="61"/>
      <c r="D401" s="61"/>
      <c r="E401" s="61"/>
      <c r="F401" s="61"/>
      <c r="G401" s="61"/>
      <c r="H401" s="61"/>
      <c r="I401" s="61"/>
    </row>
    <row r="402" spans="1:9" x14ac:dyDescent="0.25">
      <c r="A402" s="61"/>
      <c r="B402" s="61"/>
      <c r="C402" s="61"/>
      <c r="D402" s="61"/>
      <c r="E402" s="61"/>
      <c r="F402" s="61"/>
      <c r="G402" s="61"/>
      <c r="H402" s="61"/>
      <c r="I402" s="61"/>
    </row>
    <row r="403" spans="1:9" x14ac:dyDescent="0.25">
      <c r="A403" s="61"/>
      <c r="B403" s="61"/>
      <c r="C403" s="61"/>
      <c r="D403" s="61"/>
      <c r="E403" s="61"/>
      <c r="F403" s="61"/>
      <c r="G403" s="61"/>
      <c r="H403" s="61"/>
      <c r="I403" s="61"/>
    </row>
    <row r="404" spans="1:9" x14ac:dyDescent="0.25">
      <c r="A404" s="61"/>
      <c r="B404" s="61"/>
      <c r="C404" s="61"/>
      <c r="D404" s="61"/>
      <c r="E404" s="61"/>
      <c r="F404" s="61"/>
      <c r="G404" s="61"/>
      <c r="H404" s="61"/>
      <c r="I404" s="61"/>
    </row>
    <row r="405" spans="1:9" x14ac:dyDescent="0.25">
      <c r="A405" s="61"/>
      <c r="B405" s="61"/>
      <c r="C405" s="61"/>
      <c r="D405" s="61"/>
      <c r="E405" s="61"/>
      <c r="F405" s="61"/>
      <c r="G405" s="61"/>
      <c r="H405" s="61"/>
      <c r="I405" s="61"/>
    </row>
    <row r="406" spans="1:9" x14ac:dyDescent="0.25">
      <c r="A406" s="61"/>
      <c r="B406" s="61"/>
      <c r="C406" s="61"/>
      <c r="D406" s="61"/>
      <c r="E406" s="61"/>
      <c r="F406" s="61"/>
      <c r="G406" s="61"/>
      <c r="H406" s="61"/>
      <c r="I406" s="61"/>
    </row>
    <row r="407" spans="1:9" x14ac:dyDescent="0.25">
      <c r="A407" s="61"/>
      <c r="B407" s="61"/>
      <c r="C407" s="61"/>
      <c r="D407" s="61"/>
      <c r="E407" s="61"/>
      <c r="F407" s="61"/>
      <c r="G407" s="61"/>
      <c r="H407" s="61"/>
      <c r="I407" s="61"/>
    </row>
    <row r="408" spans="1:9" x14ac:dyDescent="0.25">
      <c r="A408" s="61"/>
      <c r="B408" s="61"/>
      <c r="C408" s="61"/>
      <c r="D408" s="61"/>
      <c r="E408" s="61"/>
      <c r="F408" s="61"/>
      <c r="G408" s="61"/>
      <c r="H408" s="61"/>
      <c r="I408" s="61"/>
    </row>
    <row r="409" spans="1:9" x14ac:dyDescent="0.25">
      <c r="A409" s="61"/>
      <c r="B409" s="61"/>
      <c r="C409" s="61"/>
      <c r="D409" s="61"/>
      <c r="E409" s="61"/>
      <c r="F409" s="61"/>
      <c r="G409" s="61"/>
      <c r="H409" s="61"/>
      <c r="I409" s="61"/>
    </row>
    <row r="410" spans="1:9" x14ac:dyDescent="0.25">
      <c r="A410" s="61"/>
      <c r="B410" s="61"/>
      <c r="C410" s="61"/>
      <c r="D410" s="61"/>
      <c r="E410" s="61"/>
      <c r="F410" s="61"/>
      <c r="G410" s="61"/>
      <c r="H410" s="61"/>
      <c r="I410" s="61"/>
    </row>
    <row r="411" spans="1:9" x14ac:dyDescent="0.25">
      <c r="A411" s="61"/>
      <c r="B411" s="61"/>
      <c r="C411" s="61"/>
      <c r="D411" s="61"/>
      <c r="E411" s="61"/>
      <c r="F411" s="61"/>
      <c r="G411" s="61"/>
      <c r="H411" s="61"/>
      <c r="I411" s="61"/>
    </row>
    <row r="412" spans="1:9" x14ac:dyDescent="0.25">
      <c r="A412" s="61"/>
      <c r="B412" s="61"/>
      <c r="C412" s="61"/>
      <c r="D412" s="61"/>
      <c r="E412" s="61"/>
      <c r="F412" s="61"/>
      <c r="G412" s="61"/>
      <c r="H412" s="61"/>
      <c r="I412" s="61"/>
    </row>
    <row r="413" spans="1:9" x14ac:dyDescent="0.25">
      <c r="A413" s="61"/>
      <c r="B413" s="61"/>
      <c r="C413" s="61"/>
      <c r="D413" s="61"/>
      <c r="E413" s="61"/>
      <c r="F413" s="61"/>
      <c r="G413" s="61"/>
      <c r="H413" s="61"/>
      <c r="I413" s="61"/>
    </row>
    <row r="414" spans="1:9" x14ac:dyDescent="0.25">
      <c r="A414" s="61"/>
      <c r="B414" s="61"/>
      <c r="C414" s="61"/>
      <c r="D414" s="61"/>
      <c r="E414" s="61"/>
      <c r="F414" s="61"/>
      <c r="G414" s="61"/>
      <c r="H414" s="61"/>
      <c r="I414" s="61"/>
    </row>
    <row r="415" spans="1:9" x14ac:dyDescent="0.25">
      <c r="A415" s="61"/>
      <c r="B415" s="61"/>
      <c r="C415" s="61"/>
      <c r="D415" s="61"/>
      <c r="E415" s="61"/>
      <c r="F415" s="61"/>
      <c r="G415" s="61"/>
      <c r="H415" s="61"/>
      <c r="I415" s="61"/>
    </row>
    <row r="416" spans="1:9" x14ac:dyDescent="0.25">
      <c r="A416" s="61"/>
      <c r="B416" s="61"/>
      <c r="C416" s="61"/>
      <c r="D416" s="61"/>
      <c r="E416" s="61"/>
      <c r="F416" s="61"/>
      <c r="G416" s="61"/>
      <c r="H416" s="61"/>
      <c r="I416" s="61"/>
    </row>
    <row r="417" spans="1:9" x14ac:dyDescent="0.25">
      <c r="A417" s="61"/>
      <c r="B417" s="61"/>
      <c r="C417" s="61"/>
      <c r="D417" s="61"/>
      <c r="E417" s="61"/>
      <c r="F417" s="61"/>
      <c r="G417" s="61"/>
      <c r="H417" s="61"/>
      <c r="I417" s="61"/>
    </row>
    <row r="418" spans="1:9" x14ac:dyDescent="0.25">
      <c r="A418" s="61"/>
      <c r="B418" s="61"/>
      <c r="C418" s="61"/>
      <c r="D418" s="61"/>
      <c r="E418" s="61"/>
      <c r="F418" s="61"/>
      <c r="G418" s="61"/>
      <c r="H418" s="61"/>
      <c r="I418" s="61"/>
    </row>
    <row r="419" spans="1:9" x14ac:dyDescent="0.25">
      <c r="A419" s="61"/>
      <c r="B419" s="61"/>
      <c r="C419" s="61"/>
      <c r="D419" s="61"/>
      <c r="E419" s="61"/>
      <c r="F419" s="61"/>
      <c r="G419" s="61"/>
      <c r="H419" s="61"/>
      <c r="I419" s="61"/>
    </row>
    <row r="420" spans="1:9" x14ac:dyDescent="0.25">
      <c r="A420" s="61"/>
      <c r="B420" s="61"/>
      <c r="C420" s="61"/>
      <c r="D420" s="61"/>
      <c r="E420" s="61"/>
      <c r="F420" s="61"/>
      <c r="G420" s="61"/>
      <c r="H420" s="61"/>
      <c r="I420" s="61"/>
    </row>
    <row r="421" spans="1:9" x14ac:dyDescent="0.25">
      <c r="A421" s="61"/>
      <c r="B421" s="61"/>
      <c r="C421" s="61"/>
      <c r="D421" s="61"/>
      <c r="E421" s="61"/>
      <c r="F421" s="61"/>
      <c r="G421" s="61"/>
      <c r="H421" s="61"/>
      <c r="I421" s="61"/>
    </row>
    <row r="422" spans="1:9" x14ac:dyDescent="0.25">
      <c r="A422" s="61"/>
      <c r="B422" s="61"/>
      <c r="C422" s="61"/>
      <c r="D422" s="61"/>
      <c r="E422" s="61"/>
      <c r="F422" s="61"/>
      <c r="G422" s="61"/>
      <c r="H422" s="61"/>
      <c r="I422" s="61"/>
    </row>
    <row r="423" spans="1:9" x14ac:dyDescent="0.25">
      <c r="A423" s="61"/>
      <c r="B423" s="61"/>
      <c r="C423" s="61"/>
      <c r="D423" s="61"/>
      <c r="E423" s="61"/>
      <c r="F423" s="61"/>
      <c r="G423" s="61"/>
      <c r="H423" s="61"/>
      <c r="I423" s="61"/>
    </row>
    <row r="424" spans="1:9" x14ac:dyDescent="0.25">
      <c r="A424" s="61"/>
      <c r="B424" s="61"/>
      <c r="C424" s="61"/>
      <c r="D424" s="61"/>
      <c r="E424" s="61"/>
      <c r="F424" s="61"/>
      <c r="G424" s="61"/>
      <c r="H424" s="61"/>
      <c r="I424" s="61"/>
    </row>
    <row r="425" spans="1:9" x14ac:dyDescent="0.25">
      <c r="A425" s="61"/>
      <c r="B425" s="61"/>
      <c r="C425" s="61"/>
      <c r="D425" s="61"/>
      <c r="E425" s="61"/>
      <c r="F425" s="61"/>
      <c r="G425" s="61"/>
      <c r="H425" s="61"/>
      <c r="I425" s="61"/>
    </row>
    <row r="426" spans="1:9" x14ac:dyDescent="0.25">
      <c r="A426" s="61"/>
      <c r="B426" s="61"/>
      <c r="C426" s="61"/>
      <c r="D426" s="61"/>
      <c r="E426" s="61"/>
      <c r="F426" s="61"/>
      <c r="G426" s="61"/>
      <c r="H426" s="61"/>
      <c r="I426" s="61"/>
    </row>
    <row r="427" spans="1:9" x14ac:dyDescent="0.25">
      <c r="A427" s="61"/>
      <c r="B427" s="61"/>
      <c r="C427" s="61"/>
      <c r="D427" s="61"/>
      <c r="E427" s="61"/>
      <c r="F427" s="61"/>
      <c r="G427" s="61"/>
      <c r="H427" s="61"/>
      <c r="I427" s="61"/>
    </row>
    <row r="428" spans="1:9" x14ac:dyDescent="0.25">
      <c r="A428" s="61"/>
      <c r="B428" s="61"/>
      <c r="C428" s="61"/>
      <c r="D428" s="61"/>
      <c r="E428" s="61"/>
      <c r="F428" s="61"/>
      <c r="G428" s="61"/>
      <c r="H428" s="61"/>
      <c r="I428" s="61"/>
    </row>
    <row r="429" spans="1:9" x14ac:dyDescent="0.25">
      <c r="A429" s="61"/>
      <c r="B429" s="61"/>
      <c r="C429" s="61"/>
      <c r="D429" s="61"/>
      <c r="E429" s="61"/>
      <c r="F429" s="61"/>
      <c r="G429" s="61"/>
      <c r="H429" s="61"/>
      <c r="I429" s="61"/>
    </row>
    <row r="430" spans="1:9" x14ac:dyDescent="0.25">
      <c r="A430" s="61"/>
      <c r="B430" s="61"/>
      <c r="C430" s="61"/>
      <c r="D430" s="61"/>
      <c r="E430" s="61"/>
      <c r="F430" s="61"/>
      <c r="G430" s="61"/>
      <c r="H430" s="61"/>
      <c r="I430" s="61"/>
    </row>
    <row r="431" spans="1:9" x14ac:dyDescent="0.25">
      <c r="A431" s="61"/>
      <c r="B431" s="61"/>
      <c r="C431" s="61"/>
      <c r="D431" s="61"/>
      <c r="E431" s="61"/>
      <c r="F431" s="61"/>
      <c r="G431" s="61"/>
      <c r="H431" s="61"/>
      <c r="I431" s="61"/>
    </row>
    <row r="432" spans="1:9" x14ac:dyDescent="0.25">
      <c r="A432" s="61"/>
      <c r="B432" s="61"/>
      <c r="C432" s="61"/>
      <c r="D432" s="61"/>
      <c r="E432" s="61"/>
      <c r="F432" s="61"/>
      <c r="G432" s="61"/>
      <c r="H432" s="61"/>
      <c r="I432" s="61"/>
    </row>
    <row r="433" spans="1:9" x14ac:dyDescent="0.25">
      <c r="A433" s="61"/>
      <c r="B433" s="61"/>
      <c r="C433" s="61"/>
      <c r="D433" s="61"/>
      <c r="E433" s="61"/>
      <c r="F433" s="61"/>
      <c r="G433" s="61"/>
      <c r="H433" s="61"/>
      <c r="I433" s="61"/>
    </row>
    <row r="434" spans="1:9" x14ac:dyDescent="0.25">
      <c r="A434" s="61"/>
      <c r="B434" s="61"/>
      <c r="C434" s="61"/>
      <c r="D434" s="61"/>
      <c r="E434" s="61"/>
      <c r="F434" s="61"/>
      <c r="G434" s="61"/>
      <c r="H434" s="61"/>
      <c r="I434" s="61"/>
    </row>
    <row r="435" spans="1:9" x14ac:dyDescent="0.25">
      <c r="A435" s="61"/>
      <c r="B435" s="61"/>
      <c r="C435" s="61"/>
      <c r="D435" s="61"/>
      <c r="E435" s="61"/>
      <c r="F435" s="61"/>
      <c r="G435" s="61"/>
      <c r="H435" s="61"/>
      <c r="I435" s="61"/>
    </row>
    <row r="436" spans="1:9" x14ac:dyDescent="0.25">
      <c r="A436" s="61"/>
      <c r="B436" s="61"/>
      <c r="C436" s="61"/>
      <c r="D436" s="61"/>
      <c r="E436" s="61"/>
      <c r="F436" s="61"/>
      <c r="G436" s="61"/>
      <c r="H436" s="61"/>
      <c r="I436" s="61"/>
    </row>
    <row r="437" spans="1:9" x14ac:dyDescent="0.25">
      <c r="A437" s="61"/>
      <c r="B437" s="61"/>
      <c r="C437" s="61"/>
      <c r="D437" s="61"/>
      <c r="E437" s="61"/>
      <c r="F437" s="61"/>
      <c r="G437" s="61"/>
      <c r="H437" s="61"/>
      <c r="I437" s="61"/>
    </row>
    <row r="438" spans="1:9" x14ac:dyDescent="0.25">
      <c r="A438" s="61"/>
      <c r="B438" s="61"/>
      <c r="C438" s="61"/>
      <c r="D438" s="61"/>
      <c r="E438" s="61"/>
      <c r="F438" s="61"/>
      <c r="G438" s="61"/>
      <c r="H438" s="61"/>
      <c r="I438" s="61"/>
    </row>
    <row r="439" spans="1:9" x14ac:dyDescent="0.25">
      <c r="A439" s="61"/>
      <c r="B439" s="61"/>
      <c r="C439" s="61"/>
      <c r="D439" s="61"/>
      <c r="E439" s="61"/>
      <c r="F439" s="61"/>
      <c r="G439" s="61"/>
      <c r="H439" s="61"/>
      <c r="I439" s="61"/>
    </row>
    <row r="440" spans="1:9" x14ac:dyDescent="0.25">
      <c r="A440" s="61"/>
      <c r="B440" s="61"/>
      <c r="C440" s="61"/>
      <c r="D440" s="61"/>
      <c r="E440" s="61"/>
      <c r="F440" s="61"/>
      <c r="G440" s="61"/>
      <c r="H440" s="61"/>
      <c r="I440" s="61"/>
    </row>
    <row r="441" spans="1:9" x14ac:dyDescent="0.25">
      <c r="A441" s="61"/>
      <c r="B441" s="61"/>
      <c r="C441" s="61"/>
      <c r="D441" s="61"/>
      <c r="E441" s="61"/>
      <c r="F441" s="61"/>
      <c r="G441" s="61"/>
      <c r="H441" s="61"/>
      <c r="I441" s="61"/>
    </row>
    <row r="442" spans="1:9" x14ac:dyDescent="0.25">
      <c r="A442" s="61"/>
      <c r="B442" s="61"/>
      <c r="C442" s="61"/>
      <c r="D442" s="61"/>
      <c r="E442" s="61"/>
      <c r="F442" s="61"/>
      <c r="G442" s="61"/>
      <c r="H442" s="61"/>
      <c r="I442" s="61"/>
    </row>
    <row r="443" spans="1:9" x14ac:dyDescent="0.25">
      <c r="A443" s="61"/>
      <c r="B443" s="61"/>
      <c r="C443" s="61"/>
      <c r="D443" s="61"/>
      <c r="E443" s="61"/>
      <c r="F443" s="61"/>
      <c r="G443" s="61"/>
      <c r="H443" s="61"/>
      <c r="I443" s="61"/>
    </row>
    <row r="444" spans="1:9" x14ac:dyDescent="0.25">
      <c r="A444" s="61"/>
      <c r="B444" s="61"/>
      <c r="C444" s="61"/>
      <c r="D444" s="61"/>
      <c r="E444" s="61"/>
      <c r="F444" s="61"/>
      <c r="G444" s="61"/>
      <c r="H444" s="61"/>
      <c r="I444" s="61"/>
    </row>
    <row r="445" spans="1:9" x14ac:dyDescent="0.25">
      <c r="A445" s="61"/>
      <c r="B445" s="61"/>
      <c r="C445" s="61"/>
      <c r="D445" s="61"/>
      <c r="E445" s="61"/>
      <c r="F445" s="61"/>
      <c r="G445" s="61"/>
      <c r="H445" s="61"/>
      <c r="I445" s="61"/>
    </row>
    <row r="446" spans="1:9" x14ac:dyDescent="0.25">
      <c r="A446" s="61"/>
      <c r="B446" s="61"/>
      <c r="C446" s="61"/>
      <c r="D446" s="61"/>
      <c r="E446" s="61"/>
      <c r="F446" s="61"/>
      <c r="G446" s="61"/>
      <c r="H446" s="61"/>
      <c r="I446" s="61"/>
    </row>
    <row r="447" spans="1:9" x14ac:dyDescent="0.25">
      <c r="A447" s="61"/>
      <c r="B447" s="61"/>
      <c r="C447" s="61"/>
      <c r="D447" s="61"/>
      <c r="E447" s="61"/>
      <c r="F447" s="61"/>
      <c r="G447" s="61"/>
      <c r="H447" s="61"/>
      <c r="I447" s="61"/>
    </row>
    <row r="448" spans="1:9" x14ac:dyDescent="0.25">
      <c r="A448" s="61"/>
      <c r="B448" s="61"/>
      <c r="C448" s="61"/>
      <c r="D448" s="61"/>
      <c r="E448" s="61"/>
      <c r="F448" s="61"/>
      <c r="G448" s="61"/>
      <c r="H448" s="61"/>
      <c r="I448" s="61"/>
    </row>
    <row r="449" spans="1:9" x14ac:dyDescent="0.25">
      <c r="A449" s="61"/>
      <c r="B449" s="61"/>
      <c r="C449" s="61"/>
      <c r="D449" s="61"/>
      <c r="E449" s="61"/>
      <c r="F449" s="61"/>
      <c r="G449" s="61"/>
      <c r="H449" s="61"/>
      <c r="I449" s="61"/>
    </row>
    <row r="450" spans="1:9" x14ac:dyDescent="0.25">
      <c r="A450" s="61"/>
      <c r="B450" s="61"/>
      <c r="C450" s="61"/>
      <c r="D450" s="61"/>
      <c r="E450" s="61"/>
      <c r="F450" s="61"/>
      <c r="G450" s="61"/>
      <c r="H450" s="61"/>
      <c r="I450" s="61"/>
    </row>
    <row r="451" spans="1:9" x14ac:dyDescent="0.25">
      <c r="A451" s="61"/>
      <c r="B451" s="61"/>
      <c r="C451" s="61"/>
      <c r="D451" s="61"/>
      <c r="E451" s="61"/>
      <c r="F451" s="61"/>
      <c r="G451" s="61"/>
      <c r="H451" s="61"/>
      <c r="I451" s="61"/>
    </row>
    <row r="452" spans="1:9" x14ac:dyDescent="0.25">
      <c r="A452" s="61"/>
      <c r="B452" s="61"/>
      <c r="C452" s="61"/>
      <c r="D452" s="61"/>
      <c r="E452" s="61"/>
      <c r="F452" s="61"/>
      <c r="G452" s="61"/>
      <c r="H452" s="61"/>
      <c r="I452" s="61"/>
    </row>
    <row r="453" spans="1:9" x14ac:dyDescent="0.25">
      <c r="A453" s="61"/>
      <c r="B453" s="61"/>
      <c r="C453" s="61"/>
      <c r="D453" s="61"/>
      <c r="E453" s="61"/>
      <c r="F453" s="61"/>
      <c r="G453" s="61"/>
      <c r="H453" s="61"/>
      <c r="I453" s="61"/>
    </row>
    <row r="454" spans="1:9" x14ac:dyDescent="0.25">
      <c r="A454" s="61"/>
      <c r="B454" s="61"/>
      <c r="C454" s="61"/>
      <c r="D454" s="61"/>
      <c r="E454" s="61"/>
      <c r="F454" s="61"/>
      <c r="G454" s="61"/>
      <c r="H454" s="61"/>
      <c r="I454" s="61"/>
    </row>
    <row r="455" spans="1:9" x14ac:dyDescent="0.25">
      <c r="A455" s="61"/>
      <c r="B455" s="61"/>
      <c r="C455" s="61"/>
      <c r="D455" s="61"/>
      <c r="E455" s="61"/>
      <c r="F455" s="61"/>
      <c r="G455" s="61"/>
      <c r="H455" s="61"/>
      <c r="I455" s="61"/>
    </row>
    <row r="456" spans="1:9" x14ac:dyDescent="0.25">
      <c r="A456" s="61"/>
      <c r="B456" s="61"/>
      <c r="C456" s="61"/>
      <c r="D456" s="61"/>
      <c r="E456" s="61"/>
      <c r="F456" s="61"/>
      <c r="G456" s="61"/>
      <c r="H456" s="61"/>
      <c r="I456" s="61"/>
    </row>
  </sheetData>
  <mergeCells count="3">
    <mergeCell ref="A1:P1"/>
    <mergeCell ref="A3:B4"/>
    <mergeCell ref="C3:Y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423"/>
  <sheetViews>
    <sheetView workbookViewId="0">
      <selection activeCell="C5" sqref="C5:Z26"/>
    </sheetView>
  </sheetViews>
  <sheetFormatPr defaultColWidth="8.85546875" defaultRowHeight="15" x14ac:dyDescent="0.25"/>
  <cols>
    <col min="1" max="1" width="8.85546875" style="29"/>
    <col min="2" max="2" width="63.42578125" style="29" bestFit="1" customWidth="1"/>
    <col min="3" max="19" width="8.140625" style="29" customWidth="1"/>
    <col min="20" max="25" width="8.28515625" style="29" customWidth="1"/>
    <col min="26" max="29" width="8.85546875" style="29"/>
    <col min="30" max="30" width="40.5703125" style="29" customWidth="1"/>
    <col min="31" max="16384" width="8.85546875" style="29"/>
  </cols>
  <sheetData>
    <row r="1" spans="1:26" x14ac:dyDescent="0.25">
      <c r="A1" s="262" t="s">
        <v>213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26" x14ac:dyDescent="0.25">
      <c r="A2" s="97"/>
      <c r="B2" s="102"/>
      <c r="C2" s="102"/>
      <c r="D2" s="102"/>
      <c r="E2" s="102"/>
      <c r="F2" s="102"/>
      <c r="G2" s="102"/>
      <c r="H2" s="103"/>
      <c r="I2" s="103"/>
    </row>
    <row r="3" spans="1:26" x14ac:dyDescent="0.25">
      <c r="A3" s="263" t="s">
        <v>1</v>
      </c>
      <c r="B3" s="263"/>
      <c r="C3" s="264" t="s">
        <v>202</v>
      </c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</row>
    <row r="4" spans="1:26" x14ac:dyDescent="0.25">
      <c r="A4" s="263"/>
      <c r="B4" s="263"/>
      <c r="C4" s="130">
        <v>2002</v>
      </c>
      <c r="D4" s="130">
        <v>2003</v>
      </c>
      <c r="E4" s="130">
        <v>2004</v>
      </c>
      <c r="F4" s="130">
        <v>2005</v>
      </c>
      <c r="G4" s="130">
        <v>2006</v>
      </c>
      <c r="H4" s="130">
        <v>2007</v>
      </c>
      <c r="I4" s="130">
        <v>2008</v>
      </c>
      <c r="J4" s="131">
        <v>2009</v>
      </c>
      <c r="K4" s="131">
        <v>2010</v>
      </c>
      <c r="L4" s="131">
        <v>2011</v>
      </c>
      <c r="M4" s="131">
        <v>2012</v>
      </c>
      <c r="N4" s="131">
        <v>2013</v>
      </c>
      <c r="O4" s="131">
        <v>2014</v>
      </c>
      <c r="P4" s="131">
        <v>2015</v>
      </c>
      <c r="Q4" s="131">
        <v>2016</v>
      </c>
      <c r="R4" s="131">
        <v>2017</v>
      </c>
      <c r="S4" s="131">
        <v>2018</v>
      </c>
      <c r="T4" s="131">
        <v>2019</v>
      </c>
      <c r="U4" s="131">
        <v>2020</v>
      </c>
      <c r="V4" s="131">
        <v>2021</v>
      </c>
      <c r="W4" s="131">
        <v>2022</v>
      </c>
      <c r="X4" s="131">
        <v>2023</v>
      </c>
      <c r="Y4" s="131">
        <v>2024</v>
      </c>
    </row>
    <row r="5" spans="1:26" x14ac:dyDescent="0.25">
      <c r="A5" s="105">
        <v>1</v>
      </c>
      <c r="B5" s="83" t="s">
        <v>5</v>
      </c>
      <c r="C5" s="3"/>
      <c r="D5" s="3">
        <v>0.78083034193762058</v>
      </c>
      <c r="E5" s="3">
        <v>0.93948185390410432</v>
      </c>
      <c r="F5" s="3">
        <v>0.4522960809439745</v>
      </c>
      <c r="G5" s="3">
        <v>1.2056100362615132</v>
      </c>
      <c r="H5" s="3">
        <v>0.47029776577672755</v>
      </c>
      <c r="I5" s="3">
        <v>0.48990804549779565</v>
      </c>
      <c r="J5" s="3">
        <v>0.41554728006099434</v>
      </c>
      <c r="K5" s="3">
        <v>1.118647884865549</v>
      </c>
      <c r="L5" s="3">
        <v>0.76442144074374585</v>
      </c>
      <c r="M5" s="3">
        <v>0.60499831143390315</v>
      </c>
      <c r="N5" s="3">
        <v>0.44209907770040091</v>
      </c>
      <c r="O5" s="3">
        <v>0.82472857593595805</v>
      </c>
      <c r="P5" s="3">
        <v>0.43875213216198966</v>
      </c>
      <c r="Q5" s="3">
        <v>0.33486730167909251</v>
      </c>
      <c r="R5" s="3">
        <v>-1.0925130536665099E-2</v>
      </c>
      <c r="S5" s="3">
        <v>-9.9903095606457548E-2</v>
      </c>
      <c r="T5" s="3">
        <v>-5.2725037330362504E-2</v>
      </c>
      <c r="U5" s="3">
        <v>0.53443445845911264</v>
      </c>
      <c r="V5" s="3">
        <v>1.3342449652129276</v>
      </c>
      <c r="W5" s="3">
        <v>0.64726277382626718</v>
      </c>
      <c r="X5" s="3">
        <v>0.51882119028849494</v>
      </c>
      <c r="Y5" s="3">
        <v>1.2331868103984396</v>
      </c>
    </row>
    <row r="6" spans="1:26" x14ac:dyDescent="0.25">
      <c r="A6" s="104"/>
      <c r="B6" s="83" t="s">
        <v>6</v>
      </c>
      <c r="C6" s="4"/>
      <c r="D6" s="4">
        <v>0.71141703877667917</v>
      </c>
      <c r="E6" s="4">
        <v>0.88168323042225982</v>
      </c>
      <c r="F6" s="4">
        <v>0.4124984428005472</v>
      </c>
      <c r="G6" s="4">
        <v>1.0585568715033515</v>
      </c>
      <c r="H6" s="4">
        <v>0.42053181126091049</v>
      </c>
      <c r="I6" s="4">
        <v>0.47329691986395739</v>
      </c>
      <c r="J6" s="4">
        <v>0.36413224209997547</v>
      </c>
      <c r="K6" s="4">
        <v>1.1069825961890227</v>
      </c>
      <c r="L6" s="4">
        <v>0.63869128119778851</v>
      </c>
      <c r="M6" s="4">
        <v>0.52247114211540036</v>
      </c>
      <c r="N6" s="4">
        <v>0.41939458833403331</v>
      </c>
      <c r="O6" s="4">
        <v>0.50901641966123434</v>
      </c>
      <c r="P6" s="4">
        <v>0.25023368791437745</v>
      </c>
      <c r="Q6" s="4">
        <v>0.21225122371653485</v>
      </c>
      <c r="R6" s="4">
        <v>8.2029138694960958E-3</v>
      </c>
      <c r="S6" s="4">
        <v>-3.4589599890313648E-2</v>
      </c>
      <c r="T6" s="4">
        <v>0.15928483052926465</v>
      </c>
      <c r="U6" s="4">
        <v>0.60829431011529778</v>
      </c>
      <c r="V6" s="4">
        <v>0.70721183957577927</v>
      </c>
      <c r="W6" s="4">
        <v>0.56689057173175827</v>
      </c>
      <c r="X6" s="4">
        <v>0.45822369014166436</v>
      </c>
      <c r="Y6" s="4">
        <v>1.1612320348692922</v>
      </c>
    </row>
    <row r="7" spans="1:26" x14ac:dyDescent="0.25">
      <c r="A7" s="104"/>
      <c r="B7" s="104" t="s">
        <v>47</v>
      </c>
      <c r="C7" s="4"/>
      <c r="D7" s="4">
        <v>6.9413303160940604E-2</v>
      </c>
      <c r="E7" s="4">
        <v>5.7798623481846507E-2</v>
      </c>
      <c r="F7" s="4">
        <v>3.9797638143426184E-2</v>
      </c>
      <c r="G7" s="4">
        <v>0.14705316475816116</v>
      </c>
      <c r="H7" s="4">
        <v>4.9765954515819368E-2</v>
      </c>
      <c r="I7" s="4">
        <v>1.6611125633838118E-2</v>
      </c>
      <c r="J7" s="4">
        <v>5.1415037961018532E-2</v>
      </c>
      <c r="K7" s="4">
        <v>1.1665288676525089E-2</v>
      </c>
      <c r="L7" s="4">
        <v>0.1257301595459559</v>
      </c>
      <c r="M7" s="4">
        <v>8.2527169318502749E-2</v>
      </c>
      <c r="N7" s="4">
        <v>2.2704489366367788E-2</v>
      </c>
      <c r="O7" s="4">
        <v>0.31571215627472521</v>
      </c>
      <c r="P7" s="4">
        <v>0.1885184442476131</v>
      </c>
      <c r="Q7" s="4">
        <v>0.12261607796255701</v>
      </c>
      <c r="R7" s="4">
        <v>-1.9128044406163017E-2</v>
      </c>
      <c r="S7" s="4">
        <v>-6.5313495716143075E-2</v>
      </c>
      <c r="T7" s="4">
        <v>-0.21200986785962797</v>
      </c>
      <c r="U7" s="4">
        <v>-7.3859851656182668E-2</v>
      </c>
      <c r="V7" s="4">
        <v>0.62703312563715219</v>
      </c>
      <c r="W7" s="4">
        <v>8.0372202094510417E-2</v>
      </c>
      <c r="X7" s="4">
        <v>6.0597500146832774E-2</v>
      </c>
      <c r="Y7" s="4">
        <v>7.1954775529152401E-2</v>
      </c>
    </row>
    <row r="8" spans="1:26" x14ac:dyDescent="0.25">
      <c r="A8" s="105">
        <v>2</v>
      </c>
      <c r="B8" s="83" t="s">
        <v>7</v>
      </c>
      <c r="C8" s="3"/>
      <c r="D8" s="3">
        <v>0.264887479849784</v>
      </c>
      <c r="E8" s="3">
        <v>7.4144666024716992</v>
      </c>
      <c r="F8" s="3">
        <v>10.011221889088826</v>
      </c>
      <c r="G8" s="3">
        <v>7.4086135040828953</v>
      </c>
      <c r="H8" s="3">
        <v>10.581996927463909</v>
      </c>
      <c r="I8" s="3">
        <v>5.4471934217852969</v>
      </c>
      <c r="J8" s="3">
        <v>-1.8458292781339072</v>
      </c>
      <c r="K8" s="3">
        <v>1.3125205147105643</v>
      </c>
      <c r="L8" s="3">
        <v>-0.37341204443416831</v>
      </c>
      <c r="M8" s="3">
        <v>5.6767538218009923</v>
      </c>
      <c r="N8" s="3">
        <v>2.0897744236673255</v>
      </c>
      <c r="O8" s="3">
        <v>-0.85614683195118801</v>
      </c>
      <c r="P8" s="3">
        <v>1.552822970282542</v>
      </c>
      <c r="Q8" s="3">
        <v>0.29311446528542268</v>
      </c>
      <c r="R8" s="3">
        <v>-0.88811517327361988</v>
      </c>
      <c r="S8" s="3">
        <v>-1.3485100706526054</v>
      </c>
      <c r="T8" s="3">
        <v>-1.1843371409180361</v>
      </c>
      <c r="U8" s="3">
        <v>-4.2202257649009463</v>
      </c>
      <c r="V8" s="3">
        <v>-2.2455717050358528</v>
      </c>
      <c r="W8" s="3">
        <v>1.8665741980301469</v>
      </c>
      <c r="X8" s="3">
        <v>3.8139676287495977E-3</v>
      </c>
      <c r="Y8" s="3">
        <v>1.7367821801019572</v>
      </c>
    </row>
    <row r="9" spans="1:26" x14ac:dyDescent="0.25">
      <c r="A9" s="105"/>
      <c r="B9" s="83" t="s">
        <v>8</v>
      </c>
      <c r="C9" s="4"/>
      <c r="D9" s="4">
        <v>-1.5172859427321173</v>
      </c>
      <c r="E9" s="4">
        <v>4.9060359991475773</v>
      </c>
      <c r="F9" s="4">
        <v>9.1959188154400344</v>
      </c>
      <c r="G9" s="4">
        <v>5.6098873324478085</v>
      </c>
      <c r="H9" s="4">
        <v>8.7496355206649046</v>
      </c>
      <c r="I9" s="4">
        <v>4.424246779884224</v>
      </c>
      <c r="J9" s="4">
        <v>-2.7102328745326938</v>
      </c>
      <c r="K9" s="4">
        <v>-0.54886092356686034</v>
      </c>
      <c r="L9" s="4">
        <v>-1.6737339581289308</v>
      </c>
      <c r="M9" s="4">
        <v>3.2268802145078781</v>
      </c>
      <c r="N9" s="4">
        <v>-0.30381838613855133</v>
      </c>
      <c r="O9" s="4">
        <v>-0.78434635777846573</v>
      </c>
      <c r="P9" s="4">
        <v>2.7151990867432478</v>
      </c>
      <c r="Q9" s="4">
        <v>-0.42002225167536944</v>
      </c>
      <c r="R9" s="4">
        <v>-1.3089429712080589</v>
      </c>
      <c r="S9" s="4">
        <v>-1.4306146272091413</v>
      </c>
      <c r="T9" s="4">
        <v>-1.6208308454075731</v>
      </c>
      <c r="U9" s="4">
        <v>-1.5806597794446759</v>
      </c>
      <c r="V9" s="4">
        <v>-2.2723678546277419</v>
      </c>
      <c r="W9" s="4">
        <v>1.1944833562271682</v>
      </c>
      <c r="X9" s="4">
        <v>-0.49858498486725128</v>
      </c>
      <c r="Y9" s="4">
        <v>0.67900429984096033</v>
      </c>
    </row>
    <row r="10" spans="1:26" x14ac:dyDescent="0.25">
      <c r="A10" s="105"/>
      <c r="B10" s="83" t="s">
        <v>9</v>
      </c>
      <c r="C10" s="4"/>
      <c r="D10" s="4">
        <v>0.49424407553541855</v>
      </c>
      <c r="E10" s="4">
        <v>0.19188628263406846</v>
      </c>
      <c r="F10" s="4">
        <v>-0.40077221529610924</v>
      </c>
      <c r="G10" s="4">
        <v>0.65684724458585975</v>
      </c>
      <c r="H10" s="4">
        <v>0.31133736810504936</v>
      </c>
      <c r="I10" s="4">
        <v>-2.5732720643066545E-2</v>
      </c>
      <c r="J10" s="4">
        <v>4.1625735981746348E-2</v>
      </c>
      <c r="K10" s="4">
        <v>-4.3819029637203459E-2</v>
      </c>
      <c r="L10" s="4">
        <v>2.5540428635337856E-2</v>
      </c>
      <c r="M10" s="4">
        <v>-1.4982551886249213E-2</v>
      </c>
      <c r="N10" s="4">
        <v>2.4259074920338675E-2</v>
      </c>
      <c r="O10" s="4">
        <v>3.9646067743626095E-3</v>
      </c>
      <c r="P10" s="4">
        <v>3.9740504357827673E-2</v>
      </c>
      <c r="Q10" s="4">
        <v>1.6499447359262357E-4</v>
      </c>
      <c r="R10" s="4">
        <v>-5.1722916268708936E-3</v>
      </c>
      <c r="S10" s="4">
        <v>-1.664886989331666E-2</v>
      </c>
      <c r="T10" s="4">
        <v>3.515697408479275E-2</v>
      </c>
      <c r="U10" s="4">
        <v>-0.10603209841043586</v>
      </c>
      <c r="V10" s="4">
        <v>0.16850906271924407</v>
      </c>
      <c r="W10" s="4">
        <v>6.9252897621517095E-2</v>
      </c>
      <c r="X10" s="4">
        <v>0.14682547443944061</v>
      </c>
      <c r="Y10" s="4">
        <v>0.56181737292160816</v>
      </c>
    </row>
    <row r="11" spans="1:26" x14ac:dyDescent="0.25">
      <c r="A11" s="105"/>
      <c r="B11" s="83" t="s">
        <v>10</v>
      </c>
      <c r="C11" s="4"/>
      <c r="D11" s="4">
        <v>0.23213378902507184</v>
      </c>
      <c r="E11" s="4">
        <v>0.77152603472677628</v>
      </c>
      <c r="F11" s="4">
        <v>0.37185839607507332</v>
      </c>
      <c r="G11" s="4">
        <v>0.31635155462891973</v>
      </c>
      <c r="H11" s="4">
        <v>0.13684639268606677</v>
      </c>
      <c r="I11" s="4">
        <v>0.13551498446570251</v>
      </c>
      <c r="J11" s="4">
        <v>0.33587199877989332</v>
      </c>
      <c r="K11" s="4">
        <v>0.45364970894902412</v>
      </c>
      <c r="L11" s="4">
        <v>0.4385105074363907</v>
      </c>
      <c r="M11" s="4">
        <v>0.33455890260268428</v>
      </c>
      <c r="N11" s="4">
        <v>0.34272059894173323</v>
      </c>
      <c r="O11" s="4">
        <v>-0.28581128355299068</v>
      </c>
      <c r="P11" s="4">
        <v>0.22237563179259059</v>
      </c>
      <c r="Q11" s="4">
        <v>0.26522492191475228</v>
      </c>
      <c r="R11" s="4">
        <v>9.3732189366717594E-2</v>
      </c>
      <c r="S11" s="4">
        <v>6.862151580274517E-2</v>
      </c>
      <c r="T11" s="4">
        <v>-0.1500569551144918</v>
      </c>
      <c r="U11" s="4">
        <v>0.26141007436851543</v>
      </c>
      <c r="V11" s="4">
        <v>0.36904725181464615</v>
      </c>
      <c r="W11" s="4">
        <v>0.1857815526070988</v>
      </c>
      <c r="X11" s="4">
        <v>0.36476453579588269</v>
      </c>
      <c r="Y11" s="4">
        <v>0.31299797077971642</v>
      </c>
    </row>
    <row r="12" spans="1:26" x14ac:dyDescent="0.25">
      <c r="A12" s="105"/>
      <c r="B12" s="83" t="s">
        <v>204</v>
      </c>
      <c r="C12" s="4"/>
      <c r="D12" s="4">
        <v>0.10151669543009678</v>
      </c>
      <c r="E12" s="4">
        <v>0.17473957168865106</v>
      </c>
      <c r="F12" s="4">
        <v>8.1831649936596876E-2</v>
      </c>
      <c r="G12" s="4">
        <v>0.14537453073995771</v>
      </c>
      <c r="H12" s="4">
        <v>0.12387718767648422</v>
      </c>
      <c r="I12" s="4">
        <v>0.18119056330719926</v>
      </c>
      <c r="J12" s="4">
        <v>7.2914287531550298E-2</v>
      </c>
      <c r="K12" s="4">
        <v>0.14810091135918749</v>
      </c>
      <c r="L12" s="4">
        <v>4.7075127455234941E-2</v>
      </c>
      <c r="M12" s="4">
        <v>9.6521475129477383E-2</v>
      </c>
      <c r="N12" s="4">
        <v>0.22496689766257205</v>
      </c>
      <c r="O12" s="4">
        <v>3.6886699740046991E-2</v>
      </c>
      <c r="P12" s="4">
        <v>9.8453355352027025E-2</v>
      </c>
      <c r="Q12" s="4">
        <v>0.1063174838117642</v>
      </c>
      <c r="R12" s="4">
        <v>-2.1007733530559822E-2</v>
      </c>
      <c r="S12" s="4">
        <v>3.0866357882344223E-2</v>
      </c>
      <c r="T12" s="4">
        <v>5.3193291869220137E-2</v>
      </c>
      <c r="U12" s="4">
        <v>3.835912411921099E-2</v>
      </c>
      <c r="V12" s="4">
        <v>2.7471906997941005E-2</v>
      </c>
      <c r="W12" s="4">
        <v>7.2107298231740447E-2</v>
      </c>
      <c r="X12" s="4">
        <v>7.9569596290502392E-2</v>
      </c>
      <c r="Y12" s="4">
        <v>6.5564033733548494E-2</v>
      </c>
    </row>
    <row r="13" spans="1:26" x14ac:dyDescent="0.25">
      <c r="A13" s="105"/>
      <c r="B13" s="83" t="s">
        <v>11</v>
      </c>
      <c r="C13" s="4"/>
      <c r="D13" s="4">
        <v>0.95427886259131789</v>
      </c>
      <c r="E13" s="4">
        <v>1.3702787142746209</v>
      </c>
      <c r="F13" s="4">
        <v>0.76238524293322874</v>
      </c>
      <c r="G13" s="4">
        <v>0.68015284168035239</v>
      </c>
      <c r="H13" s="4">
        <v>1.2603004583314084</v>
      </c>
      <c r="I13" s="4">
        <v>0.73197381477122647</v>
      </c>
      <c r="J13" s="4">
        <v>0.41399157410559484</v>
      </c>
      <c r="K13" s="4">
        <v>1.3034498476064205</v>
      </c>
      <c r="L13" s="4">
        <v>0.78919585016780402</v>
      </c>
      <c r="M13" s="4">
        <v>2.0337757814471753</v>
      </c>
      <c r="N13" s="4">
        <v>1.8016462382812268</v>
      </c>
      <c r="O13" s="4">
        <v>0.17315950286585532</v>
      </c>
      <c r="P13" s="4">
        <v>-1.5229456079631387</v>
      </c>
      <c r="Q13" s="4">
        <v>0.34142931676068672</v>
      </c>
      <c r="R13" s="4">
        <v>0.35327563372515192</v>
      </c>
      <c r="S13" s="4">
        <v>-7.3444723523883682E-4</v>
      </c>
      <c r="T13" s="4">
        <v>0.49820039365002555</v>
      </c>
      <c r="U13" s="4">
        <v>-2.8333030855335677</v>
      </c>
      <c r="V13" s="4">
        <v>-0.53823207193995493</v>
      </c>
      <c r="W13" s="4">
        <v>0.34494909334262008</v>
      </c>
      <c r="X13" s="4">
        <v>-8.8760654029823458E-2</v>
      </c>
      <c r="Y13" s="4">
        <v>0.11739850282611189</v>
      </c>
    </row>
    <row r="14" spans="1:26" x14ac:dyDescent="0.25">
      <c r="A14" s="105">
        <v>3</v>
      </c>
      <c r="B14" s="104" t="s">
        <v>12</v>
      </c>
      <c r="C14" s="3"/>
      <c r="D14" s="3">
        <v>1.8806673746318798</v>
      </c>
      <c r="E14" s="3">
        <v>3.2941624134536127</v>
      </c>
      <c r="F14" s="3">
        <v>3.6028070656368554</v>
      </c>
      <c r="G14" s="3">
        <v>3.3831057484375537</v>
      </c>
      <c r="H14" s="3">
        <v>1.7840915763780805</v>
      </c>
      <c r="I14" s="3">
        <v>4.2973104280058925</v>
      </c>
      <c r="J14" s="3">
        <v>3.425871095962338</v>
      </c>
      <c r="K14" s="3">
        <v>3.048212743358532</v>
      </c>
      <c r="L14" s="3">
        <v>3.6951403876013087</v>
      </c>
      <c r="M14" s="3">
        <v>2.4444088937737773</v>
      </c>
      <c r="N14" s="3">
        <v>2.4493434438079031</v>
      </c>
      <c r="O14" s="3">
        <v>4.6530541395054437</v>
      </c>
      <c r="P14" s="3">
        <v>-0.61942986854638316</v>
      </c>
      <c r="Q14" s="3">
        <v>-1.9553236156110103</v>
      </c>
      <c r="R14" s="3">
        <v>0.60258787186774554</v>
      </c>
      <c r="S14" s="3">
        <v>0.71380679903188338</v>
      </c>
      <c r="T14" s="3">
        <v>1.0111213579124998</v>
      </c>
      <c r="U14" s="3">
        <v>-1.5870380492957785</v>
      </c>
      <c r="V14" s="3">
        <v>3.2547437619499973</v>
      </c>
      <c r="W14" s="3">
        <v>1.9944036263324854</v>
      </c>
      <c r="X14" s="3">
        <v>1.1080355478795978</v>
      </c>
      <c r="Y14" s="3">
        <v>1.8653049101254819</v>
      </c>
    </row>
    <row r="15" spans="1:26" x14ac:dyDescent="0.25">
      <c r="A15" s="105"/>
      <c r="B15" s="104" t="s">
        <v>13</v>
      </c>
      <c r="C15" s="4"/>
      <c r="D15" s="4">
        <v>0.60663995645673463</v>
      </c>
      <c r="E15" s="4">
        <v>0.66663549330284422</v>
      </c>
      <c r="F15" s="4">
        <v>1.1206616002576206</v>
      </c>
      <c r="G15" s="4">
        <v>0.42122782787530544</v>
      </c>
      <c r="H15" s="4">
        <v>1.0921361857816936</v>
      </c>
      <c r="I15" s="4">
        <v>1.4571361497563298</v>
      </c>
      <c r="J15" s="4">
        <v>0.62017273750774482</v>
      </c>
      <c r="K15" s="4">
        <v>0.93332269926281874</v>
      </c>
      <c r="L15" s="4">
        <v>0.89535672644531616</v>
      </c>
      <c r="M15" s="4">
        <v>0.67847489047239484</v>
      </c>
      <c r="N15" s="4">
        <v>0.56245854136894757</v>
      </c>
      <c r="O15" s="4">
        <v>2.6249588264910821</v>
      </c>
      <c r="P15" s="4">
        <v>-0.4594534323498648</v>
      </c>
      <c r="Q15" s="4">
        <v>-0.78343550589839384</v>
      </c>
      <c r="R15" s="4">
        <v>2.0163243590553367E-2</v>
      </c>
      <c r="S15" s="4">
        <v>7.7589069027298105E-3</v>
      </c>
      <c r="T15" s="4">
        <v>0.29268547955266877</v>
      </c>
      <c r="U15" s="4">
        <v>0.54535001959626683</v>
      </c>
      <c r="V15" s="4">
        <v>2.5247087313079373</v>
      </c>
      <c r="W15" s="4">
        <v>0.20518039720352924</v>
      </c>
      <c r="X15" s="4">
        <v>0.46202818403824325</v>
      </c>
      <c r="Y15" s="4">
        <v>0.26753147771256347</v>
      </c>
      <c r="Z15" s="128"/>
    </row>
    <row r="16" spans="1:26" x14ac:dyDescent="0.25">
      <c r="A16" s="105"/>
      <c r="B16" s="104" t="s">
        <v>25</v>
      </c>
      <c r="C16" s="4"/>
      <c r="D16" s="4">
        <v>9.7235787188688139E-2</v>
      </c>
      <c r="E16" s="4">
        <v>0.15592465682744625</v>
      </c>
      <c r="F16" s="4">
        <v>-3.8127934315776046E-2</v>
      </c>
      <c r="G16" s="4">
        <v>0.19434335918095616</v>
      </c>
      <c r="H16" s="4">
        <v>0.13122417056111774</v>
      </c>
      <c r="I16" s="4">
        <v>0.1511380862177697</v>
      </c>
      <c r="J16" s="4">
        <v>0.21894227657977158</v>
      </c>
      <c r="K16" s="4">
        <v>0.2611733253424226</v>
      </c>
      <c r="L16" s="4">
        <v>0.13536263267709087</v>
      </c>
      <c r="M16" s="4">
        <v>-0.15134729044333073</v>
      </c>
      <c r="N16" s="4">
        <v>0.37467490528594627</v>
      </c>
      <c r="O16" s="4">
        <v>2.3034328307959148E-2</v>
      </c>
      <c r="P16" s="4">
        <v>1.5455345088773343E-2</v>
      </c>
      <c r="Q16" s="4">
        <v>2.0538769923120481E-2</v>
      </c>
      <c r="R16" s="4">
        <v>-1.4591581687790794E-2</v>
      </c>
      <c r="S16" s="4">
        <v>7.4968879286621722E-4</v>
      </c>
      <c r="T16" s="4">
        <v>9.3004170280805484E-3</v>
      </c>
      <c r="U16" s="4">
        <v>-9.6962311136036632E-4</v>
      </c>
      <c r="V16" s="4">
        <v>-0.44892155138637369</v>
      </c>
      <c r="W16" s="4">
        <v>6.6888749824704302E-2</v>
      </c>
      <c r="X16" s="4">
        <v>-5.3943019189139178E-2</v>
      </c>
      <c r="Y16" s="4">
        <v>0.10990376812947747</v>
      </c>
      <c r="Z16" s="128"/>
    </row>
    <row r="17" spans="1:26" x14ac:dyDescent="0.25">
      <c r="A17" s="106"/>
      <c r="B17" s="104" t="s">
        <v>14</v>
      </c>
      <c r="C17" s="4"/>
      <c r="D17" s="4">
        <v>3.9999767751777014E-2</v>
      </c>
      <c r="E17" s="4">
        <v>0.31614282365568108</v>
      </c>
      <c r="F17" s="4">
        <v>0.41211778072869987</v>
      </c>
      <c r="G17" s="4">
        <v>0.24729692284412719</v>
      </c>
      <c r="H17" s="4">
        <v>0.30543681126675898</v>
      </c>
      <c r="I17" s="4">
        <v>0.77994174660132465</v>
      </c>
      <c r="J17" s="4">
        <v>0.19725914737041936</v>
      </c>
      <c r="K17" s="4">
        <v>0.59254097176797738</v>
      </c>
      <c r="L17" s="4">
        <v>0.61000435947305953</v>
      </c>
      <c r="M17" s="4">
        <v>0.50080370518714634</v>
      </c>
      <c r="N17" s="4">
        <v>0.26554017521784451</v>
      </c>
      <c r="O17" s="4">
        <v>0.57345465287230823</v>
      </c>
      <c r="P17" s="4">
        <v>0.38785496294520561</v>
      </c>
      <c r="Q17" s="4">
        <v>0.19839386057589228</v>
      </c>
      <c r="R17" s="4">
        <v>0.13187988803940914</v>
      </c>
      <c r="S17" s="4">
        <v>-6.8461169374040296E-3</v>
      </c>
      <c r="T17" s="4">
        <v>0.27718100696060261</v>
      </c>
      <c r="U17" s="4">
        <v>-1.449779111237387</v>
      </c>
      <c r="V17" s="4">
        <v>0.66879232949854039</v>
      </c>
      <c r="W17" s="4">
        <v>0.83516383943021544</v>
      </c>
      <c r="X17" s="4">
        <v>2.3552223721347933E-2</v>
      </c>
      <c r="Y17" s="4">
        <v>0.42401164580114453</v>
      </c>
    </row>
    <row r="18" spans="1:26" x14ac:dyDescent="0.25">
      <c r="A18" s="106"/>
      <c r="B18" s="89" t="s">
        <v>203</v>
      </c>
      <c r="C18" s="4"/>
      <c r="D18" s="4">
        <v>4.5305575632776089E-2</v>
      </c>
      <c r="E18" s="4">
        <v>3.5651686208986733E-2</v>
      </c>
      <c r="F18" s="4">
        <v>-0.1508795413838338</v>
      </c>
      <c r="G18" s="4">
        <v>0.1384627640377015</v>
      </c>
      <c r="H18" s="4">
        <v>0.12956874055587286</v>
      </c>
      <c r="I18" s="4">
        <v>0.52327547359829618</v>
      </c>
      <c r="J18" s="4">
        <v>0.31694484162253644</v>
      </c>
      <c r="K18" s="4">
        <v>0.14062961303707636</v>
      </c>
      <c r="L18" s="4">
        <v>1.352375900886392</v>
      </c>
      <c r="M18" s="4">
        <v>0.12972421259116909</v>
      </c>
      <c r="N18" s="4">
        <v>0.39945546558524669</v>
      </c>
      <c r="O18" s="4">
        <v>0.21068143216408361</v>
      </c>
      <c r="P18" s="4">
        <v>-6.0381974191901647E-3</v>
      </c>
      <c r="Q18" s="4">
        <v>-0.12565329405226475</v>
      </c>
      <c r="R18" s="4">
        <v>1.6953528972178025E-2</v>
      </c>
      <c r="S18" s="4">
        <v>-2.7365491417334826E-4</v>
      </c>
      <c r="T18" s="4">
        <v>-2.2784187548789379E-2</v>
      </c>
      <c r="U18" s="4">
        <v>-0.10748002850566288</v>
      </c>
      <c r="V18" s="4">
        <v>1.2147640910260316E-2</v>
      </c>
      <c r="W18" s="4">
        <v>-3.1269309738831588E-2</v>
      </c>
      <c r="X18" s="4">
        <v>7.1046333224635879E-3</v>
      </c>
      <c r="Y18" s="4">
        <v>5.6819331308283184E-2</v>
      </c>
    </row>
    <row r="19" spans="1:26" x14ac:dyDescent="0.25">
      <c r="A19" s="106"/>
      <c r="B19" s="89" t="s">
        <v>15</v>
      </c>
      <c r="C19" s="4"/>
      <c r="D19" s="4">
        <v>0.10125432320128164</v>
      </c>
      <c r="E19" s="4">
        <v>5.5255400096475282E-2</v>
      </c>
      <c r="F19" s="4">
        <v>0.34072456377296056</v>
      </c>
      <c r="G19" s="4">
        <v>0.23866443322569578</v>
      </c>
      <c r="H19" s="4">
        <v>7.3821958338492283E-2</v>
      </c>
      <c r="I19" s="4">
        <v>0.16792785976159144</v>
      </c>
      <c r="J19" s="4">
        <v>8.7031493172075647E-2</v>
      </c>
      <c r="K19" s="4">
        <v>5.263199632902929E-2</v>
      </c>
      <c r="L19" s="4">
        <v>4.198321399033425E-2</v>
      </c>
      <c r="M19" s="4">
        <v>7.1995234527680047E-3</v>
      </c>
      <c r="N19" s="4">
        <v>-5.6904929077648901E-2</v>
      </c>
      <c r="O19" s="4">
        <v>-0.18268631755469505</v>
      </c>
      <c r="P19" s="4">
        <v>0.24873198221960174</v>
      </c>
      <c r="Q19" s="4">
        <v>3.5654352274762144E-2</v>
      </c>
      <c r="R19" s="4">
        <v>-0.20693432967169986</v>
      </c>
      <c r="S19" s="4">
        <v>0.52796855428673672</v>
      </c>
      <c r="T19" s="4">
        <v>-0.17025032902256854</v>
      </c>
      <c r="U19" s="4">
        <v>-0.10373932180323817</v>
      </c>
      <c r="V19" s="4">
        <v>-0.35991549630235964</v>
      </c>
      <c r="W19" s="4">
        <v>-0.11817250883052667</v>
      </c>
      <c r="X19" s="4">
        <v>-6.4622132070242838E-2</v>
      </c>
      <c r="Y19" s="4">
        <v>3.0681889450617641E-2</v>
      </c>
    </row>
    <row r="20" spans="1:26" x14ac:dyDescent="0.25">
      <c r="A20" s="106"/>
      <c r="B20" s="89" t="s">
        <v>16</v>
      </c>
      <c r="C20" s="4"/>
      <c r="D20" s="4">
        <v>0.67089207769981896</v>
      </c>
      <c r="E20" s="4">
        <v>1.0543324072908293</v>
      </c>
      <c r="F20" s="4">
        <v>1.1974609449264935</v>
      </c>
      <c r="G20" s="4">
        <v>1.0457638574465775</v>
      </c>
      <c r="H20" s="4">
        <v>0.84617495873172532</v>
      </c>
      <c r="I20" s="4">
        <v>0.60408226568724921</v>
      </c>
      <c r="J20" s="4">
        <v>1.5609437993795292</v>
      </c>
      <c r="K20" s="4">
        <v>0.27257358904561912</v>
      </c>
      <c r="L20" s="4">
        <v>3.5443721675182734E-2</v>
      </c>
      <c r="M20" s="4">
        <v>0.34642328082158819</v>
      </c>
      <c r="N20" s="4">
        <v>0.62563499058832661</v>
      </c>
      <c r="O20" s="4">
        <v>0.90995932773761767</v>
      </c>
      <c r="P20" s="4">
        <v>-0.40539731022967429</v>
      </c>
      <c r="Q20" s="4">
        <v>-1.9104402499277271</v>
      </c>
      <c r="R20" s="4">
        <v>2.8805080935366534E-2</v>
      </c>
      <c r="S20" s="4">
        <v>0.20077568321889799</v>
      </c>
      <c r="T20" s="4">
        <v>0.19467823894125114</v>
      </c>
      <c r="U20" s="4">
        <v>-0.46581691954341875</v>
      </c>
      <c r="V20" s="4">
        <v>0.23585925430451773</v>
      </c>
      <c r="W20" s="4">
        <v>0.62832669349928449</v>
      </c>
      <c r="X20" s="4">
        <v>0.35593015154328422</v>
      </c>
      <c r="Y20" s="4">
        <v>0.44443325350221979</v>
      </c>
    </row>
    <row r="21" spans="1:26" x14ac:dyDescent="0.25">
      <c r="A21" s="106"/>
      <c r="B21" s="89" t="s">
        <v>17</v>
      </c>
      <c r="C21" s="4"/>
      <c r="D21" s="4">
        <v>0.16068016219460945</v>
      </c>
      <c r="E21" s="4">
        <v>0.10024209031350248</v>
      </c>
      <c r="F21" s="4">
        <v>0.27804133236173495</v>
      </c>
      <c r="G21" s="4">
        <v>0.25410392709206669</v>
      </c>
      <c r="H21" s="4">
        <v>0.19138651684849387</v>
      </c>
      <c r="I21" s="4">
        <v>0.41467230425116408</v>
      </c>
      <c r="J21" s="4">
        <v>0.25702762743136764</v>
      </c>
      <c r="K21" s="4">
        <v>0.28107924728209188</v>
      </c>
      <c r="L21" s="4">
        <v>0.22022919904135047</v>
      </c>
      <c r="M21" s="4">
        <v>0.66152046385479901</v>
      </c>
      <c r="N21" s="4">
        <v>0.10499983671976275</v>
      </c>
      <c r="O21" s="4">
        <v>-0.12483760052485152</v>
      </c>
      <c r="P21" s="4">
        <v>1.4838600075171467E-2</v>
      </c>
      <c r="Q21" s="4">
        <v>0.11288435974607963</v>
      </c>
      <c r="R21" s="4">
        <v>0.13064541022820339</v>
      </c>
      <c r="S21" s="4">
        <v>1.3537060694325854E-2</v>
      </c>
      <c r="T21" s="4">
        <v>9.320429823129972E-2</v>
      </c>
      <c r="U21" s="4">
        <v>-0.17312102363831566</v>
      </c>
      <c r="V21" s="4">
        <v>0.10674010266668368</v>
      </c>
      <c r="W21" s="4">
        <v>8.9552183156214452E-2</v>
      </c>
      <c r="X21" s="4">
        <v>8.7329667018887058E-2</v>
      </c>
      <c r="Y21" s="4">
        <v>6.7003192417809027E-2</v>
      </c>
    </row>
    <row r="22" spans="1:26" x14ac:dyDescent="0.25">
      <c r="A22" s="106"/>
      <c r="B22" s="89" t="s">
        <v>18</v>
      </c>
      <c r="C22" s="4"/>
      <c r="D22" s="4">
        <v>0.15865972450618845</v>
      </c>
      <c r="E22" s="4">
        <v>0.90997785575785206</v>
      </c>
      <c r="F22" s="4">
        <v>0.44280831928896958</v>
      </c>
      <c r="G22" s="4">
        <v>0.84324265673512244</v>
      </c>
      <c r="H22" s="4">
        <v>-0.98565776570607011</v>
      </c>
      <c r="I22" s="4">
        <v>0.19913654213215684</v>
      </c>
      <c r="J22" s="4">
        <v>0.16754917289888124</v>
      </c>
      <c r="K22" s="4">
        <v>0.51426130129149672</v>
      </c>
      <c r="L22" s="4">
        <v>0.40438463341258046</v>
      </c>
      <c r="M22" s="4">
        <v>0.27161010783723005</v>
      </c>
      <c r="N22" s="4">
        <v>0.17348445811947991</v>
      </c>
      <c r="O22" s="4">
        <v>0.61848949001192832</v>
      </c>
      <c r="P22" s="4">
        <v>-0.41542181887640878</v>
      </c>
      <c r="Q22" s="4">
        <v>0.49673409174760591</v>
      </c>
      <c r="R22" s="4">
        <v>0.49566663146157813</v>
      </c>
      <c r="S22" s="4">
        <v>2.6574227987736496E-2</v>
      </c>
      <c r="T22" s="4">
        <v>0.33710643376997923</v>
      </c>
      <c r="U22" s="4">
        <v>0.16851795894733404</v>
      </c>
      <c r="V22" s="4">
        <v>0.51533275095079234</v>
      </c>
      <c r="W22" s="4">
        <v>0.31873358178785555</v>
      </c>
      <c r="X22" s="4">
        <v>0.29065583949471552</v>
      </c>
      <c r="Y22" s="4">
        <v>0.46492035180336388</v>
      </c>
    </row>
    <row r="23" spans="1:26" x14ac:dyDescent="0.25">
      <c r="A23" s="84"/>
      <c r="B23" s="83" t="s">
        <v>48</v>
      </c>
      <c r="C23" s="3"/>
      <c r="D23" s="3">
        <v>2.9263851964192842</v>
      </c>
      <c r="E23" s="3">
        <v>11.648110869829429</v>
      </c>
      <c r="F23" s="3">
        <v>14.066325035669641</v>
      </c>
      <c r="G23" s="3">
        <v>11.99732928878197</v>
      </c>
      <c r="H23" s="3">
        <v>12.836386269618687</v>
      </c>
      <c r="I23" s="3">
        <v>10.234411895288991</v>
      </c>
      <c r="J23" s="3">
        <v>1.995589097889412</v>
      </c>
      <c r="K23" s="3">
        <v>5.4793811429346331</v>
      </c>
      <c r="L23" s="3">
        <v>4.0861497839108587</v>
      </c>
      <c r="M23" s="3">
        <v>8.7261610270086756</v>
      </c>
      <c r="N23" s="3">
        <v>4.9812169451756461</v>
      </c>
      <c r="O23" s="3">
        <v>4.6216358834902085</v>
      </c>
      <c r="P23" s="3">
        <v>1.3721452338981599</v>
      </c>
      <c r="Q23" s="3">
        <v>-1.3273418486464923</v>
      </c>
      <c r="R23" s="3">
        <v>-0.29645243194252979</v>
      </c>
      <c r="S23" s="3">
        <v>-0.2960390356712333</v>
      </c>
      <c r="T23" s="3">
        <v>-0.22594082033589644</v>
      </c>
      <c r="U23" s="3">
        <v>-5.2728293557376249</v>
      </c>
      <c r="V23" s="3">
        <v>2.3434170221270612</v>
      </c>
      <c r="W23" s="3">
        <v>4.5082405981889044</v>
      </c>
      <c r="X23" s="3">
        <v>1.6306707057968155</v>
      </c>
      <c r="Y23" s="3">
        <v>4.8352739006258885</v>
      </c>
    </row>
    <row r="24" spans="1:26" x14ac:dyDescent="0.25">
      <c r="A24" s="106"/>
      <c r="B24" s="107" t="s">
        <v>20</v>
      </c>
      <c r="C24" s="4"/>
      <c r="D24" s="4">
        <v>0.41336367215323733</v>
      </c>
      <c r="E24" s="4">
        <v>0.14667404419161512</v>
      </c>
      <c r="F24" s="4">
        <v>0.34999700498339764</v>
      </c>
      <c r="G24" s="4">
        <v>0.16911970105154267</v>
      </c>
      <c r="H24" s="4">
        <v>0.35921564329967309</v>
      </c>
      <c r="I24" s="4">
        <v>0.49883536541890539</v>
      </c>
      <c r="J24" s="4">
        <v>0</v>
      </c>
      <c r="K24" s="4">
        <v>0.26988240146807058</v>
      </c>
      <c r="L24" s="4">
        <v>-0.13973654074533326</v>
      </c>
      <c r="M24" s="4">
        <v>-5.435673235111968E-2</v>
      </c>
      <c r="N24" s="4">
        <v>0.42216122063774375</v>
      </c>
      <c r="O24" s="4">
        <v>0.18892967203479824</v>
      </c>
      <c r="P24" s="4">
        <v>-0.27091407252347266</v>
      </c>
      <c r="Q24" s="4">
        <v>4.7035952814851706E-2</v>
      </c>
      <c r="R24" s="4">
        <v>-1.3836897200991103E-2</v>
      </c>
      <c r="S24" s="4">
        <v>0.16338531780987064</v>
      </c>
      <c r="T24" s="4">
        <v>-0.89198607272187491</v>
      </c>
      <c r="U24" s="4">
        <v>1.2870013426093867</v>
      </c>
      <c r="V24" s="4">
        <v>-0.30701188041555766</v>
      </c>
      <c r="W24" s="4">
        <v>-0.12333089504600661</v>
      </c>
      <c r="X24" s="4">
        <v>-0.34454732037350622</v>
      </c>
      <c r="Y24" s="4">
        <v>-0.13337652872998823</v>
      </c>
    </row>
    <row r="25" spans="1:26" x14ac:dyDescent="0.25">
      <c r="A25" s="106"/>
      <c r="B25" s="107" t="s">
        <v>21</v>
      </c>
      <c r="C25" s="4"/>
      <c r="D25" s="4">
        <v>-0.14756353240269673</v>
      </c>
      <c r="E25" s="4">
        <v>0.37492152356257391</v>
      </c>
      <c r="F25" s="4">
        <v>0.26154450625754583</v>
      </c>
      <c r="G25" s="4">
        <v>0.32463111412925499</v>
      </c>
      <c r="H25" s="4">
        <v>0.19291296712094921</v>
      </c>
      <c r="I25" s="4">
        <v>-5.338878895041272E-2</v>
      </c>
      <c r="J25" s="4">
        <v>0</v>
      </c>
      <c r="K25" s="4">
        <v>0.45559781620272977</v>
      </c>
      <c r="L25" s="4">
        <v>0.35254364076394457</v>
      </c>
      <c r="M25" s="4">
        <v>0.16868145599089604</v>
      </c>
      <c r="N25" s="4">
        <v>0.52031686892953033</v>
      </c>
      <c r="O25" s="4">
        <v>0.15484199236937954</v>
      </c>
      <c r="P25" s="4">
        <v>0.33805345045966101</v>
      </c>
      <c r="Q25" s="4">
        <v>-1.047228941026312</v>
      </c>
      <c r="R25" s="4">
        <v>-0.14560067218205563</v>
      </c>
      <c r="S25" s="4">
        <v>-6.452350580118163E-2</v>
      </c>
      <c r="T25" s="4">
        <v>-6.2692748114812138E-2</v>
      </c>
      <c r="U25" s="4">
        <v>1.2876632698720458</v>
      </c>
      <c r="V25" s="4">
        <v>0.9458214422633886</v>
      </c>
      <c r="W25" s="4">
        <v>0.82741763638635013</v>
      </c>
      <c r="X25" s="4">
        <v>-3.4042485387026797E-2</v>
      </c>
      <c r="Y25" s="4">
        <v>-0.25078123236398103</v>
      </c>
    </row>
    <row r="26" spans="1:26" x14ac:dyDescent="0.25">
      <c r="A26" s="110"/>
      <c r="B26" s="83" t="s">
        <v>22</v>
      </c>
      <c r="C26" s="3"/>
      <c r="D26" s="3">
        <v>3.4873124009752163</v>
      </c>
      <c r="E26" s="3">
        <v>11.41986339045846</v>
      </c>
      <c r="F26" s="3">
        <v>14.154777534395517</v>
      </c>
      <c r="G26" s="3">
        <v>11.841817875704251</v>
      </c>
      <c r="H26" s="3">
        <v>13.002688945797454</v>
      </c>
      <c r="I26" s="3">
        <v>10.786636049658282</v>
      </c>
      <c r="J26" s="3">
        <v>1.9955890978894111</v>
      </c>
      <c r="K26" s="3">
        <v>5.293665728199989</v>
      </c>
      <c r="L26" s="3">
        <v>3.5938696024016106</v>
      </c>
      <c r="M26" s="3">
        <v>8.5031228386666164</v>
      </c>
      <c r="N26" s="3">
        <v>4.8830612968838398</v>
      </c>
      <c r="O26" s="3">
        <v>4.6557235631556191</v>
      </c>
      <c r="P26" s="3">
        <v>0.76317771091502595</v>
      </c>
      <c r="Q26" s="3">
        <v>-0.23307695480524337</v>
      </c>
      <c r="R26" s="3">
        <v>-0.16468865696142471</v>
      </c>
      <c r="S26" s="3">
        <v>-0.45025999261629646</v>
      </c>
      <c r="T26" s="3">
        <v>-1.0552341449429283</v>
      </c>
      <c r="U26" s="3">
        <v>-5.2734912830002774</v>
      </c>
      <c r="V26" s="3">
        <v>1.0905836994481177</v>
      </c>
      <c r="W26" s="3">
        <v>3.5574920667565015</v>
      </c>
      <c r="X26" s="3">
        <v>1.3201658708103279</v>
      </c>
      <c r="Y26" s="3">
        <v>4.9526786042598623</v>
      </c>
      <c r="Z26" s="128"/>
    </row>
    <row r="27" spans="1:26" x14ac:dyDescent="0.25">
      <c r="B27" s="98" t="s">
        <v>23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</row>
    <row r="28" spans="1:26" x14ac:dyDescent="0.25">
      <c r="B28" s="98"/>
      <c r="C28" s="60"/>
      <c r="D28" s="60"/>
      <c r="H28" s="108"/>
      <c r="I28" s="108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61"/>
      <c r="B29" s="61"/>
      <c r="C29" s="61"/>
      <c r="D29" s="61"/>
      <c r="E29" s="61"/>
      <c r="F29" s="61"/>
      <c r="G29" s="61"/>
      <c r="H29" s="61"/>
      <c r="I29" s="61"/>
    </row>
    <row r="30" spans="1:26" x14ac:dyDescent="0.25">
      <c r="A30" s="61"/>
      <c r="B30" s="61"/>
      <c r="C30" s="61"/>
      <c r="D30" s="61"/>
      <c r="E30" s="61"/>
      <c r="F30" s="61"/>
      <c r="G30" s="61"/>
      <c r="H30" s="61"/>
      <c r="I30" s="61"/>
    </row>
    <row r="31" spans="1:26" x14ac:dyDescent="0.25">
      <c r="A31" s="61"/>
      <c r="B31" s="61"/>
      <c r="C31" s="61"/>
      <c r="D31" s="61"/>
      <c r="E31" s="61"/>
      <c r="F31" s="61"/>
      <c r="G31" s="61"/>
      <c r="H31" s="61"/>
      <c r="I31" s="61"/>
    </row>
    <row r="32" spans="1:26" x14ac:dyDescent="0.25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5">
      <c r="A33" s="61"/>
      <c r="B33" s="61"/>
      <c r="C33" s="61"/>
      <c r="D33" s="61"/>
      <c r="E33" s="61"/>
      <c r="F33" s="61"/>
      <c r="G33" s="61"/>
      <c r="H33" s="61"/>
      <c r="I33" s="61"/>
    </row>
    <row r="34" spans="1:9" x14ac:dyDescent="0.25">
      <c r="A34" s="61"/>
      <c r="B34" s="61"/>
      <c r="C34" s="61"/>
      <c r="D34" s="61"/>
      <c r="E34" s="61"/>
      <c r="F34" s="61"/>
      <c r="G34" s="61"/>
      <c r="H34" s="61"/>
      <c r="I34" s="61"/>
    </row>
    <row r="35" spans="1:9" x14ac:dyDescent="0.25">
      <c r="A35" s="61"/>
      <c r="B35" s="61"/>
      <c r="C35" s="61"/>
      <c r="D35" s="61"/>
      <c r="E35" s="61"/>
      <c r="F35" s="61"/>
      <c r="G35" s="61"/>
      <c r="H35" s="61"/>
      <c r="I35" s="61"/>
    </row>
    <row r="36" spans="1:9" x14ac:dyDescent="0.25">
      <c r="A36" s="61"/>
      <c r="B36" s="61"/>
      <c r="C36" s="61"/>
      <c r="D36" s="61"/>
      <c r="E36" s="61"/>
      <c r="F36" s="61"/>
      <c r="G36" s="61"/>
      <c r="H36" s="61"/>
      <c r="I36" s="61"/>
    </row>
    <row r="37" spans="1:9" x14ac:dyDescent="0.25">
      <c r="A37" s="61"/>
      <c r="B37" s="61"/>
      <c r="C37" s="61"/>
      <c r="D37" s="61"/>
      <c r="E37" s="61"/>
      <c r="F37" s="61"/>
      <c r="G37" s="61"/>
      <c r="H37" s="61"/>
      <c r="I37" s="61"/>
    </row>
    <row r="38" spans="1:9" x14ac:dyDescent="0.25">
      <c r="A38" s="61"/>
      <c r="B38" s="61"/>
      <c r="C38" s="61"/>
      <c r="D38" s="61"/>
      <c r="E38" s="61"/>
      <c r="F38" s="61"/>
      <c r="G38" s="61"/>
      <c r="H38" s="61"/>
      <c r="I38" s="61"/>
    </row>
    <row r="39" spans="1:9" x14ac:dyDescent="0.25">
      <c r="A39" s="61"/>
      <c r="B39" s="61"/>
      <c r="C39" s="61"/>
      <c r="D39" s="61"/>
      <c r="E39" s="61"/>
      <c r="F39" s="61"/>
      <c r="G39" s="61"/>
      <c r="H39" s="61"/>
      <c r="I39" s="61"/>
    </row>
    <row r="40" spans="1:9" x14ac:dyDescent="0.25">
      <c r="A40" s="61"/>
      <c r="B40" s="61"/>
      <c r="C40" s="61"/>
      <c r="D40" s="61"/>
      <c r="E40" s="61"/>
      <c r="F40" s="61"/>
      <c r="G40" s="61"/>
      <c r="H40" s="61"/>
      <c r="I40" s="61"/>
    </row>
    <row r="41" spans="1:9" x14ac:dyDescent="0.25">
      <c r="A41" s="61"/>
      <c r="B41" s="61"/>
      <c r="C41" s="61"/>
      <c r="D41" s="61"/>
      <c r="E41" s="61"/>
      <c r="F41" s="61"/>
      <c r="G41" s="61"/>
      <c r="H41" s="61"/>
      <c r="I41" s="61"/>
    </row>
    <row r="42" spans="1:9" x14ac:dyDescent="0.25">
      <c r="A42" s="61"/>
      <c r="B42" s="61"/>
      <c r="C42" s="61"/>
      <c r="D42" s="61"/>
      <c r="E42" s="61"/>
      <c r="F42" s="61"/>
      <c r="G42" s="61"/>
      <c r="H42" s="61"/>
      <c r="I42" s="61"/>
    </row>
    <row r="43" spans="1:9" x14ac:dyDescent="0.25">
      <c r="A43" s="61"/>
      <c r="B43" s="61"/>
      <c r="C43" s="61"/>
      <c r="D43" s="61"/>
      <c r="E43" s="61"/>
      <c r="F43" s="61"/>
      <c r="G43" s="61"/>
      <c r="H43" s="61"/>
      <c r="I43" s="61"/>
    </row>
    <row r="44" spans="1:9" x14ac:dyDescent="0.25">
      <c r="A44" s="61"/>
      <c r="B44" s="61"/>
      <c r="C44" s="61"/>
      <c r="D44" s="61"/>
      <c r="E44" s="61"/>
      <c r="F44" s="61"/>
      <c r="G44" s="61"/>
      <c r="H44" s="61"/>
      <c r="I44" s="61"/>
    </row>
    <row r="45" spans="1:9" x14ac:dyDescent="0.25">
      <c r="A45" s="61"/>
      <c r="B45" s="61"/>
      <c r="C45" s="61"/>
      <c r="D45" s="61"/>
      <c r="E45" s="61"/>
      <c r="F45" s="61"/>
      <c r="G45" s="61"/>
      <c r="H45" s="61"/>
      <c r="I45" s="61"/>
    </row>
    <row r="46" spans="1:9" x14ac:dyDescent="0.25">
      <c r="A46" s="61"/>
      <c r="B46" s="61"/>
      <c r="C46" s="61"/>
      <c r="D46" s="61"/>
      <c r="E46" s="61"/>
      <c r="F46" s="61"/>
      <c r="G46" s="61"/>
      <c r="H46" s="61"/>
      <c r="I46" s="61"/>
    </row>
    <row r="47" spans="1:9" x14ac:dyDescent="0.25">
      <c r="A47" s="61"/>
      <c r="B47" s="61"/>
      <c r="C47" s="61"/>
      <c r="D47" s="61"/>
      <c r="E47" s="61"/>
      <c r="F47" s="61"/>
      <c r="G47" s="61"/>
      <c r="H47" s="61"/>
      <c r="I47" s="61"/>
    </row>
    <row r="48" spans="1:9" x14ac:dyDescent="0.25">
      <c r="A48" s="61"/>
      <c r="B48" s="61"/>
      <c r="C48" s="61"/>
      <c r="D48" s="61"/>
      <c r="E48" s="61"/>
      <c r="F48" s="61"/>
      <c r="G48" s="61"/>
      <c r="H48" s="61"/>
      <c r="I48" s="61"/>
    </row>
    <row r="49" spans="1:9" x14ac:dyDescent="0.25">
      <c r="A49" s="61"/>
      <c r="B49" s="61"/>
      <c r="C49" s="61"/>
      <c r="D49" s="61"/>
      <c r="E49" s="61"/>
      <c r="F49" s="61"/>
      <c r="G49" s="61"/>
      <c r="H49" s="61"/>
      <c r="I49" s="61"/>
    </row>
    <row r="50" spans="1:9" x14ac:dyDescent="0.25">
      <c r="A50" s="61"/>
      <c r="B50" s="61"/>
      <c r="C50" s="61"/>
      <c r="D50" s="61"/>
      <c r="E50" s="61"/>
      <c r="F50" s="61"/>
      <c r="G50" s="61"/>
      <c r="H50" s="61"/>
      <c r="I50" s="61"/>
    </row>
    <row r="51" spans="1:9" x14ac:dyDescent="0.25">
      <c r="A51" s="61"/>
      <c r="B51" s="61"/>
      <c r="C51" s="61"/>
      <c r="D51" s="61"/>
      <c r="E51" s="61"/>
      <c r="F51" s="61"/>
      <c r="G51" s="61"/>
      <c r="H51" s="61"/>
      <c r="I51" s="61"/>
    </row>
    <row r="52" spans="1:9" x14ac:dyDescent="0.25">
      <c r="A52" s="61"/>
      <c r="B52" s="61"/>
      <c r="C52" s="61"/>
      <c r="D52" s="61"/>
      <c r="E52" s="61"/>
      <c r="F52" s="61"/>
      <c r="G52" s="61"/>
      <c r="H52" s="61"/>
      <c r="I52" s="61"/>
    </row>
    <row r="53" spans="1:9" x14ac:dyDescent="0.25">
      <c r="A53" s="61"/>
      <c r="B53" s="61"/>
      <c r="C53" s="61"/>
      <c r="D53" s="61"/>
      <c r="E53" s="61"/>
      <c r="F53" s="61"/>
      <c r="G53" s="61"/>
      <c r="H53" s="61"/>
      <c r="I53" s="61"/>
    </row>
    <row r="54" spans="1:9" x14ac:dyDescent="0.25">
      <c r="A54" s="61"/>
      <c r="B54" s="61"/>
      <c r="C54" s="61"/>
      <c r="D54" s="61"/>
      <c r="E54" s="61"/>
      <c r="F54" s="61"/>
      <c r="G54" s="61"/>
      <c r="H54" s="61"/>
      <c r="I54" s="61"/>
    </row>
    <row r="55" spans="1:9" x14ac:dyDescent="0.25">
      <c r="A55" s="61"/>
      <c r="B55" s="61"/>
      <c r="C55" s="61"/>
      <c r="D55" s="61"/>
      <c r="E55" s="61"/>
      <c r="F55" s="61"/>
      <c r="G55" s="61"/>
      <c r="H55" s="61"/>
      <c r="I55" s="61"/>
    </row>
    <row r="56" spans="1:9" x14ac:dyDescent="0.25">
      <c r="A56" s="61"/>
      <c r="B56" s="61"/>
      <c r="C56" s="61"/>
      <c r="D56" s="61"/>
      <c r="E56" s="61"/>
      <c r="F56" s="61"/>
      <c r="G56" s="61"/>
      <c r="H56" s="61"/>
      <c r="I56" s="61"/>
    </row>
    <row r="57" spans="1:9" x14ac:dyDescent="0.25">
      <c r="A57" s="61"/>
      <c r="B57" s="61"/>
      <c r="C57" s="61"/>
      <c r="D57" s="61"/>
      <c r="E57" s="61"/>
      <c r="F57" s="61"/>
      <c r="G57" s="61"/>
      <c r="H57" s="61"/>
      <c r="I57" s="61"/>
    </row>
    <row r="58" spans="1:9" x14ac:dyDescent="0.25">
      <c r="A58" s="61"/>
      <c r="B58" s="61"/>
      <c r="C58" s="61"/>
      <c r="D58" s="61"/>
      <c r="E58" s="61"/>
      <c r="F58" s="61"/>
      <c r="G58" s="61"/>
      <c r="H58" s="61"/>
      <c r="I58" s="61"/>
    </row>
    <row r="59" spans="1:9" x14ac:dyDescent="0.25">
      <c r="A59" s="61"/>
      <c r="B59" s="61"/>
      <c r="C59" s="61"/>
      <c r="D59" s="61"/>
      <c r="E59" s="61"/>
      <c r="F59" s="61"/>
      <c r="G59" s="61"/>
      <c r="H59" s="61"/>
      <c r="I59" s="61"/>
    </row>
    <row r="60" spans="1:9" x14ac:dyDescent="0.25">
      <c r="A60" s="61"/>
      <c r="B60" s="61"/>
      <c r="C60" s="61"/>
      <c r="D60" s="61"/>
      <c r="E60" s="61"/>
      <c r="F60" s="61"/>
      <c r="G60" s="61"/>
      <c r="H60" s="61"/>
      <c r="I60" s="61"/>
    </row>
    <row r="61" spans="1:9" x14ac:dyDescent="0.25">
      <c r="A61" s="61"/>
      <c r="B61" s="61"/>
      <c r="C61" s="61"/>
      <c r="D61" s="61"/>
      <c r="E61" s="61"/>
      <c r="F61" s="61"/>
      <c r="G61" s="61"/>
      <c r="H61" s="61"/>
      <c r="I61" s="61"/>
    </row>
    <row r="62" spans="1:9" x14ac:dyDescent="0.25">
      <c r="A62" s="61"/>
      <c r="B62" s="61"/>
      <c r="C62" s="61"/>
      <c r="D62" s="61"/>
      <c r="E62" s="61"/>
      <c r="F62" s="61"/>
      <c r="G62" s="61"/>
      <c r="H62" s="61"/>
      <c r="I62" s="61"/>
    </row>
    <row r="63" spans="1:9" x14ac:dyDescent="0.25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5">
      <c r="A64" s="61"/>
      <c r="B64" s="61"/>
      <c r="C64" s="61"/>
      <c r="D64" s="61"/>
      <c r="E64" s="61"/>
      <c r="F64" s="61"/>
      <c r="G64" s="61"/>
      <c r="H64" s="61"/>
      <c r="I64" s="61"/>
    </row>
    <row r="65" spans="1:9" x14ac:dyDescent="0.25">
      <c r="A65" s="61"/>
      <c r="B65" s="61"/>
      <c r="C65" s="61"/>
      <c r="D65" s="61"/>
      <c r="E65" s="61"/>
      <c r="F65" s="61"/>
      <c r="G65" s="61"/>
      <c r="H65" s="61"/>
      <c r="I65" s="61"/>
    </row>
    <row r="66" spans="1:9" x14ac:dyDescent="0.25">
      <c r="A66" s="61"/>
      <c r="B66" s="61"/>
      <c r="C66" s="61"/>
      <c r="D66" s="61"/>
      <c r="E66" s="61"/>
      <c r="F66" s="61"/>
      <c r="G66" s="61"/>
      <c r="H66" s="61"/>
      <c r="I66" s="61"/>
    </row>
    <row r="67" spans="1:9" x14ac:dyDescent="0.25">
      <c r="A67" s="61"/>
      <c r="B67" s="61"/>
      <c r="C67" s="61"/>
      <c r="D67" s="61"/>
      <c r="E67" s="61"/>
      <c r="F67" s="61"/>
      <c r="G67" s="61"/>
      <c r="H67" s="61"/>
      <c r="I67" s="61"/>
    </row>
    <row r="68" spans="1:9" x14ac:dyDescent="0.25">
      <c r="A68" s="61"/>
      <c r="B68" s="61"/>
      <c r="C68" s="61"/>
      <c r="D68" s="61"/>
      <c r="E68" s="61"/>
      <c r="F68" s="61"/>
      <c r="G68" s="61"/>
      <c r="H68" s="61"/>
      <c r="I68" s="61"/>
    </row>
    <row r="69" spans="1:9" x14ac:dyDescent="0.25">
      <c r="A69" s="61"/>
      <c r="B69" s="61"/>
      <c r="C69" s="61"/>
      <c r="D69" s="61"/>
      <c r="E69" s="61"/>
      <c r="F69" s="61"/>
      <c r="G69" s="61"/>
      <c r="H69" s="61"/>
      <c r="I69" s="61"/>
    </row>
    <row r="70" spans="1:9" x14ac:dyDescent="0.25">
      <c r="A70" s="61"/>
      <c r="B70" s="61"/>
      <c r="C70" s="61"/>
      <c r="D70" s="61"/>
      <c r="E70" s="61"/>
      <c r="F70" s="61"/>
      <c r="G70" s="61"/>
      <c r="H70" s="61"/>
      <c r="I70" s="61"/>
    </row>
    <row r="71" spans="1:9" x14ac:dyDescent="0.25">
      <c r="A71" s="61"/>
      <c r="B71" s="61"/>
      <c r="C71" s="61"/>
      <c r="D71" s="61"/>
      <c r="E71" s="61"/>
      <c r="F71" s="61"/>
      <c r="G71" s="61"/>
      <c r="H71" s="61"/>
      <c r="I71" s="61"/>
    </row>
    <row r="72" spans="1:9" x14ac:dyDescent="0.25">
      <c r="A72" s="61"/>
      <c r="B72" s="61"/>
      <c r="C72" s="61"/>
      <c r="D72" s="61"/>
      <c r="E72" s="61"/>
      <c r="F72" s="61"/>
      <c r="G72" s="61"/>
      <c r="H72" s="61"/>
      <c r="I72" s="61"/>
    </row>
    <row r="73" spans="1:9" x14ac:dyDescent="0.25">
      <c r="A73" s="61"/>
      <c r="B73" s="61"/>
      <c r="C73" s="61"/>
      <c r="D73" s="61"/>
      <c r="E73" s="61"/>
      <c r="F73" s="61"/>
      <c r="G73" s="61"/>
      <c r="H73" s="61"/>
      <c r="I73" s="61"/>
    </row>
    <row r="74" spans="1:9" x14ac:dyDescent="0.25">
      <c r="A74" s="61"/>
      <c r="B74" s="61"/>
      <c r="C74" s="61"/>
      <c r="D74" s="61"/>
      <c r="E74" s="61"/>
      <c r="F74" s="61"/>
      <c r="G74" s="61"/>
      <c r="H74" s="61"/>
      <c r="I74" s="61"/>
    </row>
    <row r="75" spans="1:9" x14ac:dyDescent="0.25">
      <c r="A75" s="61"/>
      <c r="B75" s="61"/>
      <c r="C75" s="61"/>
      <c r="D75" s="61"/>
      <c r="E75" s="61"/>
      <c r="F75" s="61"/>
      <c r="G75" s="61"/>
      <c r="H75" s="61"/>
      <c r="I75" s="61"/>
    </row>
    <row r="76" spans="1:9" x14ac:dyDescent="0.25">
      <c r="A76" s="61"/>
      <c r="B76" s="61"/>
      <c r="C76" s="61"/>
      <c r="D76" s="61"/>
      <c r="E76" s="61"/>
      <c r="F76" s="61"/>
      <c r="G76" s="61"/>
      <c r="H76" s="61"/>
      <c r="I76" s="61"/>
    </row>
    <row r="77" spans="1:9" x14ac:dyDescent="0.25">
      <c r="A77" s="61"/>
      <c r="B77" s="61"/>
      <c r="C77" s="61"/>
      <c r="D77" s="61"/>
      <c r="E77" s="61"/>
      <c r="F77" s="61"/>
      <c r="G77" s="61"/>
      <c r="H77" s="61"/>
      <c r="I77" s="61"/>
    </row>
    <row r="78" spans="1:9" x14ac:dyDescent="0.25">
      <c r="A78" s="61"/>
      <c r="B78" s="61"/>
      <c r="C78" s="61"/>
      <c r="D78" s="61"/>
      <c r="E78" s="61"/>
      <c r="F78" s="61"/>
      <c r="G78" s="61"/>
      <c r="H78" s="61"/>
      <c r="I78" s="61"/>
    </row>
    <row r="79" spans="1:9" x14ac:dyDescent="0.25">
      <c r="A79" s="61"/>
      <c r="B79" s="61"/>
      <c r="C79" s="61"/>
      <c r="D79" s="61"/>
      <c r="E79" s="61"/>
      <c r="F79" s="61"/>
      <c r="G79" s="61"/>
      <c r="H79" s="61"/>
      <c r="I79" s="61"/>
    </row>
    <row r="80" spans="1:9" x14ac:dyDescent="0.25">
      <c r="A80" s="61"/>
      <c r="B80" s="61"/>
      <c r="C80" s="61"/>
      <c r="D80" s="61"/>
      <c r="E80" s="61"/>
      <c r="F80" s="61"/>
      <c r="G80" s="61"/>
      <c r="H80" s="61"/>
      <c r="I80" s="61"/>
    </row>
    <row r="81" spans="1:9" x14ac:dyDescent="0.25">
      <c r="A81" s="61"/>
      <c r="B81" s="61"/>
      <c r="C81" s="61"/>
      <c r="D81" s="61"/>
      <c r="E81" s="61"/>
      <c r="F81" s="61"/>
      <c r="G81" s="61"/>
      <c r="H81" s="61"/>
      <c r="I81" s="61"/>
    </row>
    <row r="82" spans="1:9" x14ac:dyDescent="0.25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5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5">
      <c r="A84" s="61"/>
      <c r="B84" s="61"/>
      <c r="C84" s="61"/>
      <c r="D84" s="61"/>
      <c r="E84" s="61"/>
      <c r="F84" s="61"/>
      <c r="G84" s="61"/>
      <c r="H84" s="61"/>
      <c r="I84" s="61"/>
    </row>
    <row r="85" spans="1:9" x14ac:dyDescent="0.25">
      <c r="A85" s="61"/>
      <c r="B85" s="61"/>
      <c r="C85" s="61"/>
      <c r="D85" s="61"/>
      <c r="E85" s="61"/>
      <c r="F85" s="61"/>
      <c r="G85" s="61"/>
      <c r="H85" s="61"/>
      <c r="I85" s="61"/>
    </row>
    <row r="86" spans="1:9" x14ac:dyDescent="0.25">
      <c r="A86" s="61"/>
      <c r="B86" s="61"/>
      <c r="C86" s="61"/>
      <c r="D86" s="61"/>
      <c r="E86" s="61"/>
      <c r="F86" s="61"/>
      <c r="G86" s="61"/>
      <c r="H86" s="61"/>
      <c r="I86" s="61"/>
    </row>
    <row r="87" spans="1:9" x14ac:dyDescent="0.25">
      <c r="A87" s="61"/>
      <c r="B87" s="61"/>
      <c r="C87" s="61"/>
      <c r="D87" s="61"/>
      <c r="E87" s="61"/>
      <c r="F87" s="61"/>
      <c r="G87" s="61"/>
      <c r="H87" s="61"/>
      <c r="I87" s="61"/>
    </row>
    <row r="88" spans="1:9" x14ac:dyDescent="0.25">
      <c r="A88" s="61"/>
      <c r="B88" s="61"/>
      <c r="C88" s="61"/>
      <c r="D88" s="61"/>
      <c r="E88" s="61"/>
      <c r="F88" s="61"/>
      <c r="G88" s="61"/>
      <c r="H88" s="61"/>
      <c r="I88" s="61"/>
    </row>
    <row r="89" spans="1:9" x14ac:dyDescent="0.25">
      <c r="A89" s="61"/>
      <c r="B89" s="61"/>
      <c r="C89" s="61"/>
      <c r="D89" s="61"/>
      <c r="E89" s="61"/>
      <c r="F89" s="61"/>
      <c r="G89" s="61"/>
      <c r="H89" s="61"/>
      <c r="I89" s="61"/>
    </row>
    <row r="90" spans="1:9" x14ac:dyDescent="0.25">
      <c r="A90" s="61"/>
      <c r="B90" s="61"/>
      <c r="C90" s="61"/>
      <c r="D90" s="61"/>
      <c r="E90" s="61"/>
      <c r="F90" s="61"/>
      <c r="G90" s="61"/>
      <c r="H90" s="61"/>
      <c r="I90" s="61"/>
    </row>
    <row r="91" spans="1:9" x14ac:dyDescent="0.25">
      <c r="A91" s="61"/>
      <c r="B91" s="61"/>
      <c r="C91" s="61"/>
      <c r="D91" s="61"/>
      <c r="E91" s="61"/>
      <c r="F91" s="61"/>
      <c r="G91" s="61"/>
      <c r="H91" s="61"/>
      <c r="I91" s="61"/>
    </row>
    <row r="92" spans="1:9" x14ac:dyDescent="0.25">
      <c r="A92" s="61"/>
      <c r="B92" s="61"/>
      <c r="C92" s="61"/>
      <c r="D92" s="61"/>
      <c r="E92" s="61"/>
      <c r="F92" s="61"/>
      <c r="G92" s="61"/>
      <c r="H92" s="61"/>
      <c r="I92" s="61"/>
    </row>
    <row r="93" spans="1:9" x14ac:dyDescent="0.25">
      <c r="A93" s="61"/>
      <c r="B93" s="61"/>
      <c r="C93" s="61"/>
      <c r="D93" s="61"/>
      <c r="E93" s="61"/>
      <c r="F93" s="61"/>
      <c r="G93" s="61"/>
      <c r="H93" s="61"/>
      <c r="I93" s="61"/>
    </row>
    <row r="94" spans="1:9" x14ac:dyDescent="0.25">
      <c r="A94" s="61"/>
      <c r="B94" s="61"/>
      <c r="C94" s="61"/>
      <c r="D94" s="61"/>
      <c r="E94" s="61"/>
      <c r="F94" s="61"/>
      <c r="G94" s="61"/>
      <c r="H94" s="61"/>
      <c r="I94" s="61"/>
    </row>
    <row r="95" spans="1:9" x14ac:dyDescent="0.25">
      <c r="A95" s="61"/>
      <c r="B95" s="61"/>
      <c r="C95" s="61"/>
      <c r="D95" s="61"/>
      <c r="E95" s="61"/>
      <c r="F95" s="61"/>
      <c r="G95" s="61"/>
      <c r="H95" s="61"/>
      <c r="I95" s="61"/>
    </row>
    <row r="96" spans="1:9" x14ac:dyDescent="0.25">
      <c r="A96" s="61"/>
      <c r="B96" s="61"/>
      <c r="C96" s="61"/>
      <c r="D96" s="61"/>
      <c r="E96" s="61"/>
      <c r="F96" s="61"/>
      <c r="G96" s="61"/>
      <c r="H96" s="61"/>
      <c r="I96" s="61"/>
    </row>
    <row r="97" spans="1:9" x14ac:dyDescent="0.25">
      <c r="A97" s="61"/>
      <c r="B97" s="61"/>
      <c r="C97" s="61"/>
      <c r="D97" s="61"/>
      <c r="E97" s="61"/>
      <c r="F97" s="61"/>
      <c r="G97" s="61"/>
      <c r="H97" s="61"/>
      <c r="I97" s="61"/>
    </row>
    <row r="98" spans="1:9" x14ac:dyDescent="0.25">
      <c r="A98" s="61"/>
      <c r="B98" s="61"/>
      <c r="C98" s="61"/>
      <c r="D98" s="61"/>
      <c r="E98" s="61"/>
      <c r="F98" s="61"/>
      <c r="G98" s="61"/>
      <c r="H98" s="61"/>
      <c r="I98" s="61"/>
    </row>
    <row r="99" spans="1:9" x14ac:dyDescent="0.25">
      <c r="A99" s="61"/>
      <c r="B99" s="61"/>
      <c r="C99" s="61"/>
      <c r="D99" s="61"/>
      <c r="E99" s="61"/>
      <c r="F99" s="61"/>
      <c r="G99" s="61"/>
      <c r="H99" s="61"/>
      <c r="I99" s="61"/>
    </row>
    <row r="100" spans="1:9" x14ac:dyDescent="0.25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x14ac:dyDescent="0.25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x14ac:dyDescent="0.25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x14ac:dyDescent="0.25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5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5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5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5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x14ac:dyDescent="0.25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x14ac:dyDescent="0.25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x14ac:dyDescent="0.25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x14ac:dyDescent="0.25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x14ac:dyDescent="0.25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x14ac:dyDescent="0.25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x14ac:dyDescent="0.25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x14ac:dyDescent="0.25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x14ac:dyDescent="0.25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x14ac:dyDescent="0.25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x14ac:dyDescent="0.25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x14ac:dyDescent="0.25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25">
      <c r="A120" s="61"/>
      <c r="B120" s="61"/>
      <c r="C120" s="61"/>
      <c r="D120" s="61"/>
      <c r="E120" s="61"/>
      <c r="F120" s="61"/>
      <c r="G120" s="61"/>
      <c r="H120" s="61"/>
      <c r="I120" s="61"/>
    </row>
    <row r="121" spans="1:9" x14ac:dyDescent="0.25">
      <c r="A121" s="61"/>
      <c r="B121" s="61"/>
      <c r="C121" s="61"/>
      <c r="D121" s="61"/>
      <c r="E121" s="61"/>
      <c r="F121" s="61"/>
      <c r="G121" s="61"/>
      <c r="H121" s="61"/>
      <c r="I121" s="61"/>
    </row>
    <row r="122" spans="1:9" x14ac:dyDescent="0.25">
      <c r="A122" s="61"/>
      <c r="B122" s="61"/>
      <c r="C122" s="61"/>
      <c r="D122" s="61"/>
      <c r="E122" s="61"/>
      <c r="F122" s="61"/>
      <c r="G122" s="61"/>
      <c r="H122" s="61"/>
      <c r="I122" s="61"/>
    </row>
    <row r="123" spans="1:9" x14ac:dyDescent="0.25">
      <c r="A123" s="61"/>
      <c r="B123" s="61"/>
      <c r="C123" s="61"/>
      <c r="D123" s="61"/>
      <c r="E123" s="61"/>
      <c r="F123" s="61"/>
      <c r="G123" s="61"/>
      <c r="H123" s="61"/>
      <c r="I123" s="61"/>
    </row>
    <row r="124" spans="1:9" x14ac:dyDescent="0.25">
      <c r="A124" s="61"/>
      <c r="B124" s="61"/>
      <c r="C124" s="61"/>
      <c r="D124" s="61"/>
      <c r="E124" s="61"/>
      <c r="F124" s="61"/>
      <c r="G124" s="61"/>
      <c r="H124" s="61"/>
      <c r="I124" s="61"/>
    </row>
    <row r="125" spans="1:9" x14ac:dyDescent="0.25">
      <c r="A125" s="61"/>
      <c r="B125" s="61"/>
      <c r="C125" s="61"/>
      <c r="D125" s="61"/>
      <c r="E125" s="61"/>
      <c r="F125" s="61"/>
      <c r="G125" s="61"/>
      <c r="H125" s="61"/>
      <c r="I125" s="61"/>
    </row>
    <row r="126" spans="1:9" x14ac:dyDescent="0.25">
      <c r="A126" s="61"/>
      <c r="B126" s="61"/>
      <c r="C126" s="61"/>
      <c r="D126" s="61"/>
      <c r="E126" s="61"/>
      <c r="F126" s="61"/>
      <c r="G126" s="61"/>
      <c r="H126" s="61"/>
      <c r="I126" s="61"/>
    </row>
    <row r="127" spans="1:9" x14ac:dyDescent="0.25">
      <c r="A127" s="61"/>
      <c r="B127" s="61"/>
      <c r="C127" s="61"/>
      <c r="D127" s="61"/>
      <c r="E127" s="61"/>
      <c r="F127" s="61"/>
      <c r="G127" s="61"/>
      <c r="H127" s="61"/>
      <c r="I127" s="61"/>
    </row>
    <row r="128" spans="1:9" x14ac:dyDescent="0.25">
      <c r="A128" s="61"/>
      <c r="B128" s="61"/>
      <c r="C128" s="61"/>
      <c r="D128" s="61"/>
      <c r="E128" s="61"/>
      <c r="F128" s="61"/>
      <c r="G128" s="61"/>
      <c r="H128" s="61"/>
      <c r="I128" s="61"/>
    </row>
    <row r="129" spans="1:9" x14ac:dyDescent="0.25">
      <c r="A129" s="61"/>
      <c r="B129" s="61"/>
      <c r="C129" s="61"/>
      <c r="D129" s="61"/>
      <c r="E129" s="61"/>
      <c r="F129" s="61"/>
      <c r="G129" s="61"/>
      <c r="H129" s="61"/>
      <c r="I129" s="61"/>
    </row>
    <row r="130" spans="1:9" x14ac:dyDescent="0.25">
      <c r="A130" s="61"/>
      <c r="B130" s="61"/>
      <c r="C130" s="61"/>
      <c r="D130" s="61"/>
      <c r="E130" s="61"/>
      <c r="F130" s="61"/>
      <c r="G130" s="61"/>
      <c r="H130" s="61"/>
      <c r="I130" s="61"/>
    </row>
    <row r="131" spans="1:9" x14ac:dyDescent="0.25">
      <c r="A131" s="61"/>
      <c r="B131" s="61"/>
      <c r="C131" s="61"/>
      <c r="D131" s="61"/>
      <c r="E131" s="61"/>
      <c r="F131" s="61"/>
      <c r="G131" s="61"/>
      <c r="H131" s="61"/>
      <c r="I131" s="61"/>
    </row>
    <row r="132" spans="1:9" x14ac:dyDescent="0.25">
      <c r="A132" s="61"/>
      <c r="B132" s="61"/>
      <c r="C132" s="61"/>
      <c r="D132" s="61"/>
      <c r="E132" s="61"/>
      <c r="F132" s="61"/>
      <c r="G132" s="61"/>
      <c r="H132" s="61"/>
      <c r="I132" s="61"/>
    </row>
    <row r="133" spans="1:9" x14ac:dyDescent="0.25">
      <c r="A133" s="61"/>
      <c r="B133" s="61"/>
      <c r="C133" s="61"/>
      <c r="D133" s="61"/>
      <c r="E133" s="61"/>
      <c r="F133" s="61"/>
      <c r="G133" s="61"/>
      <c r="H133" s="61"/>
      <c r="I133" s="61"/>
    </row>
    <row r="134" spans="1:9" x14ac:dyDescent="0.25">
      <c r="A134" s="61"/>
      <c r="B134" s="61"/>
      <c r="C134" s="61"/>
      <c r="D134" s="61"/>
      <c r="E134" s="61"/>
      <c r="F134" s="61"/>
      <c r="G134" s="61"/>
      <c r="H134" s="61"/>
      <c r="I134" s="61"/>
    </row>
    <row r="135" spans="1:9" x14ac:dyDescent="0.25">
      <c r="A135" s="61"/>
      <c r="B135" s="61"/>
      <c r="C135" s="61"/>
      <c r="D135" s="61"/>
      <c r="E135" s="61"/>
      <c r="F135" s="61"/>
      <c r="G135" s="61"/>
      <c r="H135" s="61"/>
      <c r="I135" s="61"/>
    </row>
    <row r="136" spans="1:9" x14ac:dyDescent="0.25">
      <c r="A136" s="61"/>
      <c r="B136" s="61"/>
      <c r="C136" s="61"/>
      <c r="D136" s="61"/>
      <c r="E136" s="61"/>
      <c r="F136" s="61"/>
      <c r="G136" s="61"/>
      <c r="H136" s="61"/>
      <c r="I136" s="61"/>
    </row>
    <row r="137" spans="1:9" x14ac:dyDescent="0.25">
      <c r="A137" s="61"/>
      <c r="B137" s="61"/>
      <c r="C137" s="61"/>
      <c r="D137" s="61"/>
      <c r="E137" s="61"/>
      <c r="F137" s="61"/>
      <c r="G137" s="61"/>
      <c r="H137" s="61"/>
      <c r="I137" s="61"/>
    </row>
    <row r="138" spans="1:9" x14ac:dyDescent="0.25">
      <c r="A138" s="61"/>
      <c r="B138" s="61"/>
      <c r="C138" s="61"/>
      <c r="D138" s="61"/>
      <c r="E138" s="61"/>
      <c r="F138" s="61"/>
      <c r="G138" s="61"/>
      <c r="H138" s="61"/>
      <c r="I138" s="61"/>
    </row>
    <row r="139" spans="1:9" x14ac:dyDescent="0.25">
      <c r="A139" s="61"/>
      <c r="B139" s="61"/>
      <c r="C139" s="61"/>
      <c r="D139" s="61"/>
      <c r="E139" s="61"/>
      <c r="F139" s="61"/>
      <c r="G139" s="61"/>
      <c r="H139" s="61"/>
      <c r="I139" s="61"/>
    </row>
    <row r="140" spans="1:9" x14ac:dyDescent="0.25">
      <c r="A140" s="61"/>
      <c r="B140" s="61"/>
      <c r="C140" s="61"/>
      <c r="D140" s="61"/>
      <c r="E140" s="61"/>
      <c r="F140" s="61"/>
      <c r="G140" s="61"/>
      <c r="H140" s="61"/>
      <c r="I140" s="61"/>
    </row>
    <row r="141" spans="1:9" x14ac:dyDescent="0.25">
      <c r="A141" s="61"/>
      <c r="B141" s="61"/>
      <c r="C141" s="61"/>
      <c r="D141" s="61"/>
      <c r="E141" s="61"/>
      <c r="F141" s="61"/>
      <c r="G141" s="61"/>
      <c r="H141" s="61"/>
      <c r="I141" s="61"/>
    </row>
    <row r="142" spans="1:9" x14ac:dyDescent="0.25">
      <c r="A142" s="61"/>
      <c r="B142" s="61"/>
      <c r="C142" s="61"/>
      <c r="D142" s="61"/>
      <c r="E142" s="61"/>
      <c r="F142" s="61"/>
      <c r="G142" s="61"/>
      <c r="H142" s="61"/>
      <c r="I142" s="61"/>
    </row>
    <row r="143" spans="1:9" x14ac:dyDescent="0.25">
      <c r="A143" s="61"/>
      <c r="B143" s="61"/>
      <c r="C143" s="61"/>
      <c r="D143" s="61"/>
      <c r="E143" s="61"/>
      <c r="F143" s="61"/>
      <c r="G143" s="61"/>
      <c r="H143" s="61"/>
      <c r="I143" s="61"/>
    </row>
    <row r="144" spans="1:9" x14ac:dyDescent="0.25">
      <c r="A144" s="61"/>
      <c r="B144" s="61"/>
      <c r="C144" s="61"/>
      <c r="D144" s="61"/>
      <c r="E144" s="61"/>
      <c r="F144" s="61"/>
      <c r="G144" s="61"/>
      <c r="H144" s="61"/>
      <c r="I144" s="61"/>
    </row>
    <row r="145" spans="1:9" x14ac:dyDescent="0.25">
      <c r="A145" s="61"/>
      <c r="B145" s="61"/>
      <c r="C145" s="61"/>
      <c r="D145" s="61"/>
      <c r="E145" s="61"/>
      <c r="F145" s="61"/>
      <c r="G145" s="61"/>
      <c r="H145" s="61"/>
      <c r="I145" s="61"/>
    </row>
    <row r="146" spans="1:9" x14ac:dyDescent="0.25">
      <c r="A146" s="61"/>
      <c r="B146" s="61"/>
      <c r="C146" s="61"/>
      <c r="D146" s="61"/>
      <c r="E146" s="61"/>
      <c r="F146" s="61"/>
      <c r="G146" s="61"/>
      <c r="H146" s="61"/>
      <c r="I146" s="61"/>
    </row>
    <row r="147" spans="1:9" x14ac:dyDescent="0.25">
      <c r="A147" s="61"/>
      <c r="B147" s="61"/>
      <c r="C147" s="61"/>
      <c r="D147" s="61"/>
      <c r="E147" s="61"/>
      <c r="F147" s="61"/>
      <c r="G147" s="61"/>
      <c r="H147" s="61"/>
      <c r="I147" s="61"/>
    </row>
    <row r="148" spans="1:9" x14ac:dyDescent="0.25">
      <c r="A148" s="61"/>
      <c r="B148" s="61"/>
      <c r="C148" s="61"/>
      <c r="D148" s="61"/>
      <c r="E148" s="61"/>
      <c r="F148" s="61"/>
      <c r="G148" s="61"/>
      <c r="H148" s="61"/>
      <c r="I148" s="61"/>
    </row>
    <row r="149" spans="1:9" x14ac:dyDescent="0.25">
      <c r="A149" s="61"/>
      <c r="B149" s="61"/>
      <c r="C149" s="61"/>
      <c r="D149" s="61"/>
      <c r="E149" s="61"/>
      <c r="F149" s="61"/>
      <c r="G149" s="61"/>
      <c r="H149" s="61"/>
      <c r="I149" s="61"/>
    </row>
    <row r="150" spans="1:9" x14ac:dyDescent="0.25">
      <c r="A150" s="61"/>
      <c r="B150" s="61"/>
      <c r="C150" s="61"/>
      <c r="D150" s="61"/>
      <c r="E150" s="61"/>
      <c r="F150" s="61"/>
      <c r="G150" s="61"/>
      <c r="H150" s="61"/>
      <c r="I150" s="61"/>
    </row>
    <row r="151" spans="1:9" x14ac:dyDescent="0.25">
      <c r="A151" s="61"/>
      <c r="B151" s="61"/>
      <c r="C151" s="61"/>
      <c r="D151" s="61"/>
      <c r="E151" s="61"/>
      <c r="F151" s="61"/>
      <c r="G151" s="61"/>
      <c r="H151" s="61"/>
      <c r="I151" s="61"/>
    </row>
    <row r="152" spans="1:9" x14ac:dyDescent="0.25">
      <c r="A152" s="61"/>
      <c r="B152" s="61"/>
      <c r="C152" s="61"/>
      <c r="D152" s="61"/>
      <c r="E152" s="61"/>
      <c r="F152" s="61"/>
      <c r="G152" s="61"/>
      <c r="H152" s="61"/>
      <c r="I152" s="61"/>
    </row>
    <row r="153" spans="1:9" x14ac:dyDescent="0.25">
      <c r="A153" s="61"/>
      <c r="B153" s="61"/>
      <c r="C153" s="61"/>
      <c r="D153" s="61"/>
      <c r="E153" s="61"/>
      <c r="F153" s="61"/>
      <c r="G153" s="61"/>
      <c r="H153" s="61"/>
      <c r="I153" s="61"/>
    </row>
    <row r="154" spans="1:9" x14ac:dyDescent="0.25">
      <c r="A154" s="61"/>
      <c r="B154" s="61"/>
      <c r="C154" s="61"/>
      <c r="D154" s="61"/>
      <c r="E154" s="61"/>
      <c r="F154" s="61"/>
      <c r="G154" s="61"/>
      <c r="H154" s="61"/>
      <c r="I154" s="61"/>
    </row>
    <row r="155" spans="1:9" x14ac:dyDescent="0.25">
      <c r="A155" s="61"/>
      <c r="B155" s="61"/>
      <c r="C155" s="61"/>
      <c r="D155" s="61"/>
      <c r="E155" s="61"/>
      <c r="F155" s="61"/>
      <c r="G155" s="61"/>
      <c r="H155" s="61"/>
      <c r="I155" s="61"/>
    </row>
    <row r="156" spans="1:9" x14ac:dyDescent="0.25">
      <c r="A156" s="61"/>
      <c r="B156" s="61"/>
      <c r="C156" s="61"/>
      <c r="D156" s="61"/>
      <c r="E156" s="61"/>
      <c r="F156" s="61"/>
      <c r="G156" s="61"/>
      <c r="H156" s="61"/>
      <c r="I156" s="61"/>
    </row>
    <row r="157" spans="1:9" x14ac:dyDescent="0.25">
      <c r="A157" s="61"/>
      <c r="B157" s="61"/>
      <c r="C157" s="61"/>
      <c r="D157" s="61"/>
      <c r="E157" s="61"/>
      <c r="F157" s="61"/>
      <c r="G157" s="61"/>
      <c r="H157" s="61"/>
      <c r="I157" s="61"/>
    </row>
    <row r="158" spans="1:9" x14ac:dyDescent="0.25">
      <c r="A158" s="61"/>
      <c r="B158" s="61"/>
      <c r="C158" s="61"/>
      <c r="D158" s="61"/>
      <c r="E158" s="61"/>
      <c r="F158" s="61"/>
      <c r="G158" s="61"/>
      <c r="H158" s="61"/>
      <c r="I158" s="61"/>
    </row>
    <row r="159" spans="1:9" x14ac:dyDescent="0.25">
      <c r="A159" s="61"/>
      <c r="B159" s="61"/>
      <c r="C159" s="61"/>
      <c r="D159" s="61"/>
      <c r="E159" s="61"/>
      <c r="F159" s="61"/>
      <c r="G159" s="61"/>
      <c r="H159" s="61"/>
      <c r="I159" s="61"/>
    </row>
    <row r="160" spans="1:9" x14ac:dyDescent="0.25">
      <c r="A160" s="61"/>
      <c r="B160" s="61"/>
      <c r="C160" s="61"/>
      <c r="D160" s="61"/>
      <c r="E160" s="61"/>
      <c r="F160" s="61"/>
      <c r="G160" s="61"/>
      <c r="H160" s="61"/>
      <c r="I160" s="61"/>
    </row>
    <row r="161" spans="1:9" x14ac:dyDescent="0.25">
      <c r="A161" s="61"/>
      <c r="B161" s="61"/>
      <c r="C161" s="61"/>
      <c r="D161" s="61"/>
      <c r="E161" s="61"/>
      <c r="F161" s="61"/>
      <c r="G161" s="61"/>
      <c r="H161" s="61"/>
      <c r="I161" s="61"/>
    </row>
    <row r="162" spans="1:9" x14ac:dyDescent="0.25">
      <c r="A162" s="61"/>
      <c r="B162" s="61"/>
      <c r="C162" s="61"/>
      <c r="D162" s="61"/>
      <c r="E162" s="61"/>
      <c r="F162" s="61"/>
      <c r="G162" s="61"/>
      <c r="H162" s="61"/>
      <c r="I162" s="61"/>
    </row>
    <row r="163" spans="1:9" x14ac:dyDescent="0.25">
      <c r="A163" s="61"/>
      <c r="B163" s="61"/>
      <c r="C163" s="61"/>
      <c r="D163" s="61"/>
      <c r="E163" s="61"/>
      <c r="F163" s="61"/>
      <c r="G163" s="61"/>
      <c r="H163" s="61"/>
      <c r="I163" s="61"/>
    </row>
    <row r="164" spans="1:9" x14ac:dyDescent="0.25">
      <c r="A164" s="61"/>
      <c r="B164" s="61"/>
      <c r="C164" s="61"/>
      <c r="D164" s="61"/>
      <c r="E164" s="61"/>
      <c r="F164" s="61"/>
      <c r="G164" s="61"/>
      <c r="H164" s="61"/>
      <c r="I164" s="61"/>
    </row>
    <row r="165" spans="1:9" x14ac:dyDescent="0.25">
      <c r="A165" s="61"/>
      <c r="B165" s="61"/>
      <c r="C165" s="61"/>
      <c r="D165" s="61"/>
      <c r="E165" s="61"/>
      <c r="F165" s="61"/>
      <c r="G165" s="61"/>
      <c r="H165" s="61"/>
      <c r="I165" s="61"/>
    </row>
    <row r="166" spans="1:9" x14ac:dyDescent="0.25">
      <c r="A166" s="61"/>
      <c r="B166" s="61"/>
      <c r="C166" s="61"/>
      <c r="D166" s="61"/>
      <c r="E166" s="61"/>
      <c r="F166" s="61"/>
      <c r="G166" s="61"/>
      <c r="H166" s="61"/>
      <c r="I166" s="61"/>
    </row>
    <row r="167" spans="1:9" x14ac:dyDescent="0.25">
      <c r="A167" s="61"/>
      <c r="B167" s="61"/>
      <c r="C167" s="61"/>
      <c r="D167" s="61"/>
      <c r="E167" s="61"/>
      <c r="F167" s="61"/>
      <c r="G167" s="61"/>
      <c r="H167" s="61"/>
      <c r="I167" s="61"/>
    </row>
    <row r="168" spans="1:9" x14ac:dyDescent="0.25">
      <c r="A168" s="61"/>
      <c r="B168" s="61"/>
      <c r="C168" s="61"/>
      <c r="D168" s="61"/>
      <c r="E168" s="61"/>
      <c r="F168" s="61"/>
      <c r="G168" s="61"/>
      <c r="H168" s="61"/>
      <c r="I168" s="61"/>
    </row>
    <row r="169" spans="1:9" x14ac:dyDescent="0.25">
      <c r="A169" s="61"/>
      <c r="B169" s="61"/>
      <c r="C169" s="61"/>
      <c r="D169" s="61"/>
      <c r="E169" s="61"/>
      <c r="F169" s="61"/>
      <c r="G169" s="61"/>
      <c r="H169" s="61"/>
      <c r="I169" s="61"/>
    </row>
    <row r="170" spans="1:9" x14ac:dyDescent="0.25">
      <c r="A170" s="61"/>
      <c r="B170" s="61"/>
      <c r="C170" s="61"/>
      <c r="D170" s="61"/>
      <c r="E170" s="61"/>
      <c r="F170" s="61"/>
      <c r="G170" s="61"/>
      <c r="H170" s="61"/>
      <c r="I170" s="61"/>
    </row>
    <row r="171" spans="1:9" x14ac:dyDescent="0.25">
      <c r="A171" s="61"/>
      <c r="B171" s="61"/>
      <c r="C171" s="61"/>
      <c r="D171" s="61"/>
      <c r="E171" s="61"/>
      <c r="F171" s="61"/>
      <c r="G171" s="61"/>
      <c r="H171" s="61"/>
      <c r="I171" s="61"/>
    </row>
    <row r="172" spans="1:9" x14ac:dyDescent="0.25">
      <c r="A172" s="61"/>
      <c r="B172" s="61"/>
      <c r="C172" s="61"/>
      <c r="D172" s="61"/>
      <c r="E172" s="61"/>
      <c r="F172" s="61"/>
      <c r="G172" s="61"/>
      <c r="H172" s="61"/>
      <c r="I172" s="61"/>
    </row>
    <row r="173" spans="1:9" x14ac:dyDescent="0.25">
      <c r="A173" s="61"/>
      <c r="B173" s="61"/>
      <c r="C173" s="61"/>
      <c r="D173" s="61"/>
      <c r="E173" s="61"/>
      <c r="F173" s="61"/>
      <c r="G173" s="61"/>
      <c r="H173" s="61"/>
      <c r="I173" s="61"/>
    </row>
    <row r="174" spans="1:9" x14ac:dyDescent="0.25">
      <c r="A174" s="61"/>
      <c r="B174" s="61"/>
      <c r="C174" s="61"/>
      <c r="D174" s="61"/>
      <c r="E174" s="61"/>
      <c r="F174" s="61"/>
      <c r="G174" s="61"/>
      <c r="H174" s="61"/>
      <c r="I174" s="61"/>
    </row>
    <row r="175" spans="1:9" x14ac:dyDescent="0.25">
      <c r="A175" s="61"/>
      <c r="B175" s="61"/>
      <c r="C175" s="61"/>
      <c r="D175" s="61"/>
      <c r="E175" s="61"/>
      <c r="F175" s="61"/>
      <c r="G175" s="61"/>
      <c r="H175" s="61"/>
      <c r="I175" s="61"/>
    </row>
    <row r="176" spans="1:9" x14ac:dyDescent="0.25">
      <c r="A176" s="61"/>
      <c r="B176" s="61"/>
      <c r="C176" s="61"/>
      <c r="D176" s="61"/>
      <c r="E176" s="61"/>
      <c r="F176" s="61"/>
      <c r="G176" s="61"/>
      <c r="H176" s="61"/>
      <c r="I176" s="61"/>
    </row>
    <row r="177" spans="1:9" x14ac:dyDescent="0.25">
      <c r="A177" s="61"/>
      <c r="B177" s="61"/>
      <c r="C177" s="61"/>
      <c r="D177" s="61"/>
      <c r="E177" s="61"/>
      <c r="F177" s="61"/>
      <c r="G177" s="61"/>
      <c r="H177" s="61"/>
      <c r="I177" s="61"/>
    </row>
    <row r="178" spans="1:9" x14ac:dyDescent="0.25">
      <c r="A178" s="61"/>
      <c r="B178" s="61"/>
      <c r="C178" s="61"/>
      <c r="D178" s="61"/>
      <c r="E178" s="61"/>
      <c r="F178" s="61"/>
      <c r="G178" s="61"/>
      <c r="H178" s="61"/>
      <c r="I178" s="61"/>
    </row>
    <row r="179" spans="1:9" x14ac:dyDescent="0.25">
      <c r="A179" s="61"/>
      <c r="B179" s="61"/>
      <c r="C179" s="61"/>
      <c r="D179" s="61"/>
      <c r="E179" s="61"/>
      <c r="F179" s="61"/>
      <c r="G179" s="61"/>
      <c r="H179" s="61"/>
      <c r="I179" s="61"/>
    </row>
    <row r="180" spans="1:9" x14ac:dyDescent="0.25">
      <c r="A180" s="61"/>
      <c r="B180" s="61"/>
      <c r="C180" s="61"/>
      <c r="D180" s="61"/>
      <c r="E180" s="61"/>
      <c r="F180" s="61"/>
      <c r="G180" s="61"/>
      <c r="H180" s="61"/>
      <c r="I180" s="61"/>
    </row>
    <row r="181" spans="1:9" x14ac:dyDescent="0.25">
      <c r="A181" s="61"/>
      <c r="B181" s="61"/>
      <c r="C181" s="61"/>
      <c r="D181" s="61"/>
      <c r="E181" s="61"/>
      <c r="F181" s="61"/>
      <c r="G181" s="61"/>
      <c r="H181" s="61"/>
      <c r="I181" s="61"/>
    </row>
    <row r="182" spans="1:9" x14ac:dyDescent="0.25">
      <c r="A182" s="61"/>
      <c r="B182" s="61"/>
      <c r="C182" s="61"/>
      <c r="D182" s="61"/>
      <c r="E182" s="61"/>
      <c r="F182" s="61"/>
      <c r="G182" s="61"/>
      <c r="H182" s="61"/>
      <c r="I182" s="61"/>
    </row>
    <row r="183" spans="1:9" x14ac:dyDescent="0.25">
      <c r="A183" s="61"/>
      <c r="B183" s="61"/>
      <c r="C183" s="61"/>
      <c r="D183" s="61"/>
      <c r="E183" s="61"/>
      <c r="F183" s="61"/>
      <c r="G183" s="61"/>
      <c r="H183" s="61"/>
      <c r="I183" s="61"/>
    </row>
    <row r="184" spans="1:9" x14ac:dyDescent="0.25">
      <c r="A184" s="61"/>
      <c r="B184" s="61"/>
      <c r="C184" s="61"/>
      <c r="D184" s="61"/>
      <c r="E184" s="61"/>
      <c r="F184" s="61"/>
      <c r="G184" s="61"/>
      <c r="H184" s="61"/>
      <c r="I184" s="61"/>
    </row>
    <row r="185" spans="1:9" x14ac:dyDescent="0.25">
      <c r="A185" s="61"/>
      <c r="B185" s="61"/>
      <c r="C185" s="61"/>
      <c r="D185" s="61"/>
      <c r="E185" s="61"/>
      <c r="F185" s="61"/>
      <c r="G185" s="61"/>
      <c r="H185" s="61"/>
      <c r="I185" s="61"/>
    </row>
    <row r="186" spans="1:9" x14ac:dyDescent="0.25">
      <c r="A186" s="61"/>
      <c r="B186" s="61"/>
      <c r="C186" s="61"/>
      <c r="D186" s="61"/>
      <c r="E186" s="61"/>
      <c r="F186" s="61"/>
      <c r="G186" s="61"/>
      <c r="H186" s="61"/>
      <c r="I186" s="61"/>
    </row>
    <row r="187" spans="1:9" x14ac:dyDescent="0.25">
      <c r="A187" s="61"/>
      <c r="B187" s="61"/>
      <c r="C187" s="61"/>
      <c r="D187" s="61"/>
      <c r="E187" s="61"/>
      <c r="F187" s="61"/>
      <c r="G187" s="61"/>
      <c r="H187" s="61"/>
      <c r="I187" s="61"/>
    </row>
    <row r="188" spans="1:9" x14ac:dyDescent="0.25">
      <c r="A188" s="61"/>
      <c r="B188" s="61"/>
      <c r="C188" s="61"/>
      <c r="D188" s="61"/>
      <c r="E188" s="61"/>
      <c r="F188" s="61"/>
      <c r="G188" s="61"/>
      <c r="H188" s="61"/>
      <c r="I188" s="61"/>
    </row>
    <row r="189" spans="1:9" x14ac:dyDescent="0.25">
      <c r="A189" s="61"/>
      <c r="B189" s="61"/>
      <c r="C189" s="61"/>
      <c r="D189" s="61"/>
      <c r="E189" s="61"/>
      <c r="F189" s="61"/>
      <c r="G189" s="61"/>
      <c r="H189" s="61"/>
      <c r="I189" s="61"/>
    </row>
    <row r="190" spans="1:9" x14ac:dyDescent="0.25">
      <c r="A190" s="61"/>
      <c r="B190" s="61"/>
      <c r="C190" s="61"/>
      <c r="D190" s="61"/>
      <c r="E190" s="61"/>
      <c r="F190" s="61"/>
      <c r="G190" s="61"/>
      <c r="H190" s="61"/>
      <c r="I190" s="61"/>
    </row>
    <row r="191" spans="1:9" x14ac:dyDescent="0.25">
      <c r="A191" s="61"/>
      <c r="B191" s="61"/>
      <c r="C191" s="61"/>
      <c r="D191" s="61"/>
      <c r="E191" s="61"/>
      <c r="F191" s="61"/>
      <c r="G191" s="61"/>
      <c r="H191" s="61"/>
      <c r="I191" s="61"/>
    </row>
    <row r="192" spans="1:9" x14ac:dyDescent="0.25">
      <c r="A192" s="61"/>
      <c r="B192" s="61"/>
      <c r="C192" s="61"/>
      <c r="D192" s="61"/>
      <c r="E192" s="61"/>
      <c r="F192" s="61"/>
      <c r="G192" s="61"/>
      <c r="H192" s="61"/>
      <c r="I192" s="61"/>
    </row>
    <row r="193" spans="1:9" x14ac:dyDescent="0.25">
      <c r="A193" s="61"/>
      <c r="B193" s="61"/>
      <c r="C193" s="61"/>
      <c r="D193" s="61"/>
      <c r="E193" s="61"/>
      <c r="F193" s="61"/>
      <c r="G193" s="61"/>
      <c r="H193" s="61"/>
      <c r="I193" s="61"/>
    </row>
    <row r="194" spans="1:9" x14ac:dyDescent="0.25">
      <c r="A194" s="61"/>
      <c r="B194" s="61"/>
      <c r="C194" s="61"/>
      <c r="D194" s="61"/>
      <c r="E194" s="61"/>
      <c r="F194" s="61"/>
      <c r="G194" s="61"/>
      <c r="H194" s="61"/>
      <c r="I194" s="61"/>
    </row>
    <row r="195" spans="1:9" x14ac:dyDescent="0.25">
      <c r="A195" s="61"/>
      <c r="B195" s="61"/>
      <c r="C195" s="61"/>
      <c r="D195" s="61"/>
      <c r="E195" s="61"/>
      <c r="F195" s="61"/>
      <c r="G195" s="61"/>
      <c r="H195" s="61"/>
      <c r="I195" s="61"/>
    </row>
    <row r="196" spans="1:9" x14ac:dyDescent="0.25">
      <c r="A196" s="61"/>
      <c r="B196" s="61"/>
      <c r="C196" s="61"/>
      <c r="D196" s="61"/>
      <c r="E196" s="61"/>
      <c r="F196" s="61"/>
      <c r="G196" s="61"/>
      <c r="H196" s="61"/>
      <c r="I196" s="61"/>
    </row>
    <row r="197" spans="1:9" x14ac:dyDescent="0.25">
      <c r="A197" s="61"/>
      <c r="B197" s="61"/>
      <c r="C197" s="61"/>
      <c r="D197" s="61"/>
      <c r="E197" s="61"/>
      <c r="F197" s="61"/>
      <c r="G197" s="61"/>
      <c r="H197" s="61"/>
      <c r="I197" s="61"/>
    </row>
    <row r="198" spans="1:9" x14ac:dyDescent="0.25">
      <c r="A198" s="61"/>
      <c r="B198" s="61"/>
      <c r="C198" s="61"/>
      <c r="D198" s="61"/>
      <c r="E198" s="61"/>
      <c r="F198" s="61"/>
      <c r="G198" s="61"/>
      <c r="H198" s="61"/>
      <c r="I198" s="61"/>
    </row>
    <row r="199" spans="1:9" x14ac:dyDescent="0.25">
      <c r="A199" s="61"/>
      <c r="B199" s="61"/>
      <c r="C199" s="61"/>
      <c r="D199" s="61"/>
      <c r="E199" s="61"/>
      <c r="F199" s="61"/>
      <c r="G199" s="61"/>
      <c r="H199" s="61"/>
      <c r="I199" s="61"/>
    </row>
    <row r="200" spans="1:9" x14ac:dyDescent="0.25">
      <c r="A200" s="61"/>
      <c r="B200" s="61"/>
      <c r="C200" s="61"/>
      <c r="D200" s="61"/>
      <c r="E200" s="61"/>
      <c r="F200" s="61"/>
      <c r="G200" s="61"/>
      <c r="H200" s="61"/>
      <c r="I200" s="61"/>
    </row>
    <row r="201" spans="1:9" x14ac:dyDescent="0.25">
      <c r="A201" s="61"/>
      <c r="B201" s="61"/>
      <c r="C201" s="61"/>
      <c r="D201" s="61"/>
      <c r="E201" s="61"/>
      <c r="F201" s="61"/>
      <c r="G201" s="61"/>
      <c r="H201" s="61"/>
      <c r="I201" s="61"/>
    </row>
    <row r="202" spans="1:9" x14ac:dyDescent="0.25">
      <c r="A202" s="61"/>
      <c r="B202" s="61"/>
      <c r="C202" s="61"/>
      <c r="D202" s="61"/>
      <c r="E202" s="61"/>
      <c r="F202" s="61"/>
      <c r="G202" s="61"/>
      <c r="H202" s="61"/>
      <c r="I202" s="61"/>
    </row>
    <row r="203" spans="1:9" x14ac:dyDescent="0.25">
      <c r="A203" s="61"/>
      <c r="B203" s="61"/>
      <c r="C203" s="61"/>
      <c r="D203" s="61"/>
      <c r="E203" s="61"/>
      <c r="F203" s="61"/>
      <c r="G203" s="61"/>
      <c r="H203" s="61"/>
      <c r="I203" s="61"/>
    </row>
    <row r="204" spans="1:9" x14ac:dyDescent="0.25">
      <c r="A204" s="61"/>
      <c r="B204" s="61"/>
      <c r="C204" s="61"/>
      <c r="D204" s="61"/>
      <c r="E204" s="61"/>
      <c r="F204" s="61"/>
      <c r="G204" s="61"/>
      <c r="H204" s="61"/>
      <c r="I204" s="61"/>
    </row>
    <row r="205" spans="1:9" x14ac:dyDescent="0.25">
      <c r="A205" s="61"/>
      <c r="B205" s="61"/>
      <c r="C205" s="61"/>
      <c r="D205" s="61"/>
      <c r="E205" s="61"/>
      <c r="F205" s="61"/>
      <c r="G205" s="61"/>
      <c r="H205" s="61"/>
      <c r="I205" s="61"/>
    </row>
    <row r="206" spans="1:9" x14ac:dyDescent="0.25">
      <c r="A206" s="61"/>
      <c r="B206" s="61"/>
      <c r="C206" s="61"/>
      <c r="D206" s="61"/>
      <c r="E206" s="61"/>
      <c r="F206" s="61"/>
      <c r="G206" s="61"/>
      <c r="H206" s="61"/>
      <c r="I206" s="61"/>
    </row>
    <row r="207" spans="1:9" x14ac:dyDescent="0.25">
      <c r="A207" s="61"/>
      <c r="B207" s="61"/>
      <c r="C207" s="61"/>
      <c r="D207" s="61"/>
      <c r="E207" s="61"/>
      <c r="F207" s="61"/>
      <c r="G207" s="61"/>
      <c r="H207" s="61"/>
      <c r="I207" s="61"/>
    </row>
    <row r="208" spans="1:9" x14ac:dyDescent="0.25">
      <c r="A208" s="61"/>
      <c r="B208" s="61"/>
      <c r="C208" s="61"/>
      <c r="D208" s="61"/>
      <c r="E208" s="61"/>
      <c r="F208" s="61"/>
      <c r="G208" s="61"/>
      <c r="H208" s="61"/>
      <c r="I208" s="61"/>
    </row>
    <row r="209" spans="1:9" x14ac:dyDescent="0.25">
      <c r="A209" s="61"/>
      <c r="B209" s="61"/>
      <c r="C209" s="61"/>
      <c r="D209" s="61"/>
      <c r="E209" s="61"/>
      <c r="F209" s="61"/>
      <c r="G209" s="61"/>
      <c r="H209" s="61"/>
      <c r="I209" s="61"/>
    </row>
    <row r="210" spans="1:9" x14ac:dyDescent="0.25">
      <c r="A210" s="61"/>
      <c r="B210" s="61"/>
      <c r="C210" s="61"/>
      <c r="D210" s="61"/>
      <c r="E210" s="61"/>
      <c r="F210" s="61"/>
      <c r="G210" s="61"/>
      <c r="H210" s="61"/>
      <c r="I210" s="61"/>
    </row>
    <row r="211" spans="1:9" x14ac:dyDescent="0.25">
      <c r="A211" s="61"/>
      <c r="B211" s="61"/>
      <c r="C211" s="61"/>
      <c r="D211" s="61"/>
      <c r="E211" s="61"/>
      <c r="F211" s="61"/>
      <c r="G211" s="61"/>
      <c r="H211" s="61"/>
      <c r="I211" s="61"/>
    </row>
    <row r="212" spans="1:9" x14ac:dyDescent="0.25">
      <c r="A212" s="61"/>
      <c r="B212" s="61"/>
      <c r="C212" s="61"/>
      <c r="D212" s="61"/>
      <c r="E212" s="61"/>
      <c r="F212" s="61"/>
      <c r="G212" s="61"/>
      <c r="H212" s="61"/>
      <c r="I212" s="61"/>
    </row>
    <row r="213" spans="1:9" x14ac:dyDescent="0.25">
      <c r="A213" s="61"/>
      <c r="B213" s="61"/>
      <c r="C213" s="61"/>
      <c r="D213" s="61"/>
      <c r="E213" s="61"/>
      <c r="F213" s="61"/>
      <c r="G213" s="61"/>
      <c r="H213" s="61"/>
      <c r="I213" s="61"/>
    </row>
    <row r="214" spans="1:9" x14ac:dyDescent="0.25">
      <c r="A214" s="61"/>
      <c r="B214" s="61"/>
      <c r="C214" s="61"/>
      <c r="D214" s="61"/>
      <c r="E214" s="61"/>
      <c r="F214" s="61"/>
      <c r="G214" s="61"/>
      <c r="H214" s="61"/>
      <c r="I214" s="61"/>
    </row>
    <row r="215" spans="1:9" x14ac:dyDescent="0.25">
      <c r="A215" s="61"/>
      <c r="B215" s="61"/>
      <c r="C215" s="61"/>
      <c r="D215" s="61"/>
      <c r="E215" s="61"/>
      <c r="F215" s="61"/>
      <c r="G215" s="61"/>
      <c r="H215" s="61"/>
      <c r="I215" s="61"/>
    </row>
    <row r="216" spans="1:9" x14ac:dyDescent="0.25">
      <c r="A216" s="61"/>
      <c r="B216" s="61"/>
      <c r="C216" s="61"/>
      <c r="D216" s="61"/>
      <c r="E216" s="61"/>
      <c r="F216" s="61"/>
      <c r="G216" s="61"/>
      <c r="H216" s="61"/>
      <c r="I216" s="61"/>
    </row>
    <row r="217" spans="1:9" x14ac:dyDescent="0.25">
      <c r="A217" s="61"/>
      <c r="B217" s="61"/>
      <c r="C217" s="61"/>
      <c r="D217" s="61"/>
      <c r="E217" s="61"/>
      <c r="F217" s="61"/>
      <c r="G217" s="61"/>
      <c r="H217" s="61"/>
      <c r="I217" s="61"/>
    </row>
    <row r="218" spans="1:9" x14ac:dyDescent="0.25">
      <c r="A218" s="61"/>
      <c r="B218" s="61"/>
      <c r="C218" s="61"/>
      <c r="D218" s="61"/>
      <c r="E218" s="61"/>
      <c r="F218" s="61"/>
      <c r="G218" s="61"/>
      <c r="H218" s="61"/>
      <c r="I218" s="61"/>
    </row>
    <row r="219" spans="1:9" x14ac:dyDescent="0.25">
      <c r="A219" s="61"/>
      <c r="B219" s="61"/>
      <c r="C219" s="61"/>
      <c r="D219" s="61"/>
      <c r="E219" s="61"/>
      <c r="F219" s="61"/>
      <c r="G219" s="61"/>
      <c r="H219" s="61"/>
      <c r="I219" s="61"/>
    </row>
    <row r="220" spans="1:9" x14ac:dyDescent="0.25">
      <c r="A220" s="61"/>
      <c r="B220" s="61"/>
      <c r="C220" s="61"/>
      <c r="D220" s="61"/>
      <c r="E220" s="61"/>
      <c r="F220" s="61"/>
      <c r="G220" s="61"/>
      <c r="H220" s="61"/>
      <c r="I220" s="61"/>
    </row>
    <row r="221" spans="1:9" x14ac:dyDescent="0.25">
      <c r="A221" s="61"/>
      <c r="B221" s="61"/>
      <c r="C221" s="61"/>
      <c r="D221" s="61"/>
      <c r="E221" s="61"/>
      <c r="F221" s="61"/>
      <c r="G221" s="61"/>
      <c r="H221" s="61"/>
      <c r="I221" s="61"/>
    </row>
    <row r="222" spans="1:9" x14ac:dyDescent="0.25">
      <c r="A222" s="61"/>
      <c r="B222" s="61"/>
      <c r="C222" s="61"/>
      <c r="D222" s="61"/>
      <c r="E222" s="61"/>
      <c r="F222" s="61"/>
      <c r="G222" s="61"/>
      <c r="H222" s="61"/>
      <c r="I222" s="61"/>
    </row>
    <row r="223" spans="1:9" x14ac:dyDescent="0.25">
      <c r="A223" s="61"/>
      <c r="B223" s="61"/>
      <c r="C223" s="61"/>
      <c r="D223" s="61"/>
      <c r="E223" s="61"/>
      <c r="F223" s="61"/>
      <c r="G223" s="61"/>
      <c r="H223" s="61"/>
      <c r="I223" s="61"/>
    </row>
    <row r="224" spans="1:9" x14ac:dyDescent="0.25">
      <c r="A224" s="61"/>
      <c r="B224" s="61"/>
      <c r="C224" s="61"/>
      <c r="D224" s="61"/>
      <c r="E224" s="61"/>
      <c r="F224" s="61"/>
      <c r="G224" s="61"/>
      <c r="H224" s="61"/>
      <c r="I224" s="61"/>
    </row>
    <row r="225" spans="1:9" x14ac:dyDescent="0.25">
      <c r="A225" s="61"/>
      <c r="B225" s="61"/>
      <c r="C225" s="61"/>
      <c r="D225" s="61"/>
      <c r="E225" s="61"/>
      <c r="F225" s="61"/>
      <c r="G225" s="61"/>
      <c r="H225" s="61"/>
      <c r="I225" s="61"/>
    </row>
    <row r="226" spans="1:9" x14ac:dyDescent="0.25">
      <c r="A226" s="61"/>
      <c r="B226" s="61"/>
      <c r="C226" s="61"/>
      <c r="D226" s="61"/>
      <c r="E226" s="61"/>
      <c r="F226" s="61"/>
      <c r="G226" s="61"/>
      <c r="H226" s="61"/>
      <c r="I226" s="61"/>
    </row>
    <row r="227" spans="1:9" x14ac:dyDescent="0.25">
      <c r="A227" s="61"/>
      <c r="B227" s="61"/>
      <c r="C227" s="61"/>
      <c r="D227" s="61"/>
      <c r="E227" s="61"/>
      <c r="F227" s="61"/>
      <c r="G227" s="61"/>
      <c r="H227" s="61"/>
      <c r="I227" s="61"/>
    </row>
    <row r="228" spans="1:9" x14ac:dyDescent="0.25">
      <c r="A228" s="61"/>
      <c r="B228" s="61"/>
      <c r="C228" s="61"/>
      <c r="D228" s="61"/>
      <c r="E228" s="61"/>
      <c r="F228" s="61"/>
      <c r="G228" s="61"/>
      <c r="H228" s="61"/>
      <c r="I228" s="61"/>
    </row>
    <row r="229" spans="1:9" x14ac:dyDescent="0.25">
      <c r="A229" s="61"/>
      <c r="B229" s="61"/>
      <c r="C229" s="61"/>
      <c r="D229" s="61"/>
      <c r="E229" s="61"/>
      <c r="F229" s="61"/>
      <c r="G229" s="61"/>
      <c r="H229" s="61"/>
      <c r="I229" s="61"/>
    </row>
    <row r="230" spans="1:9" x14ac:dyDescent="0.25">
      <c r="A230" s="61"/>
      <c r="B230" s="61"/>
      <c r="C230" s="61"/>
      <c r="D230" s="61"/>
      <c r="E230" s="61"/>
      <c r="F230" s="61"/>
      <c r="G230" s="61"/>
      <c r="H230" s="61"/>
      <c r="I230" s="61"/>
    </row>
    <row r="231" spans="1:9" x14ac:dyDescent="0.25">
      <c r="A231" s="61"/>
      <c r="B231" s="61"/>
      <c r="C231" s="61"/>
      <c r="D231" s="61"/>
      <c r="E231" s="61"/>
      <c r="F231" s="61"/>
      <c r="G231" s="61"/>
      <c r="H231" s="61"/>
      <c r="I231" s="61"/>
    </row>
    <row r="232" spans="1:9" x14ac:dyDescent="0.25">
      <c r="A232" s="61"/>
      <c r="B232" s="61"/>
      <c r="C232" s="61"/>
      <c r="D232" s="61"/>
      <c r="E232" s="61"/>
      <c r="F232" s="61"/>
      <c r="G232" s="61"/>
      <c r="H232" s="61"/>
      <c r="I232" s="61"/>
    </row>
    <row r="233" spans="1:9" x14ac:dyDescent="0.25">
      <c r="A233" s="61"/>
      <c r="B233" s="61"/>
      <c r="C233" s="61"/>
      <c r="D233" s="61"/>
      <c r="E233" s="61"/>
      <c r="F233" s="61"/>
      <c r="G233" s="61"/>
      <c r="H233" s="61"/>
      <c r="I233" s="61"/>
    </row>
    <row r="234" spans="1:9" x14ac:dyDescent="0.25">
      <c r="A234" s="61"/>
      <c r="B234" s="61"/>
      <c r="C234" s="61"/>
      <c r="D234" s="61"/>
      <c r="E234" s="61"/>
      <c r="F234" s="61"/>
      <c r="G234" s="61"/>
      <c r="H234" s="61"/>
      <c r="I234" s="61"/>
    </row>
    <row r="235" spans="1:9" x14ac:dyDescent="0.25">
      <c r="A235" s="61"/>
      <c r="B235" s="61"/>
      <c r="C235" s="61"/>
      <c r="D235" s="61"/>
      <c r="E235" s="61"/>
      <c r="F235" s="61"/>
      <c r="G235" s="61"/>
      <c r="H235" s="61"/>
      <c r="I235" s="61"/>
    </row>
    <row r="236" spans="1:9" x14ac:dyDescent="0.25">
      <c r="A236" s="61"/>
      <c r="B236" s="61"/>
      <c r="C236" s="61"/>
      <c r="D236" s="61"/>
      <c r="E236" s="61"/>
      <c r="F236" s="61"/>
      <c r="G236" s="61"/>
      <c r="H236" s="61"/>
      <c r="I236" s="61"/>
    </row>
    <row r="237" spans="1:9" x14ac:dyDescent="0.25">
      <c r="A237" s="61"/>
      <c r="B237" s="61"/>
      <c r="C237" s="61"/>
      <c r="D237" s="61"/>
      <c r="E237" s="61"/>
      <c r="F237" s="61"/>
      <c r="G237" s="61"/>
      <c r="H237" s="61"/>
      <c r="I237" s="61"/>
    </row>
    <row r="238" spans="1:9" x14ac:dyDescent="0.25">
      <c r="A238" s="61"/>
      <c r="B238" s="61"/>
      <c r="C238" s="61"/>
      <c r="D238" s="61"/>
      <c r="E238" s="61"/>
      <c r="F238" s="61"/>
      <c r="G238" s="61"/>
      <c r="H238" s="61"/>
      <c r="I238" s="61"/>
    </row>
    <row r="239" spans="1:9" x14ac:dyDescent="0.25">
      <c r="A239" s="61"/>
      <c r="B239" s="61"/>
      <c r="C239" s="61"/>
      <c r="D239" s="61"/>
      <c r="E239" s="61"/>
      <c r="F239" s="61"/>
      <c r="G239" s="61"/>
      <c r="H239" s="61"/>
      <c r="I239" s="61"/>
    </row>
    <row r="240" spans="1:9" x14ac:dyDescent="0.25">
      <c r="A240" s="61"/>
      <c r="B240" s="61"/>
      <c r="C240" s="61"/>
      <c r="D240" s="61"/>
      <c r="E240" s="61"/>
      <c r="F240" s="61"/>
      <c r="G240" s="61"/>
      <c r="H240" s="61"/>
      <c r="I240" s="61"/>
    </row>
    <row r="241" spans="1:9" x14ac:dyDescent="0.25">
      <c r="A241" s="61"/>
      <c r="B241" s="61"/>
      <c r="C241" s="61"/>
      <c r="D241" s="61"/>
      <c r="E241" s="61"/>
      <c r="F241" s="61"/>
      <c r="G241" s="61"/>
      <c r="H241" s="61"/>
      <c r="I241" s="61"/>
    </row>
    <row r="242" spans="1:9" x14ac:dyDescent="0.25">
      <c r="A242" s="61"/>
      <c r="B242" s="61"/>
      <c r="C242" s="61"/>
      <c r="D242" s="61"/>
      <c r="E242" s="61"/>
      <c r="F242" s="61"/>
      <c r="G242" s="61"/>
      <c r="H242" s="61"/>
      <c r="I242" s="61"/>
    </row>
    <row r="243" spans="1:9" x14ac:dyDescent="0.25">
      <c r="A243" s="61"/>
      <c r="B243" s="61"/>
      <c r="C243" s="61"/>
      <c r="D243" s="61"/>
      <c r="E243" s="61"/>
      <c r="F243" s="61"/>
      <c r="G243" s="61"/>
      <c r="H243" s="61"/>
      <c r="I243" s="61"/>
    </row>
    <row r="244" spans="1:9" x14ac:dyDescent="0.25">
      <c r="A244" s="61"/>
      <c r="B244" s="61"/>
      <c r="C244" s="61"/>
      <c r="D244" s="61"/>
      <c r="E244" s="61"/>
      <c r="F244" s="61"/>
      <c r="G244" s="61"/>
      <c r="H244" s="61"/>
      <c r="I244" s="61"/>
    </row>
    <row r="245" spans="1:9" x14ac:dyDescent="0.25">
      <c r="A245" s="61"/>
      <c r="B245" s="61"/>
      <c r="C245" s="61"/>
      <c r="D245" s="61"/>
      <c r="E245" s="61"/>
      <c r="F245" s="61"/>
      <c r="G245" s="61"/>
      <c r="H245" s="61"/>
      <c r="I245" s="61"/>
    </row>
    <row r="246" spans="1:9" x14ac:dyDescent="0.25">
      <c r="A246" s="61"/>
      <c r="B246" s="61"/>
      <c r="C246" s="61"/>
      <c r="D246" s="61"/>
      <c r="E246" s="61"/>
      <c r="F246" s="61"/>
      <c r="G246" s="61"/>
      <c r="H246" s="61"/>
      <c r="I246" s="61"/>
    </row>
    <row r="247" spans="1:9" x14ac:dyDescent="0.25">
      <c r="A247" s="61"/>
      <c r="B247" s="61"/>
      <c r="C247" s="61"/>
      <c r="D247" s="61"/>
      <c r="E247" s="61"/>
      <c r="F247" s="61"/>
      <c r="G247" s="61"/>
      <c r="H247" s="61"/>
      <c r="I247" s="61"/>
    </row>
    <row r="248" spans="1:9" x14ac:dyDescent="0.25">
      <c r="A248" s="61"/>
      <c r="B248" s="61"/>
      <c r="C248" s="61"/>
      <c r="D248" s="61"/>
      <c r="E248" s="61"/>
      <c r="F248" s="61"/>
      <c r="G248" s="61"/>
      <c r="H248" s="61"/>
      <c r="I248" s="61"/>
    </row>
    <row r="249" spans="1:9" x14ac:dyDescent="0.25">
      <c r="A249" s="61"/>
      <c r="B249" s="61"/>
      <c r="C249" s="61"/>
      <c r="D249" s="61"/>
      <c r="E249" s="61"/>
      <c r="F249" s="61"/>
      <c r="G249" s="61"/>
      <c r="H249" s="61"/>
      <c r="I249" s="61"/>
    </row>
    <row r="250" spans="1:9" x14ac:dyDescent="0.25">
      <c r="A250" s="61"/>
      <c r="B250" s="61"/>
      <c r="C250" s="61"/>
      <c r="D250" s="61"/>
      <c r="E250" s="61"/>
      <c r="F250" s="61"/>
      <c r="G250" s="61"/>
      <c r="H250" s="61"/>
      <c r="I250" s="61"/>
    </row>
    <row r="251" spans="1:9" x14ac:dyDescent="0.25">
      <c r="A251" s="61"/>
      <c r="B251" s="61"/>
      <c r="C251" s="61"/>
      <c r="D251" s="61"/>
      <c r="E251" s="61"/>
      <c r="F251" s="61"/>
      <c r="G251" s="61"/>
      <c r="H251" s="61"/>
      <c r="I251" s="61"/>
    </row>
    <row r="252" spans="1:9" x14ac:dyDescent="0.25">
      <c r="A252" s="61"/>
      <c r="B252" s="61"/>
      <c r="C252" s="61"/>
      <c r="D252" s="61"/>
      <c r="E252" s="61"/>
      <c r="F252" s="61"/>
      <c r="G252" s="61"/>
      <c r="H252" s="61"/>
      <c r="I252" s="61"/>
    </row>
    <row r="253" spans="1:9" x14ac:dyDescent="0.25">
      <c r="A253" s="61"/>
      <c r="B253" s="61"/>
      <c r="C253" s="61"/>
      <c r="D253" s="61"/>
      <c r="E253" s="61"/>
      <c r="F253" s="61"/>
      <c r="G253" s="61"/>
      <c r="H253" s="61"/>
      <c r="I253" s="61"/>
    </row>
    <row r="254" spans="1:9" x14ac:dyDescent="0.25">
      <c r="A254" s="61"/>
      <c r="B254" s="61"/>
      <c r="C254" s="61"/>
      <c r="D254" s="61"/>
      <c r="E254" s="61"/>
      <c r="F254" s="61"/>
      <c r="G254" s="61"/>
      <c r="H254" s="61"/>
      <c r="I254" s="61"/>
    </row>
    <row r="255" spans="1:9" x14ac:dyDescent="0.25">
      <c r="A255" s="61"/>
      <c r="B255" s="61"/>
      <c r="C255" s="61"/>
      <c r="D255" s="61"/>
      <c r="E255" s="61"/>
      <c r="F255" s="61"/>
      <c r="G255" s="61"/>
      <c r="H255" s="61"/>
      <c r="I255" s="61"/>
    </row>
    <row r="256" spans="1:9" x14ac:dyDescent="0.25">
      <c r="A256" s="61"/>
      <c r="B256" s="61"/>
      <c r="C256" s="61"/>
      <c r="D256" s="61"/>
      <c r="E256" s="61"/>
      <c r="F256" s="61"/>
      <c r="G256" s="61"/>
      <c r="H256" s="61"/>
      <c r="I256" s="61"/>
    </row>
    <row r="257" spans="1:9" x14ac:dyDescent="0.25">
      <c r="A257" s="61"/>
      <c r="B257" s="61"/>
      <c r="C257" s="61"/>
      <c r="D257" s="61"/>
      <c r="E257" s="61"/>
      <c r="F257" s="61"/>
      <c r="G257" s="61"/>
      <c r="H257" s="61"/>
      <c r="I257" s="61"/>
    </row>
    <row r="258" spans="1:9" x14ac:dyDescent="0.25">
      <c r="A258" s="61"/>
      <c r="B258" s="61"/>
      <c r="C258" s="61"/>
      <c r="D258" s="61"/>
      <c r="E258" s="61"/>
      <c r="F258" s="61"/>
      <c r="G258" s="61"/>
      <c r="H258" s="61"/>
      <c r="I258" s="61"/>
    </row>
    <row r="259" spans="1:9" x14ac:dyDescent="0.25">
      <c r="A259" s="61"/>
      <c r="B259" s="61"/>
      <c r="C259" s="61"/>
      <c r="D259" s="61"/>
      <c r="E259" s="61"/>
      <c r="F259" s="61"/>
      <c r="G259" s="61"/>
      <c r="H259" s="61"/>
      <c r="I259" s="61"/>
    </row>
    <row r="260" spans="1:9" x14ac:dyDescent="0.25">
      <c r="A260" s="61"/>
      <c r="B260" s="61"/>
      <c r="C260" s="61"/>
      <c r="D260" s="61"/>
      <c r="E260" s="61"/>
      <c r="F260" s="61"/>
      <c r="G260" s="61"/>
      <c r="H260" s="61"/>
      <c r="I260" s="61"/>
    </row>
    <row r="261" spans="1:9" x14ac:dyDescent="0.25">
      <c r="A261" s="61"/>
      <c r="B261" s="61"/>
      <c r="C261" s="61"/>
      <c r="D261" s="61"/>
      <c r="E261" s="61"/>
      <c r="F261" s="61"/>
      <c r="G261" s="61"/>
      <c r="H261" s="61"/>
      <c r="I261" s="61"/>
    </row>
    <row r="262" spans="1:9" x14ac:dyDescent="0.25">
      <c r="A262" s="61"/>
      <c r="B262" s="61"/>
      <c r="C262" s="61"/>
      <c r="D262" s="61"/>
      <c r="E262" s="61"/>
      <c r="F262" s="61"/>
      <c r="G262" s="61"/>
      <c r="H262" s="61"/>
      <c r="I262" s="61"/>
    </row>
    <row r="263" spans="1:9" x14ac:dyDescent="0.25">
      <c r="A263" s="61"/>
      <c r="B263" s="61"/>
      <c r="C263" s="61"/>
      <c r="D263" s="61"/>
      <c r="E263" s="61"/>
      <c r="F263" s="61"/>
      <c r="G263" s="61"/>
      <c r="H263" s="61"/>
      <c r="I263" s="61"/>
    </row>
    <row r="264" spans="1:9" x14ac:dyDescent="0.25">
      <c r="A264" s="61"/>
      <c r="B264" s="61"/>
      <c r="C264" s="61"/>
      <c r="D264" s="61"/>
      <c r="E264" s="61"/>
      <c r="F264" s="61"/>
      <c r="G264" s="61"/>
      <c r="H264" s="61"/>
      <c r="I264" s="61"/>
    </row>
    <row r="265" spans="1:9" x14ac:dyDescent="0.25">
      <c r="A265" s="61"/>
      <c r="B265" s="61"/>
      <c r="C265" s="61"/>
      <c r="D265" s="61"/>
      <c r="E265" s="61"/>
      <c r="F265" s="61"/>
      <c r="G265" s="61"/>
      <c r="H265" s="61"/>
      <c r="I265" s="61"/>
    </row>
    <row r="266" spans="1:9" x14ac:dyDescent="0.25">
      <c r="A266" s="61"/>
      <c r="B266" s="61"/>
      <c r="C266" s="61"/>
      <c r="D266" s="61"/>
      <c r="E266" s="61"/>
      <c r="F266" s="61"/>
      <c r="G266" s="61"/>
      <c r="H266" s="61"/>
      <c r="I266" s="61"/>
    </row>
    <row r="267" spans="1:9" x14ac:dyDescent="0.25">
      <c r="A267" s="61"/>
      <c r="B267" s="61"/>
      <c r="C267" s="61"/>
      <c r="D267" s="61"/>
      <c r="E267" s="61"/>
      <c r="F267" s="61"/>
      <c r="G267" s="61"/>
      <c r="H267" s="61"/>
      <c r="I267" s="61"/>
    </row>
    <row r="268" spans="1:9" x14ac:dyDescent="0.25">
      <c r="A268" s="61"/>
      <c r="B268" s="61"/>
      <c r="C268" s="61"/>
      <c r="D268" s="61"/>
      <c r="E268" s="61"/>
      <c r="F268" s="61"/>
      <c r="G268" s="61"/>
      <c r="H268" s="61"/>
      <c r="I268" s="61"/>
    </row>
    <row r="269" spans="1:9" x14ac:dyDescent="0.25">
      <c r="A269" s="61"/>
      <c r="B269" s="61"/>
      <c r="C269" s="61"/>
      <c r="D269" s="61"/>
      <c r="E269" s="61"/>
      <c r="F269" s="61"/>
      <c r="G269" s="61"/>
      <c r="H269" s="61"/>
      <c r="I269" s="61"/>
    </row>
    <row r="270" spans="1:9" x14ac:dyDescent="0.25">
      <c r="A270" s="61"/>
      <c r="B270" s="61"/>
      <c r="C270" s="61"/>
      <c r="D270" s="61"/>
      <c r="E270" s="61"/>
      <c r="F270" s="61"/>
      <c r="G270" s="61"/>
      <c r="H270" s="61"/>
      <c r="I270" s="61"/>
    </row>
    <row r="271" spans="1:9" x14ac:dyDescent="0.25">
      <c r="A271" s="61"/>
      <c r="B271" s="61"/>
      <c r="C271" s="61"/>
      <c r="D271" s="61"/>
      <c r="E271" s="61"/>
      <c r="F271" s="61"/>
      <c r="G271" s="61"/>
      <c r="H271" s="61"/>
      <c r="I271" s="61"/>
    </row>
    <row r="272" spans="1:9" x14ac:dyDescent="0.25">
      <c r="A272" s="61"/>
      <c r="B272" s="61"/>
      <c r="C272" s="61"/>
      <c r="D272" s="61"/>
      <c r="E272" s="61"/>
      <c r="F272" s="61"/>
      <c r="G272" s="61"/>
      <c r="H272" s="61"/>
      <c r="I272" s="61"/>
    </row>
    <row r="273" spans="1:9" x14ac:dyDescent="0.25">
      <c r="A273" s="61"/>
      <c r="B273" s="61"/>
      <c r="C273" s="61"/>
      <c r="D273" s="61"/>
      <c r="E273" s="61"/>
      <c r="F273" s="61"/>
      <c r="G273" s="61"/>
      <c r="H273" s="61"/>
      <c r="I273" s="61"/>
    </row>
    <row r="274" spans="1:9" x14ac:dyDescent="0.25">
      <c r="A274" s="61"/>
      <c r="B274" s="61"/>
      <c r="C274" s="61"/>
      <c r="D274" s="61"/>
      <c r="E274" s="61"/>
      <c r="F274" s="61"/>
      <c r="G274" s="61"/>
      <c r="H274" s="61"/>
      <c r="I274" s="61"/>
    </row>
    <row r="275" spans="1:9" x14ac:dyDescent="0.25">
      <c r="A275" s="61"/>
      <c r="B275" s="61"/>
      <c r="C275" s="61"/>
      <c r="D275" s="61"/>
      <c r="E275" s="61"/>
      <c r="F275" s="61"/>
      <c r="G275" s="61"/>
      <c r="H275" s="61"/>
      <c r="I275" s="61"/>
    </row>
    <row r="276" spans="1:9" x14ac:dyDescent="0.25">
      <c r="A276" s="61"/>
      <c r="B276" s="61"/>
      <c r="C276" s="61"/>
      <c r="D276" s="61"/>
      <c r="E276" s="61"/>
      <c r="F276" s="61"/>
      <c r="G276" s="61"/>
      <c r="H276" s="61"/>
      <c r="I276" s="61"/>
    </row>
    <row r="277" spans="1:9" x14ac:dyDescent="0.25">
      <c r="A277" s="61"/>
      <c r="B277" s="61"/>
      <c r="C277" s="61"/>
      <c r="D277" s="61"/>
      <c r="E277" s="61"/>
      <c r="F277" s="61"/>
      <c r="G277" s="61"/>
      <c r="H277" s="61"/>
      <c r="I277" s="61"/>
    </row>
    <row r="278" spans="1:9" x14ac:dyDescent="0.25">
      <c r="A278" s="61"/>
      <c r="B278" s="61"/>
      <c r="C278" s="61"/>
      <c r="D278" s="61"/>
      <c r="E278" s="61"/>
      <c r="F278" s="61"/>
      <c r="G278" s="61"/>
      <c r="H278" s="61"/>
      <c r="I278" s="61"/>
    </row>
    <row r="279" spans="1:9" x14ac:dyDescent="0.25">
      <c r="A279" s="61"/>
      <c r="B279" s="61"/>
      <c r="C279" s="61"/>
      <c r="D279" s="61"/>
      <c r="E279" s="61"/>
      <c r="F279" s="61"/>
      <c r="G279" s="61"/>
      <c r="H279" s="61"/>
      <c r="I279" s="61"/>
    </row>
    <row r="280" spans="1:9" x14ac:dyDescent="0.25">
      <c r="A280" s="61"/>
      <c r="B280" s="61"/>
      <c r="C280" s="61"/>
      <c r="D280" s="61"/>
      <c r="E280" s="61"/>
      <c r="F280" s="61"/>
      <c r="G280" s="61"/>
      <c r="H280" s="61"/>
      <c r="I280" s="61"/>
    </row>
    <row r="281" spans="1:9" x14ac:dyDescent="0.25">
      <c r="A281" s="61"/>
      <c r="B281" s="61"/>
      <c r="C281" s="61"/>
      <c r="D281" s="61"/>
      <c r="E281" s="61"/>
      <c r="F281" s="61"/>
      <c r="G281" s="61"/>
      <c r="H281" s="61"/>
      <c r="I281" s="61"/>
    </row>
    <row r="282" spans="1:9" x14ac:dyDescent="0.25">
      <c r="A282" s="61"/>
      <c r="B282" s="61"/>
      <c r="C282" s="61"/>
      <c r="D282" s="61"/>
      <c r="E282" s="61"/>
      <c r="F282" s="61"/>
      <c r="G282" s="61"/>
      <c r="H282" s="61"/>
      <c r="I282" s="61"/>
    </row>
    <row r="283" spans="1:9" x14ac:dyDescent="0.25">
      <c r="A283" s="61"/>
      <c r="B283" s="61"/>
      <c r="C283" s="61"/>
      <c r="D283" s="61"/>
      <c r="E283" s="61"/>
      <c r="F283" s="61"/>
      <c r="G283" s="61"/>
      <c r="H283" s="61"/>
      <c r="I283" s="61"/>
    </row>
    <row r="284" spans="1:9" x14ac:dyDescent="0.25">
      <c r="A284" s="61"/>
      <c r="B284" s="61"/>
      <c r="C284" s="61"/>
      <c r="D284" s="61"/>
      <c r="E284" s="61"/>
      <c r="F284" s="61"/>
      <c r="G284" s="61"/>
      <c r="H284" s="61"/>
      <c r="I284" s="61"/>
    </row>
    <row r="285" spans="1:9" x14ac:dyDescent="0.25">
      <c r="A285" s="61"/>
      <c r="B285" s="61"/>
      <c r="C285" s="61"/>
      <c r="D285" s="61"/>
      <c r="E285" s="61"/>
      <c r="F285" s="61"/>
      <c r="G285" s="61"/>
      <c r="H285" s="61"/>
      <c r="I285" s="61"/>
    </row>
    <row r="286" spans="1:9" x14ac:dyDescent="0.25">
      <c r="A286" s="61"/>
      <c r="B286" s="61"/>
      <c r="C286" s="61"/>
      <c r="D286" s="61"/>
      <c r="E286" s="61"/>
      <c r="F286" s="61"/>
      <c r="G286" s="61"/>
      <c r="H286" s="61"/>
      <c r="I286" s="61"/>
    </row>
    <row r="287" spans="1:9" x14ac:dyDescent="0.25">
      <c r="A287" s="61"/>
      <c r="B287" s="61"/>
      <c r="C287" s="61"/>
      <c r="D287" s="61"/>
      <c r="E287" s="61"/>
      <c r="F287" s="61"/>
      <c r="G287" s="61"/>
      <c r="H287" s="61"/>
      <c r="I287" s="61"/>
    </row>
    <row r="288" spans="1:9" x14ac:dyDescent="0.25">
      <c r="A288" s="61"/>
      <c r="B288" s="61"/>
      <c r="C288" s="61"/>
      <c r="D288" s="61"/>
      <c r="E288" s="61"/>
      <c r="F288" s="61"/>
      <c r="G288" s="61"/>
      <c r="H288" s="61"/>
      <c r="I288" s="61"/>
    </row>
    <row r="289" spans="1:9" x14ac:dyDescent="0.25">
      <c r="A289" s="61"/>
      <c r="B289" s="61"/>
      <c r="C289" s="61"/>
      <c r="D289" s="61"/>
      <c r="E289" s="61"/>
      <c r="F289" s="61"/>
      <c r="G289" s="61"/>
      <c r="H289" s="61"/>
      <c r="I289" s="61"/>
    </row>
    <row r="290" spans="1:9" x14ac:dyDescent="0.25">
      <c r="A290" s="61"/>
      <c r="B290" s="61"/>
      <c r="C290" s="61"/>
      <c r="D290" s="61"/>
      <c r="E290" s="61"/>
      <c r="F290" s="61"/>
      <c r="G290" s="61"/>
      <c r="H290" s="61"/>
      <c r="I290" s="61"/>
    </row>
    <row r="291" spans="1:9" x14ac:dyDescent="0.25">
      <c r="A291" s="61"/>
      <c r="B291" s="61"/>
      <c r="C291" s="61"/>
      <c r="D291" s="61"/>
      <c r="E291" s="61"/>
      <c r="F291" s="61"/>
      <c r="G291" s="61"/>
      <c r="H291" s="61"/>
      <c r="I291" s="61"/>
    </row>
    <row r="292" spans="1:9" x14ac:dyDescent="0.25">
      <c r="A292" s="61"/>
      <c r="B292" s="61"/>
      <c r="C292" s="61"/>
      <c r="D292" s="61"/>
      <c r="E292" s="61"/>
      <c r="F292" s="61"/>
      <c r="G292" s="61"/>
      <c r="H292" s="61"/>
      <c r="I292" s="61"/>
    </row>
    <row r="293" spans="1:9" x14ac:dyDescent="0.25">
      <c r="A293" s="61"/>
      <c r="B293" s="61"/>
      <c r="C293" s="61"/>
      <c r="D293" s="61"/>
      <c r="E293" s="61"/>
      <c r="F293" s="61"/>
      <c r="G293" s="61"/>
      <c r="H293" s="61"/>
      <c r="I293" s="61"/>
    </row>
    <row r="294" spans="1:9" x14ac:dyDescent="0.25">
      <c r="A294" s="61"/>
      <c r="B294" s="61"/>
      <c r="C294" s="61"/>
      <c r="D294" s="61"/>
      <c r="E294" s="61"/>
      <c r="F294" s="61"/>
      <c r="G294" s="61"/>
      <c r="H294" s="61"/>
      <c r="I294" s="61"/>
    </row>
    <row r="295" spans="1:9" x14ac:dyDescent="0.25">
      <c r="A295" s="61"/>
      <c r="B295" s="61"/>
      <c r="C295" s="61"/>
      <c r="D295" s="61"/>
      <c r="E295" s="61"/>
      <c r="F295" s="61"/>
      <c r="G295" s="61"/>
      <c r="H295" s="61"/>
      <c r="I295" s="61"/>
    </row>
    <row r="296" spans="1:9" x14ac:dyDescent="0.25">
      <c r="A296" s="61"/>
      <c r="B296" s="61"/>
      <c r="C296" s="61"/>
      <c r="D296" s="61"/>
      <c r="E296" s="61"/>
      <c r="F296" s="61"/>
      <c r="G296" s="61"/>
      <c r="H296" s="61"/>
      <c r="I296" s="61"/>
    </row>
    <row r="297" spans="1:9" x14ac:dyDescent="0.25">
      <c r="A297" s="61"/>
      <c r="B297" s="61"/>
      <c r="C297" s="61"/>
      <c r="D297" s="61"/>
      <c r="E297" s="61"/>
      <c r="F297" s="61"/>
      <c r="G297" s="61"/>
      <c r="H297" s="61"/>
      <c r="I297" s="61"/>
    </row>
    <row r="298" spans="1:9" x14ac:dyDescent="0.25">
      <c r="A298" s="61"/>
      <c r="B298" s="61"/>
      <c r="C298" s="61"/>
      <c r="D298" s="61"/>
      <c r="E298" s="61"/>
      <c r="F298" s="61"/>
      <c r="G298" s="61"/>
      <c r="H298" s="61"/>
      <c r="I298" s="61"/>
    </row>
    <row r="299" spans="1:9" x14ac:dyDescent="0.25">
      <c r="A299" s="61"/>
      <c r="B299" s="61"/>
      <c r="C299" s="61"/>
      <c r="D299" s="61"/>
      <c r="E299" s="61"/>
      <c r="F299" s="61"/>
      <c r="G299" s="61"/>
      <c r="H299" s="61"/>
      <c r="I299" s="61"/>
    </row>
    <row r="300" spans="1:9" x14ac:dyDescent="0.25">
      <c r="A300" s="61"/>
      <c r="B300" s="61"/>
      <c r="C300" s="61"/>
      <c r="D300" s="61"/>
      <c r="E300" s="61"/>
      <c r="F300" s="61"/>
      <c r="G300" s="61"/>
      <c r="H300" s="61"/>
      <c r="I300" s="61"/>
    </row>
    <row r="301" spans="1:9" x14ac:dyDescent="0.25">
      <c r="A301" s="61"/>
      <c r="B301" s="61"/>
      <c r="C301" s="61"/>
      <c r="D301" s="61"/>
      <c r="E301" s="61"/>
      <c r="F301" s="61"/>
      <c r="G301" s="61"/>
      <c r="H301" s="61"/>
      <c r="I301" s="61"/>
    </row>
    <row r="302" spans="1:9" x14ac:dyDescent="0.25">
      <c r="A302" s="61"/>
      <c r="B302" s="61"/>
      <c r="C302" s="61"/>
      <c r="D302" s="61"/>
      <c r="E302" s="61"/>
      <c r="F302" s="61"/>
      <c r="G302" s="61"/>
      <c r="H302" s="61"/>
      <c r="I302" s="61"/>
    </row>
    <row r="303" spans="1:9" x14ac:dyDescent="0.25">
      <c r="A303" s="61"/>
      <c r="B303" s="61"/>
      <c r="C303" s="61"/>
      <c r="D303" s="61"/>
      <c r="E303" s="61"/>
      <c r="F303" s="61"/>
      <c r="G303" s="61"/>
      <c r="H303" s="61"/>
      <c r="I303" s="61"/>
    </row>
    <row r="304" spans="1:9" x14ac:dyDescent="0.25">
      <c r="A304" s="61"/>
      <c r="B304" s="61"/>
      <c r="C304" s="61"/>
      <c r="D304" s="61"/>
      <c r="E304" s="61"/>
      <c r="F304" s="61"/>
      <c r="G304" s="61"/>
      <c r="H304" s="61"/>
      <c r="I304" s="61"/>
    </row>
    <row r="305" spans="1:9" x14ac:dyDescent="0.25">
      <c r="A305" s="61"/>
      <c r="B305" s="61"/>
      <c r="C305" s="61"/>
      <c r="D305" s="61"/>
      <c r="E305" s="61"/>
      <c r="F305" s="61"/>
      <c r="G305" s="61"/>
      <c r="H305" s="61"/>
      <c r="I305" s="61"/>
    </row>
    <row r="306" spans="1:9" x14ac:dyDescent="0.25">
      <c r="A306" s="61"/>
      <c r="B306" s="61"/>
      <c r="C306" s="61"/>
      <c r="D306" s="61"/>
      <c r="E306" s="61"/>
      <c r="F306" s="61"/>
      <c r="G306" s="61"/>
      <c r="H306" s="61"/>
      <c r="I306" s="61"/>
    </row>
    <row r="307" spans="1:9" x14ac:dyDescent="0.25">
      <c r="A307" s="61"/>
      <c r="B307" s="61"/>
      <c r="C307" s="61"/>
      <c r="D307" s="61"/>
      <c r="E307" s="61"/>
      <c r="F307" s="61"/>
      <c r="G307" s="61"/>
      <c r="H307" s="61"/>
      <c r="I307" s="61"/>
    </row>
    <row r="308" spans="1:9" x14ac:dyDescent="0.25">
      <c r="A308" s="61"/>
      <c r="B308" s="61"/>
      <c r="C308" s="61"/>
      <c r="D308" s="61"/>
      <c r="E308" s="61"/>
      <c r="F308" s="61"/>
      <c r="G308" s="61"/>
      <c r="H308" s="61"/>
      <c r="I308" s="61"/>
    </row>
    <row r="309" spans="1:9" x14ac:dyDescent="0.25">
      <c r="A309" s="61"/>
      <c r="B309" s="61"/>
      <c r="C309" s="61"/>
      <c r="D309" s="61"/>
      <c r="E309" s="61"/>
      <c r="F309" s="61"/>
      <c r="G309" s="61"/>
      <c r="H309" s="61"/>
      <c r="I309" s="61"/>
    </row>
    <row r="310" spans="1:9" x14ac:dyDescent="0.25">
      <c r="A310" s="61"/>
      <c r="B310" s="61"/>
      <c r="C310" s="61"/>
      <c r="D310" s="61"/>
      <c r="E310" s="61"/>
      <c r="F310" s="61"/>
      <c r="G310" s="61"/>
      <c r="H310" s="61"/>
      <c r="I310" s="61"/>
    </row>
    <row r="311" spans="1:9" x14ac:dyDescent="0.25">
      <c r="A311" s="61"/>
      <c r="B311" s="61"/>
      <c r="C311" s="61"/>
      <c r="D311" s="61"/>
      <c r="E311" s="61"/>
      <c r="F311" s="61"/>
      <c r="G311" s="61"/>
      <c r="H311" s="61"/>
      <c r="I311" s="61"/>
    </row>
    <row r="312" spans="1:9" x14ac:dyDescent="0.25">
      <c r="A312" s="61"/>
      <c r="B312" s="61"/>
      <c r="C312" s="61"/>
      <c r="D312" s="61"/>
      <c r="E312" s="61"/>
      <c r="F312" s="61"/>
      <c r="G312" s="61"/>
      <c r="H312" s="61"/>
      <c r="I312" s="61"/>
    </row>
    <row r="313" spans="1:9" x14ac:dyDescent="0.25">
      <c r="A313" s="61"/>
      <c r="B313" s="61"/>
      <c r="C313" s="61"/>
      <c r="D313" s="61"/>
      <c r="E313" s="61"/>
      <c r="F313" s="61"/>
      <c r="G313" s="61"/>
      <c r="H313" s="61"/>
      <c r="I313" s="61"/>
    </row>
    <row r="314" spans="1:9" x14ac:dyDescent="0.25">
      <c r="A314" s="61"/>
      <c r="B314" s="61"/>
      <c r="C314" s="61"/>
      <c r="D314" s="61"/>
      <c r="E314" s="61"/>
      <c r="F314" s="61"/>
      <c r="G314" s="61"/>
      <c r="H314" s="61"/>
      <c r="I314" s="61"/>
    </row>
    <row r="315" spans="1:9" x14ac:dyDescent="0.25">
      <c r="A315" s="61"/>
      <c r="B315" s="61"/>
      <c r="C315" s="61"/>
      <c r="D315" s="61"/>
      <c r="E315" s="61"/>
      <c r="F315" s="61"/>
      <c r="G315" s="61"/>
      <c r="H315" s="61"/>
      <c r="I315" s="61"/>
    </row>
    <row r="316" spans="1:9" x14ac:dyDescent="0.25">
      <c r="A316" s="61"/>
      <c r="B316" s="61"/>
      <c r="C316" s="61"/>
      <c r="D316" s="61"/>
      <c r="E316" s="61"/>
      <c r="F316" s="61"/>
      <c r="G316" s="61"/>
      <c r="H316" s="61"/>
      <c r="I316" s="61"/>
    </row>
    <row r="317" spans="1:9" x14ac:dyDescent="0.25">
      <c r="A317" s="61"/>
      <c r="B317" s="61"/>
      <c r="C317" s="61"/>
      <c r="D317" s="61"/>
      <c r="E317" s="61"/>
      <c r="F317" s="61"/>
      <c r="G317" s="61"/>
      <c r="H317" s="61"/>
      <c r="I317" s="61"/>
    </row>
    <row r="318" spans="1:9" x14ac:dyDescent="0.25">
      <c r="A318" s="61"/>
      <c r="B318" s="61"/>
      <c r="C318" s="61"/>
      <c r="D318" s="61"/>
      <c r="E318" s="61"/>
      <c r="F318" s="61"/>
      <c r="G318" s="61"/>
      <c r="H318" s="61"/>
      <c r="I318" s="61"/>
    </row>
    <row r="319" spans="1:9" x14ac:dyDescent="0.25">
      <c r="A319" s="61"/>
      <c r="B319" s="61"/>
      <c r="C319" s="61"/>
      <c r="D319" s="61"/>
      <c r="E319" s="61"/>
      <c r="F319" s="61"/>
      <c r="G319" s="61"/>
      <c r="H319" s="61"/>
      <c r="I319" s="61"/>
    </row>
    <row r="320" spans="1:9" x14ac:dyDescent="0.25">
      <c r="A320" s="61"/>
      <c r="B320" s="61"/>
      <c r="C320" s="61"/>
      <c r="D320" s="61"/>
      <c r="E320" s="61"/>
      <c r="F320" s="61"/>
      <c r="G320" s="61"/>
      <c r="H320" s="61"/>
      <c r="I320" s="61"/>
    </row>
    <row r="321" spans="1:9" x14ac:dyDescent="0.25">
      <c r="A321" s="61"/>
      <c r="B321" s="61"/>
      <c r="C321" s="61"/>
      <c r="D321" s="61"/>
      <c r="E321" s="61"/>
      <c r="F321" s="61"/>
      <c r="G321" s="61"/>
      <c r="H321" s="61"/>
      <c r="I321" s="61"/>
    </row>
    <row r="322" spans="1:9" x14ac:dyDescent="0.25">
      <c r="A322" s="61"/>
      <c r="B322" s="61"/>
      <c r="C322" s="61"/>
      <c r="D322" s="61"/>
      <c r="E322" s="61"/>
      <c r="F322" s="61"/>
      <c r="G322" s="61"/>
      <c r="H322" s="61"/>
      <c r="I322" s="61"/>
    </row>
    <row r="323" spans="1:9" x14ac:dyDescent="0.25">
      <c r="A323" s="61"/>
      <c r="B323" s="61"/>
      <c r="C323" s="61"/>
      <c r="D323" s="61"/>
      <c r="E323" s="61"/>
      <c r="F323" s="61"/>
      <c r="G323" s="61"/>
      <c r="H323" s="61"/>
      <c r="I323" s="61"/>
    </row>
    <row r="324" spans="1:9" x14ac:dyDescent="0.25">
      <c r="A324" s="61"/>
      <c r="B324" s="61"/>
      <c r="C324" s="61"/>
      <c r="D324" s="61"/>
      <c r="E324" s="61"/>
      <c r="F324" s="61"/>
      <c r="G324" s="61"/>
      <c r="H324" s="61"/>
      <c r="I324" s="61"/>
    </row>
    <row r="325" spans="1:9" x14ac:dyDescent="0.25">
      <c r="A325" s="61"/>
      <c r="B325" s="61"/>
      <c r="C325" s="61"/>
      <c r="D325" s="61"/>
      <c r="E325" s="61"/>
      <c r="F325" s="61"/>
      <c r="G325" s="61"/>
      <c r="H325" s="61"/>
      <c r="I325" s="61"/>
    </row>
    <row r="326" spans="1:9" x14ac:dyDescent="0.25">
      <c r="A326" s="61"/>
      <c r="B326" s="61"/>
      <c r="C326" s="61"/>
      <c r="D326" s="61"/>
      <c r="E326" s="61"/>
      <c r="F326" s="61"/>
      <c r="G326" s="61"/>
      <c r="H326" s="61"/>
      <c r="I326" s="61"/>
    </row>
    <row r="327" spans="1:9" x14ac:dyDescent="0.25">
      <c r="A327" s="61"/>
      <c r="B327" s="61"/>
      <c r="C327" s="61"/>
      <c r="D327" s="61"/>
      <c r="E327" s="61"/>
      <c r="F327" s="61"/>
      <c r="G327" s="61"/>
      <c r="H327" s="61"/>
      <c r="I327" s="61"/>
    </row>
    <row r="328" spans="1:9" x14ac:dyDescent="0.25">
      <c r="A328" s="61"/>
      <c r="B328" s="61"/>
      <c r="C328" s="61"/>
      <c r="D328" s="61"/>
      <c r="E328" s="61"/>
      <c r="F328" s="61"/>
      <c r="G328" s="61"/>
      <c r="H328" s="61"/>
      <c r="I328" s="61"/>
    </row>
    <row r="329" spans="1:9" x14ac:dyDescent="0.25">
      <c r="A329" s="61"/>
      <c r="B329" s="61"/>
      <c r="C329" s="61"/>
      <c r="D329" s="61"/>
      <c r="E329" s="61"/>
      <c r="F329" s="61"/>
      <c r="G329" s="61"/>
      <c r="H329" s="61"/>
      <c r="I329" s="61"/>
    </row>
    <row r="330" spans="1:9" x14ac:dyDescent="0.25">
      <c r="A330" s="61"/>
      <c r="B330" s="61"/>
      <c r="C330" s="61"/>
      <c r="D330" s="61"/>
      <c r="E330" s="61"/>
      <c r="F330" s="61"/>
      <c r="G330" s="61"/>
      <c r="H330" s="61"/>
      <c r="I330" s="61"/>
    </row>
    <row r="331" spans="1:9" x14ac:dyDescent="0.25">
      <c r="A331" s="61"/>
      <c r="B331" s="61"/>
      <c r="C331" s="61"/>
      <c r="D331" s="61"/>
      <c r="E331" s="61"/>
      <c r="F331" s="61"/>
      <c r="G331" s="61"/>
      <c r="H331" s="61"/>
      <c r="I331" s="61"/>
    </row>
    <row r="332" spans="1:9" x14ac:dyDescent="0.25">
      <c r="A332" s="61"/>
      <c r="B332" s="61"/>
      <c r="C332" s="61"/>
      <c r="D332" s="61"/>
      <c r="E332" s="61"/>
      <c r="F332" s="61"/>
      <c r="G332" s="61"/>
      <c r="H332" s="61"/>
      <c r="I332" s="61"/>
    </row>
    <row r="333" spans="1:9" x14ac:dyDescent="0.25">
      <c r="A333" s="61"/>
      <c r="B333" s="61"/>
      <c r="C333" s="61"/>
      <c r="D333" s="61"/>
      <c r="E333" s="61"/>
      <c r="F333" s="61"/>
      <c r="G333" s="61"/>
      <c r="H333" s="61"/>
      <c r="I333" s="61"/>
    </row>
    <row r="334" spans="1:9" x14ac:dyDescent="0.25">
      <c r="A334" s="61"/>
      <c r="B334" s="61"/>
      <c r="C334" s="61"/>
      <c r="D334" s="61"/>
      <c r="E334" s="61"/>
      <c r="F334" s="61"/>
      <c r="G334" s="61"/>
      <c r="H334" s="61"/>
      <c r="I334" s="61"/>
    </row>
    <row r="335" spans="1:9" x14ac:dyDescent="0.25">
      <c r="A335" s="61"/>
      <c r="B335" s="61"/>
      <c r="C335" s="61"/>
      <c r="D335" s="61"/>
      <c r="E335" s="61"/>
      <c r="F335" s="61"/>
      <c r="G335" s="61"/>
      <c r="H335" s="61"/>
      <c r="I335" s="61"/>
    </row>
    <row r="336" spans="1:9" x14ac:dyDescent="0.25">
      <c r="A336" s="61"/>
      <c r="B336" s="61"/>
      <c r="C336" s="61"/>
      <c r="D336" s="61"/>
      <c r="E336" s="61"/>
      <c r="F336" s="61"/>
      <c r="G336" s="61"/>
      <c r="H336" s="61"/>
      <c r="I336" s="61"/>
    </row>
    <row r="337" spans="1:9" x14ac:dyDescent="0.25">
      <c r="A337" s="61"/>
      <c r="B337" s="61"/>
      <c r="C337" s="61"/>
      <c r="D337" s="61"/>
      <c r="E337" s="61"/>
      <c r="F337" s="61"/>
      <c r="G337" s="61"/>
      <c r="H337" s="61"/>
      <c r="I337" s="61"/>
    </row>
    <row r="338" spans="1:9" x14ac:dyDescent="0.25">
      <c r="A338" s="61"/>
      <c r="B338" s="61"/>
      <c r="C338" s="61"/>
      <c r="D338" s="61"/>
      <c r="E338" s="61"/>
      <c r="F338" s="61"/>
      <c r="G338" s="61"/>
      <c r="H338" s="61"/>
      <c r="I338" s="61"/>
    </row>
    <row r="339" spans="1:9" x14ac:dyDescent="0.25">
      <c r="A339" s="61"/>
      <c r="B339" s="61"/>
      <c r="C339" s="61"/>
      <c r="D339" s="61"/>
      <c r="E339" s="61"/>
      <c r="F339" s="61"/>
      <c r="G339" s="61"/>
      <c r="H339" s="61"/>
      <c r="I339" s="61"/>
    </row>
    <row r="340" spans="1:9" x14ac:dyDescent="0.25">
      <c r="A340" s="61"/>
      <c r="B340" s="61"/>
      <c r="C340" s="61"/>
      <c r="D340" s="61"/>
      <c r="E340" s="61"/>
      <c r="F340" s="61"/>
      <c r="G340" s="61"/>
      <c r="H340" s="61"/>
      <c r="I340" s="61"/>
    </row>
    <row r="341" spans="1:9" x14ac:dyDescent="0.25">
      <c r="A341" s="61"/>
      <c r="B341" s="61"/>
      <c r="C341" s="61"/>
      <c r="D341" s="61"/>
      <c r="E341" s="61"/>
      <c r="F341" s="61"/>
      <c r="G341" s="61"/>
      <c r="H341" s="61"/>
      <c r="I341" s="61"/>
    </row>
    <row r="342" spans="1:9" x14ac:dyDescent="0.25">
      <c r="A342" s="61"/>
      <c r="B342" s="61"/>
      <c r="C342" s="61"/>
      <c r="D342" s="61"/>
      <c r="E342" s="61"/>
      <c r="F342" s="61"/>
      <c r="G342" s="61"/>
      <c r="H342" s="61"/>
      <c r="I342" s="61"/>
    </row>
    <row r="343" spans="1:9" x14ac:dyDescent="0.25">
      <c r="A343" s="61"/>
      <c r="B343" s="61"/>
      <c r="C343" s="61"/>
      <c r="D343" s="61"/>
      <c r="E343" s="61"/>
      <c r="F343" s="61"/>
      <c r="G343" s="61"/>
      <c r="H343" s="61"/>
      <c r="I343" s="61"/>
    </row>
    <row r="344" spans="1:9" x14ac:dyDescent="0.25">
      <c r="A344" s="61"/>
      <c r="B344" s="61"/>
      <c r="C344" s="61"/>
      <c r="D344" s="61"/>
      <c r="E344" s="61"/>
      <c r="F344" s="61"/>
      <c r="G344" s="61"/>
      <c r="H344" s="61"/>
      <c r="I344" s="61"/>
    </row>
    <row r="345" spans="1:9" x14ac:dyDescent="0.25">
      <c r="A345" s="61"/>
      <c r="B345" s="61"/>
      <c r="C345" s="61"/>
      <c r="D345" s="61"/>
      <c r="E345" s="61"/>
      <c r="F345" s="61"/>
      <c r="G345" s="61"/>
      <c r="H345" s="61"/>
      <c r="I345" s="61"/>
    </row>
    <row r="346" spans="1:9" x14ac:dyDescent="0.25">
      <c r="A346" s="61"/>
      <c r="B346" s="61"/>
      <c r="C346" s="61"/>
      <c r="D346" s="61"/>
      <c r="E346" s="61"/>
      <c r="F346" s="61"/>
      <c r="G346" s="61"/>
      <c r="H346" s="61"/>
      <c r="I346" s="61"/>
    </row>
    <row r="347" spans="1:9" x14ac:dyDescent="0.25">
      <c r="A347" s="61"/>
      <c r="B347" s="61"/>
      <c r="C347" s="61"/>
      <c r="D347" s="61"/>
      <c r="E347" s="61"/>
      <c r="F347" s="61"/>
      <c r="G347" s="61"/>
      <c r="H347" s="61"/>
      <c r="I347" s="61"/>
    </row>
    <row r="348" spans="1:9" x14ac:dyDescent="0.25">
      <c r="A348" s="61"/>
      <c r="B348" s="61"/>
      <c r="C348" s="61"/>
      <c r="D348" s="61"/>
      <c r="E348" s="61"/>
      <c r="F348" s="61"/>
      <c r="G348" s="61"/>
      <c r="H348" s="61"/>
      <c r="I348" s="61"/>
    </row>
    <row r="349" spans="1:9" x14ac:dyDescent="0.25">
      <c r="A349" s="61"/>
      <c r="B349" s="61"/>
      <c r="C349" s="61"/>
      <c r="D349" s="61"/>
      <c r="E349" s="61"/>
      <c r="F349" s="61"/>
      <c r="G349" s="61"/>
      <c r="H349" s="61"/>
      <c r="I349" s="61"/>
    </row>
    <row r="350" spans="1:9" x14ac:dyDescent="0.25">
      <c r="A350" s="61"/>
      <c r="B350" s="61"/>
      <c r="C350" s="61"/>
      <c r="D350" s="61"/>
      <c r="E350" s="61"/>
      <c r="F350" s="61"/>
      <c r="G350" s="61"/>
      <c r="H350" s="61"/>
      <c r="I350" s="61"/>
    </row>
    <row r="351" spans="1:9" x14ac:dyDescent="0.25">
      <c r="A351" s="61"/>
      <c r="B351" s="61"/>
      <c r="C351" s="61"/>
      <c r="D351" s="61"/>
      <c r="E351" s="61"/>
      <c r="F351" s="61"/>
      <c r="G351" s="61"/>
      <c r="H351" s="61"/>
      <c r="I351" s="61"/>
    </row>
    <row r="352" spans="1:9" x14ac:dyDescent="0.25">
      <c r="A352" s="61"/>
      <c r="B352" s="61"/>
      <c r="C352" s="61"/>
      <c r="D352" s="61"/>
      <c r="E352" s="61"/>
      <c r="F352" s="61"/>
      <c r="G352" s="61"/>
      <c r="H352" s="61"/>
      <c r="I352" s="61"/>
    </row>
    <row r="353" spans="1:9" x14ac:dyDescent="0.25">
      <c r="A353" s="61"/>
      <c r="B353" s="61"/>
      <c r="C353" s="61"/>
      <c r="D353" s="61"/>
      <c r="E353" s="61"/>
      <c r="F353" s="61"/>
      <c r="G353" s="61"/>
      <c r="H353" s="61"/>
      <c r="I353" s="61"/>
    </row>
    <row r="354" spans="1:9" x14ac:dyDescent="0.25">
      <c r="A354" s="61"/>
      <c r="B354" s="61"/>
      <c r="C354" s="61"/>
      <c r="D354" s="61"/>
      <c r="E354" s="61"/>
      <c r="F354" s="61"/>
      <c r="G354" s="61"/>
      <c r="H354" s="61"/>
      <c r="I354" s="61"/>
    </row>
    <row r="355" spans="1:9" x14ac:dyDescent="0.25">
      <c r="A355" s="61"/>
      <c r="B355" s="61"/>
      <c r="C355" s="61"/>
      <c r="D355" s="61"/>
      <c r="E355" s="61"/>
      <c r="F355" s="61"/>
      <c r="G355" s="61"/>
      <c r="H355" s="61"/>
      <c r="I355" s="61"/>
    </row>
    <row r="356" spans="1:9" x14ac:dyDescent="0.25">
      <c r="A356" s="61"/>
      <c r="B356" s="61"/>
      <c r="C356" s="61"/>
      <c r="D356" s="61"/>
      <c r="E356" s="61"/>
      <c r="F356" s="61"/>
      <c r="G356" s="61"/>
      <c r="H356" s="61"/>
      <c r="I356" s="61"/>
    </row>
    <row r="357" spans="1:9" x14ac:dyDescent="0.25">
      <c r="A357" s="61"/>
      <c r="B357" s="61"/>
      <c r="C357" s="61"/>
      <c r="D357" s="61"/>
      <c r="E357" s="61"/>
      <c r="F357" s="61"/>
      <c r="G357" s="61"/>
      <c r="H357" s="61"/>
      <c r="I357" s="61"/>
    </row>
    <row r="358" spans="1:9" x14ac:dyDescent="0.25">
      <c r="A358" s="61"/>
      <c r="B358" s="61"/>
      <c r="C358" s="61"/>
      <c r="D358" s="61"/>
      <c r="E358" s="61"/>
      <c r="F358" s="61"/>
      <c r="G358" s="61"/>
      <c r="H358" s="61"/>
      <c r="I358" s="61"/>
    </row>
    <row r="359" spans="1:9" x14ac:dyDescent="0.25">
      <c r="A359" s="61"/>
      <c r="B359" s="61"/>
      <c r="C359" s="61"/>
      <c r="D359" s="61"/>
      <c r="E359" s="61"/>
      <c r="F359" s="61"/>
      <c r="G359" s="61"/>
      <c r="H359" s="61"/>
      <c r="I359" s="61"/>
    </row>
    <row r="360" spans="1:9" x14ac:dyDescent="0.25">
      <c r="A360" s="61"/>
      <c r="B360" s="61"/>
      <c r="C360" s="61"/>
      <c r="D360" s="61"/>
      <c r="E360" s="61"/>
      <c r="F360" s="61"/>
      <c r="G360" s="61"/>
      <c r="H360" s="61"/>
      <c r="I360" s="61"/>
    </row>
    <row r="361" spans="1:9" x14ac:dyDescent="0.25">
      <c r="A361" s="61"/>
      <c r="B361" s="61"/>
      <c r="C361" s="61"/>
      <c r="D361" s="61"/>
      <c r="E361" s="61"/>
      <c r="F361" s="61"/>
      <c r="G361" s="61"/>
      <c r="H361" s="61"/>
      <c r="I361" s="61"/>
    </row>
    <row r="362" spans="1:9" x14ac:dyDescent="0.25">
      <c r="A362" s="61"/>
      <c r="B362" s="61"/>
      <c r="C362" s="61"/>
      <c r="D362" s="61"/>
      <c r="E362" s="61"/>
      <c r="F362" s="61"/>
      <c r="G362" s="61"/>
      <c r="H362" s="61"/>
      <c r="I362" s="61"/>
    </row>
    <row r="363" spans="1:9" x14ac:dyDescent="0.25">
      <c r="A363" s="61"/>
      <c r="B363" s="61"/>
      <c r="C363" s="61"/>
      <c r="D363" s="61"/>
      <c r="E363" s="61"/>
      <c r="F363" s="61"/>
      <c r="G363" s="61"/>
      <c r="H363" s="61"/>
      <c r="I363" s="61"/>
    </row>
    <row r="364" spans="1:9" x14ac:dyDescent="0.25">
      <c r="A364" s="61"/>
      <c r="B364" s="61"/>
      <c r="C364" s="61"/>
      <c r="D364" s="61"/>
      <c r="E364" s="61"/>
      <c r="F364" s="61"/>
      <c r="G364" s="61"/>
      <c r="H364" s="61"/>
      <c r="I364" s="61"/>
    </row>
    <row r="365" spans="1:9" x14ac:dyDescent="0.25">
      <c r="A365" s="61"/>
      <c r="B365" s="61"/>
      <c r="C365" s="61"/>
      <c r="D365" s="61"/>
      <c r="E365" s="61"/>
      <c r="F365" s="61"/>
      <c r="G365" s="61"/>
      <c r="H365" s="61"/>
      <c r="I365" s="61"/>
    </row>
    <row r="366" spans="1:9" x14ac:dyDescent="0.25">
      <c r="A366" s="61"/>
      <c r="B366" s="61"/>
      <c r="C366" s="61"/>
      <c r="D366" s="61"/>
      <c r="E366" s="61"/>
      <c r="F366" s="61"/>
      <c r="G366" s="61"/>
      <c r="H366" s="61"/>
      <c r="I366" s="61"/>
    </row>
    <row r="367" spans="1:9" x14ac:dyDescent="0.25">
      <c r="A367" s="61"/>
      <c r="B367" s="61"/>
      <c r="C367" s="61"/>
      <c r="D367" s="61"/>
      <c r="E367" s="61"/>
      <c r="F367" s="61"/>
      <c r="G367" s="61"/>
      <c r="H367" s="61"/>
      <c r="I367" s="61"/>
    </row>
    <row r="368" spans="1:9" x14ac:dyDescent="0.25">
      <c r="A368" s="61"/>
      <c r="B368" s="61"/>
      <c r="C368" s="61"/>
      <c r="D368" s="61"/>
      <c r="E368" s="61"/>
      <c r="F368" s="61"/>
      <c r="G368" s="61"/>
      <c r="H368" s="61"/>
      <c r="I368" s="61"/>
    </row>
    <row r="369" spans="1:9" x14ac:dyDescent="0.25">
      <c r="A369" s="61"/>
      <c r="B369" s="61"/>
      <c r="C369" s="61"/>
      <c r="D369" s="61"/>
      <c r="E369" s="61"/>
      <c r="F369" s="61"/>
      <c r="G369" s="61"/>
      <c r="H369" s="61"/>
      <c r="I369" s="61"/>
    </row>
    <row r="370" spans="1:9" x14ac:dyDescent="0.25">
      <c r="A370" s="61"/>
      <c r="B370" s="61"/>
      <c r="C370" s="61"/>
      <c r="D370" s="61"/>
      <c r="E370" s="61"/>
      <c r="F370" s="61"/>
      <c r="G370" s="61"/>
      <c r="H370" s="61"/>
      <c r="I370" s="61"/>
    </row>
    <row r="371" spans="1:9" x14ac:dyDescent="0.25">
      <c r="A371" s="61"/>
      <c r="B371" s="61"/>
      <c r="C371" s="61"/>
      <c r="D371" s="61"/>
      <c r="E371" s="61"/>
      <c r="F371" s="61"/>
      <c r="G371" s="61"/>
      <c r="H371" s="61"/>
      <c r="I371" s="61"/>
    </row>
    <row r="372" spans="1:9" x14ac:dyDescent="0.25">
      <c r="A372" s="61"/>
      <c r="B372" s="61"/>
      <c r="C372" s="61"/>
      <c r="D372" s="61"/>
      <c r="E372" s="61"/>
      <c r="F372" s="61"/>
      <c r="G372" s="61"/>
      <c r="H372" s="61"/>
      <c r="I372" s="61"/>
    </row>
    <row r="373" spans="1:9" x14ac:dyDescent="0.25">
      <c r="A373" s="61"/>
      <c r="B373" s="61"/>
      <c r="C373" s="61"/>
      <c r="D373" s="61"/>
      <c r="E373" s="61"/>
      <c r="F373" s="61"/>
      <c r="G373" s="61"/>
      <c r="H373" s="61"/>
      <c r="I373" s="61"/>
    </row>
    <row r="374" spans="1:9" x14ac:dyDescent="0.25">
      <c r="A374" s="61"/>
      <c r="B374" s="61"/>
      <c r="C374" s="61"/>
      <c r="D374" s="61"/>
      <c r="E374" s="61"/>
      <c r="F374" s="61"/>
      <c r="G374" s="61"/>
      <c r="H374" s="61"/>
      <c r="I374" s="61"/>
    </row>
    <row r="375" spans="1:9" x14ac:dyDescent="0.25">
      <c r="A375" s="61"/>
      <c r="B375" s="61"/>
      <c r="C375" s="61"/>
      <c r="D375" s="61"/>
      <c r="E375" s="61"/>
      <c r="F375" s="61"/>
      <c r="G375" s="61"/>
      <c r="H375" s="61"/>
      <c r="I375" s="61"/>
    </row>
    <row r="376" spans="1:9" x14ac:dyDescent="0.25">
      <c r="A376" s="61"/>
      <c r="B376" s="61"/>
      <c r="C376" s="61"/>
      <c r="D376" s="61"/>
      <c r="E376" s="61"/>
      <c r="F376" s="61"/>
      <c r="G376" s="61"/>
      <c r="H376" s="61"/>
      <c r="I376" s="61"/>
    </row>
    <row r="377" spans="1:9" x14ac:dyDescent="0.25">
      <c r="A377" s="61"/>
      <c r="B377" s="61"/>
      <c r="C377" s="61"/>
      <c r="D377" s="61"/>
      <c r="E377" s="61"/>
      <c r="F377" s="61"/>
      <c r="G377" s="61"/>
      <c r="H377" s="61"/>
      <c r="I377" s="61"/>
    </row>
    <row r="378" spans="1:9" x14ac:dyDescent="0.25">
      <c r="A378" s="61"/>
      <c r="B378" s="61"/>
      <c r="C378" s="61"/>
      <c r="D378" s="61"/>
      <c r="E378" s="61"/>
      <c r="F378" s="61"/>
      <c r="G378" s="61"/>
      <c r="H378" s="61"/>
      <c r="I378" s="61"/>
    </row>
    <row r="379" spans="1:9" x14ac:dyDescent="0.25">
      <c r="A379" s="61"/>
      <c r="B379" s="61"/>
      <c r="C379" s="61"/>
      <c r="D379" s="61"/>
      <c r="E379" s="61"/>
      <c r="F379" s="61"/>
      <c r="G379" s="61"/>
      <c r="H379" s="61"/>
      <c r="I379" s="61"/>
    </row>
    <row r="380" spans="1:9" x14ac:dyDescent="0.25">
      <c r="A380" s="61"/>
      <c r="B380" s="61"/>
      <c r="C380" s="61"/>
      <c r="D380" s="61"/>
      <c r="E380" s="61"/>
      <c r="F380" s="61"/>
      <c r="G380" s="61"/>
      <c r="H380" s="61"/>
      <c r="I380" s="61"/>
    </row>
    <row r="381" spans="1:9" x14ac:dyDescent="0.25">
      <c r="A381" s="61"/>
      <c r="B381" s="61"/>
      <c r="C381" s="61"/>
      <c r="D381" s="61"/>
      <c r="E381" s="61"/>
      <c r="F381" s="61"/>
      <c r="G381" s="61"/>
      <c r="H381" s="61"/>
      <c r="I381" s="61"/>
    </row>
    <row r="382" spans="1:9" x14ac:dyDescent="0.25">
      <c r="A382" s="61"/>
      <c r="B382" s="61"/>
      <c r="C382" s="61"/>
      <c r="D382" s="61"/>
      <c r="E382" s="61"/>
      <c r="F382" s="61"/>
      <c r="G382" s="61"/>
      <c r="H382" s="61"/>
      <c r="I382" s="61"/>
    </row>
    <row r="383" spans="1:9" x14ac:dyDescent="0.25">
      <c r="A383" s="61"/>
      <c r="B383" s="61"/>
      <c r="C383" s="61"/>
      <c r="D383" s="61"/>
      <c r="E383" s="61"/>
      <c r="F383" s="61"/>
      <c r="G383" s="61"/>
      <c r="H383" s="61"/>
      <c r="I383" s="61"/>
    </row>
    <row r="384" spans="1:9" x14ac:dyDescent="0.25">
      <c r="A384" s="61"/>
      <c r="B384" s="61"/>
      <c r="C384" s="61"/>
      <c r="D384" s="61"/>
      <c r="E384" s="61"/>
      <c r="F384" s="61"/>
      <c r="G384" s="61"/>
      <c r="H384" s="61"/>
      <c r="I384" s="61"/>
    </row>
    <row r="385" spans="1:9" x14ac:dyDescent="0.25">
      <c r="A385" s="61"/>
      <c r="B385" s="61"/>
      <c r="C385" s="61"/>
      <c r="D385" s="61"/>
      <c r="E385" s="61"/>
      <c r="F385" s="61"/>
      <c r="G385" s="61"/>
      <c r="H385" s="61"/>
      <c r="I385" s="61"/>
    </row>
    <row r="386" spans="1:9" x14ac:dyDescent="0.25">
      <c r="A386" s="61"/>
      <c r="B386" s="61"/>
      <c r="C386" s="61"/>
      <c r="D386" s="61"/>
      <c r="E386" s="61"/>
      <c r="F386" s="61"/>
      <c r="G386" s="61"/>
      <c r="H386" s="61"/>
      <c r="I386" s="61"/>
    </row>
    <row r="387" spans="1:9" x14ac:dyDescent="0.25">
      <c r="A387" s="61"/>
      <c r="B387" s="61"/>
      <c r="C387" s="61"/>
      <c r="D387" s="61"/>
      <c r="E387" s="61"/>
      <c r="F387" s="61"/>
      <c r="G387" s="61"/>
      <c r="H387" s="61"/>
      <c r="I387" s="61"/>
    </row>
    <row r="388" spans="1:9" x14ac:dyDescent="0.25">
      <c r="A388" s="61"/>
      <c r="B388" s="61"/>
      <c r="C388" s="61"/>
      <c r="D388" s="61"/>
      <c r="E388" s="61"/>
      <c r="F388" s="61"/>
      <c r="G388" s="61"/>
      <c r="H388" s="61"/>
      <c r="I388" s="61"/>
    </row>
    <row r="389" spans="1:9" x14ac:dyDescent="0.25">
      <c r="A389" s="61"/>
      <c r="B389" s="61"/>
      <c r="C389" s="61"/>
      <c r="D389" s="61"/>
      <c r="E389" s="61"/>
      <c r="F389" s="61"/>
      <c r="G389" s="61"/>
      <c r="H389" s="61"/>
      <c r="I389" s="61"/>
    </row>
    <row r="390" spans="1:9" x14ac:dyDescent="0.25">
      <c r="A390" s="61"/>
      <c r="B390" s="61"/>
      <c r="C390" s="61"/>
      <c r="D390" s="61"/>
      <c r="E390" s="61"/>
      <c r="F390" s="61"/>
      <c r="G390" s="61"/>
      <c r="H390" s="61"/>
      <c r="I390" s="61"/>
    </row>
    <row r="391" spans="1:9" x14ac:dyDescent="0.25">
      <c r="A391" s="61"/>
      <c r="B391" s="61"/>
      <c r="C391" s="61"/>
      <c r="D391" s="61"/>
      <c r="E391" s="61"/>
      <c r="F391" s="61"/>
      <c r="G391" s="61"/>
      <c r="H391" s="61"/>
      <c r="I391" s="61"/>
    </row>
    <row r="392" spans="1:9" x14ac:dyDescent="0.25">
      <c r="A392" s="61"/>
      <c r="B392" s="61"/>
      <c r="C392" s="61"/>
      <c r="D392" s="61"/>
      <c r="E392" s="61"/>
      <c r="F392" s="61"/>
      <c r="G392" s="61"/>
      <c r="H392" s="61"/>
      <c r="I392" s="61"/>
    </row>
    <row r="393" spans="1:9" x14ac:dyDescent="0.25">
      <c r="A393" s="61"/>
      <c r="B393" s="61"/>
      <c r="C393" s="61"/>
      <c r="D393" s="61"/>
      <c r="E393" s="61"/>
      <c r="F393" s="61"/>
      <c r="G393" s="61"/>
      <c r="H393" s="61"/>
      <c r="I393" s="61"/>
    </row>
    <row r="394" spans="1:9" x14ac:dyDescent="0.25">
      <c r="A394" s="61"/>
      <c r="B394" s="61"/>
      <c r="C394" s="61"/>
      <c r="D394" s="61"/>
      <c r="E394" s="61"/>
      <c r="F394" s="61"/>
      <c r="G394" s="61"/>
      <c r="H394" s="61"/>
      <c r="I394" s="61"/>
    </row>
    <row r="395" spans="1:9" x14ac:dyDescent="0.25">
      <c r="A395" s="61"/>
      <c r="B395" s="61"/>
      <c r="C395" s="61"/>
      <c r="D395" s="61"/>
      <c r="E395" s="61"/>
      <c r="F395" s="61"/>
      <c r="G395" s="61"/>
      <c r="H395" s="61"/>
      <c r="I395" s="61"/>
    </row>
    <row r="396" spans="1:9" x14ac:dyDescent="0.25">
      <c r="A396" s="61"/>
      <c r="B396" s="61"/>
      <c r="C396" s="61"/>
      <c r="D396" s="61"/>
      <c r="E396" s="61"/>
      <c r="F396" s="61"/>
      <c r="G396" s="61"/>
      <c r="H396" s="61"/>
      <c r="I396" s="61"/>
    </row>
    <row r="397" spans="1:9" x14ac:dyDescent="0.25">
      <c r="A397" s="61"/>
      <c r="B397" s="61"/>
      <c r="C397" s="61"/>
      <c r="D397" s="61"/>
      <c r="E397" s="61"/>
      <c r="F397" s="61"/>
      <c r="G397" s="61"/>
      <c r="H397" s="61"/>
      <c r="I397" s="61"/>
    </row>
    <row r="398" spans="1:9" x14ac:dyDescent="0.25">
      <c r="A398" s="61"/>
      <c r="B398" s="61"/>
      <c r="C398" s="61"/>
      <c r="D398" s="61"/>
      <c r="E398" s="61"/>
      <c r="F398" s="61"/>
      <c r="G398" s="61"/>
      <c r="H398" s="61"/>
      <c r="I398" s="61"/>
    </row>
    <row r="399" spans="1:9" x14ac:dyDescent="0.25">
      <c r="A399" s="61"/>
      <c r="B399" s="61"/>
      <c r="C399" s="61"/>
      <c r="D399" s="61"/>
      <c r="E399" s="61"/>
      <c r="F399" s="61"/>
      <c r="G399" s="61"/>
      <c r="H399" s="61"/>
      <c r="I399" s="61"/>
    </row>
    <row r="400" spans="1:9" x14ac:dyDescent="0.25">
      <c r="A400" s="61"/>
      <c r="B400" s="61"/>
      <c r="C400" s="61"/>
      <c r="D400" s="61"/>
      <c r="E400" s="61"/>
      <c r="F400" s="61"/>
      <c r="G400" s="61"/>
      <c r="H400" s="61"/>
      <c r="I400" s="61"/>
    </row>
    <row r="401" spans="1:9" x14ac:dyDescent="0.25">
      <c r="A401" s="61"/>
      <c r="B401" s="61"/>
      <c r="C401" s="61"/>
      <c r="D401" s="61"/>
      <c r="E401" s="61"/>
      <c r="F401" s="61"/>
      <c r="G401" s="61"/>
      <c r="H401" s="61"/>
      <c r="I401" s="61"/>
    </row>
    <row r="402" spans="1:9" x14ac:dyDescent="0.25">
      <c r="A402" s="61"/>
      <c r="B402" s="61"/>
      <c r="C402" s="61"/>
      <c r="D402" s="61"/>
      <c r="E402" s="61"/>
      <c r="F402" s="61"/>
      <c r="G402" s="61"/>
      <c r="H402" s="61"/>
      <c r="I402" s="61"/>
    </row>
    <row r="403" spans="1:9" x14ac:dyDescent="0.25">
      <c r="A403" s="61"/>
      <c r="B403" s="61"/>
      <c r="C403" s="61"/>
      <c r="D403" s="61"/>
      <c r="E403" s="61"/>
      <c r="F403" s="61"/>
      <c r="G403" s="61"/>
      <c r="H403" s="61"/>
      <c r="I403" s="61"/>
    </row>
    <row r="404" spans="1:9" x14ac:dyDescent="0.25">
      <c r="A404" s="61"/>
      <c r="B404" s="61"/>
      <c r="C404" s="61"/>
      <c r="D404" s="61"/>
      <c r="E404" s="61"/>
      <c r="F404" s="61"/>
      <c r="G404" s="61"/>
      <c r="H404" s="61"/>
      <c r="I404" s="61"/>
    </row>
    <row r="405" spans="1:9" x14ac:dyDescent="0.25">
      <c r="A405" s="61"/>
      <c r="B405" s="61"/>
      <c r="C405" s="61"/>
      <c r="D405" s="61"/>
      <c r="E405" s="61"/>
      <c r="F405" s="61"/>
      <c r="G405" s="61"/>
      <c r="H405" s="61"/>
      <c r="I405" s="61"/>
    </row>
    <row r="406" spans="1:9" x14ac:dyDescent="0.25">
      <c r="A406" s="61"/>
      <c r="B406" s="61"/>
      <c r="C406" s="61"/>
      <c r="D406" s="61"/>
      <c r="E406" s="61"/>
      <c r="F406" s="61"/>
      <c r="G406" s="61"/>
      <c r="H406" s="61"/>
      <c r="I406" s="61"/>
    </row>
    <row r="407" spans="1:9" x14ac:dyDescent="0.25">
      <c r="A407" s="61"/>
      <c r="B407" s="61"/>
      <c r="C407" s="61"/>
      <c r="D407" s="61"/>
      <c r="E407" s="61"/>
      <c r="F407" s="61"/>
      <c r="G407" s="61"/>
      <c r="H407" s="61"/>
      <c r="I407" s="61"/>
    </row>
    <row r="408" spans="1:9" x14ac:dyDescent="0.25">
      <c r="A408" s="61"/>
      <c r="B408" s="61"/>
      <c r="C408" s="61"/>
      <c r="D408" s="61"/>
      <c r="E408" s="61"/>
      <c r="F408" s="61"/>
      <c r="G408" s="61"/>
      <c r="H408" s="61"/>
      <c r="I408" s="61"/>
    </row>
    <row r="409" spans="1:9" x14ac:dyDescent="0.25">
      <c r="A409" s="61"/>
      <c r="B409" s="61"/>
      <c r="C409" s="61"/>
      <c r="D409" s="61"/>
      <c r="E409" s="61"/>
      <c r="F409" s="61"/>
      <c r="G409" s="61"/>
      <c r="H409" s="61"/>
      <c r="I409" s="61"/>
    </row>
    <row r="410" spans="1:9" x14ac:dyDescent="0.25">
      <c r="A410" s="61"/>
      <c r="B410" s="61"/>
      <c r="C410" s="61"/>
      <c r="D410" s="61"/>
      <c r="E410" s="61"/>
      <c r="F410" s="61"/>
      <c r="G410" s="61"/>
      <c r="H410" s="61"/>
      <c r="I410" s="61"/>
    </row>
    <row r="411" spans="1:9" x14ac:dyDescent="0.25">
      <c r="A411" s="61"/>
      <c r="B411" s="61"/>
      <c r="C411" s="61"/>
      <c r="D411" s="61"/>
      <c r="E411" s="61"/>
      <c r="F411" s="61"/>
      <c r="G411" s="61"/>
      <c r="H411" s="61"/>
      <c r="I411" s="61"/>
    </row>
    <row r="412" spans="1:9" x14ac:dyDescent="0.25">
      <c r="A412" s="61"/>
      <c r="B412" s="61"/>
      <c r="C412" s="61"/>
      <c r="D412" s="61"/>
      <c r="E412" s="61"/>
      <c r="F412" s="61"/>
      <c r="G412" s="61"/>
      <c r="H412" s="61"/>
      <c r="I412" s="61"/>
    </row>
    <row r="413" spans="1:9" x14ac:dyDescent="0.25">
      <c r="A413" s="61"/>
      <c r="B413" s="61"/>
      <c r="C413" s="61"/>
      <c r="D413" s="61"/>
      <c r="E413" s="61"/>
      <c r="F413" s="61"/>
      <c r="G413" s="61"/>
      <c r="H413" s="61"/>
      <c r="I413" s="61"/>
    </row>
    <row r="414" spans="1:9" x14ac:dyDescent="0.25">
      <c r="A414" s="61"/>
      <c r="B414" s="61"/>
      <c r="C414" s="61"/>
      <c r="D414" s="61"/>
      <c r="E414" s="61"/>
      <c r="F414" s="61"/>
      <c r="G414" s="61"/>
      <c r="H414" s="61"/>
      <c r="I414" s="61"/>
    </row>
    <row r="415" spans="1:9" x14ac:dyDescent="0.25">
      <c r="A415" s="61"/>
      <c r="B415" s="61"/>
      <c r="C415" s="61"/>
      <c r="D415" s="61"/>
      <c r="E415" s="61"/>
      <c r="F415" s="61"/>
      <c r="G415" s="61"/>
      <c r="H415" s="61"/>
      <c r="I415" s="61"/>
    </row>
    <row r="416" spans="1:9" x14ac:dyDescent="0.25">
      <c r="A416" s="61"/>
      <c r="B416" s="61"/>
      <c r="C416" s="61"/>
      <c r="D416" s="61"/>
      <c r="E416" s="61"/>
      <c r="F416" s="61"/>
      <c r="G416" s="61"/>
      <c r="H416" s="61"/>
      <c r="I416" s="61"/>
    </row>
    <row r="417" spans="1:9" x14ac:dyDescent="0.25">
      <c r="A417" s="61"/>
      <c r="B417" s="61"/>
      <c r="C417" s="61"/>
      <c r="D417" s="61"/>
      <c r="E417" s="61"/>
      <c r="F417" s="61"/>
      <c r="G417" s="61"/>
      <c r="H417" s="61"/>
      <c r="I417" s="61"/>
    </row>
    <row r="418" spans="1:9" x14ac:dyDescent="0.25">
      <c r="A418" s="61"/>
      <c r="B418" s="61"/>
      <c r="C418" s="61"/>
      <c r="D418" s="61"/>
      <c r="E418" s="61"/>
      <c r="F418" s="61"/>
      <c r="G418" s="61"/>
      <c r="H418" s="61"/>
      <c r="I418" s="61"/>
    </row>
    <row r="419" spans="1:9" x14ac:dyDescent="0.25">
      <c r="A419" s="61"/>
      <c r="B419" s="61"/>
      <c r="C419" s="61"/>
      <c r="D419" s="61"/>
      <c r="E419" s="61"/>
      <c r="F419" s="61"/>
      <c r="G419" s="61"/>
      <c r="H419" s="61"/>
      <c r="I419" s="61"/>
    </row>
    <row r="420" spans="1:9" x14ac:dyDescent="0.25">
      <c r="A420" s="61"/>
      <c r="B420" s="61"/>
      <c r="C420" s="61"/>
      <c r="D420" s="61"/>
      <c r="E420" s="61"/>
      <c r="F420" s="61"/>
      <c r="G420" s="61"/>
      <c r="H420" s="61"/>
      <c r="I420" s="61"/>
    </row>
    <row r="421" spans="1:9" x14ac:dyDescent="0.25">
      <c r="A421" s="61"/>
      <c r="B421" s="61"/>
      <c r="C421" s="61"/>
      <c r="D421" s="61"/>
      <c r="E421" s="61"/>
      <c r="F421" s="61"/>
      <c r="G421" s="61"/>
      <c r="H421" s="61"/>
      <c r="I421" s="61"/>
    </row>
    <row r="422" spans="1:9" x14ac:dyDescent="0.25">
      <c r="A422" s="61"/>
      <c r="B422" s="61"/>
      <c r="C422" s="61"/>
      <c r="D422" s="61"/>
      <c r="E422" s="61"/>
      <c r="F422" s="61"/>
      <c r="G422" s="61"/>
      <c r="H422" s="61"/>
      <c r="I422" s="61"/>
    </row>
    <row r="423" spans="1:9" x14ac:dyDescent="0.25">
      <c r="A423" s="61"/>
      <c r="B423" s="61"/>
      <c r="C423" s="61"/>
      <c r="D423" s="61"/>
      <c r="E423" s="61"/>
      <c r="F423" s="61"/>
      <c r="G423" s="61"/>
      <c r="H423" s="61"/>
      <c r="I423" s="61"/>
    </row>
  </sheetData>
  <mergeCells count="3">
    <mergeCell ref="A1:P1"/>
    <mergeCell ref="A3:B4"/>
    <mergeCell ref="C3:Y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6"/>
  <sheetViews>
    <sheetView showGridLines="0" workbookViewId="0">
      <selection activeCell="B16" sqref="B16:T20"/>
    </sheetView>
  </sheetViews>
  <sheetFormatPr defaultColWidth="8.85546875" defaultRowHeight="12" x14ac:dyDescent="0.2"/>
  <cols>
    <col min="1" max="1" width="57.7109375" style="41" bestFit="1" customWidth="1"/>
    <col min="2" max="14" width="9.7109375" style="41" bestFit="1" customWidth="1"/>
    <col min="15" max="15" width="9.85546875" style="41" customWidth="1"/>
    <col min="16" max="16" width="13.28515625" style="41" customWidth="1"/>
    <col min="17" max="17" width="11.140625" style="41" customWidth="1"/>
    <col min="18" max="18" width="12" style="41" customWidth="1"/>
    <col min="19" max="19" width="12.140625" style="41" customWidth="1"/>
    <col min="20" max="20" width="12.7109375" style="41" customWidth="1"/>
    <col min="21" max="16384" width="8.85546875" style="41"/>
  </cols>
  <sheetData>
    <row r="1" spans="1:20" x14ac:dyDescent="0.2">
      <c r="A1" s="266" t="s">
        <v>214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</row>
    <row r="2" spans="1:20" x14ac:dyDescent="0.2">
      <c r="A2" s="133" t="s">
        <v>83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spans="1:20" x14ac:dyDescent="0.2">
      <c r="A3" s="26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</row>
    <row r="4" spans="1:20" x14ac:dyDescent="0.2">
      <c r="A4" s="267"/>
      <c r="B4" s="58">
        <v>2006</v>
      </c>
      <c r="C4" s="58">
        <v>2007</v>
      </c>
      <c r="D4" s="58">
        <v>2008</v>
      </c>
      <c r="E4" s="58">
        <v>2009</v>
      </c>
      <c r="F4" s="58">
        <v>2010</v>
      </c>
      <c r="G4" s="58">
        <v>2011</v>
      </c>
      <c r="H4" s="58">
        <v>2012</v>
      </c>
      <c r="I4" s="58">
        <v>2013</v>
      </c>
      <c r="J4" s="58">
        <v>2014</v>
      </c>
      <c r="K4" s="58">
        <v>2015</v>
      </c>
      <c r="L4" s="58">
        <v>2016</v>
      </c>
      <c r="M4" s="58">
        <v>2017</v>
      </c>
      <c r="N4" s="58">
        <v>2018</v>
      </c>
      <c r="O4" s="58">
        <v>2019</v>
      </c>
      <c r="P4" s="58">
        <v>2020</v>
      </c>
      <c r="Q4" s="58">
        <v>2021</v>
      </c>
      <c r="R4" s="58">
        <v>2022</v>
      </c>
      <c r="S4" s="58">
        <v>2023</v>
      </c>
      <c r="T4" s="58">
        <v>2024</v>
      </c>
    </row>
    <row r="5" spans="1:20" x14ac:dyDescent="0.2">
      <c r="A5" s="133" t="s">
        <v>84</v>
      </c>
      <c r="B5" s="139">
        <v>1137389.9307215496</v>
      </c>
      <c r="C5" s="139">
        <v>1505508.2259040014</v>
      </c>
      <c r="D5" s="139">
        <v>2301432.1861394555</v>
      </c>
      <c r="E5" s="139">
        <v>2729541.4323765272</v>
      </c>
      <c r="F5" s="139">
        <v>2613653.9652868919</v>
      </c>
      <c r="G5" s="139">
        <v>3227482.3316331194</v>
      </c>
      <c r="H5" s="139">
        <v>3833542.1582736168</v>
      </c>
      <c r="I5" s="139">
        <v>4006079.7175254887</v>
      </c>
      <c r="J5" s="139">
        <v>4667590.5730633372</v>
      </c>
      <c r="K5" s="139">
        <v>4601290.2895603497</v>
      </c>
      <c r="L5" s="139">
        <v>5659767.5503746923</v>
      </c>
      <c r="M5" s="139">
        <v>6770675.8855804149</v>
      </c>
      <c r="N5" s="139">
        <v>6987432.5482789045</v>
      </c>
      <c r="O5" s="139">
        <v>8522644.0435082223</v>
      </c>
      <c r="P5" s="139">
        <v>7556273.3312681997</v>
      </c>
      <c r="Q5" s="139">
        <v>8516573.9720361196</v>
      </c>
      <c r="R5" s="139">
        <v>9298139.1768206302</v>
      </c>
      <c r="S5" s="139">
        <v>9639626.7367511708</v>
      </c>
      <c r="T5" s="139">
        <v>11066044.144851277</v>
      </c>
    </row>
    <row r="6" spans="1:20" x14ac:dyDescent="0.2">
      <c r="A6" s="134" t="s">
        <v>85</v>
      </c>
      <c r="B6" s="139">
        <v>1078947.4129185455</v>
      </c>
      <c r="C6" s="139">
        <v>1470664.0949731101</v>
      </c>
      <c r="D6" s="139">
        <v>2266844.7575758914</v>
      </c>
      <c r="E6" s="139">
        <v>2787080.114590439</v>
      </c>
      <c r="F6" s="139">
        <v>2539506.2737966143</v>
      </c>
      <c r="G6" s="139">
        <v>3236397.8029328776</v>
      </c>
      <c r="H6" s="139">
        <v>3808914.0858213175</v>
      </c>
      <c r="I6" s="139">
        <v>4030667.213453942</v>
      </c>
      <c r="J6" s="139">
        <v>4596345.1064498508</v>
      </c>
      <c r="K6" s="139">
        <v>4595522.382694521</v>
      </c>
      <c r="L6" s="139">
        <v>5648852.0790749341</v>
      </c>
      <c r="M6" s="139">
        <v>6758826.2860394605</v>
      </c>
      <c r="N6" s="139">
        <v>6975595.2645994872</v>
      </c>
      <c r="O6" s="139">
        <v>8493186.9908031765</v>
      </c>
      <c r="P6" s="139">
        <v>7520871.2311981246</v>
      </c>
      <c r="Q6" s="139">
        <v>8502828.0301657896</v>
      </c>
      <c r="R6" s="139">
        <v>9271937.4786054809</v>
      </c>
      <c r="S6" s="139">
        <v>9626408.3565049637</v>
      </c>
      <c r="T6" s="139">
        <v>11048842.441862037</v>
      </c>
    </row>
    <row r="7" spans="1:20" x14ac:dyDescent="0.2">
      <c r="A7" s="135" t="s">
        <v>11</v>
      </c>
      <c r="B7" s="139">
        <v>478103.10138091136</v>
      </c>
      <c r="C7" s="139">
        <v>656322.38563404465</v>
      </c>
      <c r="D7" s="139">
        <v>983252.75648218556</v>
      </c>
      <c r="E7" s="139">
        <v>1114776.7253721596</v>
      </c>
      <c r="F7" s="139">
        <v>1231959.907877872</v>
      </c>
      <c r="G7" s="139">
        <v>1471328.3029171191</v>
      </c>
      <c r="H7" s="139">
        <v>2171848.4638698837</v>
      </c>
      <c r="I7" s="139">
        <v>2621129.6545825936</v>
      </c>
      <c r="J7" s="139">
        <v>3009641.3553737886</v>
      </c>
      <c r="K7" s="139">
        <v>3319956.9506516648</v>
      </c>
      <c r="L7" s="139">
        <v>4208460.9518301273</v>
      </c>
      <c r="M7" s="139">
        <v>5108426.9848568412</v>
      </c>
      <c r="N7" s="139">
        <v>5069005.4172083335</v>
      </c>
      <c r="O7" s="139">
        <v>5979416.4023511466</v>
      </c>
      <c r="P7" s="139">
        <v>4818264.5565128885</v>
      </c>
      <c r="Q7" s="139">
        <v>5139482.1957708159</v>
      </c>
      <c r="R7" s="139">
        <v>5906555.2043823237</v>
      </c>
      <c r="S7" s="139">
        <v>6144347.8542116191</v>
      </c>
      <c r="T7" s="139">
        <v>6925922.6756530125</v>
      </c>
    </row>
    <row r="8" spans="1:20" x14ac:dyDescent="0.2">
      <c r="A8" s="136" t="s">
        <v>86</v>
      </c>
      <c r="B8" s="139">
        <v>276795.60730452003</v>
      </c>
      <c r="C8" s="139">
        <v>434260.35362045997</v>
      </c>
      <c r="D8" s="139">
        <v>752703.52779426007</v>
      </c>
      <c r="E8" s="139">
        <v>400019.72554595</v>
      </c>
      <c r="F8" s="139">
        <v>595642.75645462004</v>
      </c>
      <c r="G8" s="139">
        <v>560701.17682851001</v>
      </c>
      <c r="H8" s="139">
        <v>723234.97606929007</v>
      </c>
      <c r="I8" s="139">
        <v>1378034.7341743398</v>
      </c>
      <c r="J8" s="139">
        <v>959120.39844400005</v>
      </c>
      <c r="K8" s="139">
        <v>483286.12095730996</v>
      </c>
      <c r="L8" s="139">
        <v>503337.4907346</v>
      </c>
      <c r="M8" s="139">
        <v>1002792.62002411</v>
      </c>
      <c r="N8" s="139">
        <v>984379.79267806991</v>
      </c>
      <c r="O8" s="139">
        <v>829151.8575969201</v>
      </c>
      <c r="P8" s="139">
        <v>1497106.5266895099</v>
      </c>
      <c r="Q8" s="139">
        <v>2056752.48727683</v>
      </c>
      <c r="R8" s="139">
        <v>2626283.4345596996</v>
      </c>
      <c r="S8" s="139">
        <v>2508366.5345612303</v>
      </c>
      <c r="T8" s="139">
        <v>2789511.5925729903</v>
      </c>
    </row>
    <row r="9" spans="1:20" x14ac:dyDescent="0.2">
      <c r="A9" s="136" t="s">
        <v>87</v>
      </c>
      <c r="B9" s="139">
        <v>201307.49407639133</v>
      </c>
      <c r="C9" s="139">
        <v>222062.03201358469</v>
      </c>
      <c r="D9" s="139">
        <v>230549.2286879255</v>
      </c>
      <c r="E9" s="139">
        <v>714756.99982620962</v>
      </c>
      <c r="F9" s="139">
        <v>636317.15142325195</v>
      </c>
      <c r="G9" s="139">
        <v>910627.1260886091</v>
      </c>
      <c r="H9" s="139">
        <v>1448613.4878005935</v>
      </c>
      <c r="I9" s="139">
        <v>1243094.9204082538</v>
      </c>
      <c r="J9" s="139">
        <v>2050520.9569297885</v>
      </c>
      <c r="K9" s="139">
        <v>2836670.8296943549</v>
      </c>
      <c r="L9" s="139">
        <v>3705123.4610955273</v>
      </c>
      <c r="M9" s="139">
        <v>4105634.364832731</v>
      </c>
      <c r="N9" s="139">
        <v>4084625.6245302637</v>
      </c>
      <c r="O9" s="139">
        <v>5150264.5447542267</v>
      </c>
      <c r="P9" s="139">
        <v>3321158.0298233787</v>
      </c>
      <c r="Q9" s="139">
        <v>3082729.7084939862</v>
      </c>
      <c r="R9" s="139">
        <v>3280271.769822624</v>
      </c>
      <c r="S9" s="139">
        <v>3635981.3196503888</v>
      </c>
      <c r="T9" s="139">
        <v>4136411.0830800221</v>
      </c>
    </row>
    <row r="10" spans="1:20" x14ac:dyDescent="0.2">
      <c r="A10" s="135" t="s">
        <v>88</v>
      </c>
      <c r="B10" s="139">
        <v>600844.31153763412</v>
      </c>
      <c r="C10" s="139">
        <v>814341.70933906548</v>
      </c>
      <c r="D10" s="139">
        <v>1283592.0010937059</v>
      </c>
      <c r="E10" s="139">
        <v>1672303.3892182794</v>
      </c>
      <c r="F10" s="139">
        <v>1307546.3659187423</v>
      </c>
      <c r="G10" s="139">
        <v>1765069.5000157582</v>
      </c>
      <c r="H10" s="139">
        <v>1637065.6219514336</v>
      </c>
      <c r="I10" s="139">
        <v>1409537.5588713486</v>
      </c>
      <c r="J10" s="139">
        <v>1586703.7510760622</v>
      </c>
      <c r="K10" s="139">
        <v>1275565.432042856</v>
      </c>
      <c r="L10" s="139">
        <v>1440391.1272448066</v>
      </c>
      <c r="M10" s="139">
        <v>1650399.3011826193</v>
      </c>
      <c r="N10" s="139">
        <v>1906589.8473911539</v>
      </c>
      <c r="O10" s="139">
        <v>2513770.58845203</v>
      </c>
      <c r="P10" s="139">
        <v>2702606.6746852361</v>
      </c>
      <c r="Q10" s="139">
        <v>3363345.8343949742</v>
      </c>
      <c r="R10" s="139">
        <v>3365382.2742231572</v>
      </c>
      <c r="S10" s="139">
        <v>3482060.5022933446</v>
      </c>
      <c r="T10" s="139">
        <v>4122919.7662090249</v>
      </c>
    </row>
    <row r="11" spans="1:20" x14ac:dyDescent="0.2">
      <c r="A11" s="136" t="s">
        <v>86</v>
      </c>
      <c r="B11" s="139">
        <v>46849.028244339999</v>
      </c>
      <c r="C11" s="139">
        <v>97051.06785639</v>
      </c>
      <c r="D11" s="139">
        <v>139918.88214343</v>
      </c>
      <c r="E11" s="139">
        <v>77022.362088480004</v>
      </c>
      <c r="F11" s="139">
        <v>59622.66081293</v>
      </c>
      <c r="G11" s="139">
        <v>202413.01905251</v>
      </c>
      <c r="H11" s="139">
        <v>105563.76807901</v>
      </c>
      <c r="I11" s="139">
        <v>155079.11464533999</v>
      </c>
      <c r="J11" s="139">
        <v>713734.22332803998</v>
      </c>
      <c r="K11" s="139">
        <v>84563.245788680011</v>
      </c>
      <c r="L11" s="139">
        <v>44195.400445420004</v>
      </c>
      <c r="M11" s="139">
        <v>131830.74525074998</v>
      </c>
      <c r="N11" s="139">
        <v>176604.10435879003</v>
      </c>
      <c r="O11" s="139">
        <v>220157.56224145999</v>
      </c>
      <c r="P11" s="139">
        <v>210924.60578936001</v>
      </c>
      <c r="Q11" s="139">
        <v>323008.25617769</v>
      </c>
      <c r="R11" s="139">
        <v>476080.7852174</v>
      </c>
      <c r="S11" s="139">
        <v>418125.82692359004</v>
      </c>
      <c r="T11" s="139">
        <v>625385.66062764998</v>
      </c>
    </row>
    <row r="12" spans="1:20" x14ac:dyDescent="0.2">
      <c r="A12" s="136" t="s">
        <v>87</v>
      </c>
      <c r="B12" s="139">
        <v>553995.28329329414</v>
      </c>
      <c r="C12" s="139">
        <v>717290.64148267545</v>
      </c>
      <c r="D12" s="139">
        <v>1143673.1189502759</v>
      </c>
      <c r="E12" s="139">
        <v>1595281.0271297994</v>
      </c>
      <c r="F12" s="139">
        <v>1247923.7051058123</v>
      </c>
      <c r="G12" s="139">
        <v>1562656.4809632483</v>
      </c>
      <c r="H12" s="139">
        <v>1531501.8538724235</v>
      </c>
      <c r="I12" s="139">
        <v>1254458.4442260086</v>
      </c>
      <c r="J12" s="139">
        <v>872969.52774802223</v>
      </c>
      <c r="K12" s="139">
        <v>1191002.1862541761</v>
      </c>
      <c r="L12" s="139">
        <v>1396195.7267993866</v>
      </c>
      <c r="M12" s="139">
        <v>1518568.5559318694</v>
      </c>
      <c r="N12" s="139">
        <v>1729985.7430323639</v>
      </c>
      <c r="O12" s="139">
        <v>2293613.0262105698</v>
      </c>
      <c r="P12" s="139">
        <v>2491682.0688958759</v>
      </c>
      <c r="Q12" s="139">
        <v>3040337.5782172843</v>
      </c>
      <c r="R12" s="139">
        <v>2889301.489005757</v>
      </c>
      <c r="S12" s="139">
        <v>3063934.6753697544</v>
      </c>
      <c r="T12" s="139">
        <v>3497534.1055813748</v>
      </c>
    </row>
    <row r="13" spans="1:20" x14ac:dyDescent="0.2">
      <c r="A13" s="134" t="s">
        <v>89</v>
      </c>
      <c r="B13" s="139">
        <v>58442.517803004012</v>
      </c>
      <c r="C13" s="139">
        <v>34844.130930891261</v>
      </c>
      <c r="D13" s="139">
        <v>34587.428563564084</v>
      </c>
      <c r="E13" s="139">
        <v>-57538.682213911787</v>
      </c>
      <c r="F13" s="139">
        <v>74147.691490277648</v>
      </c>
      <c r="G13" s="139">
        <v>-8915.471299758181</v>
      </c>
      <c r="H13" s="139">
        <v>24628.072452299297</v>
      </c>
      <c r="I13" s="139">
        <v>-24587.495928453282</v>
      </c>
      <c r="J13" s="139">
        <v>71245.466613486409</v>
      </c>
      <c r="K13" s="139">
        <v>5767.9068658282877</v>
      </c>
      <c r="L13" s="139">
        <v>10915.471299758099</v>
      </c>
      <c r="M13" s="139">
        <v>11849.599540954359</v>
      </c>
      <c r="N13" s="139">
        <v>11837.283679417416</v>
      </c>
      <c r="O13" s="139">
        <v>29457.052705045448</v>
      </c>
      <c r="P13" s="139">
        <v>35402.100070075001</v>
      </c>
      <c r="Q13" s="139">
        <v>13745.941870329709</v>
      </c>
      <c r="R13" s="139">
        <v>26201.698215150052</v>
      </c>
      <c r="S13" s="139">
        <v>13218.380246207318</v>
      </c>
      <c r="T13" s="139">
        <v>17201.702989239842</v>
      </c>
    </row>
    <row r="14" spans="1:20" x14ac:dyDescent="0.2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</row>
    <row r="15" spans="1:20" x14ac:dyDescent="0.2">
      <c r="A15" s="127"/>
      <c r="B15" s="127"/>
      <c r="C15" s="127"/>
      <c r="D15" s="127"/>
      <c r="E15" s="137"/>
      <c r="F15" s="13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</row>
    <row r="16" spans="1:20" x14ac:dyDescent="0.2">
      <c r="A16" s="127" t="s">
        <v>90</v>
      </c>
      <c r="B16" s="132">
        <v>0.44311992934636701</v>
      </c>
      <c r="C16" s="132">
        <v>0.44627620125997908</v>
      </c>
      <c r="D16" s="132">
        <v>0.43375390096569827</v>
      </c>
      <c r="E16" s="132">
        <v>0.39998015110375679</v>
      </c>
      <c r="F16" s="132">
        <v>0.48511788318446114</v>
      </c>
      <c r="G16" s="132">
        <v>0.45461911436961705</v>
      </c>
      <c r="H16" s="132">
        <v>0.57020148392282977</v>
      </c>
      <c r="I16" s="132">
        <v>0.65029671659162014</v>
      </c>
      <c r="J16" s="132">
        <v>0.65479011816377541</v>
      </c>
      <c r="K16" s="132">
        <v>0.72243298458380134</v>
      </c>
      <c r="L16" s="132">
        <v>0.74501171086060947</v>
      </c>
      <c r="M16" s="132">
        <v>0.75581569471735588</v>
      </c>
      <c r="N16" s="132">
        <v>0.72667711140482527</v>
      </c>
      <c r="O16" s="132">
        <v>0.7040250507643292</v>
      </c>
      <c r="P16" s="132">
        <v>0.64065244682367828</v>
      </c>
      <c r="Q16" s="132">
        <v>0.60444386003542461</v>
      </c>
      <c r="R16" s="132">
        <v>0.63703570240970631</v>
      </c>
      <c r="S16" s="132">
        <v>0.63828040808798936</v>
      </c>
      <c r="T16" s="132">
        <v>0.62684599876381275</v>
      </c>
    </row>
    <row r="17" spans="1:20" x14ac:dyDescent="0.2">
      <c r="A17" s="127" t="s">
        <v>91</v>
      </c>
      <c r="B17" s="132">
        <v>0.55688007065363299</v>
      </c>
      <c r="C17" s="132">
        <v>0.55372379874002098</v>
      </c>
      <c r="D17" s="132">
        <v>0.56624609903430168</v>
      </c>
      <c r="E17" s="132">
        <v>0.60001984889624316</v>
      </c>
      <c r="F17" s="132">
        <v>0.51488211681553886</v>
      </c>
      <c r="G17" s="132">
        <v>0.54538088563038289</v>
      </c>
      <c r="H17" s="132">
        <v>0.42979851607717023</v>
      </c>
      <c r="I17" s="132">
        <v>0.34970328340837986</v>
      </c>
      <c r="J17" s="132">
        <v>0.34520988183622459</v>
      </c>
      <c r="K17" s="132">
        <v>0.27756701541619866</v>
      </c>
      <c r="L17" s="132">
        <v>0.25498828913939053</v>
      </c>
      <c r="M17" s="132">
        <v>0.24418430528264412</v>
      </c>
      <c r="N17" s="132">
        <v>0.27332288859517473</v>
      </c>
      <c r="O17" s="132">
        <v>0.2959749492356708</v>
      </c>
      <c r="P17" s="132">
        <v>0.35934755317632167</v>
      </c>
      <c r="Q17" s="132">
        <v>0.39555613996457539</v>
      </c>
      <c r="R17" s="132">
        <v>0.36296429759029369</v>
      </c>
      <c r="S17" s="132">
        <v>0.36171959191201064</v>
      </c>
      <c r="T17" s="132">
        <v>0.37315400123618725</v>
      </c>
    </row>
    <row r="18" spans="1:20" x14ac:dyDescent="0.2">
      <c r="A18" s="127" t="s">
        <v>92</v>
      </c>
      <c r="B18" s="132">
        <v>0.2565422596044693</v>
      </c>
      <c r="C18" s="132">
        <v>0.29528180847333468</v>
      </c>
      <c r="D18" s="132">
        <v>0.33204899686169198</v>
      </c>
      <c r="E18" s="132">
        <v>0.14352645388693208</v>
      </c>
      <c r="F18" s="132">
        <v>0.23455061426728505</v>
      </c>
      <c r="G18" s="132">
        <v>0.1732485346271071</v>
      </c>
      <c r="H18" s="132">
        <v>0.18987957191303742</v>
      </c>
      <c r="I18" s="132">
        <v>0.34188749931391144</v>
      </c>
      <c r="J18" s="132">
        <v>0.20867023172348573</v>
      </c>
      <c r="K18" s="132">
        <v>0.10516456687867154</v>
      </c>
      <c r="L18" s="132">
        <v>8.910438504826762E-2</v>
      </c>
      <c r="M18" s="132">
        <v>0.14836786412093553</v>
      </c>
      <c r="N18" s="132">
        <v>0.14111767603170844</v>
      </c>
      <c r="O18" s="132">
        <v>9.7625527201363263E-2</v>
      </c>
      <c r="P18" s="132">
        <v>0.19906025255148677</v>
      </c>
      <c r="Q18" s="132">
        <v>0.2418904016381391</v>
      </c>
      <c r="R18" s="132">
        <v>0.28325077046946379</v>
      </c>
      <c r="S18" s="132">
        <v>0.26057138256203549</v>
      </c>
      <c r="T18" s="132">
        <v>0.25247093596013664</v>
      </c>
    </row>
    <row r="19" spans="1:20" x14ac:dyDescent="0.2">
      <c r="A19" s="127" t="s">
        <v>93</v>
      </c>
      <c r="B19" s="132">
        <v>0.57894543353734307</v>
      </c>
      <c r="C19" s="132">
        <v>0.66165708061433837</v>
      </c>
      <c r="D19" s="132">
        <v>0.76552394369808963</v>
      </c>
      <c r="E19" s="132">
        <v>0.3588339408614819</v>
      </c>
      <c r="F19" s="132">
        <v>0.48349199730099329</v>
      </c>
      <c r="G19" s="132">
        <v>0.38108502073727502</v>
      </c>
      <c r="H19" s="132">
        <v>0.33300434542316182</v>
      </c>
      <c r="I19" s="132">
        <v>0.52574077431274091</v>
      </c>
      <c r="J19" s="132">
        <v>0.31868262201124631</v>
      </c>
      <c r="K19" s="132">
        <v>0.14556999628035752</v>
      </c>
      <c r="L19" s="132">
        <v>0.11960132136089188</v>
      </c>
      <c r="M19" s="132">
        <v>0.19630164490884119</v>
      </c>
      <c r="N19" s="132">
        <v>0.19419584546828123</v>
      </c>
      <c r="O19" s="132">
        <v>0.13866768958771494</v>
      </c>
      <c r="P19" s="132">
        <v>0.31071488689135146</v>
      </c>
      <c r="Q19" s="132">
        <v>0.40018671316135568</v>
      </c>
      <c r="R19" s="132">
        <v>0.44463876890732329</v>
      </c>
      <c r="S19" s="132">
        <v>0.40823966905485021</v>
      </c>
      <c r="T19" s="132">
        <v>0.40276389489288955</v>
      </c>
    </row>
    <row r="20" spans="1:20" x14ac:dyDescent="0.2">
      <c r="A20" s="127" t="s">
        <v>94</v>
      </c>
      <c r="B20" s="132">
        <v>0.28455029080795791</v>
      </c>
      <c r="C20" s="132">
        <v>0.35291166951799102</v>
      </c>
      <c r="D20" s="132">
        <v>0.38785518657189816</v>
      </c>
      <c r="E20" s="132">
        <v>0.17477004817585212</v>
      </c>
      <c r="F20" s="132">
        <v>0.25070855819876053</v>
      </c>
      <c r="G20" s="132">
        <v>0.23644256341904779</v>
      </c>
      <c r="H20" s="132">
        <v>0.21619659049779127</v>
      </c>
      <c r="I20" s="132">
        <v>0.38269679010947572</v>
      </c>
      <c r="J20" s="132">
        <v>0.35839789192867155</v>
      </c>
      <c r="K20" s="132">
        <v>0.12341089803317921</v>
      </c>
      <c r="L20" s="132">
        <v>9.674123297586168E-2</v>
      </c>
      <c r="M20" s="132">
        <v>0.16757904003221899</v>
      </c>
      <c r="N20" s="132">
        <v>0.16615314552450677</v>
      </c>
      <c r="O20" s="132">
        <v>0.1231201742653618</v>
      </c>
      <c r="P20" s="132">
        <v>0.22604147012667741</v>
      </c>
      <c r="Q20" s="132">
        <v>0.27942700330771308</v>
      </c>
      <c r="R20" s="132">
        <v>0.3336543109088963</v>
      </c>
      <c r="S20" s="132">
        <v>0.30358980087139059</v>
      </c>
      <c r="T20" s="132">
        <v>0.30859241193154802</v>
      </c>
    </row>
    <row r="21" spans="1:20" x14ac:dyDescent="0.2">
      <c r="A21" s="140" t="s">
        <v>23</v>
      </c>
      <c r="B21" s="137"/>
    </row>
    <row r="22" spans="1:20" x14ac:dyDescent="0.2">
      <c r="A22" s="99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</row>
    <row r="23" spans="1:20" x14ac:dyDescent="0.2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</row>
    <row r="24" spans="1:20" x14ac:dyDescent="0.2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</row>
    <row r="25" spans="1:20" x14ac:dyDescent="0.2"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</row>
    <row r="26" spans="1:20" x14ac:dyDescent="0.2"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</row>
  </sheetData>
  <mergeCells count="2">
    <mergeCell ref="A1:K1"/>
    <mergeCell ref="A3:A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5"/>
  <sheetViews>
    <sheetView workbookViewId="0">
      <selection activeCell="B5" sqref="B5:T13"/>
    </sheetView>
  </sheetViews>
  <sheetFormatPr defaultColWidth="8.85546875" defaultRowHeight="15" x14ac:dyDescent="0.25"/>
  <cols>
    <col min="1" max="1" width="57.7109375" style="29" bestFit="1" customWidth="1"/>
    <col min="2" max="16384" width="8.85546875" style="29"/>
  </cols>
  <sheetData>
    <row r="1" spans="1:20" x14ac:dyDescent="0.25">
      <c r="A1" s="268" t="s">
        <v>215</v>
      </c>
      <c r="B1" s="269"/>
      <c r="C1" s="269"/>
      <c r="D1" s="269"/>
      <c r="E1" s="269"/>
      <c r="F1" s="141"/>
      <c r="G1" s="141"/>
      <c r="H1" s="141"/>
    </row>
    <row r="2" spans="1:20" x14ac:dyDescent="0.25">
      <c r="A2" s="142"/>
      <c r="B2" s="142"/>
      <c r="C2" s="142"/>
      <c r="D2" s="143"/>
      <c r="E2" s="103"/>
      <c r="F2" s="103"/>
      <c r="G2" s="103"/>
      <c r="H2" s="103"/>
    </row>
    <row r="3" spans="1:20" x14ac:dyDescent="0.25">
      <c r="A3" s="270" t="s">
        <v>95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151"/>
      <c r="T3" s="151"/>
    </row>
    <row r="4" spans="1:20" x14ac:dyDescent="0.25">
      <c r="A4" s="270"/>
      <c r="B4" s="152">
        <v>2006</v>
      </c>
      <c r="C4" s="152">
        <v>2007</v>
      </c>
      <c r="D4" s="152">
        <v>2008</v>
      </c>
      <c r="E4" s="152">
        <v>2009</v>
      </c>
      <c r="F4" s="152">
        <v>2010</v>
      </c>
      <c r="G4" s="152">
        <v>2011</v>
      </c>
      <c r="H4" s="152">
        <v>2012</v>
      </c>
      <c r="I4" s="152">
        <v>2013</v>
      </c>
      <c r="J4" s="152">
        <v>2014</v>
      </c>
      <c r="K4" s="152">
        <v>2015</v>
      </c>
      <c r="L4" s="152">
        <v>2016</v>
      </c>
      <c r="M4" s="152">
        <v>2017</v>
      </c>
      <c r="N4" s="152">
        <v>2018</v>
      </c>
      <c r="O4" s="152">
        <v>2019</v>
      </c>
      <c r="P4" s="152">
        <v>2020</v>
      </c>
      <c r="Q4" s="152">
        <v>2021</v>
      </c>
      <c r="R4" s="152">
        <v>2022</v>
      </c>
      <c r="S4" s="152">
        <v>2023</v>
      </c>
      <c r="T4" s="152">
        <v>2024</v>
      </c>
    </row>
    <row r="5" spans="1:20" x14ac:dyDescent="0.25">
      <c r="A5" s="144" t="s">
        <v>84</v>
      </c>
      <c r="B5" s="145">
        <v>100</v>
      </c>
      <c r="C5" s="145">
        <v>100</v>
      </c>
      <c r="D5" s="145">
        <v>100</v>
      </c>
      <c r="E5" s="145">
        <v>100</v>
      </c>
      <c r="F5" s="145">
        <v>100</v>
      </c>
      <c r="G5" s="145">
        <v>99.999999999999986</v>
      </c>
      <c r="H5" s="145">
        <v>100</v>
      </c>
      <c r="I5" s="145">
        <v>100</v>
      </c>
      <c r="J5" s="145">
        <v>100</v>
      </c>
      <c r="K5" s="145">
        <v>99.999999999999986</v>
      </c>
      <c r="L5" s="145">
        <v>100</v>
      </c>
      <c r="M5" s="145">
        <v>100</v>
      </c>
      <c r="N5" s="145">
        <v>100</v>
      </c>
      <c r="O5" s="145">
        <v>100</v>
      </c>
      <c r="P5" s="145">
        <v>100</v>
      </c>
      <c r="Q5" s="145">
        <v>100</v>
      </c>
      <c r="R5" s="145">
        <v>100</v>
      </c>
      <c r="S5" s="145">
        <v>100.00000000000001</v>
      </c>
      <c r="T5" s="145">
        <v>100.00000000000001</v>
      </c>
    </row>
    <row r="6" spans="1:20" x14ac:dyDescent="0.25">
      <c r="A6" s="146" t="s">
        <v>85</v>
      </c>
      <c r="B6" s="145">
        <v>94.861699033511869</v>
      </c>
      <c r="C6" s="145">
        <v>97.685556921486182</v>
      </c>
      <c r="D6" s="145">
        <v>98.497134576813977</v>
      </c>
      <c r="E6" s="145">
        <v>102.10799812493832</v>
      </c>
      <c r="F6" s="145">
        <v>97.163063952800698</v>
      </c>
      <c r="G6" s="145">
        <v>100.27623609933897</v>
      </c>
      <c r="H6" s="145">
        <v>99.357563542136958</v>
      </c>
      <c r="I6" s="145">
        <v>100.61375453466115</v>
      </c>
      <c r="J6" s="145">
        <v>98.473613623597501</v>
      </c>
      <c r="K6" s="145">
        <v>99.874645881853723</v>
      </c>
      <c r="L6" s="145">
        <v>99.807139229613142</v>
      </c>
      <c r="M6" s="145">
        <v>99.824986460122972</v>
      </c>
      <c r="N6" s="145">
        <v>99.830591800384056</v>
      </c>
      <c r="O6" s="145">
        <v>99.65436720629576</v>
      </c>
      <c r="P6" s="145">
        <v>99.531487301768465</v>
      </c>
      <c r="Q6" s="145">
        <v>99.838597751684375</v>
      </c>
      <c r="R6" s="145">
        <v>99.718204925556847</v>
      </c>
      <c r="S6" s="145">
        <v>99.862874563432925</v>
      </c>
      <c r="T6" s="145">
        <v>99.844554180662271</v>
      </c>
    </row>
    <row r="7" spans="1:20" x14ac:dyDescent="0.25">
      <c r="A7" s="147" t="s">
        <v>11</v>
      </c>
      <c r="B7" s="145">
        <v>42.035109373406108</v>
      </c>
      <c r="C7" s="145">
        <v>43.594739260886314</v>
      </c>
      <c r="D7" s="145">
        <v>42.723516356636424</v>
      </c>
      <c r="E7" s="145">
        <v>40.841172518914945</v>
      </c>
      <c r="F7" s="145">
        <v>47.135539908499098</v>
      </c>
      <c r="G7" s="145">
        <v>45.587493647800109</v>
      </c>
      <c r="H7" s="145">
        <v>56.653830170683342</v>
      </c>
      <c r="I7" s="145">
        <v>65.428794217845393</v>
      </c>
      <c r="J7" s="145">
        <v>64.479549100609361</v>
      </c>
      <c r="K7" s="145">
        <v>72.152738508677857</v>
      </c>
      <c r="L7" s="145">
        <v>74.357487553557135</v>
      </c>
      <c r="M7" s="145">
        <v>75.44929149150849</v>
      </c>
      <c r="N7" s="145">
        <v>72.544606079337328</v>
      </c>
      <c r="O7" s="145">
        <v>70.159170931299471</v>
      </c>
      <c r="P7" s="145">
        <v>63.765090875877831</v>
      </c>
      <c r="Q7" s="145">
        <v>60.346827405552176</v>
      </c>
      <c r="R7" s="145">
        <v>63.524056717787147</v>
      </c>
      <c r="S7" s="145">
        <v>63.740516329187656</v>
      </c>
      <c r="T7" s="145">
        <v>62.587159286504857</v>
      </c>
    </row>
    <row r="8" spans="1:20" x14ac:dyDescent="0.25">
      <c r="A8" s="148" t="s">
        <v>86</v>
      </c>
      <c r="B8" s="145">
        <v>24.336034619976239</v>
      </c>
      <c r="C8" s="145">
        <v>28.844767909501318</v>
      </c>
      <c r="D8" s="145">
        <v>32.705874729982156</v>
      </c>
      <c r="E8" s="145">
        <v>14.655198884365905</v>
      </c>
      <c r="F8" s="145">
        <v>22.789656334220908</v>
      </c>
      <c r="G8" s="145">
        <v>17.372710962132299</v>
      </c>
      <c r="H8" s="145">
        <v>18.865971631703381</v>
      </c>
      <c r="I8" s="145">
        <v>34.398584934439015</v>
      </c>
      <c r="J8" s="145">
        <v>20.548511773485089</v>
      </c>
      <c r="K8" s="145">
        <v>10.503273876325842</v>
      </c>
      <c r="L8" s="145">
        <v>8.8932537644815053</v>
      </c>
      <c r="M8" s="145">
        <v>14.810820026989754</v>
      </c>
      <c r="N8" s="145">
        <v>14.087861111740327</v>
      </c>
      <c r="O8" s="145">
        <v>9.7288101364328696</v>
      </c>
      <c r="P8" s="145">
        <v>19.812762999115126</v>
      </c>
      <c r="Q8" s="145">
        <v>24.149998509143543</v>
      </c>
      <c r="R8" s="145">
        <v>28.245258374995853</v>
      </c>
      <c r="S8" s="145">
        <v>26.021407291612842</v>
      </c>
      <c r="T8" s="145">
        <v>25.207848044514382</v>
      </c>
    </row>
    <row r="9" spans="1:20" x14ac:dyDescent="0.25">
      <c r="A9" s="148" t="s">
        <v>87</v>
      </c>
      <c r="B9" s="145">
        <v>17.699074753429876</v>
      </c>
      <c r="C9" s="145">
        <v>14.749971351384994</v>
      </c>
      <c r="D9" s="145">
        <v>10.017641626654271</v>
      </c>
      <c r="E9" s="145">
        <v>26.185973634549036</v>
      </c>
      <c r="F9" s="145">
        <v>24.345883574278187</v>
      </c>
      <c r="G9" s="145">
        <v>28.21478268566781</v>
      </c>
      <c r="H9" s="145">
        <v>37.787858538979954</v>
      </c>
      <c r="I9" s="145">
        <v>31.030209283406368</v>
      </c>
      <c r="J9" s="145">
        <v>43.931037327124272</v>
      </c>
      <c r="K9" s="145">
        <v>61.649464632352</v>
      </c>
      <c r="L9" s="145">
        <v>65.464233789075635</v>
      </c>
      <c r="M9" s="145">
        <v>60.63847146451873</v>
      </c>
      <c r="N9" s="145">
        <v>58.456744967597004</v>
      </c>
      <c r="O9" s="145">
        <v>60.430360794866601</v>
      </c>
      <c r="P9" s="145">
        <v>43.952327876762702</v>
      </c>
      <c r="Q9" s="145">
        <v>36.196828896408626</v>
      </c>
      <c r="R9" s="145">
        <v>35.278798342791291</v>
      </c>
      <c r="S9" s="145">
        <v>37.71910903757481</v>
      </c>
      <c r="T9" s="145">
        <v>37.379311241990479</v>
      </c>
    </row>
    <row r="10" spans="1:20" x14ac:dyDescent="0.25">
      <c r="A10" s="147" t="s">
        <v>88</v>
      </c>
      <c r="B10" s="145">
        <v>52.826589660105761</v>
      </c>
      <c r="C10" s="145">
        <v>54.090817660599875</v>
      </c>
      <c r="D10" s="145">
        <v>55.773618220177546</v>
      </c>
      <c r="E10" s="145">
        <v>61.266825606023382</v>
      </c>
      <c r="F10" s="145">
        <v>50.027524044301607</v>
      </c>
      <c r="G10" s="145">
        <v>54.688742451538864</v>
      </c>
      <c r="H10" s="145">
        <v>42.703733371453609</v>
      </c>
      <c r="I10" s="145">
        <v>35.184960316815776</v>
      </c>
      <c r="J10" s="145">
        <v>33.994064522988126</v>
      </c>
      <c r="K10" s="145">
        <v>27.721907373175874</v>
      </c>
      <c r="L10" s="145">
        <v>25.449651676056</v>
      </c>
      <c r="M10" s="145">
        <v>24.375694968614482</v>
      </c>
      <c r="N10" s="145">
        <v>27.285985721046735</v>
      </c>
      <c r="O10" s="145">
        <v>29.495196274996282</v>
      </c>
      <c r="P10" s="145">
        <v>35.766396425890626</v>
      </c>
      <c r="Q10" s="145">
        <v>39.491770346132213</v>
      </c>
      <c r="R10" s="145">
        <v>36.194148207769707</v>
      </c>
      <c r="S10" s="145">
        <v>36.122358234245269</v>
      </c>
      <c r="T10" s="145">
        <v>37.257394894157414</v>
      </c>
    </row>
    <row r="11" spans="1:20" x14ac:dyDescent="0.25">
      <c r="A11" s="148" t="s">
        <v>86</v>
      </c>
      <c r="B11" s="145">
        <v>4.1189944608195548</v>
      </c>
      <c r="C11" s="145">
        <v>6.4463990422977897</v>
      </c>
      <c r="D11" s="145">
        <v>6.0796439272076643</v>
      </c>
      <c r="E11" s="145">
        <v>2.8218059332193035</v>
      </c>
      <c r="F11" s="145">
        <v>2.2811994856551494</v>
      </c>
      <c r="G11" s="145">
        <v>6.2715453797724789</v>
      </c>
      <c r="H11" s="145">
        <v>2.7536874180757462</v>
      </c>
      <c r="I11" s="145">
        <v>3.8710940765085584</v>
      </c>
      <c r="J11" s="145">
        <v>15.291277419382066</v>
      </c>
      <c r="K11" s="145">
        <v>1.8378159269920782</v>
      </c>
      <c r="L11" s="145">
        <v>0.78086953310466167</v>
      </c>
      <c r="M11" s="145">
        <v>1.9470839762321428</v>
      </c>
      <c r="N11" s="145">
        <v>2.5274534407103499</v>
      </c>
      <c r="O11" s="145">
        <v>2.583207290103311</v>
      </c>
      <c r="P11" s="145">
        <v>2.7913840135526131</v>
      </c>
      <c r="Q11" s="145">
        <v>3.792701821627765</v>
      </c>
      <c r="R11" s="145">
        <v>5.1201727158937755</v>
      </c>
      <c r="S11" s="145">
        <v>4.3375727955262127</v>
      </c>
      <c r="T11" s="145">
        <v>5.651393148640425</v>
      </c>
    </row>
    <row r="12" spans="1:20" x14ac:dyDescent="0.25">
      <c r="A12" s="148" t="s">
        <v>87</v>
      </c>
      <c r="B12" s="145">
        <v>48.707595199286203</v>
      </c>
      <c r="C12" s="145">
        <v>47.644418618302083</v>
      </c>
      <c r="D12" s="145">
        <v>49.693974292969891</v>
      </c>
      <c r="E12" s="145">
        <v>58.445019672804065</v>
      </c>
      <c r="F12" s="145">
        <v>47.746324558646457</v>
      </c>
      <c r="G12" s="145">
        <v>48.417197071766388</v>
      </c>
      <c r="H12" s="145">
        <v>39.950045953377867</v>
      </c>
      <c r="I12" s="145">
        <v>31.313866240307213</v>
      </c>
      <c r="J12" s="145">
        <v>18.702787103606063</v>
      </c>
      <c r="K12" s="145">
        <v>25.884091446183792</v>
      </c>
      <c r="L12" s="145">
        <v>24.66878214295134</v>
      </c>
      <c r="M12" s="145">
        <v>22.428610992382342</v>
      </c>
      <c r="N12" s="145">
        <v>24.758532280336386</v>
      </c>
      <c r="O12" s="145">
        <v>26.911988984892972</v>
      </c>
      <c r="P12" s="145">
        <v>32.97501241233801</v>
      </c>
      <c r="Q12" s="145">
        <v>35.699068524504447</v>
      </c>
      <c r="R12" s="145">
        <v>31.073975491875931</v>
      </c>
      <c r="S12" s="145">
        <v>31.784785438719048</v>
      </c>
      <c r="T12" s="145">
        <v>31.606001745516988</v>
      </c>
    </row>
    <row r="13" spans="1:20" x14ac:dyDescent="0.25">
      <c r="A13" s="146" t="s">
        <v>89</v>
      </c>
      <c r="B13" s="145">
        <v>5.1383009664881261</v>
      </c>
      <c r="C13" s="145">
        <v>2.314443078513813</v>
      </c>
      <c r="D13" s="145">
        <v>1.5028654231860237</v>
      </c>
      <c r="E13" s="145">
        <v>-2.1079981249383208</v>
      </c>
      <c r="F13" s="145">
        <v>2.8369360471992975</v>
      </c>
      <c r="G13" s="145">
        <v>-0.27623609933898274</v>
      </c>
      <c r="H13" s="145">
        <v>0.64243645786303838</v>
      </c>
      <c r="I13" s="145">
        <v>-0.61375453466115015</v>
      </c>
      <c r="J13" s="145">
        <v>1.5263863764025054</v>
      </c>
      <c r="K13" s="145">
        <v>0.12535411814626909</v>
      </c>
      <c r="L13" s="145">
        <v>0.19286077038685917</v>
      </c>
      <c r="M13" s="145">
        <v>0.17501353987702448</v>
      </c>
      <c r="N13" s="145">
        <v>0.16940819961593895</v>
      </c>
      <c r="O13" s="145">
        <v>0.34563279370423972</v>
      </c>
      <c r="P13" s="145">
        <v>0.46851269823154118</v>
      </c>
      <c r="Q13" s="145">
        <v>0.161402248315626</v>
      </c>
      <c r="R13" s="145">
        <v>0.2817950744431571</v>
      </c>
      <c r="S13" s="145">
        <v>0.13712543656708318</v>
      </c>
      <c r="T13" s="145">
        <v>0.15544581933773793</v>
      </c>
    </row>
    <row r="14" spans="1:20" x14ac:dyDescent="0.25">
      <c r="A14" s="149" t="s">
        <v>23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</row>
    <row r="15" spans="1:20" x14ac:dyDescent="0.25">
      <c r="A15" s="98"/>
    </row>
  </sheetData>
  <mergeCells count="3">
    <mergeCell ref="A1:E1"/>
    <mergeCell ref="A3:A4"/>
    <mergeCell ref="B3:R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0"/>
  <sheetViews>
    <sheetView workbookViewId="0">
      <selection activeCell="D5" sqref="D5:F23"/>
    </sheetView>
  </sheetViews>
  <sheetFormatPr defaultColWidth="8.85546875" defaultRowHeight="15" x14ac:dyDescent="0.25"/>
  <cols>
    <col min="1" max="1" width="13.85546875" style="29" customWidth="1"/>
    <col min="2" max="2" width="12.140625" style="29" bestFit="1" customWidth="1"/>
    <col min="3" max="3" width="11.140625" style="29" bestFit="1" customWidth="1"/>
    <col min="4" max="4" width="11.5703125" style="29" customWidth="1"/>
    <col min="5" max="5" width="6.28515625" style="29" bestFit="1" customWidth="1"/>
    <col min="6" max="6" width="6.85546875" style="29" bestFit="1" customWidth="1"/>
    <col min="7" max="16384" width="8.85546875" style="29"/>
  </cols>
  <sheetData>
    <row r="1" spans="1:10" x14ac:dyDescent="0.25">
      <c r="A1" s="272" t="s">
        <v>209</v>
      </c>
      <c r="B1" s="273"/>
      <c r="C1" s="273"/>
      <c r="D1" s="273"/>
      <c r="E1" s="273"/>
      <c r="F1" s="273"/>
      <c r="G1" s="153"/>
      <c r="H1" s="153"/>
      <c r="I1" s="153"/>
    </row>
    <row r="2" spans="1:10" x14ac:dyDescent="0.25">
      <c r="A2" s="154"/>
      <c r="B2" s="154"/>
      <c r="C2" s="154"/>
      <c r="D2" s="154"/>
      <c r="E2" s="154"/>
      <c r="F2" s="154"/>
      <c r="G2" s="154"/>
      <c r="H2" s="154"/>
      <c r="I2" s="154"/>
    </row>
    <row r="3" spans="1:10" ht="23.25" customHeight="1" x14ac:dyDescent="0.25">
      <c r="A3" s="274" t="s">
        <v>0</v>
      </c>
      <c r="B3" s="275" t="s">
        <v>96</v>
      </c>
      <c r="C3" s="274"/>
      <c r="D3" s="275" t="s">
        <v>97</v>
      </c>
      <c r="E3" s="275" t="s">
        <v>98</v>
      </c>
      <c r="F3" s="275"/>
      <c r="G3" s="153"/>
      <c r="H3" s="153"/>
      <c r="I3" s="153"/>
    </row>
    <row r="4" spans="1:10" ht="30.6" customHeight="1" x14ac:dyDescent="0.25">
      <c r="A4" s="274"/>
      <c r="B4" s="156" t="s">
        <v>22</v>
      </c>
      <c r="C4" s="155" t="s">
        <v>99</v>
      </c>
      <c r="D4" s="275"/>
      <c r="E4" s="155" t="s">
        <v>22</v>
      </c>
      <c r="F4" s="155" t="s">
        <v>99</v>
      </c>
      <c r="G4" s="153"/>
      <c r="H4" s="153"/>
      <c r="I4" s="153"/>
    </row>
    <row r="5" spans="1:10" x14ac:dyDescent="0.25">
      <c r="A5" s="157">
        <v>2006</v>
      </c>
      <c r="B5" s="158">
        <v>4713881.5683129299</v>
      </c>
      <c r="C5" s="2">
        <v>1078947.4129185455</v>
      </c>
      <c r="D5" s="27">
        <v>22.888725507473755</v>
      </c>
      <c r="E5" s="28">
        <v>11.841817875704265</v>
      </c>
      <c r="F5" s="27">
        <v>4.2434912891203567</v>
      </c>
      <c r="G5" s="153"/>
      <c r="H5" s="153"/>
      <c r="I5" s="153"/>
      <c r="J5" s="159"/>
    </row>
    <row r="6" spans="1:10" x14ac:dyDescent="0.25">
      <c r="A6" s="157">
        <v>2007</v>
      </c>
      <c r="B6" s="158">
        <v>5602449.6131165465</v>
      </c>
      <c r="C6" s="2">
        <v>1470664.0949731101</v>
      </c>
      <c r="D6" s="27">
        <v>26.250376112798364</v>
      </c>
      <c r="E6" s="28">
        <v>13.002688945797416</v>
      </c>
      <c r="F6" s="27">
        <v>12.131062557406551</v>
      </c>
      <c r="G6" s="153"/>
      <c r="H6" s="153"/>
      <c r="I6" s="153"/>
    </row>
    <row r="7" spans="1:10" x14ac:dyDescent="0.25">
      <c r="A7" s="157">
        <v>2008</v>
      </c>
      <c r="B7" s="158">
        <v>7412577.5303074326</v>
      </c>
      <c r="C7" s="2">
        <v>2266844.7575758914</v>
      </c>
      <c r="D7" s="27">
        <v>30.5810596692926</v>
      </c>
      <c r="E7" s="28">
        <v>10.786636049658298</v>
      </c>
      <c r="F7" s="27">
        <v>26.436122295462752</v>
      </c>
      <c r="G7" s="153"/>
      <c r="H7" s="153"/>
      <c r="I7" s="153"/>
    </row>
    <row r="8" spans="1:10" x14ac:dyDescent="0.25">
      <c r="A8" s="157">
        <v>2009</v>
      </c>
      <c r="B8" s="158">
        <v>6481521.7995610014</v>
      </c>
      <c r="C8" s="2">
        <v>2787080.114590439</v>
      </c>
      <c r="D8" s="27">
        <v>43.000397140980226</v>
      </c>
      <c r="E8" s="28">
        <v>1.9955890978894217</v>
      </c>
      <c r="F8" s="27">
        <v>9.2243135793097792</v>
      </c>
      <c r="G8" s="153"/>
      <c r="H8" s="153"/>
      <c r="I8" s="153"/>
    </row>
    <row r="9" spans="1:10" x14ac:dyDescent="0.25">
      <c r="A9" s="157">
        <v>2010</v>
      </c>
      <c r="B9" s="158">
        <v>8781308.453843737</v>
      </c>
      <c r="C9" s="2">
        <v>2539506.2737966143</v>
      </c>
      <c r="D9" s="27">
        <v>28.919451891990271</v>
      </c>
      <c r="E9" s="28">
        <v>5.2936657281999828</v>
      </c>
      <c r="F9" s="160">
        <v>-8.8799999999999955</v>
      </c>
      <c r="G9" s="153"/>
      <c r="H9" s="153"/>
      <c r="I9" s="153"/>
    </row>
    <row r="10" spans="1:10" x14ac:dyDescent="0.25">
      <c r="A10" s="157">
        <v>2011</v>
      </c>
      <c r="B10" s="158">
        <v>11793661.418056017</v>
      </c>
      <c r="C10" s="2">
        <v>3236397.8029328776</v>
      </c>
      <c r="D10" s="27">
        <v>27.441840902588353</v>
      </c>
      <c r="E10" s="28">
        <v>3.5938696024015826</v>
      </c>
      <c r="F10" s="160">
        <v>10.273622281663393</v>
      </c>
      <c r="G10" s="153"/>
      <c r="H10" s="153"/>
      <c r="I10" s="153"/>
    </row>
    <row r="11" spans="1:10" x14ac:dyDescent="0.25">
      <c r="A11" s="157">
        <v>2012</v>
      </c>
      <c r="B11" s="158">
        <v>13706611.875099987</v>
      </c>
      <c r="C11" s="2">
        <v>3808914.0858213175</v>
      </c>
      <c r="D11" s="27">
        <v>27.788881165744193</v>
      </c>
      <c r="E11" s="28">
        <v>8.5031228386666271</v>
      </c>
      <c r="F11" s="160">
        <v>7.3485623772177462</v>
      </c>
      <c r="G11" s="153"/>
      <c r="H11" s="153"/>
      <c r="I11" s="153"/>
    </row>
    <row r="12" spans="1:10" x14ac:dyDescent="0.25">
      <c r="A12" s="157">
        <v>2013</v>
      </c>
      <c r="B12" s="158">
        <v>14840760.473745458</v>
      </c>
      <c r="C12" s="2">
        <v>4030667.213453942</v>
      </c>
      <c r="D12" s="27">
        <v>27.159438497673538</v>
      </c>
      <c r="E12" s="28">
        <v>4.8830612968838523</v>
      </c>
      <c r="F12" s="160">
        <v>1.6541320058329774</v>
      </c>
      <c r="G12" s="153"/>
      <c r="H12" s="153"/>
      <c r="I12" s="153"/>
    </row>
    <row r="13" spans="1:10" x14ac:dyDescent="0.25">
      <c r="A13" s="157">
        <v>2014</v>
      </c>
      <c r="B13" s="158">
        <v>16165667.821145903</v>
      </c>
      <c r="C13" s="2">
        <v>4596345.1064498508</v>
      </c>
      <c r="D13" s="27">
        <v>28.432757355297671</v>
      </c>
      <c r="E13" s="28">
        <v>4.6557235631556182</v>
      </c>
      <c r="F13" s="160">
        <v>3.3081618895169953</v>
      </c>
      <c r="G13" s="153"/>
      <c r="H13" s="153"/>
      <c r="I13" s="153"/>
    </row>
    <row r="14" spans="1:10" x14ac:dyDescent="0.25">
      <c r="A14" s="157">
        <v>2015</v>
      </c>
      <c r="B14" s="158">
        <v>15807317.332586618</v>
      </c>
      <c r="C14" s="2">
        <v>4595522.382694521</v>
      </c>
      <c r="D14" s="27">
        <v>29.07212075271558</v>
      </c>
      <c r="E14" s="28">
        <v>0.76317771091500219</v>
      </c>
      <c r="F14" s="160">
        <v>-2.3495072530516978</v>
      </c>
      <c r="G14" s="153"/>
      <c r="H14" s="153"/>
    </row>
    <row r="15" spans="1:10" x14ac:dyDescent="0.25">
      <c r="A15" s="157">
        <v>2016</v>
      </c>
      <c r="B15" s="158">
        <v>19061544.001559764</v>
      </c>
      <c r="C15" s="2">
        <v>5648852.0790749341</v>
      </c>
      <c r="D15" s="27">
        <v>29.634808589549205</v>
      </c>
      <c r="E15" s="28">
        <v>-0.23307695480532686</v>
      </c>
      <c r="F15" s="160">
        <v>-7.7078440326446582</v>
      </c>
      <c r="G15" s="153"/>
      <c r="H15" s="153"/>
    </row>
    <row r="16" spans="1:10" x14ac:dyDescent="0.25">
      <c r="A16" s="157">
        <v>2017</v>
      </c>
      <c r="B16" s="158">
        <v>23545238.499076653</v>
      </c>
      <c r="C16" s="2">
        <v>6758826.2860394605</v>
      </c>
      <c r="D16" s="27">
        <v>28.705703220226518</v>
      </c>
      <c r="E16" s="28">
        <v>-0.1646886569614594</v>
      </c>
      <c r="F16" s="160">
        <v>-20.90407301627225</v>
      </c>
      <c r="G16" s="153"/>
      <c r="H16" s="153"/>
    </row>
    <row r="17" spans="1:8" x14ac:dyDescent="0.25">
      <c r="A17" s="157">
        <v>2018</v>
      </c>
      <c r="B17" s="158">
        <v>29193781.124393627</v>
      </c>
      <c r="C17" s="2">
        <v>6975595.2645994872</v>
      </c>
      <c r="D17" s="27">
        <v>23.894113732225136</v>
      </c>
      <c r="E17" s="28">
        <v>-0.5066975436161556</v>
      </c>
      <c r="F17" s="160">
        <v>2.0706826955716906E-2</v>
      </c>
      <c r="G17" s="153"/>
      <c r="H17" s="153"/>
    </row>
    <row r="18" spans="1:8" x14ac:dyDescent="0.25">
      <c r="A18" s="157">
        <v>2019</v>
      </c>
      <c r="B18" s="158">
        <v>34735034.830974549</v>
      </c>
      <c r="C18" s="2">
        <v>8493186.9908031765</v>
      </c>
      <c r="D18" s="27">
        <v>24.451355906600327</v>
      </c>
      <c r="E18" s="28">
        <v>-1.0552341449429576</v>
      </c>
      <c r="F18" s="160">
        <v>4.3734935253965972</v>
      </c>
      <c r="G18" s="153"/>
      <c r="H18" s="153"/>
    </row>
    <row r="19" spans="1:8" x14ac:dyDescent="0.25">
      <c r="A19" s="157">
        <v>2020</v>
      </c>
      <c r="B19" s="158">
        <v>38243646.975385547</v>
      </c>
      <c r="C19" s="2">
        <v>7520871.2311981246</v>
      </c>
      <c r="D19" s="27">
        <v>19.665674761715906</v>
      </c>
      <c r="E19" s="28">
        <v>-5.2734912830002685</v>
      </c>
      <c r="F19" s="160">
        <v>-24.454378739422566</v>
      </c>
      <c r="G19" s="153"/>
      <c r="H19" s="153"/>
    </row>
    <row r="20" spans="1:8" x14ac:dyDescent="0.25">
      <c r="A20" s="157">
        <v>2021</v>
      </c>
      <c r="B20" s="158">
        <v>52423748.376100779</v>
      </c>
      <c r="C20" s="2">
        <v>8502828.0301657896</v>
      </c>
      <c r="D20" s="27">
        <v>16.219420193238424</v>
      </c>
      <c r="E20" s="28">
        <v>1.0905836994481461</v>
      </c>
      <c r="F20" s="160">
        <v>-6.2913823277032748</v>
      </c>
      <c r="G20" s="153"/>
      <c r="H20" s="153"/>
    </row>
    <row r="21" spans="1:8" x14ac:dyDescent="0.25">
      <c r="A21" s="157">
        <v>2022</v>
      </c>
      <c r="B21" s="158">
        <v>64097477.461436242</v>
      </c>
      <c r="C21" s="2">
        <v>9271937.4786054809</v>
      </c>
      <c r="D21" s="27">
        <v>14.465370316926856</v>
      </c>
      <c r="E21" s="28">
        <v>3.5574920667565237</v>
      </c>
      <c r="F21" s="160">
        <v>5.1350000853842772</v>
      </c>
      <c r="G21" s="153"/>
      <c r="H21" s="153"/>
    </row>
    <row r="22" spans="1:8" x14ac:dyDescent="0.25">
      <c r="A22" s="157">
        <v>2023</v>
      </c>
      <c r="B22" s="158">
        <v>77499867.642644659</v>
      </c>
      <c r="C22" s="2">
        <v>9626408.3565049637</v>
      </c>
      <c r="D22" s="27">
        <v>12.421193286281159</v>
      </c>
      <c r="E22" s="28">
        <v>1.3201658708103423</v>
      </c>
      <c r="F22" s="160">
        <v>-1.470268830277476</v>
      </c>
      <c r="G22" s="153"/>
      <c r="H22" s="153"/>
    </row>
    <row r="23" spans="1:8" x14ac:dyDescent="0.25">
      <c r="A23" s="157">
        <v>2024</v>
      </c>
      <c r="B23" s="158">
        <v>104011087.80858113</v>
      </c>
      <c r="C23" s="158">
        <v>11048842.441862037</v>
      </c>
      <c r="D23" s="27">
        <v>10.622754433831126</v>
      </c>
      <c r="E23" s="28">
        <v>4.9526786042598729</v>
      </c>
      <c r="F23" s="160">
        <v>2.8318303246477114</v>
      </c>
      <c r="G23" s="153"/>
      <c r="H23" s="153"/>
    </row>
    <row r="24" spans="1:8" x14ac:dyDescent="0.25">
      <c r="A24" s="149" t="s">
        <v>23</v>
      </c>
    </row>
    <row r="25" spans="1:8" x14ac:dyDescent="0.25">
      <c r="A25" s="98"/>
      <c r="E25" s="161"/>
      <c r="F25" s="161"/>
      <c r="G25" s="161"/>
      <c r="H25" s="161"/>
    </row>
    <row r="26" spans="1:8" x14ac:dyDescent="0.25">
      <c r="E26" s="161"/>
      <c r="F26" s="161"/>
      <c r="G26" s="161"/>
      <c r="H26" s="161"/>
    </row>
    <row r="27" spans="1:8" x14ac:dyDescent="0.25">
      <c r="E27" s="161"/>
      <c r="F27" s="161"/>
      <c r="G27" s="161"/>
      <c r="H27" s="161"/>
    </row>
    <row r="28" spans="1:8" x14ac:dyDescent="0.25">
      <c r="E28" s="161"/>
      <c r="F28" s="161"/>
      <c r="G28" s="161"/>
      <c r="H28" s="161"/>
    </row>
    <row r="29" spans="1:8" x14ac:dyDescent="0.25">
      <c r="E29" s="161"/>
      <c r="F29" s="161"/>
      <c r="G29" s="161"/>
      <c r="H29" s="161"/>
    </row>
    <row r="30" spans="1:8" x14ac:dyDescent="0.25">
      <c r="E30" s="161"/>
      <c r="F30" s="161"/>
      <c r="G30" s="161"/>
      <c r="H30" s="161"/>
    </row>
  </sheetData>
  <mergeCells count="5">
    <mergeCell ref="A1:F1"/>
    <mergeCell ref="A3:A4"/>
    <mergeCell ref="B3:C3"/>
    <mergeCell ref="D3:D4"/>
    <mergeCell ref="E3:F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X35"/>
  <sheetViews>
    <sheetView showGridLines="0" tabSelected="1" workbookViewId="0">
      <selection activeCell="O39" sqref="O39"/>
    </sheetView>
  </sheetViews>
  <sheetFormatPr defaultColWidth="8.85546875" defaultRowHeight="12" x14ac:dyDescent="0.2"/>
  <cols>
    <col min="1" max="1" width="46.5703125" style="41" customWidth="1"/>
    <col min="2" max="24" width="8.28515625" style="41" customWidth="1"/>
    <col min="25" max="16384" width="8.85546875" style="41"/>
  </cols>
  <sheetData>
    <row r="1" spans="1:24" x14ac:dyDescent="0.2">
      <c r="A1" s="80"/>
      <c r="B1" s="80"/>
      <c r="C1" s="80"/>
      <c r="D1" s="80"/>
      <c r="E1" s="80"/>
      <c r="F1" s="80"/>
      <c r="G1" s="80"/>
      <c r="H1" s="80"/>
    </row>
    <row r="2" spans="1:24" x14ac:dyDescent="0.2">
      <c r="A2" s="266" t="s">
        <v>216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</row>
    <row r="3" spans="1:24" x14ac:dyDescent="0.2">
      <c r="A3" s="276" t="s">
        <v>100</v>
      </c>
      <c r="B3" s="162"/>
      <c r="C3" s="162"/>
      <c r="D3" s="162"/>
      <c r="E3" s="162"/>
      <c r="F3" s="162"/>
      <c r="G3" s="162"/>
      <c r="H3" s="162"/>
      <c r="I3" s="277"/>
      <c r="J3" s="277"/>
      <c r="K3" s="277"/>
      <c r="L3" s="277"/>
      <c r="M3" s="277"/>
      <c r="N3" s="277"/>
      <c r="O3" s="277"/>
      <c r="P3" s="277"/>
      <c r="Q3" s="277"/>
    </row>
    <row r="4" spans="1:24" x14ac:dyDescent="0.2">
      <c r="A4" s="276"/>
      <c r="B4" s="163">
        <v>2002</v>
      </c>
      <c r="C4" s="163">
        <v>2003</v>
      </c>
      <c r="D4" s="163">
        <v>2004</v>
      </c>
      <c r="E4" s="163">
        <v>2005</v>
      </c>
      <c r="F4" s="163">
        <v>2006</v>
      </c>
      <c r="G4" s="163">
        <v>2007</v>
      </c>
      <c r="H4" s="163">
        <v>2008</v>
      </c>
      <c r="I4" s="163">
        <v>2009</v>
      </c>
      <c r="J4" s="163">
        <v>2010</v>
      </c>
      <c r="K4" s="163">
        <v>2011</v>
      </c>
      <c r="L4" s="163">
        <v>2012</v>
      </c>
      <c r="M4" s="163">
        <v>2013</v>
      </c>
      <c r="N4" s="163">
        <v>2014</v>
      </c>
      <c r="O4" s="163">
        <v>2015</v>
      </c>
      <c r="P4" s="163">
        <v>2016</v>
      </c>
      <c r="Q4" s="163">
        <v>2017</v>
      </c>
      <c r="R4" s="163">
        <v>2018</v>
      </c>
      <c r="S4" s="163">
        <v>2019</v>
      </c>
      <c r="T4" s="163">
        <v>2020</v>
      </c>
      <c r="U4" s="163">
        <v>2021</v>
      </c>
      <c r="V4" s="163">
        <v>2022</v>
      </c>
      <c r="W4" s="163">
        <v>2023</v>
      </c>
      <c r="X4" s="163">
        <v>2024</v>
      </c>
    </row>
    <row r="5" spans="1:24" x14ac:dyDescent="0.2">
      <c r="A5" s="164" t="s">
        <v>101</v>
      </c>
      <c r="B5" s="165">
        <v>0</v>
      </c>
      <c r="C5" s="165">
        <v>3.4873124009752399</v>
      </c>
      <c r="D5" s="165">
        <v>11.419863390458463</v>
      </c>
      <c r="E5" s="165">
        <v>14.154777534395468</v>
      </c>
      <c r="F5" s="165">
        <v>11.84181787570424</v>
      </c>
      <c r="G5" s="165">
        <v>13.002688945797502</v>
      </c>
      <c r="H5" s="165">
        <v>10.786636049658171</v>
      </c>
      <c r="I5" s="165">
        <v>1.9955890978895052</v>
      </c>
      <c r="J5" s="165">
        <v>5.2936657282000477</v>
      </c>
      <c r="K5" s="165">
        <v>3.5938696024016004</v>
      </c>
      <c r="L5" s="165">
        <v>8.5031228386666324</v>
      </c>
      <c r="M5" s="165">
        <v>4.8830612968838949</v>
      </c>
      <c r="N5" s="165">
        <v>4.6557235631554894</v>
      </c>
      <c r="O5" s="165">
        <v>0.76317771091500841</v>
      </c>
      <c r="P5" s="165">
        <v>-0.2330769548052336</v>
      </c>
      <c r="Q5" s="165">
        <v>-0.16468865696143142</v>
      </c>
      <c r="R5" s="165">
        <v>-0.50669754361616359</v>
      </c>
      <c r="S5" s="165">
        <v>-1.0552341449429403</v>
      </c>
      <c r="T5" s="165">
        <v>-5.2734912830002649</v>
      </c>
      <c r="U5" s="165">
        <v>1.0905836994481222</v>
      </c>
      <c r="V5" s="165">
        <v>3.5574920667564847</v>
      </c>
      <c r="W5" s="165">
        <v>1.3201658708103636</v>
      </c>
      <c r="X5" s="165">
        <v>4.9526786042599413</v>
      </c>
    </row>
    <row r="6" spans="1:24" x14ac:dyDescent="0.2">
      <c r="A6" s="164" t="s">
        <v>102</v>
      </c>
      <c r="B6" s="166">
        <v>23.448352542549067</v>
      </c>
      <c r="C6" s="166">
        <v>23.789930831379554</v>
      </c>
      <c r="D6" s="166">
        <v>22.177626738294393</v>
      </c>
      <c r="E6" s="166">
        <v>19.200557160730884</v>
      </c>
      <c r="F6" s="166">
        <v>19.536291541185651</v>
      </c>
      <c r="G6" s="166">
        <v>20.354608739027537</v>
      </c>
      <c r="H6" s="166">
        <v>21.517919676973474</v>
      </c>
      <c r="I6" s="166">
        <v>29.214813861925563</v>
      </c>
      <c r="J6" s="166">
        <v>24.509986202168129</v>
      </c>
      <c r="K6" s="166">
        <v>24.01684787535228</v>
      </c>
      <c r="L6" s="166">
        <v>23.814020221767024</v>
      </c>
      <c r="M6" s="166">
        <v>23.196636006868886</v>
      </c>
      <c r="N6" s="166">
        <v>22.27598772802877</v>
      </c>
      <c r="O6" s="166">
        <v>26.482514508370762</v>
      </c>
      <c r="P6" s="166">
        <v>24.400485122569382</v>
      </c>
      <c r="Q6" s="166">
        <v>24.34168429471433</v>
      </c>
      <c r="R6" s="166">
        <v>24.866664300468607</v>
      </c>
      <c r="S6" s="166">
        <v>24.86556696395343</v>
      </c>
      <c r="T6" s="166">
        <v>23.600156308769058</v>
      </c>
      <c r="U6" s="166">
        <v>24.092530507873615</v>
      </c>
      <c r="V6" s="166">
        <v>23.477846761615851</v>
      </c>
      <c r="W6" s="166">
        <v>21.985549224392592</v>
      </c>
      <c r="X6" s="166">
        <v>19.069516680646647</v>
      </c>
    </row>
    <row r="7" spans="1:24" x14ac:dyDescent="0.2">
      <c r="A7" s="167" t="s">
        <v>103</v>
      </c>
      <c r="B7" s="166">
        <v>75.297049217527317</v>
      </c>
      <c r="C7" s="166">
        <v>75.741382116989627</v>
      </c>
      <c r="D7" s="166">
        <v>78.056913552630334</v>
      </c>
      <c r="E7" s="166">
        <v>80.804791921914642</v>
      </c>
      <c r="F7" s="166">
        <v>80.032025997023453</v>
      </c>
      <c r="G7" s="166">
        <v>79.815531122251784</v>
      </c>
      <c r="H7" s="166">
        <v>76.371781954038951</v>
      </c>
      <c r="I7" s="166">
        <v>68.276173810707874</v>
      </c>
      <c r="J7" s="166">
        <v>74.223938204018495</v>
      </c>
      <c r="K7" s="166">
        <v>75.301844590076882</v>
      </c>
      <c r="L7" s="166">
        <v>76.964346934045807</v>
      </c>
      <c r="M7" s="166">
        <v>77.795689810033622</v>
      </c>
      <c r="N7" s="166">
        <v>79.154545742537991</v>
      </c>
      <c r="O7" s="166">
        <v>71.295258102890429</v>
      </c>
      <c r="P7" s="166">
        <v>73.402043006904179</v>
      </c>
      <c r="Q7" s="166">
        <v>73.003573945266439</v>
      </c>
      <c r="R7" s="166">
        <v>72.196513526167209</v>
      </c>
      <c r="S7" s="166">
        <v>72.650932886084931</v>
      </c>
      <c r="T7" s="166">
        <v>72.60960679445121</v>
      </c>
      <c r="U7" s="166">
        <v>72.530804154524859</v>
      </c>
      <c r="V7" s="166">
        <v>73.396571979539829</v>
      </c>
      <c r="W7" s="166">
        <v>75.235558251549904</v>
      </c>
      <c r="X7" s="166">
        <v>78.459063591363673</v>
      </c>
    </row>
    <row r="8" spans="1:24" x14ac:dyDescent="0.2">
      <c r="A8" s="164" t="s">
        <v>104</v>
      </c>
      <c r="B8" s="168">
        <v>28.903688695215607</v>
      </c>
      <c r="C8" s="168">
        <v>26.28192573270023</v>
      </c>
      <c r="D8" s="168">
        <v>35.241815155053523</v>
      </c>
      <c r="E8" s="168">
        <v>40.437214363799207</v>
      </c>
      <c r="F8" s="168">
        <v>42.353896188335405</v>
      </c>
      <c r="G8" s="168">
        <v>41.35968328689075</v>
      </c>
      <c r="H8" s="168">
        <v>38.330068943146777</v>
      </c>
      <c r="I8" s="168">
        <v>32.815150099136552</v>
      </c>
      <c r="J8" s="168">
        <v>37.625853276085941</v>
      </c>
      <c r="K8" s="168">
        <v>37.773662875712397</v>
      </c>
      <c r="L8" s="168">
        <v>37.602653667861851</v>
      </c>
      <c r="M8" s="168">
        <v>32.290034722876307</v>
      </c>
      <c r="N8" s="168">
        <v>26.593954229231208</v>
      </c>
      <c r="O8" s="168">
        <v>21.308233496512528</v>
      </c>
      <c r="P8" s="168">
        <v>27.043220927291028</v>
      </c>
      <c r="Q8" s="168">
        <v>28.310068429912118</v>
      </c>
      <c r="R8" s="168">
        <v>30.346271752614296</v>
      </c>
      <c r="S8" s="168">
        <v>29.932021996762586</v>
      </c>
      <c r="T8" s="168">
        <v>21.076618236979495</v>
      </c>
      <c r="U8" s="168">
        <v>26.245741329376848</v>
      </c>
      <c r="V8" s="168">
        <v>22.958375114403466</v>
      </c>
      <c r="W8" s="168">
        <v>16.149433560931321</v>
      </c>
      <c r="X8" s="168">
        <v>15.883687903617682</v>
      </c>
    </row>
    <row r="9" spans="1:24" x14ac:dyDescent="0.2">
      <c r="A9" s="164" t="s">
        <v>105</v>
      </c>
      <c r="B9" s="168">
        <v>31.865502450752096</v>
      </c>
      <c r="C9" s="168">
        <v>28.559002172391914</v>
      </c>
      <c r="D9" s="168">
        <v>38.797118913459812</v>
      </c>
      <c r="E9" s="168">
        <v>44.771971064708524</v>
      </c>
      <c r="F9" s="168">
        <v>47.512146649672147</v>
      </c>
      <c r="G9" s="168">
        <v>46.319596733650634</v>
      </c>
      <c r="H9" s="168">
        <v>44.620824810042883</v>
      </c>
      <c r="I9" s="168">
        <v>35.994589015551028</v>
      </c>
      <c r="J9" s="168">
        <v>41.31483354660643</v>
      </c>
      <c r="K9" s="168">
        <v>41.416992806988432</v>
      </c>
      <c r="L9" s="168">
        <v>41.08706282494127</v>
      </c>
      <c r="M9" s="168">
        <v>35.02878432432879</v>
      </c>
      <c r="N9" s="168">
        <v>28.512269719290778</v>
      </c>
      <c r="O9" s="168">
        <v>22.457817425026604</v>
      </c>
      <c r="P9" s="168">
        <v>28.441945565646247</v>
      </c>
      <c r="Q9" s="168">
        <v>29.99560752155454</v>
      </c>
      <c r="R9" s="168">
        <v>32.635563826828779</v>
      </c>
      <c r="S9" s="168">
        <v>32.581907414034951</v>
      </c>
      <c r="T9" s="168">
        <v>22.795463499323205</v>
      </c>
      <c r="U9" s="168">
        <v>28.421627086279926</v>
      </c>
      <c r="V9" s="168">
        <v>24.69618975339186</v>
      </c>
      <c r="W9" s="168">
        <v>17.557771209070612</v>
      </c>
      <c r="X9" s="168">
        <v>17.017778332903422</v>
      </c>
    </row>
    <row r="10" spans="1:24" x14ac:dyDescent="0.2">
      <c r="A10" s="164" t="s">
        <v>106</v>
      </c>
      <c r="B10" s="168">
        <v>92.432968098383824</v>
      </c>
      <c r="C10" s="168">
        <v>86.612702660687447</v>
      </c>
      <c r="D10" s="168">
        <v>113.02506609522524</v>
      </c>
      <c r="E10" s="168">
        <v>139.51084700505351</v>
      </c>
      <c r="F10" s="168">
        <v>185.04261486514727</v>
      </c>
      <c r="G10" s="168">
        <v>157.55844072163927</v>
      </c>
      <c r="H10" s="168">
        <v>125.33924382494565</v>
      </c>
      <c r="I10" s="168">
        <v>76.313597736201046</v>
      </c>
      <c r="J10" s="168">
        <v>130.10569293156982</v>
      </c>
      <c r="K10" s="168">
        <v>137.64988657211234</v>
      </c>
      <c r="L10" s="168">
        <v>135.31546464063925</v>
      </c>
      <c r="M10" s="168">
        <v>118.89065646788785</v>
      </c>
      <c r="N10" s="168">
        <v>93.532800554344249</v>
      </c>
      <c r="O10" s="168">
        <v>4.7396266165934335</v>
      </c>
      <c r="P10" s="168">
        <v>91.25492019148011</v>
      </c>
      <c r="Q10" s="168">
        <v>98.621755449503794</v>
      </c>
      <c r="R10" s="168">
        <v>127.00312760162082</v>
      </c>
      <c r="S10" s="168">
        <v>122.41456920056859</v>
      </c>
      <c r="T10" s="168">
        <v>107.17465071684369</v>
      </c>
      <c r="U10" s="168">
        <v>161.81676667035376</v>
      </c>
      <c r="V10" s="168">
        <v>158.71266764279372</v>
      </c>
      <c r="W10" s="168">
        <v>130.01515384812416</v>
      </c>
      <c r="X10" s="168">
        <v>149.52513495964519</v>
      </c>
    </row>
    <row r="11" spans="1:24" x14ac:dyDescent="0.2">
      <c r="A11" s="164" t="s">
        <v>107</v>
      </c>
      <c r="B11" s="168">
        <v>31.269891349211122</v>
      </c>
      <c r="C11" s="168">
        <v>30.344193086390437</v>
      </c>
      <c r="D11" s="168">
        <v>31.180530454511562</v>
      </c>
      <c r="E11" s="168">
        <v>28.984996673652525</v>
      </c>
      <c r="F11" s="168">
        <v>22.888725507473765</v>
      </c>
      <c r="G11" s="168">
        <v>26.250376112798346</v>
      </c>
      <c r="H11" s="168">
        <v>30.58105966929261</v>
      </c>
      <c r="I11" s="168">
        <v>43.000397140980233</v>
      </c>
      <c r="J11" s="168">
        <v>28.919451891990288</v>
      </c>
      <c r="K11" s="168">
        <v>27.441840902588353</v>
      </c>
      <c r="L11" s="168">
        <v>27.788881165744193</v>
      </c>
      <c r="M11" s="168">
        <v>27.159438497673527</v>
      </c>
      <c r="N11" s="168">
        <v>28.43275735529766</v>
      </c>
      <c r="O11" s="168">
        <v>29.07212075271557</v>
      </c>
      <c r="P11" s="168">
        <v>29.634808589549209</v>
      </c>
      <c r="Q11" s="168">
        <v>28.705703220226514</v>
      </c>
      <c r="R11" s="168">
        <v>23.894113732225144</v>
      </c>
      <c r="S11" s="168">
        <v>24.451355906600334</v>
      </c>
      <c r="T11" s="168">
        <v>19.665674761715902</v>
      </c>
      <c r="U11" s="168">
        <v>16.219420193238417</v>
      </c>
      <c r="V11" s="168">
        <v>14.465370316926856</v>
      </c>
      <c r="W11" s="168">
        <v>12.421193286281165</v>
      </c>
      <c r="X11" s="168">
        <v>10.622754433831124</v>
      </c>
    </row>
    <row r="12" spans="1:24" x14ac:dyDescent="0.2">
      <c r="A12" s="164" t="s">
        <v>108</v>
      </c>
      <c r="B12" s="168">
        <v>-0.87047821556944738</v>
      </c>
      <c r="C12" s="168">
        <v>-3.4174502377004576</v>
      </c>
      <c r="D12" s="168">
        <v>2.5778211830200468</v>
      </c>
      <c r="E12" s="168">
        <v>12.442018122078958</v>
      </c>
      <c r="F12" s="168">
        <v>18.227824647038211</v>
      </c>
      <c r="G12" s="168">
        <v>14.497185967504272</v>
      </c>
      <c r="H12" s="168">
        <v>7.294080210241721</v>
      </c>
      <c r="I12" s="168">
        <v>-9.2924300050420872</v>
      </c>
      <c r="J12" s="168">
        <v>7.8629987130400663</v>
      </c>
      <c r="K12" s="168">
        <v>10.409237602340534</v>
      </c>
      <c r="L12" s="168">
        <v>9.6367835637441672</v>
      </c>
      <c r="M12" s="168">
        <v>5.2966732972679678</v>
      </c>
      <c r="N12" s="168">
        <v>-2.2785245692213811</v>
      </c>
      <c r="O12" s="168">
        <v>-7.7956108140349452</v>
      </c>
      <c r="P12" s="168">
        <v>-2.6483452799801888</v>
      </c>
      <c r="Q12" s="168">
        <v>-0.44411152087594186</v>
      </c>
      <c r="R12" s="168">
        <v>6.4141494487643129</v>
      </c>
      <c r="S12" s="168">
        <v>5.3980091567327335</v>
      </c>
      <c r="T12" s="168">
        <v>1.3202121089977032</v>
      </c>
      <c r="U12" s="168">
        <v>10.002433938002968</v>
      </c>
      <c r="V12" s="168">
        <v>8.4505816546678538</v>
      </c>
      <c r="W12" s="168">
        <v>3.7084327890376079</v>
      </c>
      <c r="X12" s="168">
        <v>5.1547460596224042</v>
      </c>
    </row>
    <row r="13" spans="1:24" x14ac:dyDescent="0.2">
      <c r="A13" s="278" t="s">
        <v>23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</row>
    <row r="14" spans="1:24" x14ac:dyDescent="0.2">
      <c r="A14" s="101"/>
    </row>
    <row r="21" spans="2:24" x14ac:dyDescent="0.2">
      <c r="R21" s="169"/>
      <c r="S21" s="169"/>
      <c r="T21" s="169"/>
      <c r="U21" s="170"/>
    </row>
    <row r="22" spans="2:24" x14ac:dyDescent="0.2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69"/>
      <c r="S22" s="169"/>
      <c r="T22" s="169"/>
      <c r="U22" s="170"/>
    </row>
    <row r="23" spans="2:24" x14ac:dyDescent="0.2">
      <c r="R23" s="169"/>
      <c r="S23" s="171"/>
      <c r="T23" s="171"/>
      <c r="U23" s="172"/>
    </row>
    <row r="25" spans="2:24" x14ac:dyDescent="0.2"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79"/>
    </row>
    <row r="26" spans="2:24" x14ac:dyDescent="0.2"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</row>
    <row r="27" spans="2:24" x14ac:dyDescent="0.2">
      <c r="B27" s="279"/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</row>
    <row r="28" spans="2:24" x14ac:dyDescent="0.2"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</row>
    <row r="29" spans="2:24" x14ac:dyDescent="0.2"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</row>
    <row r="30" spans="2:24" x14ac:dyDescent="0.2"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</row>
    <row r="31" spans="2:24" x14ac:dyDescent="0.2">
      <c r="B31" s="279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</row>
    <row r="32" spans="2:24" x14ac:dyDescent="0.2">
      <c r="B32" s="279"/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</row>
    <row r="33" spans="24:24" x14ac:dyDescent="0.2">
      <c r="X33" s="279"/>
    </row>
    <row r="34" spans="24:24" x14ac:dyDescent="0.2">
      <c r="X34" s="279"/>
    </row>
    <row r="35" spans="24:24" x14ac:dyDescent="0.2">
      <c r="X35" s="279"/>
    </row>
  </sheetData>
  <mergeCells count="4">
    <mergeCell ref="A2:L2"/>
    <mergeCell ref="A3:A4"/>
    <mergeCell ref="I3:Q3"/>
    <mergeCell ref="A13:L1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15</vt:i4>
      </vt:variant>
    </vt:vector>
  </HeadingPairs>
  <TitlesOfParts>
    <vt:vector size="33" baseType="lpstr">
      <vt:lpstr>Folha1</vt:lpstr>
      <vt:lpstr>Q1.1</vt:lpstr>
      <vt:lpstr>Q1.2</vt:lpstr>
      <vt:lpstr>Q1.3</vt:lpstr>
      <vt:lpstr>Q1.4</vt:lpstr>
      <vt:lpstr>Q1.5</vt:lpstr>
      <vt:lpstr>Q1.6</vt:lpstr>
      <vt:lpstr>Q2.1</vt:lpstr>
      <vt:lpstr>Q2.2</vt:lpstr>
      <vt:lpstr>Q2.3</vt:lpstr>
      <vt:lpstr>Q 3.1</vt:lpstr>
      <vt:lpstr>Q 3.2</vt:lpstr>
      <vt:lpstr>Q 3.3</vt:lpstr>
      <vt:lpstr>Q 3.4</vt:lpstr>
      <vt:lpstr>Q4.1</vt:lpstr>
      <vt:lpstr>Q4.2</vt:lpstr>
      <vt:lpstr>Q4.3</vt:lpstr>
      <vt:lpstr>Q5.1</vt:lpstr>
      <vt:lpstr>'Q 3.1'!Area_de_impressao</vt:lpstr>
      <vt:lpstr>'Q 3.2'!Area_de_impressao</vt:lpstr>
      <vt:lpstr>'Q 3.3'!Area_de_impressao</vt:lpstr>
      <vt:lpstr>'Q 3.4'!Area_de_impressao</vt:lpstr>
      <vt:lpstr>Q1.1!Area_de_impressao</vt:lpstr>
      <vt:lpstr>Q1.2!Area_de_impressao</vt:lpstr>
      <vt:lpstr>Q1.3!Area_de_impressao</vt:lpstr>
      <vt:lpstr>Q1.4!Area_de_impressao</vt:lpstr>
      <vt:lpstr>Q1.5!Area_de_impressao</vt:lpstr>
      <vt:lpstr>Q1.6!Area_de_impressao</vt:lpstr>
      <vt:lpstr>Q2.1!Area_de_impressao</vt:lpstr>
      <vt:lpstr>Q4.1!Area_de_impressao</vt:lpstr>
      <vt:lpstr>Q4.2!Area_de_impressao</vt:lpstr>
      <vt:lpstr>Q4.3!Area_de_impressao</vt:lpstr>
      <vt:lpstr>Q5.1!Area_de_impressao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2026-03-24T12:59:43Z</dcterms:modified>
</cp:coreProperties>
</file>