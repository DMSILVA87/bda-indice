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ernando\AppData\Local\Microsoft\Windows\INetCache\Content.Outlook\2B3EDUWV\"/>
    </mc:Choice>
  </mc:AlternateContent>
  <xr:revisionPtr revIDLastSave="0" documentId="8_{4F3B596E-6751-439F-B1F1-1E12D515F2BE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Numero_Licenças de Construção" sheetId="12" r:id="rId1"/>
    <sheet name="Tipos de Licencas de Construção" sheetId="17" r:id="rId2"/>
    <sheet name="Area_Bruta_Província" sheetId="18" r:id="rId3"/>
    <sheet name="Area_Bruta_Destino" sheetId="19" r:id="rId4"/>
    <sheet name="Area_Bruta_Titular_Licença" sheetId="20" r:id="rId5"/>
  </sheets>
  <definedNames>
    <definedName name="_xlnm._FilterDatabase" localSheetId="0" hidden="1">'Numero_Licenças de Construção'!#REF!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0" l="1"/>
  <c r="G10" i="20"/>
  <c r="F10" i="20"/>
  <c r="E10" i="20"/>
  <c r="D10" i="20"/>
  <c r="C10" i="20"/>
  <c r="B10" i="20"/>
  <c r="H29" i="19"/>
  <c r="G29" i="19"/>
  <c r="F29" i="19"/>
  <c r="E29" i="19"/>
  <c r="D29" i="19"/>
  <c r="C29" i="19"/>
  <c r="B29" i="19"/>
  <c r="H14" i="19"/>
  <c r="G14" i="19"/>
  <c r="F14" i="19"/>
  <c r="H22" i="18"/>
  <c r="G22" i="18"/>
  <c r="F22" i="18"/>
  <c r="G35" i="17" l="1"/>
  <c r="H35" i="17"/>
  <c r="F35" i="17"/>
  <c r="H19" i="17"/>
  <c r="G19" i="17"/>
  <c r="H7" i="17"/>
  <c r="G7" i="17"/>
  <c r="I46" i="12"/>
  <c r="J46" i="12"/>
  <c r="I22" i="12"/>
  <c r="J22" i="12"/>
  <c r="E46" i="12" l="1"/>
  <c r="F46" i="12"/>
  <c r="G46" i="12"/>
  <c r="H46" i="12"/>
  <c r="D46" i="12"/>
  <c r="E22" i="12"/>
  <c r="F22" i="12"/>
  <c r="G22" i="12"/>
  <c r="H22" i="12"/>
  <c r="D22" i="12"/>
</calcChain>
</file>

<file path=xl/sharedStrings.xml><?xml version="1.0" encoding="utf-8"?>
<sst xmlns="http://schemas.openxmlformats.org/spreadsheetml/2006/main" count="132" uniqueCount="57">
  <si>
    <t>Destino da Obra</t>
  </si>
  <si>
    <t>Bengo</t>
  </si>
  <si>
    <t>Empresa Privada</t>
  </si>
  <si>
    <t>Cooperativas de Habitação</t>
  </si>
  <si>
    <t>Instituições sem Fins Lucrativos</t>
  </si>
  <si>
    <t>Benguela</t>
  </si>
  <si>
    <t>Cabinda</t>
  </si>
  <si>
    <t>Huambo</t>
  </si>
  <si>
    <t>Huíla</t>
  </si>
  <si>
    <t>Cuando Cubango</t>
  </si>
  <si>
    <t>Luanda</t>
  </si>
  <si>
    <t>Lunda Norte</t>
  </si>
  <si>
    <t>Malanje</t>
  </si>
  <si>
    <t>Namibe</t>
  </si>
  <si>
    <t>Uíge</t>
  </si>
  <si>
    <t>Total</t>
  </si>
  <si>
    <t>Zaire</t>
  </si>
  <si>
    <t>Cuanza Norte</t>
  </si>
  <si>
    <t>Cuanza Sul</t>
  </si>
  <si>
    <t>Bié</t>
  </si>
  <si>
    <t>Igrejas</t>
  </si>
  <si>
    <t>Escolas ou Colégios privados</t>
  </si>
  <si>
    <t>Indústria</t>
  </si>
  <si>
    <t>Cunene</t>
  </si>
  <si>
    <t>Moxico</t>
  </si>
  <si>
    <t>Escritórios público e privado</t>
  </si>
  <si>
    <t>Hotéis e Restaurantes</t>
  </si>
  <si>
    <t>Lunda Sul</t>
  </si>
  <si>
    <t>Hospitais ou clínicas</t>
  </si>
  <si>
    <t>Outros (parques de estacionamento ou garagens)</t>
  </si>
  <si>
    <t>Pessoas Singular</t>
  </si>
  <si>
    <t>Província</t>
  </si>
  <si>
    <t>Habitação*</t>
  </si>
  <si>
    <t>Comércio**</t>
  </si>
  <si>
    <t>Alteração</t>
  </si>
  <si>
    <t>Renovação</t>
  </si>
  <si>
    <t>Empresa de Serviços Públicos</t>
  </si>
  <si>
    <t>Governo*</t>
  </si>
  <si>
    <t xml:space="preserve">Nova </t>
  </si>
  <si>
    <t>Licenças</t>
  </si>
  <si>
    <t xml:space="preserve"> Classifcação do Titular</t>
  </si>
  <si>
    <t>Quadro 1 - Número de Licenças  por ano, segundo a província</t>
  </si>
  <si>
    <t>Quadro 2 - Distribuição (%) das Licenças por ano, segundo a Província</t>
  </si>
  <si>
    <t>Quadro 3 - Número de Licenças aprovada por ano, segundo oTipo</t>
  </si>
  <si>
    <t>Fonte: INE, Inquérito às Licenças Aprovadas de Construção de Edifícios 2022</t>
  </si>
  <si>
    <t>Fonte: INE/Departamento de Estatísticas Económicas e Financeiras</t>
  </si>
  <si>
    <t>Quadro 4 - Número de Licenças por ano, segundo a Classifcação do Titular</t>
  </si>
  <si>
    <t>Quadro 5 - Número de  licenças por ano, segundo o Destino de obra</t>
  </si>
  <si>
    <t>Quadro - Área bruta das Licenças para construção em metros quadrados</t>
  </si>
  <si>
    <t>Quadro 1 - Área Bruta Total da Construção por Destino</t>
  </si>
  <si>
    <t>Habitação</t>
  </si>
  <si>
    <t>Comércio</t>
  </si>
  <si>
    <t>Quadro 2 - Distribuição da área Bruta Total da Construção por Destino</t>
  </si>
  <si>
    <t>Habitação familiar</t>
  </si>
  <si>
    <t>Quadro - Área Bruta  da Construção por Titular da Licença</t>
  </si>
  <si>
    <t>Titular da Licença</t>
  </si>
  <si>
    <t>Governo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</si>
</sst>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.00\ _K_z_-;\-* #,##0.00\ _K_z_-;_-* &quot;-&quot;??\ _K_z_-;_-@_-"/>
    <numFmt numFmtId="166" formatCode="_-* #,##0\ _€_-;\-* #,##0\ _€_-;_-* &quot;-&quot;??\ _€_-;_-@_-"/>
    <numFmt numFmtId="167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8"/>
      <color theme="1"/>
      <name val="Calibre"/>
    </font>
    <font>
      <b/>
      <sz val="8"/>
      <color theme="1"/>
      <name val="Calibre"/>
    </font>
    <font>
      <b/>
      <sz val="8"/>
      <color rgb="FF000000"/>
      <name val="Calibre"/>
    </font>
    <font>
      <sz val="8"/>
      <color rgb="FF000000"/>
      <name val="Calibr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F9B279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7" fontId="9" fillId="0" borderId="0" xfId="3" applyNumberFormat="1" applyFont="1" applyFill="1" applyBorder="1"/>
    <xf numFmtId="2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vertical="center" wrapText="1"/>
    </xf>
    <xf numFmtId="166" fontId="6" fillId="0" borderId="0" xfId="1" applyNumberFormat="1" applyFont="1" applyFill="1" applyBorder="1" applyAlignment="1">
      <alignment vertical="center"/>
    </xf>
    <xf numFmtId="166" fontId="7" fillId="0" borderId="0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9" fillId="0" borderId="0" xfId="1" applyFont="1" applyFill="1" applyBorder="1"/>
    <xf numFmtId="164" fontId="3" fillId="0" borderId="0" xfId="1" applyFont="1" applyFill="1" applyBorder="1"/>
    <xf numFmtId="0" fontId="8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3" applyNumberFormat="1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64" fontId="10" fillId="0" borderId="1" xfId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164" fontId="11" fillId="0" borderId="0" xfId="1" applyFont="1" applyFill="1" applyBorder="1" applyAlignment="1">
      <alignment vertical="center"/>
    </xf>
    <xf numFmtId="164" fontId="11" fillId="0" borderId="0" xfId="1" applyFont="1" applyFill="1" applyBorder="1" applyAlignment="1">
      <alignment horizontal="center" vertical="center"/>
    </xf>
    <xf numFmtId="164" fontId="9" fillId="0" borderId="0" xfId="1" applyFont="1" applyFill="1" applyBorder="1" applyAlignment="1">
      <alignment horizontal="center" vertical="center"/>
    </xf>
    <xf numFmtId="164" fontId="11" fillId="0" borderId="3" xfId="1" applyFont="1" applyFill="1" applyBorder="1" applyAlignment="1">
      <alignment vertical="center"/>
    </xf>
    <xf numFmtId="164" fontId="11" fillId="0" borderId="3" xfId="1" applyFont="1" applyFill="1" applyBorder="1" applyAlignment="1">
      <alignment horizontal="center" vertical="center"/>
    </xf>
    <xf numFmtId="164" fontId="10" fillId="0" borderId="3" xfId="1" applyFont="1" applyFill="1" applyBorder="1" applyAlignment="1">
      <alignment vertical="center"/>
    </xf>
    <xf numFmtId="164" fontId="10" fillId="0" borderId="3" xfId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164" fontId="17" fillId="0" borderId="0" xfId="1" applyFont="1" applyFill="1" applyBorder="1" applyAlignment="1">
      <alignment horizontal="center" vertical="center"/>
    </xf>
    <xf numFmtId="164" fontId="14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164" fontId="16" fillId="0" borderId="1" xfId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164" fontId="17" fillId="0" borderId="0" xfId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/>
    </xf>
    <xf numFmtId="164" fontId="17" fillId="0" borderId="3" xfId="1" applyFont="1" applyFill="1" applyBorder="1" applyAlignment="1">
      <alignment horizontal="center" vertical="center"/>
    </xf>
    <xf numFmtId="164" fontId="17" fillId="0" borderId="3" xfId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164" fontId="16" fillId="0" borderId="3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Porcentagem" xfId="3" builtinId="5"/>
    <cellStyle name="Vírgula" xfId="1" builtinId="3"/>
    <cellStyle name="Vírgula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47"/>
  <sheetViews>
    <sheetView showGridLines="0" zoomScaleNormal="100" workbookViewId="0">
      <selection activeCell="O35" sqref="O35"/>
    </sheetView>
  </sheetViews>
  <sheetFormatPr defaultColWidth="9.140625" defaultRowHeight="18" customHeight="1"/>
  <cols>
    <col min="1" max="2" width="2.42578125" style="16" customWidth="1"/>
    <col min="3" max="3" width="14.7109375" style="16" customWidth="1"/>
    <col min="4" max="8" width="8.42578125" style="16" customWidth="1"/>
    <col min="9" max="9" width="5.7109375" style="17" customWidth="1"/>
    <col min="10" max="16384" width="9.140625" style="16"/>
  </cols>
  <sheetData>
    <row r="2" spans="3:10" ht="18" customHeight="1">
      <c r="C2" s="18" t="s">
        <v>41</v>
      </c>
      <c r="I2" s="16"/>
    </row>
    <row r="3" spans="3:10" ht="18" customHeight="1" thickBot="1">
      <c r="C3" s="19" t="s">
        <v>31</v>
      </c>
      <c r="D3" s="19">
        <v>2018</v>
      </c>
      <c r="E3" s="19">
        <v>2019</v>
      </c>
      <c r="F3" s="19">
        <v>2020</v>
      </c>
      <c r="G3" s="19">
        <v>2021</v>
      </c>
      <c r="H3" s="19">
        <v>2022</v>
      </c>
      <c r="I3" s="19">
        <v>2023</v>
      </c>
      <c r="J3" s="19">
        <v>2024</v>
      </c>
    </row>
    <row r="4" spans="3:10" ht="18" customHeight="1">
      <c r="C4" s="20" t="s">
        <v>1</v>
      </c>
      <c r="D4" s="21">
        <v>33</v>
      </c>
      <c r="E4" s="21">
        <v>58</v>
      </c>
      <c r="F4" s="21">
        <v>25</v>
      </c>
      <c r="G4" s="21">
        <v>9</v>
      </c>
      <c r="H4" s="21">
        <v>64</v>
      </c>
      <c r="I4" s="21">
        <v>9</v>
      </c>
      <c r="J4" s="21">
        <v>17</v>
      </c>
    </row>
    <row r="5" spans="3:10" ht="18" customHeight="1">
      <c r="C5" s="20" t="s">
        <v>5</v>
      </c>
      <c r="D5" s="21">
        <v>174</v>
      </c>
      <c r="E5" s="21">
        <v>105</v>
      </c>
      <c r="F5" s="21">
        <v>73</v>
      </c>
      <c r="G5" s="21">
        <v>91</v>
      </c>
      <c r="H5" s="21">
        <v>10</v>
      </c>
      <c r="I5" s="21">
        <v>40</v>
      </c>
      <c r="J5" s="21">
        <v>16</v>
      </c>
    </row>
    <row r="6" spans="3:10" ht="18" customHeight="1">
      <c r="C6" s="20" t="s">
        <v>19</v>
      </c>
      <c r="D6" s="21">
        <v>67</v>
      </c>
      <c r="E6" s="21">
        <v>129</v>
      </c>
      <c r="F6" s="21">
        <v>123</v>
      </c>
      <c r="G6" s="21">
        <v>66</v>
      </c>
      <c r="H6" s="21">
        <v>40</v>
      </c>
      <c r="I6" s="21">
        <v>30</v>
      </c>
      <c r="J6" s="21">
        <v>78</v>
      </c>
    </row>
    <row r="7" spans="3:10" ht="18" customHeight="1">
      <c r="C7" s="20" t="s">
        <v>6</v>
      </c>
      <c r="D7" s="21">
        <v>146</v>
      </c>
      <c r="E7" s="21">
        <v>23</v>
      </c>
      <c r="F7" s="21">
        <v>21</v>
      </c>
      <c r="G7" s="21">
        <v>22</v>
      </c>
      <c r="H7" s="21">
        <v>20</v>
      </c>
      <c r="I7" s="21">
        <v>27</v>
      </c>
      <c r="J7" s="21">
        <v>27</v>
      </c>
    </row>
    <row r="8" spans="3:10" ht="18" customHeight="1">
      <c r="C8" s="20" t="s">
        <v>9</v>
      </c>
      <c r="D8" s="21">
        <v>2</v>
      </c>
      <c r="E8" s="21">
        <v>24</v>
      </c>
      <c r="F8" s="21">
        <v>3</v>
      </c>
      <c r="G8" s="21">
        <v>25</v>
      </c>
      <c r="H8" s="21">
        <v>34</v>
      </c>
      <c r="I8" s="21">
        <v>24</v>
      </c>
      <c r="J8" s="21">
        <v>17</v>
      </c>
    </row>
    <row r="9" spans="3:10" ht="18" customHeight="1">
      <c r="C9" s="20" t="s">
        <v>17</v>
      </c>
      <c r="D9" s="21">
        <v>38</v>
      </c>
      <c r="E9" s="21">
        <v>51</v>
      </c>
      <c r="F9" s="21">
        <v>13</v>
      </c>
      <c r="G9" s="21">
        <v>7</v>
      </c>
      <c r="H9" s="21">
        <v>16</v>
      </c>
      <c r="I9" s="21">
        <v>24</v>
      </c>
      <c r="J9" s="21">
        <v>17</v>
      </c>
    </row>
    <row r="10" spans="3:10" ht="18" customHeight="1">
      <c r="C10" s="20" t="s">
        <v>18</v>
      </c>
      <c r="D10" s="21">
        <v>246</v>
      </c>
      <c r="E10" s="21">
        <v>175</v>
      </c>
      <c r="F10" s="21">
        <v>217</v>
      </c>
      <c r="G10" s="21">
        <v>177</v>
      </c>
      <c r="H10" s="21">
        <v>131</v>
      </c>
      <c r="I10" s="21">
        <v>245</v>
      </c>
      <c r="J10" s="21">
        <v>505</v>
      </c>
    </row>
    <row r="11" spans="3:10" ht="18" customHeight="1">
      <c r="C11" s="20" t="s">
        <v>23</v>
      </c>
      <c r="D11" s="21">
        <v>28</v>
      </c>
      <c r="E11" s="21">
        <v>63</v>
      </c>
      <c r="F11" s="21">
        <v>19</v>
      </c>
      <c r="G11" s="22">
        <v>19</v>
      </c>
      <c r="H11" s="22">
        <v>18</v>
      </c>
      <c r="I11" s="22">
        <v>18</v>
      </c>
      <c r="J11" s="22">
        <v>12</v>
      </c>
    </row>
    <row r="12" spans="3:10" ht="18" customHeight="1">
      <c r="C12" s="20" t="s">
        <v>7</v>
      </c>
      <c r="D12" s="21">
        <v>47</v>
      </c>
      <c r="E12" s="21">
        <v>28</v>
      </c>
      <c r="F12" s="21">
        <v>68</v>
      </c>
      <c r="G12" s="21">
        <v>33</v>
      </c>
      <c r="H12" s="21">
        <v>13</v>
      </c>
      <c r="I12" s="21">
        <v>33</v>
      </c>
      <c r="J12" s="21">
        <v>12</v>
      </c>
    </row>
    <row r="13" spans="3:10" ht="18" customHeight="1">
      <c r="C13" s="20" t="s">
        <v>8</v>
      </c>
      <c r="D13" s="21">
        <v>164</v>
      </c>
      <c r="E13" s="21">
        <v>136</v>
      </c>
      <c r="F13" s="21">
        <v>106</v>
      </c>
      <c r="G13" s="21">
        <v>39</v>
      </c>
      <c r="H13" s="21">
        <v>42</v>
      </c>
      <c r="I13" s="21">
        <v>1</v>
      </c>
      <c r="J13" s="21">
        <v>129</v>
      </c>
    </row>
    <row r="14" spans="3:10" ht="18" customHeight="1">
      <c r="C14" s="20" t="s">
        <v>10</v>
      </c>
      <c r="D14" s="21">
        <v>270</v>
      </c>
      <c r="E14" s="21">
        <v>240</v>
      </c>
      <c r="F14" s="21">
        <v>195</v>
      </c>
      <c r="G14" s="21">
        <v>160</v>
      </c>
      <c r="H14" s="21">
        <v>125</v>
      </c>
      <c r="I14" s="21">
        <v>90</v>
      </c>
      <c r="J14" s="21">
        <v>51</v>
      </c>
    </row>
    <row r="15" spans="3:10" ht="18" customHeight="1">
      <c r="C15" s="20" t="s">
        <v>11</v>
      </c>
      <c r="D15" s="21">
        <v>12</v>
      </c>
      <c r="E15" s="21">
        <v>24</v>
      </c>
      <c r="F15" s="21">
        <v>7</v>
      </c>
      <c r="G15" s="21">
        <v>18</v>
      </c>
      <c r="H15" s="21">
        <v>13</v>
      </c>
      <c r="I15" s="21">
        <v>11</v>
      </c>
      <c r="J15" s="21">
        <v>32</v>
      </c>
    </row>
    <row r="16" spans="3:10" ht="18" customHeight="1">
      <c r="C16" s="20" t="s">
        <v>27</v>
      </c>
      <c r="D16" s="21">
        <v>41</v>
      </c>
      <c r="E16" s="21">
        <v>65</v>
      </c>
      <c r="F16" s="21">
        <v>98</v>
      </c>
      <c r="G16" s="21">
        <v>30</v>
      </c>
      <c r="H16" s="21">
        <v>21</v>
      </c>
      <c r="I16" s="21">
        <v>23</v>
      </c>
      <c r="J16" s="21">
        <v>9</v>
      </c>
    </row>
    <row r="17" spans="3:17" ht="18" customHeight="1">
      <c r="C17" s="20" t="s">
        <v>12</v>
      </c>
      <c r="D17" s="21">
        <v>25</v>
      </c>
      <c r="E17" s="21">
        <v>24</v>
      </c>
      <c r="F17" s="21">
        <v>1</v>
      </c>
      <c r="G17" s="21">
        <v>38</v>
      </c>
      <c r="H17" s="21">
        <v>9</v>
      </c>
      <c r="I17" s="21">
        <v>41</v>
      </c>
      <c r="J17" s="21">
        <v>15</v>
      </c>
      <c r="K17" s="6"/>
      <c r="L17" s="22"/>
      <c r="M17" s="22"/>
      <c r="N17" s="22"/>
      <c r="O17" s="22"/>
      <c r="P17" s="23"/>
      <c r="Q17" s="24"/>
    </row>
    <row r="18" spans="3:17" ht="18" customHeight="1">
      <c r="C18" s="20" t="s">
        <v>24</v>
      </c>
      <c r="D18" s="21">
        <v>3</v>
      </c>
      <c r="E18" s="21">
        <v>69</v>
      </c>
      <c r="F18" s="21">
        <v>39</v>
      </c>
      <c r="G18" s="21">
        <v>18</v>
      </c>
      <c r="H18" s="21">
        <v>18</v>
      </c>
      <c r="I18" s="21">
        <v>13</v>
      </c>
      <c r="J18" s="21">
        <v>22</v>
      </c>
    </row>
    <row r="19" spans="3:17" ht="18" customHeight="1">
      <c r="C19" s="20" t="s">
        <v>13</v>
      </c>
      <c r="D19" s="21">
        <v>71</v>
      </c>
      <c r="E19" s="21">
        <v>86</v>
      </c>
      <c r="F19" s="21">
        <v>125</v>
      </c>
      <c r="G19" s="21">
        <v>67</v>
      </c>
      <c r="H19" s="21">
        <v>116</v>
      </c>
      <c r="I19" s="21">
        <v>39</v>
      </c>
      <c r="J19" s="21">
        <v>431</v>
      </c>
    </row>
    <row r="20" spans="3:17" ht="18" customHeight="1">
      <c r="C20" s="20" t="s">
        <v>14</v>
      </c>
      <c r="D20" s="21">
        <v>19</v>
      </c>
      <c r="E20" s="21">
        <v>25</v>
      </c>
      <c r="F20" s="21">
        <v>59</v>
      </c>
      <c r="G20" s="21">
        <v>15</v>
      </c>
      <c r="H20" s="21">
        <v>74</v>
      </c>
      <c r="I20" s="21">
        <v>17</v>
      </c>
      <c r="J20" s="21">
        <v>60</v>
      </c>
    </row>
    <row r="21" spans="3:17" ht="18" customHeight="1">
      <c r="C21" s="20" t="s">
        <v>16</v>
      </c>
      <c r="D21" s="21">
        <v>141</v>
      </c>
      <c r="E21" s="21">
        <v>107</v>
      </c>
      <c r="F21" s="21">
        <v>76</v>
      </c>
      <c r="G21" s="21">
        <v>39</v>
      </c>
      <c r="H21" s="21">
        <v>141</v>
      </c>
      <c r="I21" s="21">
        <v>40</v>
      </c>
      <c r="J21" s="21">
        <v>183</v>
      </c>
    </row>
    <row r="22" spans="3:17" ht="18" customHeight="1" thickBot="1">
      <c r="C22" s="25" t="s">
        <v>15</v>
      </c>
      <c r="D22" s="26">
        <f>SUM(D4:D21)</f>
        <v>1527</v>
      </c>
      <c r="E22" s="26">
        <f t="shared" ref="E22:J22" si="0">SUM(E4:E21)</f>
        <v>1432</v>
      </c>
      <c r="F22" s="26">
        <f t="shared" si="0"/>
        <v>1268</v>
      </c>
      <c r="G22" s="26">
        <f t="shared" si="0"/>
        <v>873</v>
      </c>
      <c r="H22" s="26">
        <f t="shared" si="0"/>
        <v>905</v>
      </c>
      <c r="I22" s="26">
        <f t="shared" si="0"/>
        <v>725</v>
      </c>
      <c r="J22" s="26">
        <f t="shared" si="0"/>
        <v>1633</v>
      </c>
    </row>
    <row r="23" spans="3:17" ht="18" customHeight="1">
      <c r="C23" s="27" t="s">
        <v>44</v>
      </c>
      <c r="D23" s="28"/>
      <c r="E23" s="28"/>
    </row>
    <row r="24" spans="3:17" ht="18" customHeight="1">
      <c r="D24" s="27"/>
      <c r="E24" s="29"/>
      <c r="F24" s="29"/>
      <c r="G24" s="29"/>
      <c r="H24" s="29"/>
    </row>
    <row r="25" spans="3:17" ht="18" customHeight="1">
      <c r="C25" s="30"/>
    </row>
    <row r="26" spans="3:17" ht="18" customHeight="1">
      <c r="C26" s="18" t="s">
        <v>42</v>
      </c>
    </row>
    <row r="27" spans="3:17" ht="18" customHeight="1" thickBot="1">
      <c r="C27" s="19" t="s">
        <v>31</v>
      </c>
      <c r="D27" s="19">
        <v>2018</v>
      </c>
      <c r="E27" s="19">
        <v>2019</v>
      </c>
      <c r="F27" s="19">
        <v>2020</v>
      </c>
      <c r="G27" s="19">
        <v>2021</v>
      </c>
      <c r="H27" s="19">
        <v>2022</v>
      </c>
      <c r="I27" s="19">
        <v>2023</v>
      </c>
      <c r="J27" s="19">
        <v>2024</v>
      </c>
    </row>
    <row r="28" spans="3:17" ht="18" customHeight="1">
      <c r="C28" s="20" t="s">
        <v>1</v>
      </c>
      <c r="D28" s="31">
        <v>2.161100196463654</v>
      </c>
      <c r="E28" s="31">
        <v>4.0502793296089381</v>
      </c>
      <c r="F28" s="31">
        <v>1.9716088328075709</v>
      </c>
      <c r="G28" s="31">
        <v>1.0309278350515463</v>
      </c>
      <c r="H28" s="31">
        <v>7.0718232044198901</v>
      </c>
      <c r="I28" s="31">
        <v>1.2413793103448276</v>
      </c>
      <c r="J28" s="31">
        <v>1.0410287813839558</v>
      </c>
    </row>
    <row r="29" spans="3:17" ht="18" customHeight="1">
      <c r="C29" s="20" t="s">
        <v>5</v>
      </c>
      <c r="D29" s="31">
        <v>11.394891944990176</v>
      </c>
      <c r="E29" s="31">
        <v>7.3324022346368718</v>
      </c>
      <c r="F29" s="31">
        <v>5.7570977917981079</v>
      </c>
      <c r="G29" s="31">
        <v>10.423825887743414</v>
      </c>
      <c r="H29" s="31">
        <v>1.1049723756906076</v>
      </c>
      <c r="I29" s="31">
        <v>5.5172413793103452</v>
      </c>
      <c r="J29" s="31">
        <v>0.9797917942437232</v>
      </c>
    </row>
    <row r="30" spans="3:17" ht="18" customHeight="1">
      <c r="C30" s="20" t="s">
        <v>19</v>
      </c>
      <c r="D30" s="31">
        <v>4.387688277668631</v>
      </c>
      <c r="E30" s="31">
        <v>9.0083798882681556</v>
      </c>
      <c r="F30" s="31">
        <v>9.7003154574132484</v>
      </c>
      <c r="G30" s="31">
        <v>7.5601374570446733</v>
      </c>
      <c r="H30" s="31">
        <v>4.4198895027624303</v>
      </c>
      <c r="I30" s="31">
        <v>4.1379310344827589</v>
      </c>
      <c r="J30" s="31">
        <v>4.7764849969381507</v>
      </c>
    </row>
    <row r="31" spans="3:17" ht="18" customHeight="1">
      <c r="C31" s="20" t="s">
        <v>6</v>
      </c>
      <c r="D31" s="31">
        <v>9.5612311722331373</v>
      </c>
      <c r="E31" s="31">
        <v>1.6061452513966481</v>
      </c>
      <c r="F31" s="31">
        <v>1.6561514195583598</v>
      </c>
      <c r="G31" s="31">
        <v>2.5200458190148911</v>
      </c>
      <c r="H31" s="31">
        <v>2.2099447513812152</v>
      </c>
      <c r="I31" s="31">
        <v>3.7241379310344822</v>
      </c>
      <c r="J31" s="31">
        <v>1.653398652786283</v>
      </c>
    </row>
    <row r="32" spans="3:17" ht="18" customHeight="1">
      <c r="C32" s="20" t="s">
        <v>9</v>
      </c>
      <c r="D32" s="31">
        <v>0.13097576948264572</v>
      </c>
      <c r="E32" s="31">
        <v>1.6759776536312849</v>
      </c>
      <c r="F32" s="31">
        <v>0.23659305993690852</v>
      </c>
      <c r="G32" s="31">
        <v>2.86368843069874</v>
      </c>
      <c r="H32" s="31">
        <v>3.7569060773480665</v>
      </c>
      <c r="I32" s="31">
        <v>3.3103448275862069</v>
      </c>
      <c r="J32" s="31">
        <v>1.0410287813839558</v>
      </c>
    </row>
    <row r="33" spans="3:10" ht="18" customHeight="1">
      <c r="C33" s="20" t="s">
        <v>17</v>
      </c>
      <c r="D33" s="31">
        <v>2.4885396201702688</v>
      </c>
      <c r="E33" s="31">
        <v>3.5614525139664801</v>
      </c>
      <c r="F33" s="31">
        <v>1.025236593059937</v>
      </c>
      <c r="G33" s="31">
        <v>0.80183276059564712</v>
      </c>
      <c r="H33" s="31">
        <v>1.7679558011049725</v>
      </c>
      <c r="I33" s="31">
        <v>3.3103448275862069</v>
      </c>
      <c r="J33" s="31">
        <v>1.0410287813839558</v>
      </c>
    </row>
    <row r="34" spans="3:10" ht="18" customHeight="1">
      <c r="C34" s="20" t="s">
        <v>18</v>
      </c>
      <c r="D34" s="31">
        <v>16.110019646365423</v>
      </c>
      <c r="E34" s="31">
        <v>12.220670391061454</v>
      </c>
      <c r="F34" s="31">
        <v>17.113564668769715</v>
      </c>
      <c r="G34" s="31">
        <v>20.274914089347078</v>
      </c>
      <c r="H34" s="31">
        <v>14.475138121546962</v>
      </c>
      <c r="I34" s="31">
        <v>33.793103448275865</v>
      </c>
      <c r="J34" s="31">
        <v>30.924678505817514</v>
      </c>
    </row>
    <row r="35" spans="3:10" ht="18" customHeight="1">
      <c r="C35" s="20" t="s">
        <v>23</v>
      </c>
      <c r="D35" s="31">
        <v>1.8336607727570402</v>
      </c>
      <c r="E35" s="31">
        <v>4.3994413407821229</v>
      </c>
      <c r="F35" s="31">
        <v>1.498422712933754</v>
      </c>
      <c r="G35" s="31">
        <v>2.1764032073310422</v>
      </c>
      <c r="H35" s="31">
        <v>1.9889502762430937</v>
      </c>
      <c r="I35" s="31">
        <v>2.4827586206896552</v>
      </c>
      <c r="J35" s="31">
        <v>0.73484384568279237</v>
      </c>
    </row>
    <row r="36" spans="3:10" ht="18" customHeight="1">
      <c r="C36" s="20" t="s">
        <v>7</v>
      </c>
      <c r="D36" s="31">
        <v>3.0779305828421739</v>
      </c>
      <c r="E36" s="31">
        <v>1.9553072625698324</v>
      </c>
      <c r="F36" s="31">
        <v>5.3627760252365935</v>
      </c>
      <c r="G36" s="31">
        <v>3.7800687285223367</v>
      </c>
      <c r="H36" s="31">
        <v>1.4364640883977902</v>
      </c>
      <c r="I36" s="31">
        <v>4.5517241379310347</v>
      </c>
      <c r="J36" s="31">
        <v>0.73484384568279237</v>
      </c>
    </row>
    <row r="37" spans="3:10" ht="18" customHeight="1">
      <c r="C37" s="20" t="s">
        <v>8</v>
      </c>
      <c r="D37" s="31">
        <v>10.740013097576949</v>
      </c>
      <c r="E37" s="31">
        <v>9.4972067039106136</v>
      </c>
      <c r="F37" s="31">
        <v>8.3596214511041005</v>
      </c>
      <c r="G37" s="31">
        <v>4.4673539518900345</v>
      </c>
      <c r="H37" s="31">
        <v>4.6408839779005531</v>
      </c>
      <c r="I37" s="31">
        <v>0.13793103448275862</v>
      </c>
      <c r="J37" s="31">
        <v>7.8995713410900184</v>
      </c>
    </row>
    <row r="38" spans="3:10" ht="18" customHeight="1">
      <c r="C38" s="20" t="s">
        <v>10</v>
      </c>
      <c r="D38" s="31">
        <v>17.68172888015717</v>
      </c>
      <c r="E38" s="31">
        <v>16.759776536312849</v>
      </c>
      <c r="F38" s="31">
        <v>15.378548895899053</v>
      </c>
      <c r="G38" s="31">
        <v>18.327605956471935</v>
      </c>
      <c r="H38" s="31">
        <v>13.812154696132598</v>
      </c>
      <c r="I38" s="31">
        <v>12.413793103448276</v>
      </c>
      <c r="J38" s="31">
        <v>3.1230863441518677</v>
      </c>
    </row>
    <row r="39" spans="3:10" ht="18" customHeight="1">
      <c r="C39" s="20" t="s">
        <v>11</v>
      </c>
      <c r="D39" s="31">
        <v>0.78585461689587421</v>
      </c>
      <c r="E39" s="31">
        <v>1.6759776536312849</v>
      </c>
      <c r="F39" s="31">
        <v>0.55205047318611988</v>
      </c>
      <c r="G39" s="31">
        <v>2.0618556701030926</v>
      </c>
      <c r="H39" s="31">
        <v>1.4364640883977902</v>
      </c>
      <c r="I39" s="31">
        <v>1.5172413793103448</v>
      </c>
      <c r="J39" s="31">
        <v>1.9595835884874464</v>
      </c>
    </row>
    <row r="40" spans="3:10" ht="18" customHeight="1">
      <c r="C40" s="20" t="s">
        <v>27</v>
      </c>
      <c r="D40" s="31">
        <v>2.6850032743942371</v>
      </c>
      <c r="E40" s="31">
        <v>4.539106145251397</v>
      </c>
      <c r="F40" s="31">
        <v>7.728706624605679</v>
      </c>
      <c r="G40" s="31">
        <v>3.4364261168384882</v>
      </c>
      <c r="H40" s="31">
        <v>2.3204419889502765</v>
      </c>
      <c r="I40" s="31">
        <v>3.1724137931034484</v>
      </c>
      <c r="J40" s="31">
        <v>0.55113288426209428</v>
      </c>
    </row>
    <row r="41" spans="3:10" ht="18" customHeight="1">
      <c r="C41" s="20" t="s">
        <v>12</v>
      </c>
      <c r="D41" s="31">
        <v>1.6371971185330716</v>
      </c>
      <c r="E41" s="31">
        <v>1.6759776536312849</v>
      </c>
      <c r="F41" s="31">
        <v>7.8864353312302835E-2</v>
      </c>
      <c r="G41" s="31">
        <v>4.3528064146620844</v>
      </c>
      <c r="H41" s="31">
        <v>0.99447513812154686</v>
      </c>
      <c r="I41" s="31">
        <v>5.6551724137931032</v>
      </c>
      <c r="J41" s="31">
        <v>0.91855480710349058</v>
      </c>
    </row>
    <row r="42" spans="3:10" ht="18" customHeight="1">
      <c r="C42" s="20" t="s">
        <v>24</v>
      </c>
      <c r="D42" s="31">
        <v>0.19646365422396855</v>
      </c>
      <c r="E42" s="31">
        <v>4.8184357541899443</v>
      </c>
      <c r="F42" s="31">
        <v>3.0757097791798107</v>
      </c>
      <c r="G42" s="31">
        <v>2.0618556701030926</v>
      </c>
      <c r="H42" s="31">
        <v>1.9889502762430937</v>
      </c>
      <c r="I42" s="31">
        <v>1.7931034482758619</v>
      </c>
      <c r="J42" s="31">
        <v>1.3472137170851195</v>
      </c>
    </row>
    <row r="43" spans="3:10" ht="18" customHeight="1">
      <c r="C43" s="20" t="s">
        <v>13</v>
      </c>
      <c r="D43" s="31">
        <v>4.6496398166339228</v>
      </c>
      <c r="E43" s="31">
        <v>6.005586592178771</v>
      </c>
      <c r="F43" s="31">
        <v>9.8580441640378549</v>
      </c>
      <c r="G43" s="31">
        <v>7.6746849942726234</v>
      </c>
      <c r="H43" s="31">
        <v>12.817679558011049</v>
      </c>
      <c r="I43" s="31">
        <v>5.3793103448275863</v>
      </c>
      <c r="J43" s="31">
        <v>26.393141457440294</v>
      </c>
    </row>
    <row r="44" spans="3:10" ht="18" customHeight="1">
      <c r="C44" s="20" t="s">
        <v>14</v>
      </c>
      <c r="D44" s="31">
        <v>1.2442698100851344</v>
      </c>
      <c r="E44" s="31">
        <v>1.7458100558659218</v>
      </c>
      <c r="F44" s="31">
        <v>4.6529968454258679</v>
      </c>
      <c r="G44" s="31">
        <v>1.7182130584192441</v>
      </c>
      <c r="H44" s="31">
        <v>8.1767955801104986</v>
      </c>
      <c r="I44" s="31">
        <v>2.3448275862068968</v>
      </c>
      <c r="J44" s="31">
        <v>3.6742192284139623</v>
      </c>
    </row>
    <row r="45" spans="3:10" ht="18" customHeight="1">
      <c r="C45" s="20" t="s">
        <v>16</v>
      </c>
      <c r="D45" s="31">
        <v>9.2337917485265226</v>
      </c>
      <c r="E45" s="31">
        <v>7.472067039106145</v>
      </c>
      <c r="F45" s="31">
        <v>5.9936908517350158</v>
      </c>
      <c r="G45" s="31">
        <v>4.4673539518900345</v>
      </c>
      <c r="H45" s="31">
        <v>15.58011049723757</v>
      </c>
      <c r="I45" s="31">
        <v>5.5172413793103452</v>
      </c>
      <c r="J45" s="31">
        <v>11.206368646662584</v>
      </c>
    </row>
    <row r="46" spans="3:10" ht="18" customHeight="1" thickBot="1">
      <c r="C46" s="25" t="s">
        <v>15</v>
      </c>
      <c r="D46" s="32">
        <f>SUM(D28:D45)</f>
        <v>99.999999999999986</v>
      </c>
      <c r="E46" s="32">
        <f t="shared" ref="E46:J46" si="1">SUM(E28:E45)</f>
        <v>99.999999999999986</v>
      </c>
      <c r="F46" s="32">
        <f t="shared" si="1"/>
        <v>100</v>
      </c>
      <c r="G46" s="32">
        <f t="shared" si="1"/>
        <v>99.999999999999972</v>
      </c>
      <c r="H46" s="32">
        <f t="shared" si="1"/>
        <v>100</v>
      </c>
      <c r="I46" s="32">
        <f t="shared" si="1"/>
        <v>100.00000000000003</v>
      </c>
      <c r="J46" s="32">
        <f t="shared" si="1"/>
        <v>99.999999999999986</v>
      </c>
    </row>
    <row r="47" spans="3:10" ht="18" customHeight="1">
      <c r="C47" s="27" t="s">
        <v>44</v>
      </c>
    </row>
  </sheetData>
  <pageMargins left="0.7" right="0.7" top="0.75" bottom="0.75" header="0.3" footer="0.3"/>
  <pageSetup paperSize="9" orientation="portrait" r:id="rId1"/>
  <ignoredErrors>
    <ignoredError sqref="D46:H46 D22:H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38"/>
  <sheetViews>
    <sheetView showGridLines="0" zoomScale="90" zoomScaleNormal="90" workbookViewId="0">
      <selection activeCell="K22" sqref="K22"/>
    </sheetView>
  </sheetViews>
  <sheetFormatPr defaultColWidth="9.140625" defaultRowHeight="22.15" customHeight="1"/>
  <cols>
    <col min="1" max="1" width="22.85546875" style="2" customWidth="1"/>
    <col min="2" max="6" width="13.140625" style="2" customWidth="1"/>
    <col min="7" max="7" width="15.42578125" style="2" customWidth="1"/>
    <col min="8" max="8" width="13.140625" style="2" customWidth="1"/>
    <col min="9" max="9" width="3.42578125" style="2" customWidth="1"/>
    <col min="10" max="10" width="7.140625" style="2" customWidth="1"/>
    <col min="11" max="11" width="34" style="2" customWidth="1"/>
    <col min="12" max="13" width="9" style="2" customWidth="1"/>
    <col min="14" max="14" width="11.5703125" style="2" customWidth="1"/>
    <col min="15" max="17" width="9" style="2" customWidth="1"/>
    <col min="18" max="18" width="26.7109375" style="34" customWidth="1"/>
    <col min="19" max="22" width="9.85546875" style="2" customWidth="1"/>
    <col min="23" max="23" width="10" style="2" customWidth="1"/>
    <col min="24" max="16384" width="9.140625" style="2"/>
  </cols>
  <sheetData>
    <row r="2" spans="1:31" ht="22.15" customHeight="1">
      <c r="A2" s="84" t="s">
        <v>43</v>
      </c>
      <c r="B2" s="84"/>
      <c r="C2" s="84"/>
      <c r="D2" s="84"/>
      <c r="E2" s="84"/>
      <c r="F2" s="84"/>
      <c r="G2" s="84"/>
      <c r="H2" s="84"/>
      <c r="I2" s="33"/>
    </row>
    <row r="3" spans="1:31" ht="22.15" customHeight="1" thickBot="1">
      <c r="A3" s="1" t="s">
        <v>39</v>
      </c>
      <c r="B3" s="35">
        <v>2018</v>
      </c>
      <c r="C3" s="35">
        <v>2019</v>
      </c>
      <c r="D3" s="35">
        <v>2020</v>
      </c>
      <c r="E3" s="35">
        <v>2021</v>
      </c>
      <c r="F3" s="35">
        <v>2022</v>
      </c>
      <c r="G3" s="35">
        <v>2023</v>
      </c>
      <c r="H3" s="35">
        <v>2024</v>
      </c>
      <c r="I3" s="13"/>
    </row>
    <row r="4" spans="1:31" ht="22.15" customHeight="1">
      <c r="A4" s="3" t="s">
        <v>38</v>
      </c>
      <c r="B4" s="36">
        <v>1403</v>
      </c>
      <c r="C4" s="36">
        <v>1297</v>
      </c>
      <c r="D4" s="36">
        <v>1169</v>
      </c>
      <c r="E4" s="37">
        <v>808</v>
      </c>
      <c r="F4" s="37">
        <v>725</v>
      </c>
      <c r="G4" s="37">
        <v>614</v>
      </c>
      <c r="H4" s="37">
        <v>1527</v>
      </c>
      <c r="I4" s="5"/>
    </row>
    <row r="5" spans="1:31" ht="22.15" customHeight="1">
      <c r="A5" s="3" t="s">
        <v>34</v>
      </c>
      <c r="B5" s="36">
        <v>34</v>
      </c>
      <c r="C5" s="36">
        <v>31</v>
      </c>
      <c r="D5" s="36">
        <v>42</v>
      </c>
      <c r="E5" s="36">
        <v>27</v>
      </c>
      <c r="F5" s="36">
        <v>11</v>
      </c>
      <c r="G5" s="36">
        <v>3</v>
      </c>
      <c r="H5" s="36">
        <v>60</v>
      </c>
      <c r="I5" s="4"/>
    </row>
    <row r="6" spans="1:31" ht="22.15" customHeight="1">
      <c r="A6" s="3" t="s">
        <v>35</v>
      </c>
      <c r="B6" s="36">
        <v>90</v>
      </c>
      <c r="C6" s="36">
        <v>104</v>
      </c>
      <c r="D6" s="36">
        <v>57</v>
      </c>
      <c r="E6" s="36">
        <v>38</v>
      </c>
      <c r="F6" s="36">
        <v>71</v>
      </c>
      <c r="G6" s="36">
        <v>22</v>
      </c>
      <c r="H6" s="36">
        <v>46</v>
      </c>
      <c r="I6" s="4"/>
    </row>
    <row r="7" spans="1:31" ht="22.15" customHeight="1" thickBot="1">
      <c r="A7" s="10" t="s">
        <v>15</v>
      </c>
      <c r="B7" s="38">
        <v>1527</v>
      </c>
      <c r="C7" s="38">
        <v>1432</v>
      </c>
      <c r="D7" s="38">
        <v>1268</v>
      </c>
      <c r="E7" s="38">
        <v>873</v>
      </c>
      <c r="F7" s="38">
        <v>807</v>
      </c>
      <c r="G7" s="38">
        <f>SUM(G4:G6)</f>
        <v>639</v>
      </c>
      <c r="H7" s="38">
        <f>SUM(H4:H6)</f>
        <v>1633</v>
      </c>
      <c r="I7" s="39"/>
    </row>
    <row r="8" spans="1:31" ht="22.15" customHeight="1">
      <c r="A8" s="3" t="s">
        <v>45</v>
      </c>
      <c r="B8" s="39"/>
      <c r="C8" s="39"/>
      <c r="D8" s="39"/>
      <c r="E8" s="39"/>
      <c r="F8" s="39"/>
      <c r="G8" s="39"/>
      <c r="H8" s="39"/>
      <c r="I8" s="39"/>
    </row>
    <row r="9" spans="1:31" ht="22.15" customHeight="1">
      <c r="A9" s="16"/>
      <c r="B9" s="16"/>
      <c r="C9" s="16"/>
      <c r="D9" s="16"/>
      <c r="E9" s="16"/>
      <c r="F9" s="16"/>
      <c r="G9" s="16"/>
      <c r="H9" s="16"/>
      <c r="I9" s="16"/>
    </row>
    <row r="10" spans="1:31" ht="22.15" customHeight="1">
      <c r="J10" s="6"/>
    </row>
    <row r="11" spans="1:31" ht="22.15" customHeight="1">
      <c r="A11" s="84" t="s">
        <v>46</v>
      </c>
      <c r="B11" s="84"/>
      <c r="C11" s="84"/>
      <c r="D11" s="84"/>
      <c r="E11" s="84"/>
      <c r="F11" s="84"/>
      <c r="G11" s="84"/>
      <c r="H11" s="84"/>
      <c r="J11" s="16"/>
      <c r="K11" s="40"/>
      <c r="O11" s="41"/>
      <c r="P11" s="41"/>
      <c r="R11" s="42"/>
      <c r="Y11" s="6"/>
      <c r="Z11" s="7"/>
      <c r="AA11" s="7"/>
      <c r="AB11" s="7"/>
      <c r="AC11" s="7"/>
      <c r="AD11" s="8"/>
      <c r="AE11" s="9"/>
    </row>
    <row r="12" spans="1:31" ht="22.15" customHeight="1" thickBot="1">
      <c r="A12" s="43" t="s">
        <v>40</v>
      </c>
      <c r="B12" s="1">
        <v>2018</v>
      </c>
      <c r="C12" s="1">
        <v>2019</v>
      </c>
      <c r="D12" s="1">
        <v>2020</v>
      </c>
      <c r="E12" s="1">
        <v>2021</v>
      </c>
      <c r="F12" s="1">
        <v>2022</v>
      </c>
      <c r="G12" s="1">
        <v>2023</v>
      </c>
      <c r="H12" s="1">
        <v>2024</v>
      </c>
      <c r="J12" s="16"/>
      <c r="K12" s="16"/>
      <c r="Q12" s="44"/>
    </row>
    <row r="13" spans="1:31" ht="22.15" customHeight="1">
      <c r="A13" s="45" t="s">
        <v>30</v>
      </c>
      <c r="B13" s="46">
        <v>1220</v>
      </c>
      <c r="C13" s="46">
        <v>1081</v>
      </c>
      <c r="D13" s="46">
        <v>1143</v>
      </c>
      <c r="E13" s="46">
        <v>788</v>
      </c>
      <c r="F13" s="46">
        <v>738</v>
      </c>
      <c r="G13" s="46">
        <v>606</v>
      </c>
      <c r="H13" s="46">
        <v>1548</v>
      </c>
    </row>
    <row r="14" spans="1:31" ht="22.15" customHeight="1">
      <c r="A14" s="45" t="s">
        <v>37</v>
      </c>
      <c r="B14" s="46">
        <v>2</v>
      </c>
      <c r="C14" s="46">
        <v>1</v>
      </c>
      <c r="D14" s="46">
        <v>0</v>
      </c>
      <c r="E14" s="46">
        <v>8</v>
      </c>
      <c r="F14" s="46">
        <v>4</v>
      </c>
      <c r="G14" s="46">
        <v>2</v>
      </c>
      <c r="H14" s="46">
        <v>12</v>
      </c>
      <c r="J14" s="16"/>
      <c r="K14" s="16"/>
    </row>
    <row r="15" spans="1:31" ht="22.15" customHeight="1">
      <c r="A15" s="45" t="s">
        <v>36</v>
      </c>
      <c r="B15" s="46">
        <v>5</v>
      </c>
      <c r="C15" s="46">
        <v>1</v>
      </c>
      <c r="D15" s="46">
        <v>0</v>
      </c>
      <c r="E15" s="46">
        <v>3</v>
      </c>
      <c r="F15" s="46">
        <v>2</v>
      </c>
      <c r="G15" s="46">
        <v>6</v>
      </c>
      <c r="H15" s="46">
        <v>6</v>
      </c>
      <c r="J15" s="16"/>
      <c r="K15" s="16"/>
    </row>
    <row r="16" spans="1:31" ht="22.15" customHeight="1">
      <c r="A16" s="45" t="s">
        <v>2</v>
      </c>
      <c r="B16" s="46">
        <v>247</v>
      </c>
      <c r="C16" s="46">
        <v>255</v>
      </c>
      <c r="D16" s="46">
        <v>80</v>
      </c>
      <c r="E16" s="46">
        <v>45</v>
      </c>
      <c r="F16" s="46">
        <v>41</v>
      </c>
      <c r="G16" s="46">
        <v>17</v>
      </c>
      <c r="H16" s="46">
        <v>48</v>
      </c>
      <c r="J16" s="16"/>
      <c r="K16" s="16"/>
    </row>
    <row r="17" spans="1:22" ht="22.15" customHeight="1">
      <c r="A17" s="45" t="s">
        <v>3</v>
      </c>
      <c r="B17" s="46">
        <v>5</v>
      </c>
      <c r="C17" s="46">
        <v>2</v>
      </c>
      <c r="D17" s="46">
        <v>1</v>
      </c>
      <c r="E17" s="46">
        <v>3</v>
      </c>
      <c r="F17" s="46">
        <v>6</v>
      </c>
      <c r="G17" s="46">
        <v>0</v>
      </c>
      <c r="H17" s="46">
        <v>1</v>
      </c>
    </row>
    <row r="18" spans="1:22" ht="22.15" customHeight="1">
      <c r="A18" s="45" t="s">
        <v>4</v>
      </c>
      <c r="B18" s="46">
        <v>48</v>
      </c>
      <c r="C18" s="46">
        <v>92</v>
      </c>
      <c r="D18" s="46">
        <v>44</v>
      </c>
      <c r="E18" s="46">
        <v>26</v>
      </c>
      <c r="F18" s="46">
        <v>16</v>
      </c>
      <c r="G18" s="46">
        <v>8</v>
      </c>
      <c r="H18" s="46">
        <v>18</v>
      </c>
    </row>
    <row r="19" spans="1:22" ht="22.15" customHeight="1" thickBot="1">
      <c r="A19" s="47" t="s">
        <v>15</v>
      </c>
      <c r="B19" s="48">
        <v>1527</v>
      </c>
      <c r="C19" s="48">
        <v>1432</v>
      </c>
      <c r="D19" s="48">
        <v>1268</v>
      </c>
      <c r="E19" s="48">
        <v>873</v>
      </c>
      <c r="F19" s="48">
        <v>807</v>
      </c>
      <c r="G19" s="48">
        <f>SUM(G13:G18)</f>
        <v>639</v>
      </c>
      <c r="H19" s="48">
        <f>SUM(H13:H18)</f>
        <v>1633</v>
      </c>
    </row>
    <row r="20" spans="1:22" ht="22.15" customHeight="1">
      <c r="A20" s="3" t="s">
        <v>45</v>
      </c>
      <c r="B20" s="7"/>
      <c r="C20" s="7"/>
      <c r="D20" s="14"/>
      <c r="N20" s="49"/>
    </row>
    <row r="21" spans="1:22" ht="22.15" customHeight="1">
      <c r="A21" s="85"/>
      <c r="B21" s="85"/>
      <c r="C21" s="85"/>
    </row>
    <row r="22" spans="1:22" ht="22.15" customHeight="1">
      <c r="A22" s="12"/>
      <c r="B22" s="12"/>
      <c r="C22" s="12"/>
    </row>
    <row r="23" spans="1:22" ht="22.15" customHeight="1">
      <c r="I23" s="50"/>
      <c r="S23" s="34"/>
      <c r="T23" s="34"/>
      <c r="U23" s="34"/>
      <c r="V23" s="34"/>
    </row>
    <row r="24" spans="1:22" ht="22.15" customHeight="1">
      <c r="A24" s="84" t="s">
        <v>47</v>
      </c>
      <c r="B24" s="84"/>
      <c r="C24" s="84"/>
      <c r="D24" s="84"/>
      <c r="E24" s="84"/>
      <c r="F24" s="84"/>
      <c r="G24" s="84"/>
      <c r="H24" s="84"/>
      <c r="S24" s="34"/>
      <c r="T24" s="34"/>
      <c r="U24" s="34"/>
      <c r="V24" s="34"/>
    </row>
    <row r="25" spans="1:22" ht="22.15" customHeight="1" thickBot="1">
      <c r="A25" s="1" t="s">
        <v>0</v>
      </c>
      <c r="B25" s="1">
        <v>2018</v>
      </c>
      <c r="C25" s="1">
        <v>2019</v>
      </c>
      <c r="D25" s="1">
        <v>2020</v>
      </c>
      <c r="E25" s="1">
        <v>2021</v>
      </c>
      <c r="F25" s="1">
        <v>2022</v>
      </c>
      <c r="G25" s="1">
        <v>2023</v>
      </c>
      <c r="H25" s="1">
        <v>2024</v>
      </c>
    </row>
    <row r="26" spans="1:22" ht="22.15" customHeight="1">
      <c r="A26" s="51" t="s">
        <v>32</v>
      </c>
      <c r="B26" s="4">
        <v>984</v>
      </c>
      <c r="C26" s="4">
        <v>966</v>
      </c>
      <c r="D26" s="4">
        <v>939</v>
      </c>
      <c r="E26" s="52">
        <v>616</v>
      </c>
      <c r="F26" s="52">
        <v>554</v>
      </c>
      <c r="G26" s="52">
        <v>487</v>
      </c>
      <c r="H26" s="52">
        <v>1308</v>
      </c>
    </row>
    <row r="27" spans="1:22" ht="22.15" customHeight="1">
      <c r="A27" s="51" t="s">
        <v>33</v>
      </c>
      <c r="B27" s="4">
        <v>309</v>
      </c>
      <c r="C27" s="4">
        <v>249</v>
      </c>
      <c r="D27" s="4">
        <v>209</v>
      </c>
      <c r="E27" s="53">
        <v>161</v>
      </c>
      <c r="F27" s="52">
        <v>144</v>
      </c>
      <c r="G27" s="52">
        <v>81</v>
      </c>
      <c r="H27" s="52">
        <v>200</v>
      </c>
    </row>
    <row r="28" spans="1:22" ht="22.15" customHeight="1">
      <c r="A28" s="51" t="s">
        <v>20</v>
      </c>
      <c r="B28" s="4">
        <v>46</v>
      </c>
      <c r="C28" s="4">
        <v>86</v>
      </c>
      <c r="D28" s="4">
        <v>37</v>
      </c>
      <c r="E28" s="53">
        <v>33</v>
      </c>
      <c r="F28" s="52">
        <v>15</v>
      </c>
      <c r="G28" s="52">
        <v>9</v>
      </c>
      <c r="H28" s="52">
        <v>32</v>
      </c>
    </row>
    <row r="29" spans="1:22" ht="22.15" customHeight="1">
      <c r="A29" s="51" t="s">
        <v>21</v>
      </c>
      <c r="B29" s="4">
        <v>47</v>
      </c>
      <c r="C29" s="4">
        <v>41</v>
      </c>
      <c r="D29" s="4">
        <v>28</v>
      </c>
      <c r="E29" s="53">
        <v>6</v>
      </c>
      <c r="F29" s="52">
        <v>15</v>
      </c>
      <c r="G29" s="52">
        <v>5</v>
      </c>
      <c r="H29" s="52">
        <v>18</v>
      </c>
    </row>
    <row r="30" spans="1:22" ht="22.15" customHeight="1">
      <c r="A30" s="51" t="s">
        <v>25</v>
      </c>
      <c r="B30" s="4">
        <v>50</v>
      </c>
      <c r="C30" s="4">
        <v>37</v>
      </c>
      <c r="D30" s="4">
        <v>19</v>
      </c>
      <c r="E30" s="53">
        <v>21</v>
      </c>
      <c r="F30" s="52">
        <v>17</v>
      </c>
      <c r="G30" s="52">
        <v>5</v>
      </c>
      <c r="H30" s="52">
        <v>7</v>
      </c>
    </row>
    <row r="31" spans="1:22" ht="22.15" customHeight="1">
      <c r="A31" s="51" t="s">
        <v>22</v>
      </c>
      <c r="B31" s="4">
        <v>39</v>
      </c>
      <c r="C31" s="4">
        <v>19</v>
      </c>
      <c r="D31" s="4">
        <v>13</v>
      </c>
      <c r="E31" s="53">
        <v>14</v>
      </c>
      <c r="F31" s="52">
        <v>6</v>
      </c>
      <c r="G31" s="52">
        <v>1</v>
      </c>
      <c r="H31" s="52">
        <v>8</v>
      </c>
    </row>
    <row r="32" spans="1:22" ht="22.15" customHeight="1">
      <c r="A32" s="51" t="s">
        <v>26</v>
      </c>
      <c r="B32" s="4">
        <v>33</v>
      </c>
      <c r="C32" s="4">
        <v>20</v>
      </c>
      <c r="D32" s="4">
        <v>15</v>
      </c>
      <c r="E32" s="53">
        <v>12</v>
      </c>
      <c r="F32" s="52">
        <v>5</v>
      </c>
      <c r="G32" s="52">
        <v>2</v>
      </c>
      <c r="H32" s="52">
        <v>7</v>
      </c>
    </row>
    <row r="33" spans="1:9" ht="22.15" customHeight="1">
      <c r="A33" s="51" t="s">
        <v>28</v>
      </c>
      <c r="B33" s="4">
        <v>10</v>
      </c>
      <c r="C33" s="4">
        <v>9</v>
      </c>
      <c r="D33" s="4">
        <v>6</v>
      </c>
      <c r="E33" s="53">
        <v>8</v>
      </c>
      <c r="F33" s="52">
        <v>7</v>
      </c>
      <c r="G33" s="52">
        <v>5</v>
      </c>
      <c r="H33" s="52">
        <v>5</v>
      </c>
      <c r="I33" s="15"/>
    </row>
    <row r="34" spans="1:9" ht="22.15" customHeight="1">
      <c r="A34" s="51" t="s">
        <v>29</v>
      </c>
      <c r="B34" s="4">
        <v>9</v>
      </c>
      <c r="C34" s="4">
        <v>5</v>
      </c>
      <c r="D34" s="4">
        <v>2</v>
      </c>
      <c r="E34" s="53">
        <v>2</v>
      </c>
      <c r="F34" s="52">
        <v>44</v>
      </c>
      <c r="G34" s="52">
        <v>44</v>
      </c>
      <c r="H34" s="52">
        <v>48</v>
      </c>
      <c r="I34" s="15"/>
    </row>
    <row r="35" spans="1:9" ht="22.15" customHeight="1" thickBot="1">
      <c r="A35" s="10" t="s">
        <v>15</v>
      </c>
      <c r="B35" s="11">
        <v>1527</v>
      </c>
      <c r="C35" s="11">
        <v>1432</v>
      </c>
      <c r="D35" s="11">
        <v>1268</v>
      </c>
      <c r="E35" s="11">
        <v>873</v>
      </c>
      <c r="F35" s="11">
        <f>SUM(F26:F34)</f>
        <v>807</v>
      </c>
      <c r="G35" s="11">
        <f t="shared" ref="G35:H35" si="0">SUM(G26:G34)</f>
        <v>639</v>
      </c>
      <c r="H35" s="11">
        <f t="shared" si="0"/>
        <v>1633</v>
      </c>
      <c r="I35" s="15"/>
    </row>
    <row r="36" spans="1:9" ht="22.15" customHeight="1">
      <c r="A36" s="3" t="s">
        <v>45</v>
      </c>
      <c r="B36" s="7"/>
      <c r="C36" s="8"/>
      <c r="D36" s="9"/>
      <c r="G36" s="15"/>
      <c r="H36" s="15"/>
      <c r="I36" s="15"/>
    </row>
    <row r="37" spans="1:9" ht="22.15" customHeight="1">
      <c r="A37" s="12"/>
      <c r="B37" s="7"/>
      <c r="C37" s="8"/>
      <c r="D37" s="9"/>
      <c r="G37" s="15"/>
      <c r="H37" s="15"/>
      <c r="I37" s="15"/>
    </row>
    <row r="38" spans="1:9" ht="22.15" customHeight="1">
      <c r="A38" s="12"/>
      <c r="B38" s="7"/>
      <c r="C38" s="8"/>
      <c r="D38" s="9"/>
      <c r="G38" s="15"/>
      <c r="H38" s="15"/>
      <c r="I38" s="15"/>
    </row>
  </sheetData>
  <mergeCells count="4">
    <mergeCell ref="A2:H2"/>
    <mergeCell ref="A11:H11"/>
    <mergeCell ref="A24:H24"/>
    <mergeCell ref="A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0761-C7BC-4A54-9034-1143E459EE16}">
  <dimension ref="A1:H24"/>
  <sheetViews>
    <sheetView showGridLines="0" workbookViewId="0">
      <selection activeCell="I13" sqref="I13"/>
    </sheetView>
  </sheetViews>
  <sheetFormatPr defaultColWidth="9.140625" defaultRowHeight="18" customHeight="1"/>
  <cols>
    <col min="1" max="1" width="17.5703125" style="16" customWidth="1"/>
    <col min="2" max="6" width="17.42578125" style="16" customWidth="1"/>
    <col min="7" max="7" width="17.42578125" style="17" customWidth="1"/>
    <col min="8" max="8" width="17.42578125" style="54" customWidth="1"/>
    <col min="9" max="9" width="29.42578125" style="16" customWidth="1"/>
    <col min="10" max="10" width="15.28515625" style="16" bestFit="1" customWidth="1"/>
    <col min="11" max="11" width="15.5703125" style="16" bestFit="1" customWidth="1"/>
    <col min="12" max="12" width="15.28515625" style="16" bestFit="1" customWidth="1"/>
    <col min="13" max="13" width="14.85546875" style="16" bestFit="1" customWidth="1"/>
    <col min="14" max="14" width="16" style="16" customWidth="1"/>
    <col min="15" max="16" width="9" style="16" customWidth="1"/>
    <col min="17" max="16384" width="9.140625" style="16"/>
  </cols>
  <sheetData>
    <row r="1" spans="1:8" ht="18" customHeight="1">
      <c r="E1" s="18"/>
      <c r="F1" s="18"/>
    </row>
    <row r="2" spans="1:8" ht="18" customHeight="1">
      <c r="A2" s="86" t="s">
        <v>48</v>
      </c>
      <c r="B2" s="86"/>
      <c r="C2" s="86"/>
      <c r="D2" s="86"/>
      <c r="E2" s="86"/>
      <c r="F2" s="86"/>
      <c r="G2" s="86"/>
      <c r="H2" s="86"/>
    </row>
    <row r="3" spans="1:8" ht="18" customHeight="1" thickBot="1">
      <c r="A3" s="55" t="s">
        <v>31</v>
      </c>
      <c r="B3" s="56">
        <v>2018</v>
      </c>
      <c r="C3" s="56">
        <v>2019</v>
      </c>
      <c r="D3" s="56">
        <v>2020</v>
      </c>
      <c r="E3" s="56">
        <v>2021</v>
      </c>
      <c r="F3" s="56">
        <v>2022</v>
      </c>
      <c r="G3" s="56">
        <v>2023</v>
      </c>
      <c r="H3" s="56">
        <v>2024</v>
      </c>
    </row>
    <row r="4" spans="1:8" ht="18" customHeight="1">
      <c r="A4" s="57" t="s">
        <v>1</v>
      </c>
      <c r="B4" s="58">
        <v>12428.2</v>
      </c>
      <c r="C4" s="58">
        <v>42667</v>
      </c>
      <c r="D4" s="58">
        <v>14361</v>
      </c>
      <c r="E4" s="58">
        <v>17606.27</v>
      </c>
      <c r="F4" s="58">
        <v>93742</v>
      </c>
      <c r="G4" s="58">
        <v>13460</v>
      </c>
      <c r="H4" s="58">
        <v>8245</v>
      </c>
    </row>
    <row r="5" spans="1:8" ht="18" customHeight="1">
      <c r="A5" s="57" t="s">
        <v>5</v>
      </c>
      <c r="B5" s="58">
        <v>117690.89339999999</v>
      </c>
      <c r="C5" s="58">
        <v>63317.42</v>
      </c>
      <c r="D5" s="58">
        <v>46986.83</v>
      </c>
      <c r="E5" s="58">
        <v>138042.23100000003</v>
      </c>
      <c r="F5" s="58">
        <v>70455</v>
      </c>
      <c r="G5" s="58">
        <v>36715</v>
      </c>
      <c r="H5" s="58">
        <v>27129</v>
      </c>
    </row>
    <row r="6" spans="1:8" ht="18" customHeight="1">
      <c r="A6" s="57" t="s">
        <v>19</v>
      </c>
      <c r="B6" s="58">
        <v>23916.380000000005</v>
      </c>
      <c r="C6" s="58">
        <v>65325.2</v>
      </c>
      <c r="D6" s="58">
        <v>64000.828999999998</v>
      </c>
      <c r="E6" s="58">
        <v>40230</v>
      </c>
      <c r="F6" s="58">
        <v>20807</v>
      </c>
      <c r="G6" s="58">
        <v>7374</v>
      </c>
      <c r="H6" s="58">
        <v>47249.4159167783</v>
      </c>
    </row>
    <row r="7" spans="1:8" ht="18" customHeight="1">
      <c r="A7" s="57" t="s">
        <v>6</v>
      </c>
      <c r="B7" s="58">
        <v>101234.15</v>
      </c>
      <c r="C7" s="58">
        <v>16330</v>
      </c>
      <c r="D7" s="58">
        <v>29665</v>
      </c>
      <c r="E7" s="58">
        <v>85072.58</v>
      </c>
      <c r="F7" s="58">
        <v>44646</v>
      </c>
      <c r="G7" s="58">
        <v>414682</v>
      </c>
      <c r="H7" s="58">
        <v>44995.105602942982</v>
      </c>
    </row>
    <row r="8" spans="1:8" ht="18" customHeight="1">
      <c r="A8" s="57" t="s">
        <v>9</v>
      </c>
      <c r="B8" s="58">
        <v>1086</v>
      </c>
      <c r="C8" s="58">
        <v>5265.3</v>
      </c>
      <c r="D8" s="58">
        <v>500</v>
      </c>
      <c r="E8" s="58">
        <v>6087</v>
      </c>
      <c r="F8" s="58">
        <v>9491</v>
      </c>
      <c r="G8" s="58">
        <v>10192</v>
      </c>
      <c r="H8" s="58">
        <v>2752</v>
      </c>
    </row>
    <row r="9" spans="1:8" ht="18" customHeight="1">
      <c r="A9" s="57" t="s">
        <v>17</v>
      </c>
      <c r="B9" s="58">
        <v>13175.79</v>
      </c>
      <c r="C9" s="58">
        <v>20890</v>
      </c>
      <c r="D9" s="58">
        <v>4309</v>
      </c>
      <c r="E9" s="58">
        <v>2851</v>
      </c>
      <c r="F9" s="58">
        <v>4880</v>
      </c>
      <c r="G9" s="58">
        <v>26383</v>
      </c>
      <c r="H9" s="58">
        <v>17431.592133578582</v>
      </c>
    </row>
    <row r="10" spans="1:8" ht="18" customHeight="1">
      <c r="A10" s="57" t="s">
        <v>18</v>
      </c>
      <c r="B10" s="58">
        <v>136442.90000000002</v>
      </c>
      <c r="C10" s="58">
        <v>109283.5</v>
      </c>
      <c r="D10" s="58">
        <v>130195.25999999998</v>
      </c>
      <c r="E10" s="58">
        <v>171145.2</v>
      </c>
      <c r="F10" s="58">
        <v>98896</v>
      </c>
      <c r="G10" s="58">
        <v>123953</v>
      </c>
      <c r="H10" s="58">
        <v>230029</v>
      </c>
    </row>
    <row r="11" spans="1:8" ht="18" customHeight="1">
      <c r="A11" s="57" t="s">
        <v>23</v>
      </c>
      <c r="B11" s="58">
        <v>23029</v>
      </c>
      <c r="C11" s="58">
        <v>50252.81</v>
      </c>
      <c r="D11" s="58">
        <v>9132.4339999999993</v>
      </c>
      <c r="E11" s="59">
        <v>9132.4339999999993</v>
      </c>
      <c r="F11" s="58">
        <v>9336</v>
      </c>
      <c r="G11" s="58">
        <v>6744</v>
      </c>
      <c r="H11" s="58">
        <v>17175.368534314322</v>
      </c>
    </row>
    <row r="12" spans="1:8" ht="18" customHeight="1">
      <c r="A12" s="57" t="s">
        <v>7</v>
      </c>
      <c r="B12" s="58">
        <v>27740.889999999992</v>
      </c>
      <c r="C12" s="58">
        <v>14733.8</v>
      </c>
      <c r="D12" s="58">
        <v>35676.105000000003</v>
      </c>
      <c r="E12" s="58">
        <v>22992.55</v>
      </c>
      <c r="F12" s="58">
        <v>7436</v>
      </c>
      <c r="G12" s="58">
        <v>11712</v>
      </c>
      <c r="H12" s="58">
        <v>10894.184267157161</v>
      </c>
    </row>
    <row r="13" spans="1:8" ht="18" customHeight="1">
      <c r="A13" s="57" t="s">
        <v>8</v>
      </c>
      <c r="B13" s="58">
        <v>103349.75807894737</v>
      </c>
      <c r="C13" s="58">
        <v>97470.400000000023</v>
      </c>
      <c r="D13" s="58">
        <v>65965.65400000001</v>
      </c>
      <c r="E13" s="58">
        <v>14221.679999999998</v>
      </c>
      <c r="F13" s="58">
        <v>9274</v>
      </c>
      <c r="G13" s="58">
        <v>600</v>
      </c>
      <c r="H13" s="58">
        <v>50077.184267157165</v>
      </c>
    </row>
    <row r="14" spans="1:8" ht="18" customHeight="1">
      <c r="A14" s="57" t="s">
        <v>10</v>
      </c>
      <c r="B14" s="58">
        <v>442778.63099999982</v>
      </c>
      <c r="C14" s="58">
        <v>363442.13999999996</v>
      </c>
      <c r="D14" s="58">
        <v>639502.93600000034</v>
      </c>
      <c r="E14" s="58">
        <v>461873.48400000023</v>
      </c>
      <c r="F14" s="58">
        <v>105557</v>
      </c>
      <c r="G14" s="58">
        <v>1885</v>
      </c>
      <c r="H14" s="58">
        <v>57063</v>
      </c>
    </row>
    <row r="15" spans="1:8" ht="18" customHeight="1">
      <c r="A15" s="57" t="s">
        <v>11</v>
      </c>
      <c r="B15" s="58">
        <v>5526</v>
      </c>
      <c r="C15" s="58">
        <v>22648</v>
      </c>
      <c r="D15" s="58">
        <v>3197.8</v>
      </c>
      <c r="E15" s="58">
        <v>16154.2</v>
      </c>
      <c r="F15" s="58">
        <v>7676</v>
      </c>
      <c r="G15" s="58">
        <v>102212</v>
      </c>
      <c r="H15" s="58">
        <v>39063.36853431433</v>
      </c>
    </row>
    <row r="16" spans="1:8" ht="18" customHeight="1">
      <c r="A16" s="57" t="s">
        <v>27</v>
      </c>
      <c r="B16" s="58">
        <v>20451</v>
      </c>
      <c r="C16" s="58">
        <v>36406.6</v>
      </c>
      <c r="D16" s="58">
        <v>54490.32</v>
      </c>
      <c r="E16" s="58">
        <v>27820</v>
      </c>
      <c r="F16" s="58">
        <v>22475</v>
      </c>
      <c r="G16" s="58">
        <v>20333</v>
      </c>
      <c r="H16" s="58">
        <v>5548</v>
      </c>
    </row>
    <row r="17" spans="1:8" ht="18" customHeight="1">
      <c r="A17" s="57" t="s">
        <v>12</v>
      </c>
      <c r="B17" s="58">
        <v>14907</v>
      </c>
      <c r="C17" s="58">
        <v>15865.6</v>
      </c>
      <c r="D17" s="58">
        <v>760</v>
      </c>
      <c r="E17" s="58">
        <v>43803.437999999995</v>
      </c>
      <c r="F17" s="58">
        <v>38257</v>
      </c>
      <c r="G17" s="58">
        <v>228650</v>
      </c>
      <c r="H17" s="58">
        <v>34279.737068628652</v>
      </c>
    </row>
    <row r="18" spans="1:8" ht="18" customHeight="1">
      <c r="A18" s="57" t="s">
        <v>24</v>
      </c>
      <c r="B18" s="58">
        <v>1058.8</v>
      </c>
      <c r="C18" s="58">
        <v>57889.32</v>
      </c>
      <c r="D18" s="58">
        <v>31133.791999999998</v>
      </c>
      <c r="E18" s="58">
        <v>8611.9200000000019</v>
      </c>
      <c r="F18" s="58">
        <v>14496</v>
      </c>
      <c r="G18" s="58">
        <v>69952</v>
      </c>
      <c r="H18" s="58">
        <v>31048.428</v>
      </c>
    </row>
    <row r="19" spans="1:8" ht="18" customHeight="1">
      <c r="A19" s="57" t="s">
        <v>13</v>
      </c>
      <c r="B19" s="58">
        <v>37076.979999999996</v>
      </c>
      <c r="C19" s="58">
        <v>18751.3</v>
      </c>
      <c r="D19" s="58">
        <v>89072.849999999991</v>
      </c>
      <c r="E19" s="58">
        <v>56515.4</v>
      </c>
      <c r="F19" s="58">
        <v>129150</v>
      </c>
      <c r="G19" s="58">
        <v>170543</v>
      </c>
      <c r="H19" s="58">
        <v>290768.55280147132</v>
      </c>
    </row>
    <row r="20" spans="1:8" ht="18" customHeight="1">
      <c r="A20" s="57" t="s">
        <v>14</v>
      </c>
      <c r="B20" s="58">
        <v>11252.49</v>
      </c>
      <c r="C20" s="58">
        <v>16971</v>
      </c>
      <c r="D20" s="58">
        <v>45714.799999999996</v>
      </c>
      <c r="E20" s="58">
        <v>5938</v>
      </c>
      <c r="F20" s="58">
        <v>273093</v>
      </c>
      <c r="G20" s="58">
        <v>4837</v>
      </c>
      <c r="H20" s="58">
        <v>114312.94720216365</v>
      </c>
    </row>
    <row r="21" spans="1:8" ht="18" customHeight="1" thickBot="1">
      <c r="A21" s="60" t="s">
        <v>16</v>
      </c>
      <c r="B21" s="61">
        <v>72515.130000000019</v>
      </c>
      <c r="C21" s="61">
        <v>66501.279999999999</v>
      </c>
      <c r="D21" s="61">
        <v>51943.913999999997</v>
      </c>
      <c r="E21" s="61">
        <v>25742</v>
      </c>
      <c r="F21" s="61">
        <v>122224</v>
      </c>
      <c r="G21" s="61">
        <v>19663</v>
      </c>
      <c r="H21" s="61">
        <v>129890.23164962114</v>
      </c>
    </row>
    <row r="22" spans="1:8" ht="18" customHeight="1" thickBot="1">
      <c r="A22" s="62" t="s">
        <v>15</v>
      </c>
      <c r="B22" s="63">
        <v>1165659.9924789474</v>
      </c>
      <c r="C22" s="63">
        <v>1084010.67</v>
      </c>
      <c r="D22" s="63">
        <v>1316608.5240000004</v>
      </c>
      <c r="E22" s="63">
        <v>1153839.3870000001</v>
      </c>
      <c r="F22" s="63">
        <f>SUM(F4:F21)</f>
        <v>1081891</v>
      </c>
      <c r="G22" s="63">
        <f t="shared" ref="G22:H22" si="0">SUM(G4:G21)</f>
        <v>1269890</v>
      </c>
      <c r="H22" s="63">
        <f t="shared" si="0"/>
        <v>1157952.1159781276</v>
      </c>
    </row>
    <row r="23" spans="1:8" ht="18" customHeight="1">
      <c r="A23" s="87" t="s">
        <v>45</v>
      </c>
      <c r="B23" s="87"/>
      <c r="C23" s="87"/>
      <c r="D23" s="87"/>
      <c r="E23" s="87"/>
      <c r="F23" s="87"/>
      <c r="H23" s="16"/>
    </row>
    <row r="24" spans="1:8" ht="18" customHeight="1">
      <c r="A24" s="27"/>
      <c r="B24" s="27"/>
      <c r="C24" s="27"/>
      <c r="D24" s="27"/>
      <c r="E24" s="27"/>
      <c r="F24" s="27"/>
      <c r="H24" s="16"/>
    </row>
  </sheetData>
  <mergeCells count="2">
    <mergeCell ref="A2:H2"/>
    <mergeCell ref="A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93F5-0D4F-4DD5-A728-16F34AB86AE4}">
  <dimension ref="A1:H30"/>
  <sheetViews>
    <sheetView showGridLines="0" workbookViewId="0">
      <selection activeCell="I12" sqref="I12"/>
    </sheetView>
  </sheetViews>
  <sheetFormatPr defaultColWidth="9.140625" defaultRowHeight="18" customHeight="1"/>
  <cols>
    <col min="1" max="1" width="36.42578125" style="64" bestFit="1" customWidth="1"/>
    <col min="2" max="4" width="14.85546875" style="64" customWidth="1"/>
    <col min="5" max="6" width="16" style="64" customWidth="1"/>
    <col min="7" max="7" width="15.5703125" style="66" customWidth="1"/>
    <col min="8" max="8" width="14.5703125" style="67" customWidth="1"/>
    <col min="9" max="9" width="29.42578125" style="64" customWidth="1"/>
    <col min="10" max="10" width="15.28515625" style="64" bestFit="1" customWidth="1"/>
    <col min="11" max="11" width="15.5703125" style="64" bestFit="1" customWidth="1"/>
    <col min="12" max="12" width="15.28515625" style="64" bestFit="1" customWidth="1"/>
    <col min="13" max="13" width="14.85546875" style="64" bestFit="1" customWidth="1"/>
    <col min="14" max="14" width="16" style="64" customWidth="1"/>
    <col min="15" max="16" width="9" style="64" customWidth="1"/>
    <col min="17" max="16384" width="9.140625" style="64"/>
  </cols>
  <sheetData>
    <row r="1" spans="1:8" ht="18" customHeight="1">
      <c r="E1" s="65"/>
      <c r="F1" s="65"/>
    </row>
    <row r="2" spans="1:8" ht="18" customHeight="1">
      <c r="A2" s="67"/>
      <c r="E2" s="68"/>
      <c r="F2" s="68"/>
    </row>
    <row r="3" spans="1:8" ht="18" customHeight="1">
      <c r="A3" s="88" t="s">
        <v>49</v>
      </c>
      <c r="B3" s="88"/>
      <c r="C3" s="88"/>
      <c r="D3" s="88"/>
      <c r="E3" s="65"/>
    </row>
    <row r="4" spans="1:8" ht="18" customHeight="1" thickBot="1">
      <c r="A4" s="69" t="s">
        <v>0</v>
      </c>
      <c r="B4" s="69">
        <v>2018</v>
      </c>
      <c r="C4" s="69">
        <v>2019</v>
      </c>
      <c r="D4" s="69">
        <v>2020</v>
      </c>
      <c r="E4" s="69">
        <v>2021</v>
      </c>
      <c r="F4" s="69">
        <v>2022</v>
      </c>
      <c r="G4" s="69">
        <v>2023</v>
      </c>
      <c r="H4" s="69">
        <v>2024</v>
      </c>
    </row>
    <row r="5" spans="1:8" ht="18" customHeight="1">
      <c r="A5" s="70" t="s">
        <v>50</v>
      </c>
      <c r="B5" s="71">
        <v>568979.39934210526</v>
      </c>
      <c r="C5" s="71">
        <v>462085.7699999999</v>
      </c>
      <c r="D5" s="71">
        <v>542177.87100000004</v>
      </c>
      <c r="E5" s="72">
        <v>332410.283</v>
      </c>
      <c r="F5" s="72">
        <v>665744</v>
      </c>
      <c r="G5" s="72">
        <v>225169</v>
      </c>
      <c r="H5" s="72">
        <v>814355.04320584238</v>
      </c>
    </row>
    <row r="6" spans="1:8" ht="18" customHeight="1">
      <c r="A6" s="70" t="s">
        <v>51</v>
      </c>
      <c r="B6" s="71">
        <v>248379.1941894737</v>
      </c>
      <c r="C6" s="71">
        <v>301579.75</v>
      </c>
      <c r="D6" s="71">
        <v>260910.14899999998</v>
      </c>
      <c r="E6" s="71">
        <v>166624.25</v>
      </c>
      <c r="F6" s="71">
        <v>225516</v>
      </c>
      <c r="G6" s="71">
        <v>436662</v>
      </c>
      <c r="H6" s="71">
        <v>208136.637967135</v>
      </c>
    </row>
    <row r="7" spans="1:8" ht="18" customHeight="1">
      <c r="A7" s="70" t="s">
        <v>21</v>
      </c>
      <c r="B7" s="71">
        <v>50800.92</v>
      </c>
      <c r="C7" s="71">
        <v>77060.53</v>
      </c>
      <c r="D7" s="71">
        <v>71113.459999999992</v>
      </c>
      <c r="E7" s="71">
        <v>9303.24</v>
      </c>
      <c r="F7" s="71">
        <v>34453</v>
      </c>
      <c r="G7" s="71">
        <v>37393</v>
      </c>
      <c r="H7" s="71">
        <v>29959.368534314322</v>
      </c>
    </row>
    <row r="8" spans="1:8" ht="18" customHeight="1">
      <c r="A8" s="70" t="s">
        <v>22</v>
      </c>
      <c r="B8" s="71">
        <v>90860.030000000013</v>
      </c>
      <c r="C8" s="71">
        <v>45845.8</v>
      </c>
      <c r="D8" s="71">
        <v>73813</v>
      </c>
      <c r="E8" s="71">
        <v>54429.600000000006</v>
      </c>
      <c r="F8" s="71">
        <v>3538</v>
      </c>
      <c r="G8" s="71">
        <v>300</v>
      </c>
      <c r="H8" s="71">
        <v>5032.5921335785806</v>
      </c>
    </row>
    <row r="9" spans="1:8" ht="18" customHeight="1">
      <c r="A9" s="70" t="s">
        <v>25</v>
      </c>
      <c r="B9" s="71">
        <v>83668.31</v>
      </c>
      <c r="C9" s="71">
        <v>54300.200000000004</v>
      </c>
      <c r="D9" s="71">
        <v>32401.05</v>
      </c>
      <c r="E9" s="71">
        <v>46973.200000000004</v>
      </c>
      <c r="F9" s="71">
        <v>44220</v>
      </c>
      <c r="G9" s="71">
        <v>8931</v>
      </c>
      <c r="H9" s="71">
        <v>5109.5921335785806</v>
      </c>
    </row>
    <row r="10" spans="1:8" ht="18" customHeight="1">
      <c r="A10" s="70" t="s">
        <v>20</v>
      </c>
      <c r="B10" s="71">
        <v>53334.049999999996</v>
      </c>
      <c r="C10" s="71">
        <v>90515.62</v>
      </c>
      <c r="D10" s="71">
        <v>242042.93400000001</v>
      </c>
      <c r="E10" s="71">
        <v>276553.69</v>
      </c>
      <c r="F10" s="71">
        <v>8311</v>
      </c>
      <c r="G10" s="71">
        <v>12006</v>
      </c>
      <c r="H10" s="71">
        <v>29338.776400735747</v>
      </c>
    </row>
    <row r="11" spans="1:8" ht="18" customHeight="1">
      <c r="A11" s="70" t="s">
        <v>26</v>
      </c>
      <c r="B11" s="71">
        <v>52080.498947368418</v>
      </c>
      <c r="C11" s="71">
        <v>42653</v>
      </c>
      <c r="D11" s="71">
        <v>91229.06</v>
      </c>
      <c r="E11" s="71">
        <v>162046.62</v>
      </c>
      <c r="F11" s="71">
        <v>14271</v>
      </c>
      <c r="G11" s="71">
        <v>4220</v>
      </c>
      <c r="H11" s="71">
        <v>2597</v>
      </c>
    </row>
    <row r="12" spans="1:8" ht="18" customHeight="1">
      <c r="A12" s="70" t="s">
        <v>28</v>
      </c>
      <c r="B12" s="71">
        <v>10685.58</v>
      </c>
      <c r="C12" s="71">
        <v>6488</v>
      </c>
      <c r="D12" s="71">
        <v>2681</v>
      </c>
      <c r="E12" s="71">
        <v>104678.03</v>
      </c>
      <c r="F12" s="71">
        <v>42802</v>
      </c>
      <c r="G12" s="71">
        <v>75029</v>
      </c>
      <c r="H12" s="71">
        <v>3480</v>
      </c>
    </row>
    <row r="13" spans="1:8" ht="18" customHeight="1">
      <c r="A13" s="73" t="s">
        <v>29</v>
      </c>
      <c r="B13" s="71">
        <v>6872.01</v>
      </c>
      <c r="C13" s="71">
        <v>3330</v>
      </c>
      <c r="D13" s="71">
        <v>240</v>
      </c>
      <c r="E13" s="71">
        <v>1365</v>
      </c>
      <c r="F13" s="71">
        <v>43036</v>
      </c>
      <c r="G13" s="71">
        <v>470180</v>
      </c>
      <c r="H13" s="71">
        <v>59943.105602942982</v>
      </c>
    </row>
    <row r="14" spans="1:8" ht="18" customHeight="1" thickBot="1">
      <c r="A14" s="74" t="s">
        <v>15</v>
      </c>
      <c r="B14" s="75">
        <v>1165659.9924789476</v>
      </c>
      <c r="C14" s="75">
        <v>1083858.67</v>
      </c>
      <c r="D14" s="75">
        <v>1316608.5240000002</v>
      </c>
      <c r="E14" s="75">
        <v>1154383.9129999999</v>
      </c>
      <c r="F14" s="75">
        <f>SUM(F5:F13)</f>
        <v>1081891</v>
      </c>
      <c r="G14" s="75">
        <f>SUM(G5:G13)</f>
        <v>1269890</v>
      </c>
      <c r="H14" s="75">
        <f>SUM(H5:H13)</f>
        <v>1157952.1159781276</v>
      </c>
    </row>
    <row r="15" spans="1:8" ht="18" customHeight="1">
      <c r="A15" s="87" t="s">
        <v>45</v>
      </c>
      <c r="B15" s="87"/>
      <c r="C15" s="87"/>
      <c r="D15" s="87"/>
      <c r="E15" s="87"/>
      <c r="F15" s="87"/>
    </row>
    <row r="16" spans="1:8" ht="18" customHeight="1">
      <c r="A16" s="76"/>
      <c r="B16" s="76"/>
      <c r="C16" s="76"/>
      <c r="D16" s="76"/>
      <c r="E16" s="76"/>
      <c r="F16" s="76"/>
    </row>
    <row r="17" spans="1:8" ht="18" customHeight="1">
      <c r="A17" s="76"/>
      <c r="B17" s="76"/>
      <c r="C17" s="76"/>
      <c r="D17" s="76"/>
      <c r="E17" s="76"/>
      <c r="F17" s="76"/>
    </row>
    <row r="18" spans="1:8" ht="18" customHeight="1">
      <c r="A18" s="88" t="s">
        <v>52</v>
      </c>
      <c r="B18" s="88"/>
      <c r="C18" s="88"/>
      <c r="D18" s="88"/>
    </row>
    <row r="19" spans="1:8" ht="18" customHeight="1" thickBot="1">
      <c r="A19" s="69" t="s">
        <v>0</v>
      </c>
      <c r="B19" s="69">
        <v>2018</v>
      </c>
      <c r="C19" s="69">
        <v>2019</v>
      </c>
      <c r="D19" s="69">
        <v>2020</v>
      </c>
      <c r="E19" s="69">
        <v>2021</v>
      </c>
      <c r="F19" s="69">
        <v>2022</v>
      </c>
      <c r="G19" s="69">
        <v>2023</v>
      </c>
      <c r="H19" s="69">
        <v>2024</v>
      </c>
    </row>
    <row r="20" spans="1:8" ht="18" customHeight="1">
      <c r="A20" s="70" t="s">
        <v>53</v>
      </c>
      <c r="B20" s="71">
        <v>48.811780709063093</v>
      </c>
      <c r="C20" s="71">
        <v>42.633397027677042</v>
      </c>
      <c r="D20" s="71">
        <v>41.179884613902132</v>
      </c>
      <c r="E20" s="71">
        <v>28.795470835706283</v>
      </c>
      <c r="F20" s="71">
        <v>61.535219352041935</v>
      </c>
      <c r="G20" s="71">
        <v>17.731378308357417</v>
      </c>
      <c r="H20" s="71">
        <v>70.327177779536498</v>
      </c>
    </row>
    <row r="21" spans="1:8" ht="18" customHeight="1">
      <c r="A21" s="70" t="s">
        <v>51</v>
      </c>
      <c r="B21" s="71">
        <v>21.308031140475087</v>
      </c>
      <c r="C21" s="71">
        <v>27.824637874604079</v>
      </c>
      <c r="D21" s="71">
        <v>19.816835774944437</v>
      </c>
      <c r="E21" s="71">
        <v>14.434041233906211</v>
      </c>
      <c r="F21" s="71">
        <v>20.844613736503955</v>
      </c>
      <c r="G21" s="71">
        <v>34.38581294442826</v>
      </c>
      <c r="H21" s="71">
        <v>17.974546191948622</v>
      </c>
    </row>
    <row r="22" spans="1:8" ht="18" customHeight="1">
      <c r="A22" s="70" t="s">
        <v>21</v>
      </c>
      <c r="B22" s="71">
        <v>4.358125038842962</v>
      </c>
      <c r="C22" s="71">
        <v>7.1098319488462458</v>
      </c>
      <c r="D22" s="71">
        <v>5.4012607926879852</v>
      </c>
      <c r="E22" s="71">
        <v>0.80590520148733225</v>
      </c>
      <c r="F22" s="71">
        <v>3.1845167396715564</v>
      </c>
      <c r="G22" s="71">
        <v>2.9445857515217853</v>
      </c>
      <c r="H22" s="71">
        <v>2.5872717982822202</v>
      </c>
    </row>
    <row r="23" spans="1:8" ht="18" customHeight="1">
      <c r="A23" s="70" t="s">
        <v>22</v>
      </c>
      <c r="B23" s="71">
        <v>7.7947283587191478</v>
      </c>
      <c r="C23" s="71">
        <v>4.2298688259789445</v>
      </c>
      <c r="D23" s="71">
        <v>5.6062982013626996</v>
      </c>
      <c r="E23" s="71">
        <v>4.7150345207556619</v>
      </c>
      <c r="F23" s="71">
        <v>0.32702000478791299</v>
      </c>
      <c r="G23" s="71">
        <v>2.3624093425414799E-2</v>
      </c>
      <c r="H23" s="71">
        <v>0.434611419948702</v>
      </c>
    </row>
    <row r="24" spans="1:8" ht="18" customHeight="1">
      <c r="A24" s="70" t="s">
        <v>25</v>
      </c>
      <c r="B24" s="71">
        <v>7.1777628587961591</v>
      </c>
      <c r="C24" s="71">
        <v>5.0098967238966692</v>
      </c>
      <c r="D24" s="71">
        <v>2.4609479134740884</v>
      </c>
      <c r="E24" s="71">
        <v>4.0691142237010718</v>
      </c>
      <c r="F24" s="71">
        <v>4.0872879060829606</v>
      </c>
      <c r="G24" s="71">
        <v>0.70328926127459856</v>
      </c>
      <c r="H24" s="71">
        <v>0.44126109042622064</v>
      </c>
    </row>
    <row r="25" spans="1:8" ht="18" customHeight="1">
      <c r="A25" s="70" t="s">
        <v>20</v>
      </c>
      <c r="B25" s="71">
        <v>4.575437978837833</v>
      </c>
      <c r="C25" s="71">
        <v>8.3512382661477442</v>
      </c>
      <c r="D25" s="71">
        <v>18.383819456420287</v>
      </c>
      <c r="E25" s="71">
        <v>23.956821200088918</v>
      </c>
      <c r="F25" s="71">
        <v>0.76819198976606695</v>
      </c>
      <c r="G25" s="71">
        <v>0.94543621888510032</v>
      </c>
      <c r="H25" s="71">
        <v>2.533677860759652</v>
      </c>
    </row>
    <row r="26" spans="1:8" ht="18" customHeight="1">
      <c r="A26" s="70" t="s">
        <v>26</v>
      </c>
      <c r="B26" s="71">
        <v>4.4678979533827494</v>
      </c>
      <c r="C26" s="71">
        <v>3.9352916741441946</v>
      </c>
      <c r="D26" s="71">
        <v>6.9290953489224094</v>
      </c>
      <c r="E26" s="71">
        <v>14.037498112640453</v>
      </c>
      <c r="F26" s="71">
        <v>1.319079278781319</v>
      </c>
      <c r="G26" s="71">
        <v>0.33231224751750149</v>
      </c>
      <c r="H26" s="71">
        <v>0.22427524974176519</v>
      </c>
    </row>
    <row r="27" spans="1:8" ht="18" customHeight="1">
      <c r="A27" s="70" t="s">
        <v>28</v>
      </c>
      <c r="B27" s="71">
        <v>0.91669784233355567</v>
      </c>
      <c r="C27" s="71">
        <v>0.59860202991225786</v>
      </c>
      <c r="D27" s="71">
        <v>0.20362924522581927</v>
      </c>
      <c r="E27" s="71">
        <v>9.0678697806836119</v>
      </c>
      <c r="F27" s="71">
        <v>3.9562210980588617</v>
      </c>
      <c r="G27" s="71">
        <v>5.9083070187181566</v>
      </c>
      <c r="H27" s="71">
        <v>0.30053056184110238</v>
      </c>
    </row>
    <row r="28" spans="1:8" ht="18" customHeight="1">
      <c r="A28" s="70" t="s">
        <v>29</v>
      </c>
      <c r="B28" s="71">
        <v>0.58953811954939439</v>
      </c>
      <c r="C28" s="71">
        <v>0.3072356287928204</v>
      </c>
      <c r="D28" s="71">
        <v>1.8228653060125558E-2</v>
      </c>
      <c r="E28" s="71">
        <v>0.11824489103045913</v>
      </c>
      <c r="F28" s="71">
        <v>3.9778498943054337</v>
      </c>
      <c r="G28" s="71">
        <v>37.025254155871771</v>
      </c>
      <c r="H28" s="71">
        <v>5.1766480475152257</v>
      </c>
    </row>
    <row r="29" spans="1:8" ht="18" customHeight="1" thickBot="1">
      <c r="A29" s="74" t="s">
        <v>15</v>
      </c>
      <c r="B29" s="75">
        <f t="shared" ref="B29:H29" si="0">SUM(B20:B28)</f>
        <v>99.999999999999972</v>
      </c>
      <c r="C29" s="75">
        <f t="shared" si="0"/>
        <v>100.00000000000001</v>
      </c>
      <c r="D29" s="75">
        <f t="shared" si="0"/>
        <v>99.999999999999986</v>
      </c>
      <c r="E29" s="75">
        <f t="shared" si="0"/>
        <v>100</v>
      </c>
      <c r="F29" s="75">
        <f t="shared" si="0"/>
        <v>100</v>
      </c>
      <c r="G29" s="75">
        <f t="shared" si="0"/>
        <v>100</v>
      </c>
      <c r="H29" s="75">
        <f t="shared" si="0"/>
        <v>100.00000000000001</v>
      </c>
    </row>
    <row r="30" spans="1:8" ht="18" customHeight="1">
      <c r="A30" s="87" t="s">
        <v>45</v>
      </c>
      <c r="B30" s="87"/>
      <c r="C30" s="87"/>
      <c r="D30" s="87"/>
      <c r="E30" s="87"/>
      <c r="F30" s="87"/>
    </row>
  </sheetData>
  <mergeCells count="4">
    <mergeCell ref="A3:D3"/>
    <mergeCell ref="A15:F15"/>
    <mergeCell ref="A18:D18"/>
    <mergeCell ref="A30:F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4DED-E112-420E-9802-D9C996C0D8C5}">
  <dimension ref="A2:H11"/>
  <sheetViews>
    <sheetView showGridLines="0" tabSelected="1" workbookViewId="0">
      <selection activeCell="G22" sqref="G22"/>
    </sheetView>
  </sheetViews>
  <sheetFormatPr defaultRowHeight="18" customHeight="1"/>
  <cols>
    <col min="1" max="1" width="27.28515625" customWidth="1"/>
    <col min="2" max="3" width="12.42578125" bestFit="1" customWidth="1"/>
    <col min="4" max="8" width="11.7109375" bestFit="1" customWidth="1"/>
  </cols>
  <sheetData>
    <row r="2" spans="1:8" ht="18" customHeight="1">
      <c r="A2" s="88" t="s">
        <v>54</v>
      </c>
      <c r="B2" s="88"/>
      <c r="C2" s="88"/>
      <c r="D2" s="88"/>
      <c r="E2" s="77"/>
      <c r="F2" s="77"/>
      <c r="G2" s="66"/>
      <c r="H2" s="67"/>
    </row>
    <row r="3" spans="1:8" ht="18" customHeight="1" thickBot="1">
      <c r="A3" s="69" t="s">
        <v>55</v>
      </c>
      <c r="B3" s="69">
        <v>2018</v>
      </c>
      <c r="C3" s="69">
        <v>2019</v>
      </c>
      <c r="D3" s="69">
        <v>2020</v>
      </c>
      <c r="E3" s="69">
        <v>2021</v>
      </c>
      <c r="F3" s="69">
        <v>2022</v>
      </c>
      <c r="G3" s="69">
        <v>2023</v>
      </c>
      <c r="H3" s="69">
        <v>2024</v>
      </c>
    </row>
    <row r="4" spans="1:8" ht="18" customHeight="1">
      <c r="A4" s="70" t="s">
        <v>30</v>
      </c>
      <c r="B4" s="71">
        <v>673461.47296315769</v>
      </c>
      <c r="C4" s="71">
        <v>561648.29999999981</v>
      </c>
      <c r="D4" s="78">
        <v>797093.44999999972</v>
      </c>
      <c r="E4" s="78">
        <v>772956.32500000007</v>
      </c>
      <c r="F4" s="78">
        <v>880784</v>
      </c>
      <c r="G4" s="78">
        <v>968282</v>
      </c>
      <c r="H4" s="78">
        <v>963604.76664234267</v>
      </c>
    </row>
    <row r="5" spans="1:8" ht="18" customHeight="1">
      <c r="A5" s="70" t="s">
        <v>56</v>
      </c>
      <c r="B5" s="71">
        <v>3730.9409999999998</v>
      </c>
      <c r="C5" s="71">
        <v>4845</v>
      </c>
      <c r="D5" s="78">
        <v>5902</v>
      </c>
      <c r="E5" s="78">
        <v>80607.75</v>
      </c>
      <c r="F5" s="78">
        <v>2696</v>
      </c>
      <c r="G5" s="78">
        <v>71737</v>
      </c>
      <c r="H5" s="78">
        <v>17786.184267157161</v>
      </c>
    </row>
    <row r="6" spans="1:8" ht="18" customHeight="1">
      <c r="A6" s="70" t="s">
        <v>36</v>
      </c>
      <c r="B6" s="71">
        <v>5523.6409999999996</v>
      </c>
      <c r="C6" s="71">
        <v>619</v>
      </c>
      <c r="D6" s="78">
        <v>0</v>
      </c>
      <c r="E6" s="78">
        <v>16169</v>
      </c>
      <c r="F6" s="78">
        <v>1298</v>
      </c>
      <c r="G6" s="78">
        <v>21693</v>
      </c>
      <c r="H6" s="78">
        <v>8702.5921335785806</v>
      </c>
    </row>
    <row r="7" spans="1:8" ht="18" customHeight="1">
      <c r="A7" s="70" t="s">
        <v>2</v>
      </c>
      <c r="B7" s="71">
        <v>400859.44551578932</v>
      </c>
      <c r="C7" s="71">
        <v>412859.03</v>
      </c>
      <c r="D7" s="78">
        <v>268147.14</v>
      </c>
      <c r="E7" s="78">
        <v>216666.92000000004</v>
      </c>
      <c r="F7" s="78">
        <v>151451</v>
      </c>
      <c r="G7" s="78">
        <v>202490</v>
      </c>
      <c r="H7" s="78">
        <v>88002.990400735318</v>
      </c>
    </row>
    <row r="8" spans="1:8" ht="18" customHeight="1">
      <c r="A8" s="70" t="s">
        <v>3</v>
      </c>
      <c r="B8" s="71">
        <v>29754.601999999999</v>
      </c>
      <c r="C8" s="71">
        <v>878</v>
      </c>
      <c r="D8" s="78">
        <v>855</v>
      </c>
      <c r="E8" s="78">
        <v>33876.778000000006</v>
      </c>
      <c r="F8" s="78">
        <v>12400</v>
      </c>
      <c r="G8" s="78">
        <v>0</v>
      </c>
      <c r="H8" s="78">
        <v>58820.213999999571</v>
      </c>
    </row>
    <row r="9" spans="1:8" ht="18" customHeight="1" thickBot="1">
      <c r="A9" s="79" t="s">
        <v>4</v>
      </c>
      <c r="B9" s="80">
        <v>52329.89</v>
      </c>
      <c r="C9" s="80">
        <v>103161.34000000001</v>
      </c>
      <c r="D9" s="81">
        <v>244610.93400000001</v>
      </c>
      <c r="E9" s="81">
        <v>121066.6</v>
      </c>
      <c r="F9" s="81">
        <v>33262</v>
      </c>
      <c r="G9" s="81">
        <v>5688</v>
      </c>
      <c r="H9" s="81">
        <v>21035.368534314322</v>
      </c>
    </row>
    <row r="10" spans="1:8" ht="18" customHeight="1" thickBot="1">
      <c r="A10" s="82" t="s">
        <v>15</v>
      </c>
      <c r="B10" s="83">
        <f t="shared" ref="B10:G10" si="0">SUM(B4:B9)</f>
        <v>1165659.9924789469</v>
      </c>
      <c r="C10" s="83">
        <f t="shared" si="0"/>
        <v>1084010.67</v>
      </c>
      <c r="D10" s="83">
        <f t="shared" si="0"/>
        <v>1316608.5239999997</v>
      </c>
      <c r="E10" s="83">
        <f t="shared" si="0"/>
        <v>1241343.3730000001</v>
      </c>
      <c r="F10" s="83">
        <f t="shared" si="0"/>
        <v>1081891</v>
      </c>
      <c r="G10" s="83">
        <f t="shared" si="0"/>
        <v>1269890</v>
      </c>
      <c r="H10" s="83">
        <f>SUM(H4:H9)</f>
        <v>1157952.1159781276</v>
      </c>
    </row>
    <row r="11" spans="1:8" ht="18" customHeight="1">
      <c r="A11" s="87" t="s">
        <v>45</v>
      </c>
      <c r="B11" s="87"/>
      <c r="C11" s="87"/>
      <c r="D11" s="87"/>
      <c r="E11" s="87"/>
      <c r="F11" s="87"/>
      <c r="G11" s="66"/>
      <c r="H11" s="67"/>
    </row>
  </sheetData>
  <mergeCells count="2">
    <mergeCell ref="A2:D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Numero_Licenças de Construção</vt:lpstr>
      <vt:lpstr>Tipos de Licencas de Construção</vt:lpstr>
      <vt:lpstr>Area_Bruta_Província</vt:lpstr>
      <vt:lpstr>Area_Bruta_Destino</vt:lpstr>
      <vt:lpstr>Area_Bruta_Titular_Licença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adao fernando</dc:creator>
  <cp:lastModifiedBy>Adao Fernando</cp:lastModifiedBy>
  <cp:lastPrinted>2021-08-17T09:21:25Z</cp:lastPrinted>
  <dcterms:created xsi:type="dcterms:W3CDTF">2018-12-07T12:36:14Z</dcterms:created>
  <dcterms:modified xsi:type="dcterms:W3CDTF">2025-10-16T08:42:00Z</dcterms:modified>
</cp:coreProperties>
</file>