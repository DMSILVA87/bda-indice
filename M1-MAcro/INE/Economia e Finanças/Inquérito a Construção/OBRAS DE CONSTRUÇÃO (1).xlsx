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fernando\Desktop\ITAEPC_2025\"/>
    </mc:Choice>
  </mc:AlternateContent>
  <xr:revisionPtr revIDLastSave="0" documentId="8_{144A3DBF-F4BD-4F32-B2EB-A90F92DEAE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bras_Província" sheetId="96" r:id="rId1"/>
    <sheet name="Custo_Mão_Obra" sheetId="100" r:id="rId2"/>
    <sheet name="Área_Bruta" sheetId="101" r:id="rId3"/>
    <sheet name="Materiais de Construção" sheetId="102" r:id="rId4"/>
    <sheet name="Obra por Destino" sheetId="104" r:id="rId5"/>
    <sheet name="Obra por Proposito" sheetId="10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5" i="100" l="1"/>
  <c r="R21" i="100"/>
  <c r="R71" i="103"/>
  <c r="R46" i="103"/>
  <c r="R22" i="103"/>
  <c r="U47" i="104"/>
  <c r="U22" i="104"/>
  <c r="R49" i="101"/>
  <c r="R23" i="101"/>
  <c r="R48" i="96"/>
  <c r="R23" i="96"/>
  <c r="P49" i="101"/>
  <c r="P23" i="101"/>
  <c r="P45" i="100"/>
  <c r="P21" i="100"/>
  <c r="B23" i="101"/>
  <c r="B22" i="103"/>
  <c r="C22" i="103"/>
  <c r="D22" i="103"/>
  <c r="E22" i="103"/>
  <c r="F22" i="103"/>
  <c r="G22" i="103"/>
  <c r="O22" i="103"/>
  <c r="N22" i="103"/>
  <c r="M46" i="103"/>
  <c r="M71" i="103"/>
  <c r="B71" i="103" l="1"/>
  <c r="C71" i="103"/>
  <c r="D71" i="103"/>
  <c r="E71" i="103"/>
  <c r="F71" i="103"/>
  <c r="G71" i="103"/>
  <c r="N71" i="103"/>
  <c r="O71" i="103"/>
  <c r="B46" i="103"/>
  <c r="C46" i="103"/>
  <c r="D46" i="103"/>
  <c r="E46" i="103"/>
  <c r="F46" i="103"/>
  <c r="G46" i="103"/>
  <c r="N46" i="103"/>
  <c r="O46" i="103"/>
  <c r="J22" i="104" l="1"/>
  <c r="L71" i="103" l="1"/>
  <c r="L46" i="103"/>
  <c r="L22" i="103"/>
  <c r="P48" i="96" l="1"/>
  <c r="O48" i="96"/>
  <c r="N48" i="96"/>
  <c r="M48" i="96"/>
  <c r="L48" i="96"/>
  <c r="K48" i="96"/>
  <c r="J48" i="96"/>
  <c r="I48" i="96"/>
  <c r="H48" i="96"/>
  <c r="G48" i="96"/>
  <c r="F48" i="96"/>
  <c r="E48" i="96"/>
  <c r="D48" i="96"/>
  <c r="C48" i="96"/>
  <c r="B48" i="96"/>
  <c r="P23" i="96"/>
  <c r="O23" i="96"/>
  <c r="N23" i="96"/>
  <c r="M23" i="96"/>
  <c r="L23" i="96"/>
  <c r="K23" i="96"/>
  <c r="J23" i="96"/>
  <c r="I23" i="96"/>
  <c r="H23" i="96"/>
  <c r="G23" i="96"/>
  <c r="F23" i="96"/>
  <c r="E23" i="96"/>
  <c r="D23" i="96"/>
  <c r="C23" i="96"/>
  <c r="B23" i="96"/>
  <c r="M34" i="102" l="1"/>
  <c r="C45" i="100" l="1"/>
  <c r="D45" i="100"/>
  <c r="E45" i="100"/>
  <c r="F45" i="100"/>
  <c r="G45" i="100"/>
  <c r="H45" i="100"/>
  <c r="I45" i="100"/>
  <c r="J45" i="100"/>
  <c r="K45" i="100"/>
  <c r="L45" i="100"/>
  <c r="M45" i="100"/>
  <c r="N45" i="100"/>
  <c r="O45" i="100"/>
  <c r="B45" i="100"/>
  <c r="C21" i="100"/>
  <c r="D21" i="100"/>
  <c r="E21" i="100"/>
  <c r="F21" i="100"/>
  <c r="G21" i="100"/>
  <c r="H21" i="100"/>
  <c r="I21" i="100"/>
  <c r="J21" i="100"/>
  <c r="K21" i="100"/>
  <c r="L21" i="100"/>
  <c r="M21" i="100"/>
  <c r="N21" i="100"/>
  <c r="O21" i="100"/>
  <c r="M49" i="101" l="1"/>
  <c r="M23" i="101"/>
  <c r="B49" i="101" l="1"/>
  <c r="E23" i="101" l="1"/>
  <c r="F23" i="101"/>
  <c r="G23" i="101"/>
  <c r="H23" i="101"/>
  <c r="I23" i="101"/>
  <c r="J23" i="101"/>
  <c r="E49" i="101"/>
  <c r="F49" i="101"/>
  <c r="G49" i="101"/>
  <c r="H49" i="101"/>
  <c r="I49" i="101"/>
  <c r="J49" i="101"/>
  <c r="C49" i="101" l="1"/>
  <c r="D49" i="101"/>
  <c r="D23" i="101"/>
  <c r="C23" i="101"/>
  <c r="N23" i="101" l="1"/>
  <c r="O23" i="101"/>
  <c r="O49" i="101"/>
  <c r="N49" i="101"/>
  <c r="L49" i="101" l="1"/>
  <c r="K49" i="101"/>
  <c r="L23" i="101"/>
  <c r="K23" i="101"/>
  <c r="B21" i="100" l="1"/>
</calcChain>
</file>

<file path=xl/sharedStrings.xml><?xml version="1.0" encoding="utf-8"?>
<sst xmlns="http://schemas.openxmlformats.org/spreadsheetml/2006/main" count="545" uniqueCount="80">
  <si>
    <t>Bengo</t>
  </si>
  <si>
    <t>Lunda Norte</t>
  </si>
  <si>
    <t>Uíge</t>
  </si>
  <si>
    <t>Bié</t>
  </si>
  <si>
    <t>Luanda</t>
  </si>
  <si>
    <t>Moxico</t>
  </si>
  <si>
    <t>Zaire</t>
  </si>
  <si>
    <t>Huambo</t>
  </si>
  <si>
    <t>Malanje</t>
  </si>
  <si>
    <t>Namibe</t>
  </si>
  <si>
    <t>Benguela</t>
  </si>
  <si>
    <t>Cunene</t>
  </si>
  <si>
    <t>1. Betão e Ferro</t>
  </si>
  <si>
    <t>1. Blocos</t>
  </si>
  <si>
    <t>2. Chapa de zinco</t>
  </si>
  <si>
    <t>1. Concreto</t>
  </si>
  <si>
    <t>3. Blocos</t>
  </si>
  <si>
    <t>2. Tijolos</t>
  </si>
  <si>
    <t>4. Lusalite</t>
  </si>
  <si>
    <t>2. Cerâmica</t>
  </si>
  <si>
    <t>3. Telha de barro</t>
  </si>
  <si>
    <t>1. Granito</t>
  </si>
  <si>
    <t>2. Estrututa Ferro/Aço</t>
  </si>
  <si>
    <t>Cabinda</t>
  </si>
  <si>
    <t>Lunda Sul</t>
  </si>
  <si>
    <t>Cuando Cubango</t>
  </si>
  <si>
    <t>Cuanza Norte</t>
  </si>
  <si>
    <t>Cuanza Sul</t>
  </si>
  <si>
    <t>Huila</t>
  </si>
  <si>
    <t>Paredes</t>
  </si>
  <si>
    <t>Tectos</t>
  </si>
  <si>
    <t>Total</t>
  </si>
  <si>
    <t>Província</t>
  </si>
  <si>
    <t xml:space="preserve">Total  </t>
  </si>
  <si>
    <t>Total Geral</t>
  </si>
  <si>
    <t>Materias</t>
  </si>
  <si>
    <t>Estrutura</t>
  </si>
  <si>
    <t>Piso</t>
  </si>
  <si>
    <t>ProvÍncia</t>
  </si>
  <si>
    <t>3. Estrutura prefabricada</t>
  </si>
  <si>
    <t>IV T_2023</t>
  </si>
  <si>
    <t>I T_2024</t>
  </si>
  <si>
    <t>3.Torta de cimento</t>
  </si>
  <si>
    <t>4. Mármore</t>
  </si>
  <si>
    <t>5. Madeira</t>
  </si>
  <si>
    <t>IV T_2021</t>
  </si>
  <si>
    <t>III T_2021</t>
  </si>
  <si>
    <t>II T_2021</t>
  </si>
  <si>
    <t>I T_2021</t>
  </si>
  <si>
    <t>I T_2022</t>
  </si>
  <si>
    <t>II T_2022</t>
  </si>
  <si>
    <t>III T_2022</t>
  </si>
  <si>
    <t>IV T_2022</t>
  </si>
  <si>
    <t>I T_2023</t>
  </si>
  <si>
    <t>II T_2023</t>
  </si>
  <si>
    <t>III T_2023</t>
  </si>
  <si>
    <t>II T_2024</t>
  </si>
  <si>
    <t>III T_2024</t>
  </si>
  <si>
    <t>IV T_2024</t>
  </si>
  <si>
    <t>I T_2025</t>
  </si>
  <si>
    <t xml:space="preserve">                      -     </t>
  </si>
  <si>
    <t>-</t>
  </si>
  <si>
    <t>Fonte: INE/Departamento Estatística Económica e Financeira</t>
  </si>
  <si>
    <t>Quadro 1 - Número de obras em construção, por província</t>
  </si>
  <si>
    <t>Quadro 2 - Número de obras paralisada, por província</t>
  </si>
  <si>
    <t>Quadro 1 - Número de obras residencias, segundo província</t>
  </si>
  <si>
    <t>Quadro 2 - Número de obras não residenciais, segundo província</t>
  </si>
  <si>
    <t>Quadro 1 - Número de obras para Habitar, segundo província</t>
  </si>
  <si>
    <t>Quadro 2 - Número de obras para uso próprio, segundo província</t>
  </si>
  <si>
    <t>Quadro 3 - Número de obras para propósito misto, segundo província</t>
  </si>
  <si>
    <t>Quadro 1 - Custo Médio mensal da mão-de-obra (Kz) para obras residenciais, segundo província</t>
  </si>
  <si>
    <t>Quadro 2 - Custo Médio mensal da mão-de-obra (Kz) para obras não residenciais, segundo província</t>
  </si>
  <si>
    <t xml:space="preserve">      Qaudro 1 - Área bruta  em metros quadrados para obras residencial, segundo província </t>
  </si>
  <si>
    <t xml:space="preserve">Qaudro 2 - Área bruta  em metros quadrados para obras não residencial, segundo província </t>
  </si>
  <si>
    <t>Quadro 1 - Materiais de construção mais utilizados para obras residencial</t>
  </si>
  <si>
    <t>Quadro 2 - Materiais de construção mais utilizados para  obras não residencial</t>
  </si>
  <si>
    <t>IT_2025</t>
  </si>
  <si>
    <t>II T_2025</t>
  </si>
  <si>
    <t>III T_2025</t>
  </si>
  <si>
    <t>IV T_2025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</si>
</sst>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K_z_-;\-* #,##0\ _K_z_-;_-* &quot;-&quot;??\ _K_z_-;_-@_-"/>
    <numFmt numFmtId="166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3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6" fontId="3" fillId="0" borderId="0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165" fontId="6" fillId="0" borderId="4" xfId="1" applyNumberFormat="1" applyFont="1" applyFill="1" applyBorder="1"/>
    <xf numFmtId="165" fontId="6" fillId="0" borderId="0" xfId="1" applyNumberFormat="1" applyFont="1" applyFill="1" applyBorder="1"/>
    <xf numFmtId="166" fontId="6" fillId="0" borderId="0" xfId="0" applyNumberFormat="1" applyFont="1"/>
    <xf numFmtId="166" fontId="6" fillId="0" borderId="0" xfId="1" applyNumberFormat="1" applyFont="1" applyFill="1" applyBorder="1" applyAlignment="1">
      <alignment horizontal="center"/>
    </xf>
    <xf numFmtId="165" fontId="6" fillId="0" borderId="3" xfId="1" applyNumberFormat="1" applyFont="1" applyFill="1" applyBorder="1"/>
    <xf numFmtId="165" fontId="4" fillId="0" borderId="7" xfId="1" applyNumberFormat="1" applyFont="1" applyFill="1" applyBorder="1" applyAlignment="1">
      <alignment vertical="center"/>
    </xf>
    <xf numFmtId="166" fontId="4" fillId="0" borderId="7" xfId="0" applyNumberFormat="1" applyFont="1" applyBorder="1" applyAlignment="1">
      <alignment horizontal="center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165" fontId="4" fillId="0" borderId="7" xfId="1" applyNumberFormat="1" applyFont="1" applyFill="1" applyBorder="1"/>
    <xf numFmtId="165" fontId="6" fillId="0" borderId="0" xfId="1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horizontal="left" vertical="center"/>
    </xf>
    <xf numFmtId="165" fontId="4" fillId="0" borderId="7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6" fontId="3" fillId="2" borderId="7" xfId="1" applyNumberFormat="1" applyFont="1" applyFill="1" applyBorder="1" applyAlignment="1">
      <alignment horizontal="center" vertical="center"/>
    </xf>
    <xf numFmtId="166" fontId="6" fillId="0" borderId="7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3" fontId="4" fillId="0" borderId="7" xfId="0" applyNumberFormat="1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5" fontId="4" fillId="0" borderId="7" xfId="1" applyNumberFormat="1" applyFont="1" applyFill="1" applyBorder="1" applyAlignment="1">
      <alignment horizontal="center"/>
    </xf>
    <xf numFmtId="0" fontId="5" fillId="0" borderId="7" xfId="0" applyFont="1" applyBorder="1"/>
    <xf numFmtId="0" fontId="4" fillId="0" borderId="3" xfId="0" applyFont="1" applyBorder="1" applyAlignment="1">
      <alignment horizontal="center" vertical="center" wrapText="1"/>
    </xf>
    <xf numFmtId="166" fontId="9" fillId="0" borderId="0" xfId="1" applyNumberFormat="1" applyFont="1" applyBorder="1" applyAlignment="1"/>
    <xf numFmtId="166" fontId="9" fillId="0" borderId="0" xfId="1" applyNumberFormat="1" applyFont="1" applyBorder="1" applyAlignment="1">
      <alignment horizontal="center"/>
    </xf>
    <xf numFmtId="166" fontId="9" fillId="0" borderId="0" xfId="1" applyNumberFormat="1" applyFont="1" applyFill="1" applyBorder="1" applyAlignment="1"/>
    <xf numFmtId="166" fontId="4" fillId="0" borderId="7" xfId="0" applyNumberFormat="1" applyFont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165" fontId="4" fillId="0" borderId="7" xfId="1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166" fontId="4" fillId="0" borderId="7" xfId="0" applyNumberFormat="1" applyFont="1" applyBorder="1" applyAlignment="1">
      <alignment horizontal="right" vertical="center" wrapText="1"/>
    </xf>
    <xf numFmtId="1" fontId="6" fillId="0" borderId="0" xfId="0" applyNumberFormat="1" applyFont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2:V49"/>
  <sheetViews>
    <sheetView showGridLines="0" tabSelected="1" workbookViewId="0">
      <pane xSplit="1" topLeftCell="L1" activePane="topRight" state="frozen"/>
      <selection pane="topRight" activeCell="T39" sqref="T39"/>
    </sheetView>
  </sheetViews>
  <sheetFormatPr defaultColWidth="9.140625" defaultRowHeight="17.25" customHeight="1" x14ac:dyDescent="0.2"/>
  <cols>
    <col min="1" max="10" width="14.85546875" style="13" customWidth="1"/>
    <col min="11" max="15" width="12.5703125" style="13" customWidth="1"/>
    <col min="16" max="23" width="9" style="13" customWidth="1"/>
    <col min="24" max="16384" width="9.140625" style="13"/>
  </cols>
  <sheetData>
    <row r="2" spans="1:22" ht="17.25" customHeight="1" x14ac:dyDescent="0.2">
      <c r="A2" s="10" t="s">
        <v>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V2" s="12"/>
    </row>
    <row r="3" spans="1:22" ht="17.25" customHeight="1" x14ac:dyDescent="0.2">
      <c r="A3" s="60" t="s">
        <v>38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22" ht="17.25" customHeight="1" x14ac:dyDescent="0.2">
      <c r="A4" s="61"/>
      <c r="B4" s="48" t="s">
        <v>46</v>
      </c>
      <c r="C4" s="48" t="s">
        <v>45</v>
      </c>
      <c r="D4" s="48" t="s">
        <v>49</v>
      </c>
      <c r="E4" s="48" t="s">
        <v>50</v>
      </c>
      <c r="F4" s="48" t="s">
        <v>51</v>
      </c>
      <c r="G4" s="48" t="s">
        <v>52</v>
      </c>
      <c r="H4" s="48" t="s">
        <v>53</v>
      </c>
      <c r="I4" s="48" t="s">
        <v>54</v>
      </c>
      <c r="J4" s="48" t="s">
        <v>55</v>
      </c>
      <c r="K4" s="48" t="s">
        <v>40</v>
      </c>
      <c r="L4" s="48" t="s">
        <v>41</v>
      </c>
      <c r="M4" s="48" t="s">
        <v>56</v>
      </c>
      <c r="N4" s="48" t="s">
        <v>57</v>
      </c>
      <c r="O4" s="48" t="s">
        <v>58</v>
      </c>
      <c r="P4" s="48" t="s">
        <v>59</v>
      </c>
      <c r="Q4" s="48" t="s">
        <v>77</v>
      </c>
      <c r="R4" s="48" t="s">
        <v>78</v>
      </c>
      <c r="S4" s="48" t="s">
        <v>79</v>
      </c>
    </row>
    <row r="5" spans="1:22" ht="17.25" customHeight="1" x14ac:dyDescent="0.2">
      <c r="A5" s="14" t="s">
        <v>0</v>
      </c>
      <c r="B5" s="15">
        <v>12</v>
      </c>
      <c r="C5" s="15">
        <v>27</v>
      </c>
      <c r="D5" s="15">
        <v>24</v>
      </c>
      <c r="E5" s="15">
        <v>35</v>
      </c>
      <c r="F5" s="15">
        <v>20</v>
      </c>
      <c r="G5" s="15">
        <v>27</v>
      </c>
      <c r="H5" s="15">
        <v>20</v>
      </c>
      <c r="I5" s="15">
        <v>20</v>
      </c>
      <c r="J5" s="15">
        <v>17</v>
      </c>
      <c r="K5" s="15">
        <v>29</v>
      </c>
      <c r="L5" s="15">
        <v>49</v>
      </c>
      <c r="M5" s="15">
        <v>20</v>
      </c>
      <c r="N5" s="15">
        <v>20</v>
      </c>
      <c r="O5" s="15">
        <v>12</v>
      </c>
      <c r="P5" s="15">
        <v>28</v>
      </c>
      <c r="Q5" s="15">
        <v>30</v>
      </c>
      <c r="R5" s="15">
        <v>25</v>
      </c>
      <c r="S5" s="15">
        <v>28</v>
      </c>
    </row>
    <row r="6" spans="1:22" ht="17.25" customHeight="1" x14ac:dyDescent="0.2">
      <c r="A6" s="15" t="s">
        <v>10</v>
      </c>
      <c r="B6" s="15">
        <v>11</v>
      </c>
      <c r="C6" s="15">
        <v>8</v>
      </c>
      <c r="D6" s="15">
        <v>9</v>
      </c>
      <c r="E6" s="15">
        <v>6</v>
      </c>
      <c r="F6" s="15">
        <v>9</v>
      </c>
      <c r="G6" s="15">
        <v>8</v>
      </c>
      <c r="H6" s="15">
        <v>10</v>
      </c>
      <c r="I6" s="15">
        <v>11</v>
      </c>
      <c r="J6" s="15">
        <v>14</v>
      </c>
      <c r="K6" s="15">
        <v>9</v>
      </c>
      <c r="L6" s="15">
        <v>1</v>
      </c>
      <c r="M6" s="15">
        <v>1</v>
      </c>
      <c r="N6" s="15">
        <v>20</v>
      </c>
      <c r="O6" s="15">
        <v>4</v>
      </c>
      <c r="P6" s="15">
        <v>13</v>
      </c>
      <c r="Q6" s="15">
        <v>7</v>
      </c>
      <c r="R6" s="15">
        <v>15</v>
      </c>
      <c r="S6" s="15">
        <v>12</v>
      </c>
    </row>
    <row r="7" spans="1:22" ht="17.25" customHeight="1" x14ac:dyDescent="0.2">
      <c r="A7" s="15" t="s">
        <v>3</v>
      </c>
      <c r="B7" s="15">
        <v>4</v>
      </c>
      <c r="C7" s="15">
        <v>75</v>
      </c>
      <c r="D7" s="15">
        <v>50</v>
      </c>
      <c r="E7" s="15">
        <v>53</v>
      </c>
      <c r="F7" s="15">
        <v>46</v>
      </c>
      <c r="G7" s="15">
        <v>75</v>
      </c>
      <c r="H7" s="15">
        <v>84</v>
      </c>
      <c r="I7" s="15">
        <v>82</v>
      </c>
      <c r="J7" s="15">
        <v>69</v>
      </c>
      <c r="K7" s="15">
        <v>61</v>
      </c>
      <c r="L7" s="15">
        <v>153</v>
      </c>
      <c r="M7" s="15">
        <v>179</v>
      </c>
      <c r="N7" s="15">
        <v>192</v>
      </c>
      <c r="O7" s="15">
        <v>70</v>
      </c>
      <c r="P7" s="15">
        <v>86</v>
      </c>
      <c r="Q7" s="15">
        <v>63</v>
      </c>
      <c r="R7" s="15">
        <v>133</v>
      </c>
      <c r="S7" s="15">
        <v>151</v>
      </c>
    </row>
    <row r="8" spans="1:22" ht="17.25" customHeight="1" x14ac:dyDescent="0.2">
      <c r="A8" s="15" t="s">
        <v>23</v>
      </c>
      <c r="B8" s="15">
        <v>17</v>
      </c>
      <c r="C8" s="15">
        <v>11</v>
      </c>
      <c r="D8" s="15">
        <v>45</v>
      </c>
      <c r="E8" s="15">
        <v>30</v>
      </c>
      <c r="F8" s="15">
        <v>17</v>
      </c>
      <c r="G8" s="15">
        <v>11</v>
      </c>
      <c r="H8" s="15">
        <v>22</v>
      </c>
      <c r="I8" s="15">
        <v>22</v>
      </c>
      <c r="J8" s="15">
        <v>19</v>
      </c>
      <c r="K8" s="15">
        <v>12</v>
      </c>
      <c r="L8" s="15">
        <v>23</v>
      </c>
      <c r="M8" s="15">
        <v>31</v>
      </c>
      <c r="N8" s="15">
        <v>38</v>
      </c>
      <c r="O8" s="15">
        <v>10</v>
      </c>
      <c r="P8" s="15">
        <v>16</v>
      </c>
      <c r="Q8" s="15">
        <v>3</v>
      </c>
      <c r="R8" s="15">
        <v>17</v>
      </c>
      <c r="S8" s="15">
        <v>16</v>
      </c>
    </row>
    <row r="9" spans="1:22" ht="17.25" customHeight="1" x14ac:dyDescent="0.2">
      <c r="A9" s="15" t="s">
        <v>25</v>
      </c>
      <c r="B9" s="15">
        <v>34</v>
      </c>
      <c r="C9" s="15">
        <v>24</v>
      </c>
      <c r="D9" s="15">
        <v>19</v>
      </c>
      <c r="E9" s="15">
        <v>44</v>
      </c>
      <c r="F9" s="15">
        <v>31</v>
      </c>
      <c r="G9" s="15">
        <v>24</v>
      </c>
      <c r="H9" s="15">
        <v>39</v>
      </c>
      <c r="I9" s="15">
        <v>21</v>
      </c>
      <c r="J9" s="15">
        <v>2</v>
      </c>
      <c r="K9" s="15">
        <v>20</v>
      </c>
      <c r="L9" s="15">
        <v>33</v>
      </c>
      <c r="M9" s="15">
        <v>25</v>
      </c>
      <c r="N9" s="15">
        <v>41</v>
      </c>
      <c r="O9" s="15">
        <v>5</v>
      </c>
      <c r="P9" s="15">
        <v>14</v>
      </c>
      <c r="Q9" s="15">
        <v>4</v>
      </c>
      <c r="R9" s="15">
        <v>8</v>
      </c>
      <c r="S9" s="15">
        <v>9</v>
      </c>
    </row>
    <row r="10" spans="1:22" ht="17.25" customHeight="1" x14ac:dyDescent="0.2">
      <c r="A10" s="15" t="s">
        <v>26</v>
      </c>
      <c r="B10" s="15">
        <v>4</v>
      </c>
      <c r="C10" s="15">
        <v>9</v>
      </c>
      <c r="D10" s="15">
        <v>24</v>
      </c>
      <c r="E10" s="15">
        <v>6</v>
      </c>
      <c r="F10" s="17">
        <v>0</v>
      </c>
      <c r="G10" s="15">
        <v>9</v>
      </c>
      <c r="H10" s="15">
        <v>17</v>
      </c>
      <c r="I10" s="15">
        <v>17</v>
      </c>
      <c r="J10" s="15">
        <v>16</v>
      </c>
      <c r="K10" s="15">
        <v>10</v>
      </c>
      <c r="L10" s="15">
        <v>17</v>
      </c>
      <c r="M10" s="15">
        <v>26</v>
      </c>
      <c r="N10" s="15">
        <v>29</v>
      </c>
      <c r="O10" s="15">
        <v>6</v>
      </c>
      <c r="P10" s="15">
        <v>12</v>
      </c>
      <c r="Q10" s="15">
        <v>5</v>
      </c>
      <c r="R10" s="15">
        <v>12</v>
      </c>
      <c r="S10" s="15">
        <v>10</v>
      </c>
    </row>
    <row r="11" spans="1:22" ht="17.25" customHeight="1" x14ac:dyDescent="0.2">
      <c r="A11" s="15" t="s">
        <v>27</v>
      </c>
      <c r="B11" s="15">
        <v>56</v>
      </c>
      <c r="C11" s="15">
        <v>82</v>
      </c>
      <c r="D11" s="15">
        <v>57</v>
      </c>
      <c r="E11" s="15">
        <v>66</v>
      </c>
      <c r="F11" s="15">
        <v>69</v>
      </c>
      <c r="G11" s="15">
        <v>82</v>
      </c>
      <c r="H11" s="15">
        <v>130</v>
      </c>
      <c r="I11" s="15">
        <v>153</v>
      </c>
      <c r="J11" s="15">
        <v>88</v>
      </c>
      <c r="K11" s="15">
        <v>65</v>
      </c>
      <c r="L11" s="15">
        <v>156</v>
      </c>
      <c r="M11" s="15">
        <v>176</v>
      </c>
      <c r="N11" s="15">
        <v>236</v>
      </c>
      <c r="O11" s="15">
        <v>96</v>
      </c>
      <c r="P11" s="15">
        <v>112</v>
      </c>
      <c r="Q11" s="15">
        <v>113</v>
      </c>
      <c r="R11" s="15">
        <v>222</v>
      </c>
      <c r="S11" s="15">
        <v>110</v>
      </c>
    </row>
    <row r="12" spans="1:22" ht="17.25" customHeight="1" x14ac:dyDescent="0.2">
      <c r="A12" s="15" t="s">
        <v>11</v>
      </c>
      <c r="B12" s="15">
        <v>3</v>
      </c>
      <c r="C12" s="15">
        <v>7</v>
      </c>
      <c r="D12" s="15">
        <v>7</v>
      </c>
      <c r="E12" s="15">
        <v>1</v>
      </c>
      <c r="F12" s="15">
        <v>8</v>
      </c>
      <c r="G12" s="15">
        <v>7</v>
      </c>
      <c r="H12" s="15">
        <v>8</v>
      </c>
      <c r="I12" s="15">
        <v>8</v>
      </c>
      <c r="J12" s="15">
        <v>5</v>
      </c>
      <c r="K12" s="15">
        <v>1</v>
      </c>
      <c r="L12" s="15">
        <v>3</v>
      </c>
      <c r="M12" s="15">
        <v>1</v>
      </c>
      <c r="N12" s="15">
        <v>1</v>
      </c>
      <c r="O12" s="15">
        <v>5</v>
      </c>
      <c r="P12" s="15">
        <v>6</v>
      </c>
      <c r="Q12" s="15">
        <v>8</v>
      </c>
      <c r="R12" s="15">
        <v>11</v>
      </c>
      <c r="S12" s="15">
        <v>12</v>
      </c>
    </row>
    <row r="13" spans="1:22" ht="17.25" customHeight="1" x14ac:dyDescent="0.2">
      <c r="A13" s="15" t="s">
        <v>7</v>
      </c>
      <c r="B13" s="15">
        <v>34</v>
      </c>
      <c r="C13" s="15">
        <v>47</v>
      </c>
      <c r="D13" s="15">
        <v>68</v>
      </c>
      <c r="E13" s="15">
        <v>68</v>
      </c>
      <c r="F13" s="15">
        <v>88</v>
      </c>
      <c r="G13" s="15">
        <v>47</v>
      </c>
      <c r="H13" s="15">
        <v>77</v>
      </c>
      <c r="I13" s="15">
        <v>77</v>
      </c>
      <c r="J13" s="15">
        <v>53</v>
      </c>
      <c r="K13" s="15">
        <v>167</v>
      </c>
      <c r="L13" s="15">
        <v>133</v>
      </c>
      <c r="M13" s="15">
        <v>178</v>
      </c>
      <c r="N13" s="15">
        <v>176</v>
      </c>
      <c r="O13" s="15">
        <v>76</v>
      </c>
      <c r="P13" s="15">
        <v>93</v>
      </c>
      <c r="Q13" s="15">
        <v>97</v>
      </c>
      <c r="R13" s="15">
        <v>78</v>
      </c>
      <c r="S13" s="15">
        <v>131</v>
      </c>
    </row>
    <row r="14" spans="1:22" ht="17.25" customHeight="1" x14ac:dyDescent="0.2">
      <c r="A14" s="15" t="s">
        <v>28</v>
      </c>
      <c r="B14" s="15">
        <v>54</v>
      </c>
      <c r="C14" s="15">
        <v>45</v>
      </c>
      <c r="D14" s="15">
        <v>46</v>
      </c>
      <c r="E14" s="15">
        <v>34</v>
      </c>
      <c r="F14" s="15">
        <v>50</v>
      </c>
      <c r="G14" s="15">
        <v>45</v>
      </c>
      <c r="H14" s="15">
        <v>26</v>
      </c>
      <c r="I14" s="15">
        <v>29</v>
      </c>
      <c r="J14" s="15">
        <v>32</v>
      </c>
      <c r="K14" s="15">
        <v>32</v>
      </c>
      <c r="L14" s="15">
        <v>32</v>
      </c>
      <c r="M14" s="15">
        <v>30</v>
      </c>
      <c r="N14" s="15">
        <v>33</v>
      </c>
      <c r="O14" s="15">
        <v>9</v>
      </c>
      <c r="P14" s="15">
        <v>20</v>
      </c>
      <c r="Q14" s="15">
        <v>26</v>
      </c>
      <c r="R14" s="15">
        <v>1</v>
      </c>
      <c r="S14" s="15">
        <v>31</v>
      </c>
    </row>
    <row r="15" spans="1:22" ht="17.25" customHeight="1" x14ac:dyDescent="0.2">
      <c r="A15" s="15" t="s">
        <v>4</v>
      </c>
      <c r="B15" s="15">
        <v>189</v>
      </c>
      <c r="C15" s="15">
        <v>501</v>
      </c>
      <c r="D15" s="15">
        <v>365</v>
      </c>
      <c r="E15" s="15">
        <v>340</v>
      </c>
      <c r="F15" s="15">
        <v>322</v>
      </c>
      <c r="G15" s="15">
        <v>501</v>
      </c>
      <c r="H15" s="15">
        <v>262</v>
      </c>
      <c r="I15" s="15">
        <v>255</v>
      </c>
      <c r="J15" s="15">
        <v>242</v>
      </c>
      <c r="K15" s="15">
        <v>388</v>
      </c>
      <c r="L15" s="15">
        <v>386</v>
      </c>
      <c r="M15" s="15">
        <v>418</v>
      </c>
      <c r="N15" s="15">
        <v>527</v>
      </c>
      <c r="O15" s="15">
        <v>96</v>
      </c>
      <c r="P15" s="15">
        <v>129</v>
      </c>
      <c r="Q15" s="15">
        <v>107</v>
      </c>
      <c r="R15" s="15">
        <v>197</v>
      </c>
      <c r="S15" s="15">
        <v>100</v>
      </c>
    </row>
    <row r="16" spans="1:22" ht="17.25" customHeight="1" x14ac:dyDescent="0.2">
      <c r="A16" s="15" t="s">
        <v>1</v>
      </c>
      <c r="B16" s="15">
        <v>25</v>
      </c>
      <c r="C16" s="15">
        <v>51</v>
      </c>
      <c r="D16" s="15">
        <v>24</v>
      </c>
      <c r="E16" s="15">
        <v>19</v>
      </c>
      <c r="F16" s="15">
        <v>16</v>
      </c>
      <c r="G16" s="15">
        <v>51</v>
      </c>
      <c r="H16" s="15">
        <v>1</v>
      </c>
      <c r="I16" s="15">
        <v>1</v>
      </c>
      <c r="J16" s="15">
        <v>17</v>
      </c>
      <c r="K16" s="15">
        <v>18</v>
      </c>
      <c r="L16" s="15">
        <v>16</v>
      </c>
      <c r="M16" s="15">
        <v>26</v>
      </c>
      <c r="N16" s="15">
        <v>35</v>
      </c>
      <c r="O16" s="15">
        <v>29</v>
      </c>
      <c r="P16" s="15">
        <v>35</v>
      </c>
      <c r="Q16" s="15">
        <v>17</v>
      </c>
      <c r="R16" s="15">
        <v>29</v>
      </c>
      <c r="S16" s="15">
        <v>27</v>
      </c>
    </row>
    <row r="17" spans="1:19" ht="17.25" customHeight="1" x14ac:dyDescent="0.2">
      <c r="A17" s="15" t="s">
        <v>24</v>
      </c>
      <c r="B17" s="15">
        <v>53</v>
      </c>
      <c r="C17" s="15">
        <v>27</v>
      </c>
      <c r="D17" s="15">
        <v>89</v>
      </c>
      <c r="E17" s="15">
        <v>31</v>
      </c>
      <c r="F17" s="15">
        <v>18</v>
      </c>
      <c r="G17" s="15">
        <v>27</v>
      </c>
      <c r="H17" s="15">
        <v>73</v>
      </c>
      <c r="I17" s="15">
        <v>73</v>
      </c>
      <c r="J17" s="15">
        <v>65</v>
      </c>
      <c r="K17" s="15">
        <v>62</v>
      </c>
      <c r="L17" s="15">
        <v>141</v>
      </c>
      <c r="M17" s="15">
        <v>118</v>
      </c>
      <c r="N17" s="15">
        <v>139</v>
      </c>
      <c r="O17" s="15">
        <v>29</v>
      </c>
      <c r="P17" s="15">
        <v>36</v>
      </c>
      <c r="Q17" s="15">
        <v>32</v>
      </c>
      <c r="R17" s="15">
        <v>61</v>
      </c>
      <c r="S17" s="15">
        <v>38</v>
      </c>
    </row>
    <row r="18" spans="1:19" ht="17.25" customHeight="1" x14ac:dyDescent="0.2">
      <c r="A18" s="15" t="s">
        <v>8</v>
      </c>
      <c r="B18" s="15">
        <v>4</v>
      </c>
      <c r="C18" s="15">
        <v>36</v>
      </c>
      <c r="D18" s="15">
        <v>51</v>
      </c>
      <c r="E18" s="15">
        <v>51</v>
      </c>
      <c r="F18" s="15">
        <v>26</v>
      </c>
      <c r="G18" s="15">
        <v>36</v>
      </c>
      <c r="H18" s="15">
        <v>19</v>
      </c>
      <c r="I18" s="15">
        <v>13</v>
      </c>
      <c r="J18" s="15">
        <v>9</v>
      </c>
      <c r="K18" s="15"/>
      <c r="L18" s="15">
        <v>4</v>
      </c>
      <c r="M18" s="15">
        <v>21</v>
      </c>
      <c r="N18" s="15">
        <v>41</v>
      </c>
      <c r="O18" s="15">
        <v>10</v>
      </c>
      <c r="P18" s="15">
        <v>10</v>
      </c>
      <c r="Q18" s="15">
        <v>18</v>
      </c>
      <c r="R18" s="15">
        <v>18</v>
      </c>
      <c r="S18" s="15">
        <v>15</v>
      </c>
    </row>
    <row r="19" spans="1:19" ht="17.25" customHeight="1" x14ac:dyDescent="0.2">
      <c r="A19" s="15" t="s">
        <v>5</v>
      </c>
      <c r="B19" s="15">
        <v>37</v>
      </c>
      <c r="C19" s="15">
        <v>16</v>
      </c>
      <c r="D19" s="15">
        <v>58</v>
      </c>
      <c r="E19" s="15">
        <v>56</v>
      </c>
      <c r="F19" s="15">
        <v>10</v>
      </c>
      <c r="G19" s="15">
        <v>16</v>
      </c>
      <c r="H19" s="15">
        <v>26</v>
      </c>
      <c r="I19" s="15">
        <v>7</v>
      </c>
      <c r="J19" s="15">
        <v>18</v>
      </c>
      <c r="K19" s="15">
        <v>12</v>
      </c>
      <c r="L19" s="15">
        <v>12</v>
      </c>
      <c r="M19" s="15">
        <v>14</v>
      </c>
      <c r="N19" s="15">
        <v>13</v>
      </c>
      <c r="O19" s="15">
        <v>4</v>
      </c>
      <c r="P19" s="15">
        <v>10</v>
      </c>
      <c r="Q19" s="15">
        <v>18</v>
      </c>
      <c r="R19" s="15">
        <v>19</v>
      </c>
      <c r="S19" s="15">
        <v>19</v>
      </c>
    </row>
    <row r="20" spans="1:19" ht="17.25" customHeight="1" x14ac:dyDescent="0.2">
      <c r="A20" s="15" t="s">
        <v>9</v>
      </c>
      <c r="B20" s="15">
        <v>6</v>
      </c>
      <c r="C20" s="15">
        <v>20</v>
      </c>
      <c r="D20" s="15">
        <v>15</v>
      </c>
      <c r="E20" s="15">
        <v>18</v>
      </c>
      <c r="F20" s="15">
        <v>14</v>
      </c>
      <c r="G20" s="15">
        <v>20</v>
      </c>
      <c r="H20" s="15">
        <v>36</v>
      </c>
      <c r="I20" s="15">
        <v>24</v>
      </c>
      <c r="J20" s="15">
        <v>9</v>
      </c>
      <c r="K20" s="15">
        <v>17</v>
      </c>
      <c r="L20" s="15">
        <v>54</v>
      </c>
      <c r="M20" s="15">
        <v>55</v>
      </c>
      <c r="N20" s="15">
        <v>90</v>
      </c>
      <c r="O20" s="15">
        <v>93</v>
      </c>
      <c r="P20" s="15">
        <v>97</v>
      </c>
      <c r="Q20" s="15">
        <v>129</v>
      </c>
      <c r="R20" s="15">
        <v>277</v>
      </c>
      <c r="S20" s="15">
        <v>160</v>
      </c>
    </row>
    <row r="21" spans="1:19" ht="17.25" customHeight="1" x14ac:dyDescent="0.2">
      <c r="A21" s="15" t="s">
        <v>2</v>
      </c>
      <c r="B21" s="15">
        <v>39</v>
      </c>
      <c r="C21" s="15">
        <v>33</v>
      </c>
      <c r="D21" s="15">
        <v>38</v>
      </c>
      <c r="E21" s="15">
        <v>50</v>
      </c>
      <c r="F21" s="15">
        <v>48</v>
      </c>
      <c r="G21" s="15">
        <v>33</v>
      </c>
      <c r="H21" s="15">
        <v>28</v>
      </c>
      <c r="I21" s="15">
        <v>29</v>
      </c>
      <c r="J21" s="15">
        <v>23</v>
      </c>
      <c r="K21" s="15">
        <v>29</v>
      </c>
      <c r="L21" s="15">
        <v>29</v>
      </c>
      <c r="M21" s="15">
        <v>7</v>
      </c>
      <c r="N21" s="15">
        <v>7</v>
      </c>
      <c r="O21" s="15">
        <v>6</v>
      </c>
      <c r="P21" s="15">
        <v>11</v>
      </c>
      <c r="Q21" s="15">
        <v>8</v>
      </c>
      <c r="R21" s="15">
        <v>8</v>
      </c>
      <c r="S21" s="15">
        <v>9</v>
      </c>
    </row>
    <row r="22" spans="1:19" ht="17.25" customHeight="1" x14ac:dyDescent="0.2">
      <c r="A22" s="18" t="s">
        <v>6</v>
      </c>
      <c r="B22" s="18">
        <v>10</v>
      </c>
      <c r="C22" s="18">
        <v>20</v>
      </c>
      <c r="D22" s="18">
        <v>28</v>
      </c>
      <c r="E22" s="18">
        <v>27</v>
      </c>
      <c r="F22" s="18">
        <v>16</v>
      </c>
      <c r="G22" s="18">
        <v>20</v>
      </c>
      <c r="H22" s="18">
        <v>36</v>
      </c>
      <c r="I22" s="18">
        <v>32</v>
      </c>
      <c r="J22" s="18">
        <v>23</v>
      </c>
      <c r="K22" s="18">
        <v>32</v>
      </c>
      <c r="L22" s="18">
        <v>29</v>
      </c>
      <c r="M22" s="18">
        <v>65</v>
      </c>
      <c r="N22" s="18">
        <v>92</v>
      </c>
      <c r="O22" s="18">
        <v>45</v>
      </c>
      <c r="P22" s="18">
        <v>52</v>
      </c>
      <c r="Q22" s="18">
        <v>21</v>
      </c>
      <c r="R22" s="18">
        <v>21</v>
      </c>
      <c r="S22" s="18">
        <v>31</v>
      </c>
    </row>
    <row r="23" spans="1:19" ht="17.25" customHeight="1" x14ac:dyDescent="0.2">
      <c r="A23" s="19" t="s">
        <v>33</v>
      </c>
      <c r="B23" s="20">
        <f t="shared" ref="B23:J23" si="0">SUM(B5:B22)</f>
        <v>592</v>
      </c>
      <c r="C23" s="20">
        <f t="shared" si="0"/>
        <v>1039</v>
      </c>
      <c r="D23" s="20">
        <f t="shared" si="0"/>
        <v>1017</v>
      </c>
      <c r="E23" s="20">
        <f t="shared" si="0"/>
        <v>935</v>
      </c>
      <c r="F23" s="20">
        <f t="shared" si="0"/>
        <v>808</v>
      </c>
      <c r="G23" s="20">
        <f t="shared" si="0"/>
        <v>1039</v>
      </c>
      <c r="H23" s="20">
        <f t="shared" si="0"/>
        <v>914</v>
      </c>
      <c r="I23" s="20">
        <f t="shared" si="0"/>
        <v>874</v>
      </c>
      <c r="J23" s="20">
        <f t="shared" si="0"/>
        <v>721</v>
      </c>
      <c r="K23" s="20">
        <f>SUM(K5:K22)</f>
        <v>964</v>
      </c>
      <c r="L23" s="20">
        <f>SUM(L5:L22)</f>
        <v>1271</v>
      </c>
      <c r="M23" s="20">
        <f t="shared" ref="M23:P23" si="1">SUM(M5:M22)</f>
        <v>1391</v>
      </c>
      <c r="N23" s="20">
        <f t="shared" si="1"/>
        <v>1730</v>
      </c>
      <c r="O23" s="20">
        <f t="shared" si="1"/>
        <v>605</v>
      </c>
      <c r="P23" s="20">
        <f t="shared" si="1"/>
        <v>780</v>
      </c>
      <c r="Q23" s="20">
        <v>706</v>
      </c>
      <c r="R23" s="20">
        <f>SUM(R5:R22)</f>
        <v>1152</v>
      </c>
      <c r="S23" s="20">
        <v>909</v>
      </c>
    </row>
    <row r="24" spans="1:19" ht="17.25" customHeight="1" x14ac:dyDescent="0.2">
      <c r="A24" s="13" t="s">
        <v>62</v>
      </c>
      <c r="K24" s="21"/>
      <c r="L24" s="21"/>
      <c r="M24" s="21"/>
      <c r="N24" s="21"/>
      <c r="O24" s="22"/>
    </row>
    <row r="25" spans="1:19" ht="17.25" customHeight="1" x14ac:dyDescent="0.2">
      <c r="O25" s="23"/>
    </row>
    <row r="27" spans="1:19" ht="17.25" customHeight="1" x14ac:dyDescent="0.2">
      <c r="A27" s="10" t="s">
        <v>64</v>
      </c>
      <c r="B27" s="11"/>
      <c r="C27" s="11"/>
      <c r="D27" s="11"/>
      <c r="E27" s="11"/>
      <c r="F27" s="11"/>
      <c r="G27" s="11"/>
      <c r="H27" s="11"/>
      <c r="I27" s="11"/>
    </row>
    <row r="28" spans="1:19" ht="17.25" customHeight="1" x14ac:dyDescent="0.2">
      <c r="A28" s="60" t="s">
        <v>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4"/>
    </row>
    <row r="29" spans="1:19" ht="17.25" customHeight="1" x14ac:dyDescent="0.2">
      <c r="A29" s="61"/>
      <c r="B29" s="6" t="s">
        <v>46</v>
      </c>
      <c r="C29" s="6" t="s">
        <v>45</v>
      </c>
      <c r="D29" s="6" t="s">
        <v>49</v>
      </c>
      <c r="E29" s="6" t="s">
        <v>50</v>
      </c>
      <c r="F29" s="6" t="s">
        <v>51</v>
      </c>
      <c r="G29" s="6" t="s">
        <v>52</v>
      </c>
      <c r="H29" s="6" t="s">
        <v>53</v>
      </c>
      <c r="I29" s="6" t="s">
        <v>54</v>
      </c>
      <c r="J29" s="6" t="s">
        <v>55</v>
      </c>
      <c r="K29" s="6" t="s">
        <v>40</v>
      </c>
      <c r="L29" s="6" t="s">
        <v>41</v>
      </c>
      <c r="M29" s="6" t="s">
        <v>56</v>
      </c>
      <c r="N29" s="6" t="s">
        <v>57</v>
      </c>
      <c r="O29" s="6" t="s">
        <v>58</v>
      </c>
      <c r="P29" s="6" t="s">
        <v>59</v>
      </c>
      <c r="Q29" s="6" t="s">
        <v>77</v>
      </c>
      <c r="R29" s="6" t="s">
        <v>78</v>
      </c>
      <c r="S29" s="6" t="s">
        <v>79</v>
      </c>
    </row>
    <row r="30" spans="1:19" ht="17.25" customHeight="1" x14ac:dyDescent="0.2">
      <c r="A30" s="14" t="s">
        <v>0</v>
      </c>
      <c r="B30" s="15">
        <v>1006</v>
      </c>
      <c r="C30" s="15">
        <v>1014</v>
      </c>
      <c r="D30" s="15">
        <v>5</v>
      </c>
      <c r="E30" s="15">
        <v>6</v>
      </c>
      <c r="F30" s="15">
        <v>23</v>
      </c>
      <c r="G30" s="15">
        <v>9</v>
      </c>
      <c r="H30" s="15">
        <v>12</v>
      </c>
      <c r="I30" s="15">
        <v>6</v>
      </c>
      <c r="J30" s="15">
        <v>12</v>
      </c>
      <c r="K30" s="15">
        <v>86</v>
      </c>
      <c r="L30" s="15">
        <v>27</v>
      </c>
      <c r="M30" s="15">
        <v>16</v>
      </c>
      <c r="N30" s="15">
        <v>16</v>
      </c>
      <c r="O30" s="15">
        <v>8</v>
      </c>
      <c r="P30" s="15">
        <v>19</v>
      </c>
      <c r="Q30" s="15">
        <v>13</v>
      </c>
      <c r="R30" s="49">
        <v>21</v>
      </c>
      <c r="S30" s="49">
        <v>18</v>
      </c>
    </row>
    <row r="31" spans="1:19" ht="17.25" customHeight="1" x14ac:dyDescent="0.2">
      <c r="A31" s="15" t="s">
        <v>10</v>
      </c>
      <c r="B31" s="15">
        <v>401</v>
      </c>
      <c r="C31" s="15">
        <v>996</v>
      </c>
      <c r="D31" s="15">
        <v>677</v>
      </c>
      <c r="E31" s="15">
        <v>683</v>
      </c>
      <c r="F31" s="15">
        <v>705</v>
      </c>
      <c r="G31" s="15">
        <v>709</v>
      </c>
      <c r="H31" s="15">
        <v>664</v>
      </c>
      <c r="I31" s="15">
        <v>711</v>
      </c>
      <c r="J31" s="15">
        <v>604</v>
      </c>
      <c r="K31" s="15">
        <v>44</v>
      </c>
      <c r="L31" s="15">
        <v>430</v>
      </c>
      <c r="M31" s="15">
        <v>311</v>
      </c>
      <c r="N31" s="15">
        <v>308</v>
      </c>
      <c r="O31" s="15">
        <v>382</v>
      </c>
      <c r="P31" s="15">
        <v>435</v>
      </c>
      <c r="Q31" s="15">
        <v>939</v>
      </c>
      <c r="R31" s="50">
        <v>1854</v>
      </c>
      <c r="S31" s="50">
        <v>1076</v>
      </c>
    </row>
    <row r="32" spans="1:19" ht="17.25" customHeight="1" x14ac:dyDescent="0.2">
      <c r="A32" s="15" t="s">
        <v>3</v>
      </c>
      <c r="B32" s="15">
        <v>437</v>
      </c>
      <c r="C32" s="15">
        <v>492</v>
      </c>
      <c r="D32" s="15">
        <v>70</v>
      </c>
      <c r="E32" s="15">
        <v>92</v>
      </c>
      <c r="F32" s="15">
        <v>90</v>
      </c>
      <c r="G32" s="15">
        <v>61</v>
      </c>
      <c r="H32" s="15">
        <v>45</v>
      </c>
      <c r="I32" s="15">
        <v>33</v>
      </c>
      <c r="J32" s="15">
        <v>60</v>
      </c>
      <c r="K32" s="15">
        <v>296</v>
      </c>
      <c r="L32" s="15">
        <v>176</v>
      </c>
      <c r="M32" s="15">
        <v>153</v>
      </c>
      <c r="N32" s="15">
        <v>153</v>
      </c>
      <c r="O32" s="15">
        <v>42</v>
      </c>
      <c r="P32" s="15">
        <v>75</v>
      </c>
      <c r="Q32" s="15">
        <v>69</v>
      </c>
      <c r="R32" s="49">
        <v>128</v>
      </c>
      <c r="S32" s="49">
        <v>93</v>
      </c>
    </row>
    <row r="33" spans="1:19" ht="17.25" customHeight="1" x14ac:dyDescent="0.2">
      <c r="A33" s="15" t="s">
        <v>23</v>
      </c>
      <c r="B33" s="15">
        <v>701</v>
      </c>
      <c r="C33" s="15">
        <v>850</v>
      </c>
      <c r="D33" s="15">
        <v>73</v>
      </c>
      <c r="E33" s="15">
        <v>166</v>
      </c>
      <c r="F33" s="15">
        <v>100</v>
      </c>
      <c r="G33" s="15">
        <v>90</v>
      </c>
      <c r="H33" s="15">
        <v>273</v>
      </c>
      <c r="I33" s="15">
        <v>273</v>
      </c>
      <c r="J33" s="15">
        <v>337</v>
      </c>
      <c r="K33" s="15">
        <v>75</v>
      </c>
      <c r="L33" s="15">
        <v>536</v>
      </c>
      <c r="M33" s="15">
        <v>557</v>
      </c>
      <c r="N33" s="15">
        <v>552</v>
      </c>
      <c r="O33" s="15">
        <v>305</v>
      </c>
      <c r="P33" s="15">
        <v>338</v>
      </c>
      <c r="Q33" s="15">
        <v>150</v>
      </c>
      <c r="R33" s="49">
        <v>428</v>
      </c>
      <c r="S33" s="49">
        <v>310</v>
      </c>
    </row>
    <row r="34" spans="1:19" ht="17.25" customHeight="1" x14ac:dyDescent="0.2">
      <c r="A34" s="15" t="s">
        <v>25</v>
      </c>
      <c r="B34" s="15">
        <v>561</v>
      </c>
      <c r="C34" s="15">
        <v>712</v>
      </c>
      <c r="D34" s="15">
        <v>336</v>
      </c>
      <c r="E34" s="15">
        <v>61</v>
      </c>
      <c r="F34" s="17">
        <v>0</v>
      </c>
      <c r="G34" s="15">
        <v>7</v>
      </c>
      <c r="H34" s="15">
        <v>3</v>
      </c>
      <c r="I34" s="15">
        <v>1</v>
      </c>
      <c r="J34" s="15">
        <v>33</v>
      </c>
      <c r="K34" s="15">
        <v>82</v>
      </c>
      <c r="L34" s="15">
        <v>286</v>
      </c>
      <c r="M34" s="15">
        <v>205</v>
      </c>
      <c r="N34" s="15">
        <v>205</v>
      </c>
      <c r="O34" s="15">
        <v>339</v>
      </c>
      <c r="P34" s="15">
        <v>352</v>
      </c>
      <c r="Q34" s="15">
        <v>89</v>
      </c>
      <c r="R34" s="49">
        <v>225</v>
      </c>
      <c r="S34" s="49">
        <v>160</v>
      </c>
    </row>
    <row r="35" spans="1:19" ht="17.25" customHeight="1" x14ac:dyDescent="0.2">
      <c r="A35" s="15" t="s">
        <v>26</v>
      </c>
      <c r="B35" s="15">
        <v>350</v>
      </c>
      <c r="C35" s="15">
        <v>745</v>
      </c>
      <c r="D35" s="15">
        <v>193</v>
      </c>
      <c r="E35" s="15">
        <v>84</v>
      </c>
      <c r="F35" s="15">
        <v>3</v>
      </c>
      <c r="G35" s="15">
        <v>3</v>
      </c>
      <c r="H35" s="15">
        <v>140</v>
      </c>
      <c r="I35" s="15">
        <v>140</v>
      </c>
      <c r="J35" s="15">
        <v>17</v>
      </c>
      <c r="K35" s="15">
        <v>60</v>
      </c>
      <c r="L35" s="15">
        <v>216</v>
      </c>
      <c r="M35" s="15">
        <v>288</v>
      </c>
      <c r="N35" s="15">
        <v>288</v>
      </c>
      <c r="O35" s="15">
        <v>78</v>
      </c>
      <c r="P35" s="15">
        <v>90</v>
      </c>
      <c r="Q35" s="15">
        <v>35</v>
      </c>
      <c r="R35" s="49">
        <v>101</v>
      </c>
      <c r="S35" s="49">
        <v>90</v>
      </c>
    </row>
    <row r="36" spans="1:19" ht="17.25" customHeight="1" x14ac:dyDescent="0.2">
      <c r="A36" s="15" t="s">
        <v>27</v>
      </c>
      <c r="B36" s="15">
        <v>1002</v>
      </c>
      <c r="C36" s="15">
        <v>1474</v>
      </c>
      <c r="D36" s="15">
        <v>539</v>
      </c>
      <c r="E36" s="15">
        <v>353</v>
      </c>
      <c r="F36" s="15">
        <v>455</v>
      </c>
      <c r="G36" s="15">
        <v>93</v>
      </c>
      <c r="H36" s="15">
        <v>227</v>
      </c>
      <c r="I36" s="15">
        <v>14</v>
      </c>
      <c r="J36" s="15">
        <v>60</v>
      </c>
      <c r="K36" s="15">
        <v>436</v>
      </c>
      <c r="L36" s="15">
        <v>64</v>
      </c>
      <c r="M36" s="15">
        <v>114</v>
      </c>
      <c r="N36" s="15">
        <v>114</v>
      </c>
      <c r="O36" s="15">
        <v>13</v>
      </c>
      <c r="P36" s="15">
        <v>25</v>
      </c>
      <c r="Q36" s="15">
        <v>36</v>
      </c>
      <c r="R36" s="49">
        <v>43</v>
      </c>
      <c r="S36" s="49">
        <v>13</v>
      </c>
    </row>
    <row r="37" spans="1:19" ht="17.25" customHeight="1" x14ac:dyDescent="0.2">
      <c r="A37" s="15" t="s">
        <v>11</v>
      </c>
      <c r="B37" s="15">
        <v>674</v>
      </c>
      <c r="C37" s="15">
        <v>790</v>
      </c>
      <c r="D37" s="15">
        <v>114</v>
      </c>
      <c r="E37" s="15">
        <v>111</v>
      </c>
      <c r="F37" s="15">
        <v>110</v>
      </c>
      <c r="G37" s="15">
        <v>110</v>
      </c>
      <c r="H37" s="15">
        <v>110</v>
      </c>
      <c r="I37" s="15">
        <v>110</v>
      </c>
      <c r="J37" s="15">
        <v>81</v>
      </c>
      <c r="K37" s="15">
        <v>22</v>
      </c>
      <c r="L37" s="15">
        <v>256</v>
      </c>
      <c r="M37" s="15">
        <v>84</v>
      </c>
      <c r="N37" s="15">
        <v>84</v>
      </c>
      <c r="O37" s="15">
        <v>84</v>
      </c>
      <c r="P37" s="15">
        <v>90</v>
      </c>
      <c r="Q37" s="15">
        <v>84</v>
      </c>
      <c r="R37" s="49">
        <v>85</v>
      </c>
      <c r="S37" s="49">
        <v>85</v>
      </c>
    </row>
    <row r="38" spans="1:19" ht="17.25" customHeight="1" x14ac:dyDescent="0.2">
      <c r="A38" s="15" t="s">
        <v>7</v>
      </c>
      <c r="B38" s="15">
        <v>785</v>
      </c>
      <c r="C38" s="15">
        <v>883</v>
      </c>
      <c r="D38" s="15">
        <v>18</v>
      </c>
      <c r="E38" s="15">
        <v>35</v>
      </c>
      <c r="F38" s="15">
        <v>10</v>
      </c>
      <c r="G38" s="15">
        <v>14</v>
      </c>
      <c r="H38" s="15">
        <v>19</v>
      </c>
      <c r="I38" s="15">
        <v>19</v>
      </c>
      <c r="J38" s="15">
        <v>9</v>
      </c>
      <c r="K38" s="15">
        <v>374</v>
      </c>
      <c r="L38" s="15">
        <v>35</v>
      </c>
      <c r="M38" s="15">
        <v>16</v>
      </c>
      <c r="N38" s="15">
        <v>16</v>
      </c>
      <c r="O38" s="15">
        <v>25</v>
      </c>
      <c r="P38" s="15">
        <v>46</v>
      </c>
      <c r="Q38" s="15">
        <v>42</v>
      </c>
      <c r="R38" s="49">
        <v>53</v>
      </c>
      <c r="S38" s="49">
        <v>90</v>
      </c>
    </row>
    <row r="39" spans="1:19" ht="17.25" customHeight="1" x14ac:dyDescent="0.2">
      <c r="A39" s="15" t="s">
        <v>28</v>
      </c>
      <c r="B39" s="15">
        <v>401</v>
      </c>
      <c r="C39" s="15">
        <v>782</v>
      </c>
      <c r="D39" s="15">
        <v>353</v>
      </c>
      <c r="E39" s="15">
        <v>345</v>
      </c>
      <c r="F39" s="15">
        <v>317</v>
      </c>
      <c r="G39" s="15">
        <v>317</v>
      </c>
      <c r="H39" s="15">
        <v>228</v>
      </c>
      <c r="I39" s="15">
        <v>218</v>
      </c>
      <c r="J39" s="15">
        <v>245</v>
      </c>
      <c r="K39" s="15">
        <v>119</v>
      </c>
      <c r="L39" s="15">
        <v>417</v>
      </c>
      <c r="M39" s="15">
        <v>309</v>
      </c>
      <c r="N39" s="15">
        <v>300</v>
      </c>
      <c r="O39" s="15">
        <v>188</v>
      </c>
      <c r="P39" s="15">
        <v>203</v>
      </c>
      <c r="Q39" s="15">
        <v>224</v>
      </c>
      <c r="R39" s="49">
        <v>21</v>
      </c>
      <c r="S39" s="49">
        <v>320</v>
      </c>
    </row>
    <row r="40" spans="1:19" ht="17.25" customHeight="1" x14ac:dyDescent="0.2">
      <c r="A40" s="15" t="s">
        <v>4</v>
      </c>
      <c r="B40" s="15">
        <v>2072</v>
      </c>
      <c r="C40" s="15">
        <v>2121</v>
      </c>
      <c r="D40" s="15">
        <v>97</v>
      </c>
      <c r="E40" s="15">
        <v>156</v>
      </c>
      <c r="F40" s="15">
        <v>171</v>
      </c>
      <c r="G40" s="15">
        <v>242</v>
      </c>
      <c r="H40" s="15">
        <v>165</v>
      </c>
      <c r="I40" s="15">
        <v>176</v>
      </c>
      <c r="J40" s="15">
        <v>165</v>
      </c>
      <c r="K40" s="15">
        <v>1147</v>
      </c>
      <c r="L40" s="15">
        <v>232</v>
      </c>
      <c r="M40" s="15">
        <v>424</v>
      </c>
      <c r="N40" s="15">
        <v>421</v>
      </c>
      <c r="O40" s="15">
        <v>53</v>
      </c>
      <c r="P40" s="15">
        <v>88</v>
      </c>
      <c r="Q40" s="15">
        <v>157</v>
      </c>
      <c r="R40" s="49">
        <v>487</v>
      </c>
      <c r="S40" s="49">
        <v>296</v>
      </c>
    </row>
    <row r="41" spans="1:19" ht="17.25" customHeight="1" x14ac:dyDescent="0.2">
      <c r="A41" s="15" t="s">
        <v>1</v>
      </c>
      <c r="B41" s="15">
        <v>299</v>
      </c>
      <c r="C41" s="15">
        <v>327</v>
      </c>
      <c r="D41" s="15">
        <v>58</v>
      </c>
      <c r="E41" s="15">
        <v>74</v>
      </c>
      <c r="F41" s="15">
        <v>76</v>
      </c>
      <c r="G41" s="15">
        <v>59</v>
      </c>
      <c r="H41" s="15">
        <v>62</v>
      </c>
      <c r="I41" s="15">
        <v>60</v>
      </c>
      <c r="J41" s="15">
        <v>46</v>
      </c>
      <c r="K41" s="15">
        <v>37</v>
      </c>
      <c r="L41" s="15">
        <v>66</v>
      </c>
      <c r="M41" s="15">
        <v>139</v>
      </c>
      <c r="N41" s="15">
        <v>139</v>
      </c>
      <c r="O41" s="15">
        <v>65</v>
      </c>
      <c r="P41" s="15">
        <v>71</v>
      </c>
      <c r="Q41" s="15">
        <v>79</v>
      </c>
      <c r="R41" s="49">
        <v>162</v>
      </c>
      <c r="S41" s="49">
        <v>91</v>
      </c>
    </row>
    <row r="42" spans="1:19" ht="17.25" customHeight="1" x14ac:dyDescent="0.2">
      <c r="A42" s="15" t="s">
        <v>24</v>
      </c>
      <c r="B42" s="15">
        <v>305</v>
      </c>
      <c r="C42" s="15">
        <v>506</v>
      </c>
      <c r="D42" s="15">
        <v>136</v>
      </c>
      <c r="E42" s="15">
        <v>80</v>
      </c>
      <c r="F42" s="15">
        <v>82</v>
      </c>
      <c r="G42" s="15">
        <v>121</v>
      </c>
      <c r="H42" s="15">
        <v>44</v>
      </c>
      <c r="I42" s="15">
        <v>44</v>
      </c>
      <c r="J42" s="15">
        <v>52</v>
      </c>
      <c r="K42" s="15">
        <v>273</v>
      </c>
      <c r="L42" s="15">
        <v>62</v>
      </c>
      <c r="M42" s="15">
        <v>66</v>
      </c>
      <c r="N42" s="15">
        <v>65</v>
      </c>
      <c r="O42" s="15">
        <v>43</v>
      </c>
      <c r="P42" s="15">
        <v>52</v>
      </c>
      <c r="Q42" s="15">
        <v>35</v>
      </c>
      <c r="R42" s="49">
        <v>78</v>
      </c>
      <c r="S42" s="49">
        <v>57</v>
      </c>
    </row>
    <row r="43" spans="1:19" ht="17.25" customHeight="1" x14ac:dyDescent="0.2">
      <c r="A43" s="15" t="s">
        <v>8</v>
      </c>
      <c r="B43" s="15">
        <v>336</v>
      </c>
      <c r="C43" s="15">
        <v>592</v>
      </c>
      <c r="D43" s="15">
        <v>399</v>
      </c>
      <c r="E43" s="15">
        <v>385</v>
      </c>
      <c r="F43" s="15">
        <v>366</v>
      </c>
      <c r="G43" s="15">
        <v>184</v>
      </c>
      <c r="H43" s="15">
        <v>149</v>
      </c>
      <c r="I43" s="15">
        <v>134</v>
      </c>
      <c r="J43" s="15">
        <v>146</v>
      </c>
      <c r="K43" s="15">
        <v>41</v>
      </c>
      <c r="L43" s="15">
        <v>177</v>
      </c>
      <c r="M43" s="15">
        <v>174</v>
      </c>
      <c r="N43" s="15">
        <v>174</v>
      </c>
      <c r="O43" s="15">
        <v>33</v>
      </c>
      <c r="P43" s="15">
        <v>39</v>
      </c>
      <c r="Q43" s="15">
        <v>11</v>
      </c>
      <c r="R43" s="49">
        <v>109</v>
      </c>
      <c r="S43" s="49">
        <v>99</v>
      </c>
    </row>
    <row r="44" spans="1:19" ht="17.25" customHeight="1" x14ac:dyDescent="0.2">
      <c r="A44" s="15" t="s">
        <v>5</v>
      </c>
      <c r="B44" s="15">
        <v>343</v>
      </c>
      <c r="C44" s="15">
        <v>405</v>
      </c>
      <c r="D44" s="15">
        <v>176</v>
      </c>
      <c r="E44" s="15">
        <v>168</v>
      </c>
      <c r="F44" s="15">
        <v>105</v>
      </c>
      <c r="G44" s="15">
        <v>107</v>
      </c>
      <c r="H44" s="15">
        <v>92</v>
      </c>
      <c r="I44" s="15">
        <v>48</v>
      </c>
      <c r="J44" s="15">
        <v>82</v>
      </c>
      <c r="K44" s="15">
        <v>63</v>
      </c>
      <c r="L44" s="15">
        <v>138</v>
      </c>
      <c r="M44" s="15">
        <v>181</v>
      </c>
      <c r="N44" s="15">
        <v>178</v>
      </c>
      <c r="O44" s="15">
        <v>48</v>
      </c>
      <c r="P44" s="15">
        <v>58</v>
      </c>
      <c r="Q44" s="15">
        <v>212</v>
      </c>
      <c r="R44" s="49">
        <v>239</v>
      </c>
      <c r="S44" s="49">
        <v>282</v>
      </c>
    </row>
    <row r="45" spans="1:19" ht="17.25" customHeight="1" x14ac:dyDescent="0.2">
      <c r="A45" s="15" t="s">
        <v>9</v>
      </c>
      <c r="B45" s="15">
        <v>752</v>
      </c>
      <c r="C45" s="15">
        <v>927</v>
      </c>
      <c r="D45" s="15">
        <v>206</v>
      </c>
      <c r="E45" s="15">
        <v>159</v>
      </c>
      <c r="F45" s="15">
        <v>208</v>
      </c>
      <c r="G45" s="15">
        <v>56</v>
      </c>
      <c r="H45" s="15">
        <v>12</v>
      </c>
      <c r="I45" s="15">
        <v>20</v>
      </c>
      <c r="J45" s="15">
        <v>15</v>
      </c>
      <c r="K45" s="15">
        <v>86</v>
      </c>
      <c r="L45" s="15">
        <v>74</v>
      </c>
      <c r="M45" s="15">
        <v>12</v>
      </c>
      <c r="N45" s="15">
        <v>12</v>
      </c>
      <c r="O45" s="15">
        <v>16</v>
      </c>
      <c r="P45" s="15">
        <v>36</v>
      </c>
      <c r="Q45" s="15">
        <v>7</v>
      </c>
      <c r="R45" s="49">
        <v>11</v>
      </c>
      <c r="S45" s="49">
        <v>18</v>
      </c>
    </row>
    <row r="46" spans="1:19" ht="17.25" customHeight="1" x14ac:dyDescent="0.2">
      <c r="A46" s="15" t="s">
        <v>2</v>
      </c>
      <c r="B46" s="15">
        <v>448</v>
      </c>
      <c r="C46" s="15">
        <v>459</v>
      </c>
      <c r="D46" s="15">
        <v>360</v>
      </c>
      <c r="E46" s="15">
        <v>343</v>
      </c>
      <c r="F46" s="15">
        <v>347</v>
      </c>
      <c r="G46" s="15">
        <v>457</v>
      </c>
      <c r="H46" s="15">
        <v>457</v>
      </c>
      <c r="I46" s="15">
        <v>459</v>
      </c>
      <c r="J46" s="15">
        <v>338</v>
      </c>
      <c r="K46" s="15">
        <v>109</v>
      </c>
      <c r="L46" s="15">
        <v>467</v>
      </c>
      <c r="M46" s="15">
        <v>412</v>
      </c>
      <c r="N46" s="15">
        <v>409</v>
      </c>
      <c r="O46" s="15">
        <v>366</v>
      </c>
      <c r="P46" s="15">
        <v>372</v>
      </c>
      <c r="Q46" s="15">
        <v>491</v>
      </c>
      <c r="R46" s="49">
        <v>396</v>
      </c>
      <c r="S46" s="49">
        <v>395</v>
      </c>
    </row>
    <row r="47" spans="1:19" ht="17.25" customHeight="1" x14ac:dyDescent="0.2">
      <c r="A47" s="18" t="s">
        <v>6</v>
      </c>
      <c r="B47" s="18">
        <v>733</v>
      </c>
      <c r="C47" s="18">
        <v>1039</v>
      </c>
      <c r="D47" s="18">
        <v>46</v>
      </c>
      <c r="E47" s="18">
        <v>48</v>
      </c>
      <c r="F47" s="18">
        <v>26</v>
      </c>
      <c r="G47" s="18">
        <v>126</v>
      </c>
      <c r="H47" s="18">
        <v>214</v>
      </c>
      <c r="I47" s="18">
        <v>195</v>
      </c>
      <c r="J47" s="18">
        <v>102</v>
      </c>
      <c r="K47" s="18">
        <v>123</v>
      </c>
      <c r="L47" s="18">
        <v>189</v>
      </c>
      <c r="M47" s="18">
        <v>340</v>
      </c>
      <c r="N47" s="18">
        <v>330</v>
      </c>
      <c r="O47" s="18">
        <v>154</v>
      </c>
      <c r="P47" s="18">
        <v>163</v>
      </c>
      <c r="Q47" s="18">
        <v>165</v>
      </c>
      <c r="R47" s="49">
        <v>165</v>
      </c>
      <c r="S47" s="49">
        <v>177</v>
      </c>
    </row>
    <row r="48" spans="1:19" ht="17.25" customHeight="1" x14ac:dyDescent="0.2">
      <c r="A48" s="19" t="s">
        <v>33</v>
      </c>
      <c r="B48" s="20">
        <f t="shared" ref="B48:J48" si="2">SUM(B30:B47)</f>
        <v>11606</v>
      </c>
      <c r="C48" s="20">
        <f t="shared" si="2"/>
        <v>15114</v>
      </c>
      <c r="D48" s="20">
        <f t="shared" si="2"/>
        <v>3856</v>
      </c>
      <c r="E48" s="20">
        <f t="shared" si="2"/>
        <v>3349</v>
      </c>
      <c r="F48" s="20">
        <f t="shared" si="2"/>
        <v>3194</v>
      </c>
      <c r="G48" s="20">
        <f t="shared" si="2"/>
        <v>2765</v>
      </c>
      <c r="H48" s="20">
        <f t="shared" si="2"/>
        <v>2916</v>
      </c>
      <c r="I48" s="20">
        <f t="shared" si="2"/>
        <v>2661</v>
      </c>
      <c r="J48" s="20">
        <f t="shared" si="2"/>
        <v>2404</v>
      </c>
      <c r="K48" s="20">
        <f>SUM(K30:K47)</f>
        <v>3473</v>
      </c>
      <c r="L48" s="20">
        <f>SUM(L30:L47)</f>
        <v>3848</v>
      </c>
      <c r="M48" s="20">
        <f t="shared" ref="M48:P48" si="3">SUM(M30:M47)</f>
        <v>3801</v>
      </c>
      <c r="N48" s="20">
        <f t="shared" si="3"/>
        <v>3764</v>
      </c>
      <c r="O48" s="20">
        <f t="shared" si="3"/>
        <v>2242</v>
      </c>
      <c r="P48" s="20">
        <f t="shared" si="3"/>
        <v>2552</v>
      </c>
      <c r="Q48" s="20">
        <v>2838</v>
      </c>
      <c r="R48" s="20">
        <f>SUM(R30:R47)</f>
        <v>4606</v>
      </c>
      <c r="S48" s="20">
        <v>3670</v>
      </c>
    </row>
    <row r="49" spans="1:1" ht="17.25" customHeight="1" x14ac:dyDescent="0.2">
      <c r="A49" s="13" t="s">
        <v>62</v>
      </c>
    </row>
  </sheetData>
  <mergeCells count="3">
    <mergeCell ref="A3:A4"/>
    <mergeCell ref="A28:A29"/>
    <mergeCell ref="B28:P28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S46"/>
  <sheetViews>
    <sheetView showGridLines="0" topLeftCell="A15" workbookViewId="0">
      <pane xSplit="1" topLeftCell="L1" activePane="topRight" state="frozen"/>
      <selection pane="topRight" activeCell="V27" sqref="V27"/>
    </sheetView>
  </sheetViews>
  <sheetFormatPr defaultColWidth="9.140625" defaultRowHeight="12" x14ac:dyDescent="0.2"/>
  <cols>
    <col min="1" max="10" width="14.85546875" style="13" customWidth="1"/>
    <col min="11" max="15" width="12.5703125" style="13" customWidth="1"/>
    <col min="16" max="16" width="13.140625" style="13" customWidth="1"/>
    <col min="17" max="17" width="12" style="13" bestFit="1" customWidth="1"/>
    <col min="18" max="19" width="15.42578125" style="13" customWidth="1"/>
    <col min="20" max="23" width="9" style="13" customWidth="1"/>
    <col min="24" max="16384" width="9.140625" style="13"/>
  </cols>
  <sheetData>
    <row r="1" spans="1:19" ht="17.25" customHeight="1" x14ac:dyDescent="0.2">
      <c r="A1" s="21" t="s">
        <v>70</v>
      </c>
    </row>
    <row r="2" spans="1:19" ht="17.25" customHeight="1" x14ac:dyDescent="0.2">
      <c r="A2" s="11" t="s">
        <v>32</v>
      </c>
      <c r="B2" s="25" t="s">
        <v>46</v>
      </c>
      <c r="C2" s="25" t="s">
        <v>45</v>
      </c>
      <c r="D2" s="25" t="s">
        <v>49</v>
      </c>
      <c r="E2" s="25" t="s">
        <v>50</v>
      </c>
      <c r="F2" s="25" t="s">
        <v>51</v>
      </c>
      <c r="G2" s="25" t="s">
        <v>52</v>
      </c>
      <c r="H2" s="25" t="s">
        <v>53</v>
      </c>
      <c r="I2" s="25" t="s">
        <v>54</v>
      </c>
      <c r="J2" s="25" t="s">
        <v>55</v>
      </c>
      <c r="K2" s="25" t="s">
        <v>40</v>
      </c>
      <c r="L2" s="25" t="s">
        <v>41</v>
      </c>
      <c r="M2" s="25" t="s">
        <v>56</v>
      </c>
      <c r="N2" s="25" t="s">
        <v>57</v>
      </c>
      <c r="O2" s="25" t="s">
        <v>58</v>
      </c>
      <c r="P2" s="6" t="s">
        <v>76</v>
      </c>
      <c r="Q2" s="6" t="s">
        <v>77</v>
      </c>
      <c r="R2" s="6" t="s">
        <v>78</v>
      </c>
      <c r="S2" s="6" t="s">
        <v>79</v>
      </c>
    </row>
    <row r="3" spans="1:19" ht="17.25" customHeight="1" x14ac:dyDescent="0.2">
      <c r="A3" s="12" t="s">
        <v>0</v>
      </c>
      <c r="B3" s="27">
        <v>85000</v>
      </c>
      <c r="C3" s="27">
        <v>55000</v>
      </c>
      <c r="D3" s="27">
        <v>370000</v>
      </c>
      <c r="E3" s="27">
        <v>135000</v>
      </c>
      <c r="F3" s="27">
        <v>150000</v>
      </c>
      <c r="G3" s="27">
        <v>300000</v>
      </c>
      <c r="H3" s="27">
        <v>300000</v>
      </c>
      <c r="I3" s="27">
        <v>300000</v>
      </c>
      <c r="J3" s="27">
        <v>300000</v>
      </c>
      <c r="K3" s="29">
        <v>139000</v>
      </c>
      <c r="L3" s="29">
        <v>1309000</v>
      </c>
      <c r="M3" s="29">
        <v>545000</v>
      </c>
      <c r="N3" s="29">
        <v>545000</v>
      </c>
      <c r="O3" s="29">
        <v>545000</v>
      </c>
      <c r="P3" s="15">
        <v>59000</v>
      </c>
      <c r="Q3" s="15">
        <v>140002</v>
      </c>
      <c r="R3" s="15">
        <v>310006</v>
      </c>
      <c r="S3" s="15">
        <v>65000</v>
      </c>
    </row>
    <row r="4" spans="1:19" ht="17.25" customHeight="1" x14ac:dyDescent="0.2">
      <c r="A4" s="15" t="s">
        <v>10</v>
      </c>
      <c r="B4" s="29">
        <v>143000</v>
      </c>
      <c r="C4" s="29">
        <v>312000</v>
      </c>
      <c r="D4" s="29">
        <v>190000</v>
      </c>
      <c r="E4" s="29">
        <v>130000</v>
      </c>
      <c r="F4" s="29">
        <v>130000</v>
      </c>
      <c r="G4" s="29">
        <v>2444998</v>
      </c>
      <c r="H4" s="29">
        <v>370000</v>
      </c>
      <c r="I4" s="29">
        <v>5366527</v>
      </c>
      <c r="J4" s="29">
        <v>14850027</v>
      </c>
      <c r="K4" s="29">
        <v>525000</v>
      </c>
      <c r="L4" s="29">
        <v>25000</v>
      </c>
      <c r="M4" s="29">
        <v>25000</v>
      </c>
      <c r="N4" s="29">
        <v>23565000</v>
      </c>
      <c r="O4" s="29">
        <v>590000</v>
      </c>
      <c r="P4" s="15">
        <v>1115000</v>
      </c>
      <c r="Q4" s="15">
        <v>315008</v>
      </c>
      <c r="R4" s="15">
        <v>545162</v>
      </c>
      <c r="S4" s="15">
        <v>100000</v>
      </c>
    </row>
    <row r="5" spans="1:19" ht="17.25" customHeight="1" x14ac:dyDescent="0.2">
      <c r="A5" s="15" t="s">
        <v>3</v>
      </c>
      <c r="B5" s="29">
        <v>145000</v>
      </c>
      <c r="C5" s="29">
        <v>1465000</v>
      </c>
      <c r="D5" s="29">
        <v>915000</v>
      </c>
      <c r="E5" s="29">
        <v>1953000</v>
      </c>
      <c r="F5" s="29">
        <v>1435000</v>
      </c>
      <c r="G5" s="29">
        <v>872004</v>
      </c>
      <c r="H5" s="29">
        <v>1077008</v>
      </c>
      <c r="I5" s="29">
        <v>1229000</v>
      </c>
      <c r="J5" s="29">
        <v>780000</v>
      </c>
      <c r="K5" s="29">
        <v>649004</v>
      </c>
      <c r="L5" s="29">
        <v>1886000</v>
      </c>
      <c r="M5" s="29">
        <v>2483003</v>
      </c>
      <c r="N5" s="29">
        <v>200000</v>
      </c>
      <c r="O5" s="29">
        <v>1715000</v>
      </c>
      <c r="P5" s="15">
        <v>1885000</v>
      </c>
      <c r="Q5" s="15">
        <v>1314000</v>
      </c>
      <c r="R5" s="15">
        <v>2790000</v>
      </c>
      <c r="S5" s="15">
        <v>3399007</v>
      </c>
    </row>
    <row r="6" spans="1:19" ht="17.25" customHeight="1" x14ac:dyDescent="0.2">
      <c r="A6" s="15" t="s">
        <v>23</v>
      </c>
      <c r="B6" s="29">
        <v>25305000</v>
      </c>
      <c r="C6" s="29">
        <v>18253003</v>
      </c>
      <c r="D6" s="29">
        <v>23235007</v>
      </c>
      <c r="E6" s="29">
        <v>7808000</v>
      </c>
      <c r="F6" s="29">
        <v>6210008</v>
      </c>
      <c r="G6" s="29">
        <v>10913004</v>
      </c>
      <c r="H6" s="29">
        <v>6620003</v>
      </c>
      <c r="I6" s="29">
        <v>6620003</v>
      </c>
      <c r="J6" s="29">
        <v>7130307</v>
      </c>
      <c r="K6" s="29">
        <v>4295000</v>
      </c>
      <c r="L6" s="29">
        <v>9550000</v>
      </c>
      <c r="M6" s="29">
        <v>13040010</v>
      </c>
      <c r="N6" s="29">
        <v>2040000</v>
      </c>
      <c r="O6" s="29">
        <v>4270000</v>
      </c>
      <c r="P6" s="15">
        <v>5015000</v>
      </c>
      <c r="Q6" s="15">
        <v>700000</v>
      </c>
      <c r="R6" s="15">
        <v>6810000</v>
      </c>
      <c r="S6" s="15">
        <v>5839787.6799999997</v>
      </c>
    </row>
    <row r="7" spans="1:19" ht="17.25" customHeight="1" x14ac:dyDescent="0.2">
      <c r="A7" s="15" t="s">
        <v>25</v>
      </c>
      <c r="B7" s="29">
        <v>1609000</v>
      </c>
      <c r="C7" s="29">
        <v>438000</v>
      </c>
      <c r="D7" s="29">
        <v>445350</v>
      </c>
      <c r="E7" s="29">
        <v>1235000</v>
      </c>
      <c r="F7" s="29">
        <v>657000</v>
      </c>
      <c r="G7" s="29">
        <v>647000</v>
      </c>
      <c r="H7" s="29">
        <v>1099000</v>
      </c>
      <c r="I7" s="29">
        <v>1397000</v>
      </c>
      <c r="J7" s="29">
        <v>135000</v>
      </c>
      <c r="K7" s="29">
        <v>1292000</v>
      </c>
      <c r="L7" s="29">
        <v>1987000</v>
      </c>
      <c r="M7" s="29">
        <v>8070540</v>
      </c>
      <c r="N7" s="29">
        <v>3900142</v>
      </c>
      <c r="O7" s="29">
        <v>425000</v>
      </c>
      <c r="P7" s="15">
        <v>945000</v>
      </c>
      <c r="Q7" s="15">
        <v>312000</v>
      </c>
      <c r="R7" s="15">
        <v>422000</v>
      </c>
      <c r="S7" s="15">
        <v>50000</v>
      </c>
    </row>
    <row r="8" spans="1:19" ht="17.25" customHeight="1" x14ac:dyDescent="0.2">
      <c r="A8" s="15" t="s">
        <v>26</v>
      </c>
      <c r="B8" s="29">
        <v>65000</v>
      </c>
      <c r="C8" s="29">
        <v>235000</v>
      </c>
      <c r="D8" s="29">
        <v>1236100</v>
      </c>
      <c r="E8" s="29">
        <v>155000</v>
      </c>
      <c r="F8" s="29">
        <v>155000</v>
      </c>
      <c r="G8" s="29">
        <v>405000</v>
      </c>
      <c r="H8" s="29">
        <v>1325400</v>
      </c>
      <c r="I8" s="29">
        <v>1325400</v>
      </c>
      <c r="J8" s="29">
        <v>600000</v>
      </c>
      <c r="K8" s="29">
        <v>1020000</v>
      </c>
      <c r="L8" s="29">
        <v>1070000</v>
      </c>
      <c r="M8" s="29">
        <v>2480000</v>
      </c>
      <c r="N8" s="29">
        <v>200000</v>
      </c>
      <c r="O8" s="29">
        <v>240000</v>
      </c>
      <c r="P8" s="23">
        <v>1015000</v>
      </c>
      <c r="Q8" s="23">
        <v>330000</v>
      </c>
      <c r="R8" s="23">
        <v>1705000</v>
      </c>
      <c r="S8" s="23">
        <v>100000</v>
      </c>
    </row>
    <row r="9" spans="1:19" ht="17.25" customHeight="1" x14ac:dyDescent="0.2">
      <c r="A9" s="15" t="s">
        <v>27</v>
      </c>
      <c r="B9" s="29">
        <v>1984333</v>
      </c>
      <c r="C9" s="29">
        <v>1779333</v>
      </c>
      <c r="D9" s="29">
        <v>1922000</v>
      </c>
      <c r="E9" s="29">
        <v>2922500</v>
      </c>
      <c r="F9" s="17">
        <v>2698000</v>
      </c>
      <c r="G9" s="29">
        <v>3351000</v>
      </c>
      <c r="H9" s="29">
        <v>5656000</v>
      </c>
      <c r="I9" s="29">
        <v>6636000</v>
      </c>
      <c r="J9" s="29">
        <v>2746740</v>
      </c>
      <c r="K9" s="29">
        <v>2177004</v>
      </c>
      <c r="L9" s="29">
        <v>9400000</v>
      </c>
      <c r="M9" s="29">
        <v>17524515</v>
      </c>
      <c r="N9" s="29">
        <v>2585006</v>
      </c>
      <c r="O9" s="29">
        <v>3884000</v>
      </c>
      <c r="P9" s="15">
        <v>4246000</v>
      </c>
      <c r="Q9" s="15">
        <v>7725559</v>
      </c>
      <c r="R9" s="15">
        <v>12776118</v>
      </c>
      <c r="S9" s="15">
        <v>5347504</v>
      </c>
    </row>
    <row r="10" spans="1:19" ht="17.25" customHeight="1" x14ac:dyDescent="0.2">
      <c r="A10" s="15" t="s">
        <v>11</v>
      </c>
      <c r="B10" s="29">
        <v>390000</v>
      </c>
      <c r="C10" s="29">
        <v>390000</v>
      </c>
      <c r="D10" s="29">
        <v>335000</v>
      </c>
      <c r="E10" s="29">
        <v>210000</v>
      </c>
      <c r="F10" s="29">
        <v>2375000</v>
      </c>
      <c r="G10" s="29">
        <v>2105000</v>
      </c>
      <c r="H10" s="29">
        <v>2375000</v>
      </c>
      <c r="I10" s="29">
        <v>2375000</v>
      </c>
      <c r="J10" s="29">
        <v>135000</v>
      </c>
      <c r="K10" s="29">
        <v>135000</v>
      </c>
      <c r="L10" s="29">
        <v>135000</v>
      </c>
      <c r="M10" s="29">
        <v>135000</v>
      </c>
      <c r="N10" s="29">
        <v>135000</v>
      </c>
      <c r="O10" s="29">
        <v>300000</v>
      </c>
      <c r="P10" s="15">
        <v>300000</v>
      </c>
      <c r="Q10" s="15">
        <v>475254</v>
      </c>
      <c r="R10" s="15">
        <v>585254</v>
      </c>
      <c r="S10" s="15">
        <v>585254</v>
      </c>
    </row>
    <row r="11" spans="1:19" ht="17.25" customHeight="1" x14ac:dyDescent="0.2">
      <c r="A11" s="15" t="s">
        <v>7</v>
      </c>
      <c r="B11" s="29">
        <v>1712000</v>
      </c>
      <c r="C11" s="29">
        <v>3812008</v>
      </c>
      <c r="D11" s="29">
        <v>3924000</v>
      </c>
      <c r="E11" s="29">
        <v>4165000</v>
      </c>
      <c r="F11" s="29">
        <v>5366000</v>
      </c>
      <c r="G11" s="29">
        <v>6848000</v>
      </c>
      <c r="H11" s="29">
        <v>15252000</v>
      </c>
      <c r="I11" s="29">
        <v>15122000</v>
      </c>
      <c r="J11" s="29">
        <v>5258435</v>
      </c>
      <c r="K11" s="29">
        <v>13747214</v>
      </c>
      <c r="L11" s="29">
        <v>10843537</v>
      </c>
      <c r="M11" s="29">
        <v>14283723</v>
      </c>
      <c r="N11" s="29">
        <v>14283723</v>
      </c>
      <c r="O11" s="29">
        <v>5923700</v>
      </c>
      <c r="P11" s="15">
        <v>6743724</v>
      </c>
      <c r="Q11" s="15">
        <v>8000006</v>
      </c>
      <c r="R11" s="15">
        <v>7084000</v>
      </c>
      <c r="S11" s="15">
        <v>18580246.719999999</v>
      </c>
    </row>
    <row r="12" spans="1:19" ht="17.25" customHeight="1" x14ac:dyDescent="0.2">
      <c r="A12" s="15" t="s">
        <v>28</v>
      </c>
      <c r="B12" s="29">
        <v>1610179</v>
      </c>
      <c r="C12" s="29">
        <v>1162006</v>
      </c>
      <c r="D12" s="29">
        <v>825396</v>
      </c>
      <c r="E12" s="29">
        <v>830000</v>
      </c>
      <c r="F12" s="29">
        <v>740585</v>
      </c>
      <c r="G12" s="29">
        <v>760555</v>
      </c>
      <c r="H12" s="29">
        <v>615260</v>
      </c>
      <c r="I12" s="29">
        <v>435550</v>
      </c>
      <c r="J12" s="29">
        <v>435550</v>
      </c>
      <c r="K12" s="29">
        <v>250685</v>
      </c>
      <c r="L12" s="29">
        <v>250000</v>
      </c>
      <c r="M12" s="29">
        <v>871060</v>
      </c>
      <c r="N12" s="29">
        <v>135000</v>
      </c>
      <c r="O12" s="29">
        <v>180000</v>
      </c>
      <c r="P12" s="15">
        <v>180380</v>
      </c>
      <c r="Q12" s="15">
        <v>731130</v>
      </c>
      <c r="R12" s="15">
        <v>150700</v>
      </c>
      <c r="S12" s="15">
        <v>1130800</v>
      </c>
    </row>
    <row r="13" spans="1:19" ht="17.25" customHeight="1" x14ac:dyDescent="0.2">
      <c r="A13" s="15" t="s">
        <v>4</v>
      </c>
      <c r="B13" s="29">
        <v>14365184</v>
      </c>
      <c r="C13" s="29">
        <v>30143958</v>
      </c>
      <c r="D13" s="29">
        <v>227954268</v>
      </c>
      <c r="E13" s="29">
        <v>19132833</v>
      </c>
      <c r="F13" s="29">
        <v>19825558</v>
      </c>
      <c r="G13" s="29">
        <v>29045612</v>
      </c>
      <c r="H13" s="29">
        <v>22985158</v>
      </c>
      <c r="I13" s="29">
        <v>20511609</v>
      </c>
      <c r="J13" s="29">
        <v>18405114</v>
      </c>
      <c r="K13" s="29">
        <v>52755450</v>
      </c>
      <c r="L13" s="29">
        <v>45883550</v>
      </c>
      <c r="M13" s="29">
        <v>43850003</v>
      </c>
      <c r="N13" s="29">
        <v>16633006</v>
      </c>
      <c r="O13" s="29">
        <v>10515000</v>
      </c>
      <c r="P13" s="15">
        <v>12845050</v>
      </c>
      <c r="Q13" s="15">
        <v>9620000</v>
      </c>
      <c r="R13" s="15">
        <v>14091515</v>
      </c>
      <c r="S13" s="15">
        <v>6821015</v>
      </c>
    </row>
    <row r="14" spans="1:19" ht="17.25" customHeight="1" x14ac:dyDescent="0.2">
      <c r="A14" s="15" t="s">
        <v>1</v>
      </c>
      <c r="B14" s="29">
        <v>7990000</v>
      </c>
      <c r="C14" s="29">
        <v>73629478</v>
      </c>
      <c r="D14" s="29">
        <v>189500000</v>
      </c>
      <c r="E14" s="29">
        <v>4500000</v>
      </c>
      <c r="F14" s="29">
        <v>6850002</v>
      </c>
      <c r="G14" s="29">
        <v>7925001</v>
      </c>
      <c r="H14" s="29">
        <v>1200000</v>
      </c>
      <c r="I14" s="29">
        <v>300000</v>
      </c>
      <c r="J14" s="29">
        <v>300000</v>
      </c>
      <c r="K14" s="29">
        <v>13910000</v>
      </c>
      <c r="L14" s="29">
        <v>9965000</v>
      </c>
      <c r="M14" s="29">
        <v>16455004</v>
      </c>
      <c r="N14" s="29">
        <v>4650003</v>
      </c>
      <c r="O14" s="29">
        <v>13440000</v>
      </c>
      <c r="P14" s="15">
        <v>16890000</v>
      </c>
      <c r="Q14" s="15">
        <v>8970000</v>
      </c>
      <c r="R14" s="15">
        <v>16595000</v>
      </c>
      <c r="S14" s="15">
        <v>7080000</v>
      </c>
    </row>
    <row r="15" spans="1:19" ht="17.25" customHeight="1" x14ac:dyDescent="0.2">
      <c r="A15" s="15" t="s">
        <v>24</v>
      </c>
      <c r="B15" s="29">
        <v>33260000</v>
      </c>
      <c r="C15" s="29">
        <v>30520003</v>
      </c>
      <c r="D15" s="29">
        <v>26160000</v>
      </c>
      <c r="E15" s="29">
        <v>7720000</v>
      </c>
      <c r="F15" s="29">
        <v>5235000</v>
      </c>
      <c r="G15" s="29">
        <v>10337500</v>
      </c>
      <c r="H15" s="29">
        <v>9415000</v>
      </c>
      <c r="I15" s="29">
        <v>8035000</v>
      </c>
      <c r="J15" s="29">
        <v>1809000</v>
      </c>
      <c r="K15" s="29">
        <v>1939000</v>
      </c>
      <c r="L15" s="29">
        <v>4469000</v>
      </c>
      <c r="M15" s="29">
        <v>3628002</v>
      </c>
      <c r="N15" s="29">
        <v>875000</v>
      </c>
      <c r="O15" s="29">
        <v>1246000</v>
      </c>
      <c r="P15" s="15">
        <v>1501000</v>
      </c>
      <c r="Q15" s="15">
        <v>1395000</v>
      </c>
      <c r="R15" s="15">
        <v>6910008</v>
      </c>
      <c r="S15" s="15">
        <v>1195000</v>
      </c>
    </row>
    <row r="16" spans="1:19" ht="17.25" customHeight="1" x14ac:dyDescent="0.2">
      <c r="A16" s="15" t="s">
        <v>8</v>
      </c>
      <c r="B16" s="29">
        <v>240000</v>
      </c>
      <c r="C16" s="29">
        <v>2874175</v>
      </c>
      <c r="D16" s="29">
        <v>2005002</v>
      </c>
      <c r="E16" s="29">
        <v>2150000</v>
      </c>
      <c r="F16" s="29">
        <v>940000</v>
      </c>
      <c r="G16" s="29">
        <v>1065003</v>
      </c>
      <c r="H16" s="29">
        <v>625003</v>
      </c>
      <c r="I16" s="29">
        <v>440000</v>
      </c>
      <c r="J16" s="29">
        <v>450000</v>
      </c>
      <c r="K16" s="29">
        <v>450000</v>
      </c>
      <c r="L16" s="29">
        <v>160000</v>
      </c>
      <c r="M16" s="29">
        <v>3505000</v>
      </c>
      <c r="N16" s="29">
        <v>3670000</v>
      </c>
      <c r="O16" s="29">
        <v>3110000</v>
      </c>
      <c r="P16" s="15">
        <v>3110000</v>
      </c>
      <c r="Q16" s="15">
        <v>961000</v>
      </c>
      <c r="R16" s="15">
        <v>1465000</v>
      </c>
      <c r="S16" s="15">
        <v>420460.28</v>
      </c>
    </row>
    <row r="17" spans="1:19" ht="17.25" customHeight="1" x14ac:dyDescent="0.2">
      <c r="A17" s="15" t="s">
        <v>5</v>
      </c>
      <c r="B17" s="29">
        <v>4606500</v>
      </c>
      <c r="C17" s="29">
        <v>6416500</v>
      </c>
      <c r="D17" s="29">
        <v>25854005</v>
      </c>
      <c r="E17" s="29">
        <v>5639500</v>
      </c>
      <c r="F17" s="29">
        <v>1109000</v>
      </c>
      <c r="G17" s="29">
        <v>1509000</v>
      </c>
      <c r="H17" s="29">
        <v>2940666</v>
      </c>
      <c r="I17" s="29">
        <v>630000</v>
      </c>
      <c r="J17" s="29">
        <v>1817000</v>
      </c>
      <c r="K17" s="29">
        <v>26200006</v>
      </c>
      <c r="L17" s="29">
        <v>4222000</v>
      </c>
      <c r="M17" s="29">
        <v>1517000</v>
      </c>
      <c r="N17" s="29">
        <v>1517000</v>
      </c>
      <c r="O17" s="29">
        <v>870000</v>
      </c>
      <c r="P17" s="15">
        <v>990000</v>
      </c>
      <c r="Q17" s="15">
        <v>1940000</v>
      </c>
      <c r="R17" s="15">
        <v>1940000</v>
      </c>
      <c r="S17" s="15">
        <v>1940000</v>
      </c>
    </row>
    <row r="18" spans="1:19" ht="17.25" customHeight="1" x14ac:dyDescent="0.2">
      <c r="A18" s="15" t="s">
        <v>9</v>
      </c>
      <c r="B18" s="29">
        <v>1216000</v>
      </c>
      <c r="C18" s="29">
        <v>5513000</v>
      </c>
      <c r="D18" s="29">
        <v>1609000</v>
      </c>
      <c r="E18" s="29">
        <v>2815000</v>
      </c>
      <c r="F18" s="29">
        <v>857000</v>
      </c>
      <c r="G18" s="29">
        <v>1620002</v>
      </c>
      <c r="H18" s="29">
        <v>2710000</v>
      </c>
      <c r="I18" s="29">
        <v>1255006</v>
      </c>
      <c r="J18" s="29">
        <v>570005</v>
      </c>
      <c r="K18" s="29">
        <v>1135000</v>
      </c>
      <c r="L18" s="29">
        <v>4295000</v>
      </c>
      <c r="M18" s="29">
        <v>4132230</v>
      </c>
      <c r="N18" s="29">
        <v>2675000</v>
      </c>
      <c r="O18" s="29">
        <v>5270000</v>
      </c>
      <c r="P18" s="15">
        <v>5745000</v>
      </c>
      <c r="Q18" s="15">
        <v>6693007</v>
      </c>
      <c r="R18" s="15">
        <v>14010007</v>
      </c>
      <c r="S18" s="15">
        <v>7030207</v>
      </c>
    </row>
    <row r="19" spans="1:19" ht="17.25" customHeight="1" x14ac:dyDescent="0.2">
      <c r="A19" s="15" t="s">
        <v>2</v>
      </c>
      <c r="B19" s="29">
        <v>932000</v>
      </c>
      <c r="C19" s="29">
        <v>1246250</v>
      </c>
      <c r="D19" s="29">
        <v>1500250</v>
      </c>
      <c r="E19" s="29">
        <v>1791250</v>
      </c>
      <c r="F19" s="29">
        <v>1721256</v>
      </c>
      <c r="G19" s="29">
        <v>965000</v>
      </c>
      <c r="H19" s="29">
        <v>818000</v>
      </c>
      <c r="I19" s="29">
        <v>698000</v>
      </c>
      <c r="J19" s="29">
        <v>698000</v>
      </c>
      <c r="K19" s="29">
        <v>715000</v>
      </c>
      <c r="L19" s="29">
        <v>715000</v>
      </c>
      <c r="M19" s="29">
        <v>195000</v>
      </c>
      <c r="N19" s="29">
        <v>195000</v>
      </c>
      <c r="O19" s="29">
        <v>260000</v>
      </c>
      <c r="P19" s="15">
        <v>335000</v>
      </c>
      <c r="Q19" s="15">
        <v>260000</v>
      </c>
      <c r="R19" s="15">
        <v>335000</v>
      </c>
      <c r="S19" s="15">
        <v>300000</v>
      </c>
    </row>
    <row r="20" spans="1:19" ht="17.25" customHeight="1" x14ac:dyDescent="0.2">
      <c r="A20" s="15" t="s">
        <v>6</v>
      </c>
      <c r="B20" s="29">
        <v>475000</v>
      </c>
      <c r="C20" s="29">
        <v>8817283</v>
      </c>
      <c r="D20" s="29">
        <v>2374155</v>
      </c>
      <c r="E20" s="29">
        <v>4323500</v>
      </c>
      <c r="F20" s="29">
        <v>1047585</v>
      </c>
      <c r="G20" s="29">
        <v>1933000</v>
      </c>
      <c r="H20" s="29">
        <v>3771300</v>
      </c>
      <c r="I20" s="29">
        <v>1652500</v>
      </c>
      <c r="J20" s="29">
        <v>2002501</v>
      </c>
      <c r="K20" s="29">
        <v>2688100</v>
      </c>
      <c r="L20" s="29">
        <v>3284000</v>
      </c>
      <c r="M20" s="29">
        <v>6931150</v>
      </c>
      <c r="N20" s="29">
        <v>3165000</v>
      </c>
      <c r="O20" s="29">
        <v>8165000</v>
      </c>
      <c r="P20" s="15">
        <v>8740000</v>
      </c>
      <c r="Q20" s="15">
        <v>7337100</v>
      </c>
      <c r="R20" s="15">
        <v>7337100</v>
      </c>
      <c r="S20" s="15">
        <v>9050738</v>
      </c>
    </row>
    <row r="21" spans="1:19" ht="17.25" customHeight="1" x14ac:dyDescent="0.2">
      <c r="A21" s="28" t="s">
        <v>34</v>
      </c>
      <c r="B21" s="28">
        <f>SUM(B3:B20)</f>
        <v>96133196</v>
      </c>
      <c r="C21" s="28">
        <f t="shared" ref="C21:O21" si="0">SUM(C3:C20)</f>
        <v>187061997</v>
      </c>
      <c r="D21" s="28">
        <f t="shared" si="0"/>
        <v>510354533</v>
      </c>
      <c r="E21" s="28">
        <f t="shared" si="0"/>
        <v>67615583</v>
      </c>
      <c r="F21" s="28">
        <f t="shared" si="0"/>
        <v>57501994</v>
      </c>
      <c r="G21" s="28">
        <f t="shared" si="0"/>
        <v>83046679</v>
      </c>
      <c r="H21" s="28">
        <f t="shared" si="0"/>
        <v>79154798</v>
      </c>
      <c r="I21" s="28">
        <f t="shared" si="0"/>
        <v>74328595</v>
      </c>
      <c r="J21" s="28">
        <f t="shared" si="0"/>
        <v>58422679</v>
      </c>
      <c r="K21" s="28">
        <f t="shared" si="0"/>
        <v>124022463</v>
      </c>
      <c r="L21" s="28">
        <f t="shared" si="0"/>
        <v>109449087</v>
      </c>
      <c r="M21" s="28">
        <f t="shared" si="0"/>
        <v>139671240</v>
      </c>
      <c r="N21" s="28">
        <f t="shared" si="0"/>
        <v>80968880</v>
      </c>
      <c r="O21" s="28">
        <f t="shared" si="0"/>
        <v>60948700</v>
      </c>
      <c r="P21" s="28">
        <f>SUM(P3:P20)</f>
        <v>71660154</v>
      </c>
      <c r="Q21" s="46">
        <v>57219066</v>
      </c>
      <c r="R21" s="46">
        <f>SUM(R3:R20)</f>
        <v>95861870</v>
      </c>
      <c r="S21" s="46">
        <v>69035019.680000007</v>
      </c>
    </row>
    <row r="22" spans="1:19" ht="17.25" customHeight="1" x14ac:dyDescent="0.2">
      <c r="A22" s="13" t="s">
        <v>62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16"/>
    </row>
    <row r="23" spans="1:19" ht="17.25" customHeight="1" x14ac:dyDescent="0.2">
      <c r="K23" s="21"/>
      <c r="L23" s="21"/>
      <c r="M23" s="21"/>
      <c r="N23" s="21"/>
      <c r="O23" s="22"/>
    </row>
    <row r="24" spans="1:19" ht="17.25" customHeight="1" x14ac:dyDescent="0.2">
      <c r="A24" s="21" t="s">
        <v>71</v>
      </c>
      <c r="O24" s="23"/>
    </row>
    <row r="25" spans="1:19" ht="17.25" customHeight="1" x14ac:dyDescent="0.2"/>
    <row r="26" spans="1:19" ht="17.25" customHeight="1" x14ac:dyDescent="0.2">
      <c r="A26" s="30" t="s">
        <v>32</v>
      </c>
      <c r="B26" s="31" t="s">
        <v>46</v>
      </c>
      <c r="C26" s="31" t="s">
        <v>45</v>
      </c>
      <c r="D26" s="31" t="s">
        <v>49</v>
      </c>
      <c r="E26" s="31" t="s">
        <v>50</v>
      </c>
      <c r="F26" s="31" t="s">
        <v>51</v>
      </c>
      <c r="G26" s="31" t="s">
        <v>52</v>
      </c>
      <c r="H26" s="31" t="s">
        <v>53</v>
      </c>
      <c r="I26" s="31" t="s">
        <v>54</v>
      </c>
      <c r="J26" s="31" t="s">
        <v>55</v>
      </c>
      <c r="K26" s="31" t="s">
        <v>40</v>
      </c>
      <c r="L26" s="31" t="s">
        <v>41</v>
      </c>
      <c r="M26" s="31" t="s">
        <v>56</v>
      </c>
      <c r="N26" s="31" t="s">
        <v>57</v>
      </c>
      <c r="O26" s="31" t="s">
        <v>58</v>
      </c>
      <c r="P26" s="31" t="s">
        <v>76</v>
      </c>
      <c r="Q26" s="31" t="s">
        <v>77</v>
      </c>
      <c r="R26" s="31" t="s">
        <v>78</v>
      </c>
      <c r="S26" s="32" t="s">
        <v>79</v>
      </c>
    </row>
    <row r="27" spans="1:19" ht="17.25" customHeight="1" x14ac:dyDescent="0.2">
      <c r="A27" s="15" t="s">
        <v>0</v>
      </c>
      <c r="B27" s="15">
        <v>226250</v>
      </c>
      <c r="C27" s="15">
        <v>565000</v>
      </c>
      <c r="D27" s="15">
        <v>470000</v>
      </c>
      <c r="E27" s="15">
        <v>928500</v>
      </c>
      <c r="F27" s="15">
        <v>130000</v>
      </c>
      <c r="G27" s="15">
        <v>450000</v>
      </c>
      <c r="H27" s="15">
        <v>315000</v>
      </c>
      <c r="I27" s="15">
        <v>315000</v>
      </c>
      <c r="J27" s="15">
        <v>348150</v>
      </c>
      <c r="K27" s="15">
        <v>1285000</v>
      </c>
      <c r="L27" s="15">
        <v>870000</v>
      </c>
      <c r="M27" s="15">
        <v>210000</v>
      </c>
      <c r="N27" s="15">
        <v>210000</v>
      </c>
      <c r="O27" s="15">
        <v>50000</v>
      </c>
      <c r="P27" s="15">
        <v>430000</v>
      </c>
      <c r="Q27" s="15">
        <v>265155</v>
      </c>
      <c r="R27" s="15">
        <v>350003</v>
      </c>
      <c r="S27" s="29">
        <v>150000</v>
      </c>
    </row>
    <row r="28" spans="1:19" ht="17.25" customHeight="1" x14ac:dyDescent="0.2">
      <c r="A28" s="15" t="s">
        <v>10</v>
      </c>
      <c r="B28" s="15">
        <v>65000</v>
      </c>
      <c r="C28" s="15">
        <v>105000</v>
      </c>
      <c r="D28" s="15">
        <v>75000</v>
      </c>
      <c r="E28" s="15">
        <v>70000</v>
      </c>
      <c r="F28" s="15">
        <v>70000</v>
      </c>
      <c r="G28" s="15">
        <v>70000</v>
      </c>
      <c r="H28" s="15">
        <v>30000</v>
      </c>
      <c r="I28" s="15">
        <v>40000</v>
      </c>
      <c r="J28" s="15">
        <v>1800000</v>
      </c>
      <c r="K28" s="15">
        <v>1800000</v>
      </c>
      <c r="L28" s="15">
        <v>1800000</v>
      </c>
      <c r="M28" s="15">
        <v>1800000</v>
      </c>
      <c r="N28" s="15">
        <v>1800000</v>
      </c>
      <c r="O28" s="15">
        <v>1800000</v>
      </c>
      <c r="P28" s="15">
        <v>5030</v>
      </c>
      <c r="Q28" s="15">
        <v>75000</v>
      </c>
      <c r="R28" s="15">
        <v>147100</v>
      </c>
      <c r="S28" s="29">
        <v>90000</v>
      </c>
    </row>
    <row r="29" spans="1:19" ht="17.25" customHeight="1" x14ac:dyDescent="0.2">
      <c r="A29" s="15" t="s">
        <v>3</v>
      </c>
      <c r="B29" s="15">
        <v>90000</v>
      </c>
      <c r="C29" s="15">
        <v>380000</v>
      </c>
      <c r="D29" s="15">
        <v>590000</v>
      </c>
      <c r="E29" s="15">
        <v>542000</v>
      </c>
      <c r="F29" s="15">
        <v>743000</v>
      </c>
      <c r="G29" s="15">
        <v>698000</v>
      </c>
      <c r="H29" s="15">
        <v>495004</v>
      </c>
      <c r="I29" s="15">
        <v>438000</v>
      </c>
      <c r="J29" s="15">
        <v>514000</v>
      </c>
      <c r="K29" s="15">
        <v>383000</v>
      </c>
      <c r="L29" s="15">
        <v>916000</v>
      </c>
      <c r="M29" s="15">
        <v>1133004</v>
      </c>
      <c r="N29" s="15">
        <v>150000</v>
      </c>
      <c r="O29" s="15">
        <v>890000</v>
      </c>
      <c r="P29" s="15">
        <v>990000</v>
      </c>
      <c r="Q29" s="15">
        <v>273000</v>
      </c>
      <c r="R29" s="15">
        <v>544000</v>
      </c>
      <c r="S29" s="29">
        <v>516000</v>
      </c>
    </row>
    <row r="30" spans="1:19" ht="17.25" customHeight="1" x14ac:dyDescent="0.2">
      <c r="A30" s="15" t="s">
        <v>23</v>
      </c>
      <c r="B30" s="15">
        <v>0</v>
      </c>
      <c r="C30" s="15">
        <v>3790000</v>
      </c>
      <c r="D30" s="15">
        <v>4690000</v>
      </c>
      <c r="E30" s="15">
        <v>645000</v>
      </c>
      <c r="F30" s="15">
        <v>100000</v>
      </c>
      <c r="G30" s="15">
        <v>280000</v>
      </c>
      <c r="H30" s="15">
        <v>1640000</v>
      </c>
      <c r="I30" s="15">
        <v>1640000</v>
      </c>
      <c r="J30" s="15">
        <v>140000</v>
      </c>
      <c r="K30" s="15">
        <v>78000</v>
      </c>
      <c r="L30" s="15">
        <v>156000</v>
      </c>
      <c r="M30" s="15">
        <v>156023</v>
      </c>
      <c r="N30" s="15">
        <v>156023</v>
      </c>
      <c r="O30" s="15">
        <v>156023</v>
      </c>
      <c r="P30" s="15">
        <v>78000</v>
      </c>
      <c r="Q30" s="15">
        <v>500000</v>
      </c>
      <c r="R30" s="15">
        <v>500000</v>
      </c>
      <c r="S30" s="29">
        <v>1250220.32</v>
      </c>
    </row>
    <row r="31" spans="1:19" ht="17.25" customHeight="1" x14ac:dyDescent="0.2">
      <c r="A31" s="15" t="s">
        <v>25</v>
      </c>
      <c r="B31" s="15">
        <v>235000</v>
      </c>
      <c r="C31" s="15">
        <v>30000</v>
      </c>
      <c r="D31" s="15">
        <v>350000</v>
      </c>
      <c r="E31" s="15">
        <v>1003000</v>
      </c>
      <c r="F31" s="15">
        <v>435050</v>
      </c>
      <c r="G31" s="15">
        <v>315000</v>
      </c>
      <c r="H31" s="15">
        <v>611000</v>
      </c>
      <c r="I31" s="15">
        <v>220000</v>
      </c>
      <c r="J31" s="15">
        <v>220000</v>
      </c>
      <c r="K31" s="15">
        <v>30000</v>
      </c>
      <c r="L31" s="15">
        <v>900000</v>
      </c>
      <c r="M31" s="15">
        <v>1390080</v>
      </c>
      <c r="N31" s="15">
        <v>360000</v>
      </c>
      <c r="O31" s="15">
        <v>40000</v>
      </c>
      <c r="P31" s="15">
        <v>70000</v>
      </c>
      <c r="Q31" s="15">
        <v>50000</v>
      </c>
      <c r="R31" s="15">
        <v>180000</v>
      </c>
      <c r="S31" s="29">
        <v>2350321.4500000002</v>
      </c>
    </row>
    <row r="32" spans="1:19" ht="17.25" customHeight="1" x14ac:dyDescent="0.2">
      <c r="A32" s="15" t="s">
        <v>26</v>
      </c>
      <c r="B32" s="15">
        <v>85000</v>
      </c>
      <c r="C32" s="15">
        <v>30000</v>
      </c>
      <c r="D32" s="15">
        <v>132000</v>
      </c>
      <c r="E32" s="15">
        <v>111000</v>
      </c>
      <c r="F32" s="15">
        <v>111000</v>
      </c>
      <c r="G32" s="15">
        <v>195000</v>
      </c>
      <c r="H32" s="15">
        <v>195000</v>
      </c>
      <c r="I32" s="15">
        <v>195000</v>
      </c>
      <c r="J32" s="15">
        <v>125000</v>
      </c>
      <c r="K32" s="15">
        <v>125000</v>
      </c>
      <c r="L32" s="15">
        <v>125000</v>
      </c>
      <c r="M32" s="15">
        <v>125000</v>
      </c>
      <c r="N32" s="15">
        <v>125000</v>
      </c>
      <c r="O32" s="15">
        <v>90000</v>
      </c>
      <c r="P32" s="15">
        <v>90000</v>
      </c>
      <c r="Q32" s="15">
        <v>50000</v>
      </c>
      <c r="R32" s="23">
        <v>360000</v>
      </c>
      <c r="S32" s="23">
        <v>153800</v>
      </c>
    </row>
    <row r="33" spans="1:19" ht="17.25" customHeight="1" x14ac:dyDescent="0.2">
      <c r="A33" s="15" t="s">
        <v>27</v>
      </c>
      <c r="B33" s="15">
        <v>757000</v>
      </c>
      <c r="C33" s="15">
        <v>710000</v>
      </c>
      <c r="D33" s="15">
        <v>970000</v>
      </c>
      <c r="E33" s="15">
        <v>1640000</v>
      </c>
      <c r="F33" s="17">
        <v>1200000</v>
      </c>
      <c r="G33" s="15">
        <v>1165000</v>
      </c>
      <c r="H33" s="15">
        <v>1633000</v>
      </c>
      <c r="I33" s="15">
        <v>1553000</v>
      </c>
      <c r="J33" s="15">
        <v>1030000</v>
      </c>
      <c r="K33" s="15">
        <v>850000</v>
      </c>
      <c r="L33" s="15">
        <v>1890000</v>
      </c>
      <c r="M33" s="15">
        <v>1640000</v>
      </c>
      <c r="N33" s="15">
        <v>495000</v>
      </c>
      <c r="O33" s="15">
        <v>1245000</v>
      </c>
      <c r="P33" s="15">
        <v>1560000</v>
      </c>
      <c r="Q33" s="15">
        <v>1655000</v>
      </c>
      <c r="R33" s="15">
        <v>3160000</v>
      </c>
      <c r="S33" s="29">
        <v>1700000</v>
      </c>
    </row>
    <row r="34" spans="1:19" ht="17.25" customHeight="1" x14ac:dyDescent="0.2">
      <c r="A34" s="15" t="s">
        <v>11</v>
      </c>
      <c r="B34" s="15">
        <v>11740000</v>
      </c>
      <c r="C34" s="15">
        <v>250000</v>
      </c>
      <c r="D34" s="15">
        <v>1880000</v>
      </c>
      <c r="E34" s="15">
        <v>1880000</v>
      </c>
      <c r="F34" s="15">
        <v>600000</v>
      </c>
      <c r="G34" s="15">
        <v>250000</v>
      </c>
      <c r="H34" s="15">
        <v>600000</v>
      </c>
      <c r="I34" s="15">
        <v>600000</v>
      </c>
      <c r="J34" s="15">
        <v>170000</v>
      </c>
      <c r="K34" s="15">
        <v>50000</v>
      </c>
      <c r="L34" s="15">
        <v>135000</v>
      </c>
      <c r="M34" s="15">
        <v>35000</v>
      </c>
      <c r="N34" s="15">
        <v>35000</v>
      </c>
      <c r="O34" s="15">
        <v>185000</v>
      </c>
      <c r="P34" s="15">
        <v>235000</v>
      </c>
      <c r="Q34" s="15">
        <v>230170</v>
      </c>
      <c r="R34" s="15">
        <v>280250</v>
      </c>
      <c r="S34" s="29">
        <v>2455256</v>
      </c>
    </row>
    <row r="35" spans="1:19" ht="17.25" customHeight="1" x14ac:dyDescent="0.2">
      <c r="A35" s="15" t="s">
        <v>7</v>
      </c>
      <c r="B35" s="15">
        <v>395000</v>
      </c>
      <c r="C35" s="15">
        <v>614000</v>
      </c>
      <c r="D35" s="15">
        <v>442000</v>
      </c>
      <c r="E35" s="15">
        <v>582000</v>
      </c>
      <c r="F35" s="15">
        <v>629001</v>
      </c>
      <c r="G35" s="15">
        <v>125000</v>
      </c>
      <c r="H35" s="15">
        <v>730000</v>
      </c>
      <c r="I35" s="15">
        <v>860000</v>
      </c>
      <c r="J35" s="15">
        <v>350000</v>
      </c>
      <c r="K35" s="15">
        <v>1986000</v>
      </c>
      <c r="L35" s="15">
        <v>1355000</v>
      </c>
      <c r="M35" s="15">
        <v>2151000</v>
      </c>
      <c r="N35" s="15">
        <v>2151000</v>
      </c>
      <c r="O35" s="15">
        <v>355000</v>
      </c>
      <c r="P35" s="15">
        <v>415000</v>
      </c>
      <c r="Q35" s="15">
        <v>1201000</v>
      </c>
      <c r="R35" s="15">
        <v>1015000</v>
      </c>
      <c r="S35" s="29">
        <v>1520000</v>
      </c>
    </row>
    <row r="36" spans="1:19" ht="17.25" customHeight="1" x14ac:dyDescent="0.2">
      <c r="A36" s="15" t="s">
        <v>28</v>
      </c>
      <c r="B36" s="15">
        <v>480000</v>
      </c>
      <c r="C36" s="15">
        <v>503030</v>
      </c>
      <c r="D36" s="15">
        <v>205176</v>
      </c>
      <c r="E36" s="15">
        <v>420000</v>
      </c>
      <c r="F36" s="15">
        <v>290359</v>
      </c>
      <c r="G36" s="15">
        <v>155309</v>
      </c>
      <c r="H36" s="15">
        <v>120055</v>
      </c>
      <c r="I36" s="15">
        <v>250050</v>
      </c>
      <c r="J36" s="15">
        <v>250050</v>
      </c>
      <c r="K36" s="15">
        <v>305254</v>
      </c>
      <c r="L36" s="15">
        <v>305000</v>
      </c>
      <c r="M36" s="15">
        <v>485000</v>
      </c>
      <c r="N36" s="15">
        <v>115000</v>
      </c>
      <c r="O36" s="15">
        <v>495000</v>
      </c>
      <c r="P36" s="15">
        <v>495150</v>
      </c>
      <c r="Q36" s="15">
        <v>425000</v>
      </c>
      <c r="R36" s="15">
        <v>35000</v>
      </c>
      <c r="S36" s="29">
        <v>185193</v>
      </c>
    </row>
    <row r="37" spans="1:19" ht="17.25" customHeight="1" x14ac:dyDescent="0.2">
      <c r="A37" s="15" t="s">
        <v>4</v>
      </c>
      <c r="B37" s="15">
        <v>3474000</v>
      </c>
      <c r="C37" s="15">
        <v>1461070</v>
      </c>
      <c r="D37" s="15">
        <v>2322934</v>
      </c>
      <c r="E37" s="15">
        <v>6802500</v>
      </c>
      <c r="F37" s="15">
        <v>3458030</v>
      </c>
      <c r="G37" s="15">
        <v>8531515</v>
      </c>
      <c r="H37" s="15">
        <v>2369000</v>
      </c>
      <c r="I37" s="15">
        <v>4035005</v>
      </c>
      <c r="J37" s="15">
        <v>2470000</v>
      </c>
      <c r="K37" s="15">
        <v>18762000</v>
      </c>
      <c r="L37" s="15">
        <v>12640000</v>
      </c>
      <c r="M37" s="15">
        <v>4345003</v>
      </c>
      <c r="N37" s="15">
        <v>805000</v>
      </c>
      <c r="O37" s="15">
        <v>1385000</v>
      </c>
      <c r="P37" s="15">
        <v>1865000</v>
      </c>
      <c r="Q37" s="15">
        <v>980000</v>
      </c>
      <c r="R37" s="15">
        <v>2065003</v>
      </c>
      <c r="S37" s="29">
        <v>915003</v>
      </c>
    </row>
    <row r="38" spans="1:19" ht="17.25" customHeight="1" x14ac:dyDescent="0.2">
      <c r="A38" s="15" t="s">
        <v>1</v>
      </c>
      <c r="B38" s="15">
        <v>5150000</v>
      </c>
      <c r="C38" s="15">
        <v>126301570</v>
      </c>
      <c r="D38" s="15">
        <v>23380000</v>
      </c>
      <c r="E38" s="15">
        <v>210000</v>
      </c>
      <c r="F38" s="15">
        <v>2300000</v>
      </c>
      <c r="G38" s="15">
        <v>1360000</v>
      </c>
      <c r="H38" s="15">
        <v>1360000</v>
      </c>
      <c r="I38" s="15">
        <v>1360000</v>
      </c>
      <c r="J38" s="15">
        <v>1360000</v>
      </c>
      <c r="K38" s="15">
        <v>7500000</v>
      </c>
      <c r="L38" s="15">
        <v>7500000</v>
      </c>
      <c r="M38" s="15">
        <v>900000</v>
      </c>
      <c r="N38" s="15">
        <v>900000</v>
      </c>
      <c r="O38" s="15">
        <v>8800000</v>
      </c>
      <c r="P38" s="15">
        <v>8800000</v>
      </c>
      <c r="Q38" s="15">
        <v>425000</v>
      </c>
      <c r="R38" s="15">
        <v>7925000</v>
      </c>
      <c r="S38" s="29">
        <v>5149678.55</v>
      </c>
    </row>
    <row r="39" spans="1:19" ht="17.25" customHeight="1" x14ac:dyDescent="0.2">
      <c r="A39" s="15" t="s">
        <v>24</v>
      </c>
      <c r="B39" s="15">
        <v>2640000</v>
      </c>
      <c r="C39" s="15">
        <v>3540000</v>
      </c>
      <c r="D39" s="15">
        <v>3030040</v>
      </c>
      <c r="E39" s="15">
        <v>70000</v>
      </c>
      <c r="F39" s="15">
        <v>40000</v>
      </c>
      <c r="G39" s="15">
        <v>90000</v>
      </c>
      <c r="H39" s="15">
        <v>820000</v>
      </c>
      <c r="I39" s="15">
        <v>2200000</v>
      </c>
      <c r="J39" s="15">
        <v>1255800</v>
      </c>
      <c r="K39" s="15">
        <v>1841000</v>
      </c>
      <c r="L39" s="15">
        <v>2691000</v>
      </c>
      <c r="M39" s="15">
        <v>1520000</v>
      </c>
      <c r="N39" s="15">
        <v>319000</v>
      </c>
      <c r="O39" s="15">
        <v>2296000</v>
      </c>
      <c r="P39" s="15">
        <v>2526000</v>
      </c>
      <c r="Q39" s="15">
        <v>397000</v>
      </c>
      <c r="R39" s="15">
        <v>892000</v>
      </c>
      <c r="S39" s="29">
        <v>800000</v>
      </c>
    </row>
    <row r="40" spans="1:19" ht="17.25" customHeight="1" x14ac:dyDescent="0.2">
      <c r="A40" s="15" t="s">
        <v>8</v>
      </c>
      <c r="B40" s="15">
        <v>0</v>
      </c>
      <c r="C40" s="15">
        <v>353300</v>
      </c>
      <c r="D40" s="15">
        <v>80000</v>
      </c>
      <c r="E40" s="15">
        <v>50000</v>
      </c>
      <c r="F40" s="15">
        <v>30000</v>
      </c>
      <c r="G40" s="15">
        <v>170000</v>
      </c>
      <c r="H40" s="15">
        <v>90000</v>
      </c>
      <c r="I40" s="15">
        <v>110000</v>
      </c>
      <c r="J40" s="15">
        <v>110000</v>
      </c>
      <c r="K40" s="15">
        <v>110000</v>
      </c>
      <c r="L40" s="15">
        <v>110000</v>
      </c>
      <c r="M40" s="15">
        <v>110000</v>
      </c>
      <c r="N40" s="15">
        <v>110000</v>
      </c>
      <c r="O40" s="15">
        <v>110000</v>
      </c>
      <c r="P40" s="15">
        <v>110000</v>
      </c>
      <c r="Q40" s="15">
        <v>120000</v>
      </c>
      <c r="R40" s="15">
        <v>320000</v>
      </c>
      <c r="S40" s="29">
        <v>110000</v>
      </c>
    </row>
    <row r="41" spans="1:19" ht="17.25" customHeight="1" x14ac:dyDescent="0.2">
      <c r="A41" s="15" t="s">
        <v>5</v>
      </c>
      <c r="B41" s="15">
        <v>1135385</v>
      </c>
      <c r="C41" s="15">
        <v>3200441</v>
      </c>
      <c r="D41" s="15">
        <v>2317052</v>
      </c>
      <c r="E41" s="15">
        <v>1877052</v>
      </c>
      <c r="F41" s="15">
        <v>1877052</v>
      </c>
      <c r="G41" s="15">
        <v>970000</v>
      </c>
      <c r="H41" s="15">
        <v>1110000</v>
      </c>
      <c r="I41" s="15">
        <v>1110000</v>
      </c>
      <c r="J41" s="15">
        <v>1110000</v>
      </c>
      <c r="K41" s="15">
        <v>1110000</v>
      </c>
      <c r="L41" s="15">
        <v>1110000</v>
      </c>
      <c r="M41" s="15">
        <v>110000</v>
      </c>
      <c r="N41" s="15">
        <v>110000</v>
      </c>
      <c r="O41" s="15">
        <v>110000</v>
      </c>
      <c r="P41" s="15">
        <v>70000</v>
      </c>
      <c r="Q41" s="15">
        <v>320000</v>
      </c>
      <c r="R41" s="15">
        <v>605000</v>
      </c>
      <c r="S41" s="29">
        <v>605000</v>
      </c>
    </row>
    <row r="42" spans="1:19" ht="17.25" customHeight="1" x14ac:dyDescent="0.2">
      <c r="A42" s="15" t="s">
        <v>9</v>
      </c>
      <c r="B42" s="15">
        <v>0</v>
      </c>
      <c r="C42" s="15">
        <v>165000</v>
      </c>
      <c r="D42" s="15">
        <v>2913750</v>
      </c>
      <c r="E42" s="15">
        <v>295000</v>
      </c>
      <c r="F42" s="15">
        <v>538000</v>
      </c>
      <c r="G42" s="15">
        <v>2200000</v>
      </c>
      <c r="H42" s="15">
        <v>1540000</v>
      </c>
      <c r="I42" s="15">
        <v>1145000</v>
      </c>
      <c r="J42" s="15">
        <v>25000</v>
      </c>
      <c r="K42" s="15">
        <v>995000</v>
      </c>
      <c r="L42" s="15">
        <v>2460000</v>
      </c>
      <c r="M42" s="15">
        <v>1931000</v>
      </c>
      <c r="N42" s="15">
        <v>110002</v>
      </c>
      <c r="O42" s="15">
        <v>1863000</v>
      </c>
      <c r="P42" s="15">
        <v>1928000</v>
      </c>
      <c r="Q42" s="15">
        <v>2105502</v>
      </c>
      <c r="R42" s="15">
        <v>4216002</v>
      </c>
      <c r="S42" s="29">
        <v>1700500</v>
      </c>
    </row>
    <row r="43" spans="1:19" ht="17.25" customHeight="1" x14ac:dyDescent="0.2">
      <c r="A43" s="15" t="s">
        <v>2</v>
      </c>
      <c r="B43" s="15">
        <v>920500</v>
      </c>
      <c r="C43" s="15">
        <v>618000</v>
      </c>
      <c r="D43" s="15">
        <v>880000</v>
      </c>
      <c r="E43" s="15">
        <v>1260000</v>
      </c>
      <c r="F43" s="15">
        <v>1270000</v>
      </c>
      <c r="G43" s="15">
        <v>965000</v>
      </c>
      <c r="H43" s="15">
        <v>520000</v>
      </c>
      <c r="I43" s="15">
        <v>700000</v>
      </c>
      <c r="J43" s="15">
        <v>700000</v>
      </c>
      <c r="K43" s="15">
        <v>520000</v>
      </c>
      <c r="L43" s="15">
        <v>520000</v>
      </c>
      <c r="M43" s="15">
        <v>160000</v>
      </c>
      <c r="N43" s="15">
        <v>160000</v>
      </c>
      <c r="O43" s="15">
        <v>165000</v>
      </c>
      <c r="P43" s="15">
        <v>330000</v>
      </c>
      <c r="Q43" s="15">
        <v>205060</v>
      </c>
      <c r="R43" s="15">
        <v>220000</v>
      </c>
      <c r="S43" s="29">
        <v>225000</v>
      </c>
    </row>
    <row r="44" spans="1:19" ht="17.25" customHeight="1" x14ac:dyDescent="0.2">
      <c r="A44" s="15" t="s">
        <v>6</v>
      </c>
      <c r="B44" s="15">
        <v>1321000</v>
      </c>
      <c r="C44" s="15">
        <v>1456666</v>
      </c>
      <c r="D44" s="15">
        <v>200827148</v>
      </c>
      <c r="E44" s="15">
        <v>681000</v>
      </c>
      <c r="F44" s="15">
        <v>5967554</v>
      </c>
      <c r="G44" s="15">
        <v>3152554</v>
      </c>
      <c r="H44" s="15">
        <v>1502967</v>
      </c>
      <c r="I44" s="15">
        <v>4220000</v>
      </c>
      <c r="J44" s="15">
        <v>1117778</v>
      </c>
      <c r="K44" s="15">
        <v>2300000</v>
      </c>
      <c r="L44" s="15">
        <v>3020375</v>
      </c>
      <c r="M44" s="15">
        <v>6820475</v>
      </c>
      <c r="N44" s="15">
        <v>5610001</v>
      </c>
      <c r="O44" s="15">
        <v>3400000</v>
      </c>
      <c r="P44" s="15">
        <v>3550000</v>
      </c>
      <c r="Q44" s="15">
        <v>8610000</v>
      </c>
      <c r="R44" s="15">
        <v>8610000</v>
      </c>
      <c r="S44" s="29">
        <v>400000</v>
      </c>
    </row>
    <row r="45" spans="1:19" ht="17.25" customHeight="1" x14ac:dyDescent="0.2">
      <c r="A45" s="28" t="s">
        <v>34</v>
      </c>
      <c r="B45" s="28">
        <f>SUM(B27:B44)</f>
        <v>28714135</v>
      </c>
      <c r="C45" s="28">
        <f t="shared" ref="C45:O45" si="1">SUM(C27:C44)</f>
        <v>144073077</v>
      </c>
      <c r="D45" s="28">
        <f t="shared" si="1"/>
        <v>245555100</v>
      </c>
      <c r="E45" s="28">
        <f t="shared" si="1"/>
        <v>19067052</v>
      </c>
      <c r="F45" s="28">
        <f t="shared" si="1"/>
        <v>19789046</v>
      </c>
      <c r="G45" s="28">
        <f t="shared" si="1"/>
        <v>21142378</v>
      </c>
      <c r="H45" s="28">
        <f t="shared" si="1"/>
        <v>15681026</v>
      </c>
      <c r="I45" s="28">
        <f t="shared" si="1"/>
        <v>20991055</v>
      </c>
      <c r="J45" s="28">
        <f t="shared" si="1"/>
        <v>13095778</v>
      </c>
      <c r="K45" s="28">
        <f t="shared" si="1"/>
        <v>40030254</v>
      </c>
      <c r="L45" s="28">
        <f t="shared" si="1"/>
        <v>38503375</v>
      </c>
      <c r="M45" s="28">
        <f t="shared" si="1"/>
        <v>25021585</v>
      </c>
      <c r="N45" s="28">
        <f t="shared" si="1"/>
        <v>13721026</v>
      </c>
      <c r="O45" s="28">
        <f t="shared" si="1"/>
        <v>23435023</v>
      </c>
      <c r="P45" s="28">
        <f>SUM(P27:P44)</f>
        <v>23547180</v>
      </c>
      <c r="Q45" s="28">
        <v>17886887</v>
      </c>
      <c r="R45" s="46">
        <f>SUM(R27:R44)</f>
        <v>31424358</v>
      </c>
      <c r="S45" s="46">
        <v>20275972.32</v>
      </c>
    </row>
    <row r="46" spans="1:19" ht="17.25" customHeight="1" x14ac:dyDescent="0.2">
      <c r="A46" s="13" t="s">
        <v>62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2:S50"/>
  <sheetViews>
    <sheetView showGridLines="0" workbookViewId="0">
      <pane xSplit="1" topLeftCell="L1" activePane="topRight" state="frozen"/>
      <selection pane="topRight" activeCell="U48" sqref="U48"/>
    </sheetView>
  </sheetViews>
  <sheetFormatPr defaultRowHeight="17.25" customHeight="1" x14ac:dyDescent="0.2"/>
  <cols>
    <col min="1" max="1" width="32.28515625" style="7" customWidth="1"/>
    <col min="2" max="3" width="11.28515625" style="7" bestFit="1" customWidth="1"/>
    <col min="4" max="5" width="12.140625" style="7" bestFit="1" customWidth="1"/>
    <col min="6" max="6" width="11.28515625" style="7" bestFit="1" customWidth="1"/>
    <col min="7" max="9" width="12.140625" style="7" bestFit="1" customWidth="1"/>
    <col min="10" max="10" width="13.5703125" style="7" customWidth="1"/>
    <col min="11" max="14" width="10.5703125" style="7" bestFit="1" customWidth="1"/>
    <col min="15" max="15" width="9.7109375" style="7" bestFit="1" customWidth="1"/>
    <col min="16" max="17" width="9.85546875" style="7" bestFit="1" customWidth="1"/>
    <col min="18" max="18" width="10.5703125" style="7" customWidth="1"/>
    <col min="19" max="19" width="9.85546875" style="7" bestFit="1" customWidth="1"/>
    <col min="20" max="16384" width="9.140625" style="7"/>
  </cols>
  <sheetData>
    <row r="2" spans="1:19" ht="17.25" customHeight="1" x14ac:dyDescent="0.2">
      <c r="A2" s="1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33"/>
      <c r="L2" s="33"/>
      <c r="M2" s="33"/>
      <c r="N2" s="33"/>
      <c r="O2" s="33"/>
      <c r="P2" s="11"/>
    </row>
    <row r="3" spans="1:19" ht="17.25" customHeight="1" x14ac:dyDescent="0.2">
      <c r="A3" s="60" t="s">
        <v>32</v>
      </c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9" ht="17.25" customHeight="1" x14ac:dyDescent="0.2">
      <c r="A4" s="61"/>
      <c r="B4" s="2" t="s">
        <v>46</v>
      </c>
      <c r="C4" s="2" t="s">
        <v>45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5" t="s">
        <v>40</v>
      </c>
      <c r="L4" s="5" t="s">
        <v>41</v>
      </c>
      <c r="M4" s="5" t="s">
        <v>56</v>
      </c>
      <c r="N4" s="5" t="s">
        <v>57</v>
      </c>
      <c r="O4" s="5" t="s">
        <v>58</v>
      </c>
      <c r="P4" s="5" t="s">
        <v>59</v>
      </c>
      <c r="Q4" s="5" t="s">
        <v>77</v>
      </c>
      <c r="R4" s="5" t="s">
        <v>78</v>
      </c>
      <c r="S4" s="5" t="s">
        <v>79</v>
      </c>
    </row>
    <row r="5" spans="1:19" ht="17.25" customHeight="1" x14ac:dyDescent="0.2">
      <c r="A5" s="8" t="s">
        <v>0</v>
      </c>
      <c r="B5" s="59">
        <v>1436</v>
      </c>
      <c r="C5" s="57">
        <v>683</v>
      </c>
      <c r="D5" s="57">
        <v>7073</v>
      </c>
      <c r="E5" s="57">
        <v>1932</v>
      </c>
      <c r="F5" s="57">
        <v>1775</v>
      </c>
      <c r="G5" s="57">
        <v>492</v>
      </c>
      <c r="H5" s="57">
        <v>577</v>
      </c>
      <c r="I5" s="57">
        <v>0</v>
      </c>
      <c r="J5" s="57">
        <v>383.29</v>
      </c>
      <c r="K5" s="59">
        <v>3383</v>
      </c>
      <c r="L5" s="57">
        <v>8039</v>
      </c>
      <c r="M5" s="59">
        <v>3274</v>
      </c>
      <c r="N5" s="57">
        <v>3274</v>
      </c>
      <c r="O5" s="57">
        <v>1823.0345941123996</v>
      </c>
      <c r="P5" s="57">
        <v>5006.03</v>
      </c>
      <c r="Q5" s="57">
        <v>2551.1400000000012</v>
      </c>
      <c r="R5" s="57">
        <v>7692</v>
      </c>
      <c r="S5" s="57">
        <v>6319</v>
      </c>
    </row>
    <row r="6" spans="1:19" ht="17.25" customHeight="1" x14ac:dyDescent="0.2">
      <c r="A6" s="8" t="s">
        <v>10</v>
      </c>
      <c r="B6" s="59">
        <v>2262</v>
      </c>
      <c r="C6" s="57">
        <v>4520</v>
      </c>
      <c r="D6" s="57">
        <v>2158</v>
      </c>
      <c r="E6" s="57">
        <v>2000</v>
      </c>
      <c r="F6" s="57">
        <v>0</v>
      </c>
      <c r="G6" s="57">
        <v>1250</v>
      </c>
      <c r="H6" s="57">
        <v>3485.7799999999997</v>
      </c>
      <c r="I6" s="57">
        <v>3208</v>
      </c>
      <c r="J6" s="57">
        <v>2909.81</v>
      </c>
      <c r="K6" s="59">
        <v>105606</v>
      </c>
      <c r="L6" s="57">
        <v>26160</v>
      </c>
      <c r="M6" s="59">
        <v>21197</v>
      </c>
      <c r="N6" s="57">
        <v>30180.12</v>
      </c>
      <c r="O6" s="57">
        <v>35326.151868867077</v>
      </c>
      <c r="P6" s="57">
        <v>46117.15</v>
      </c>
      <c r="Q6" s="57">
        <v>65732.730000000593</v>
      </c>
      <c r="R6" s="57">
        <v>161938</v>
      </c>
      <c r="S6" s="57">
        <v>109520</v>
      </c>
    </row>
    <row r="7" spans="1:19" ht="17.25" customHeight="1" x14ac:dyDescent="0.2">
      <c r="A7" s="8" t="s">
        <v>3</v>
      </c>
      <c r="B7" s="59">
        <v>510</v>
      </c>
      <c r="C7" s="57">
        <v>15409</v>
      </c>
      <c r="D7" s="57">
        <v>14987</v>
      </c>
      <c r="E7" s="57">
        <v>21065</v>
      </c>
      <c r="F7" s="57">
        <v>17620</v>
      </c>
      <c r="G7" s="57">
        <v>6620</v>
      </c>
      <c r="H7" s="57">
        <v>32228</v>
      </c>
      <c r="I7" s="57">
        <v>47205</v>
      </c>
      <c r="J7" s="57">
        <v>62966.76</v>
      </c>
      <c r="K7" s="59">
        <v>35903</v>
      </c>
      <c r="L7" s="57">
        <v>75297</v>
      </c>
      <c r="M7" s="59">
        <v>88797</v>
      </c>
      <c r="N7" s="57">
        <v>91212</v>
      </c>
      <c r="O7" s="57">
        <v>40019.681619090137</v>
      </c>
      <c r="P7" s="57">
        <v>50396.68</v>
      </c>
      <c r="Q7" s="57">
        <v>36527.189999999988</v>
      </c>
      <c r="R7" s="57">
        <v>80280</v>
      </c>
      <c r="S7" s="57">
        <v>74000</v>
      </c>
    </row>
    <row r="8" spans="1:19" ht="17.25" customHeight="1" x14ac:dyDescent="0.2">
      <c r="A8" s="8" t="s">
        <v>23</v>
      </c>
      <c r="B8" s="59">
        <v>2010</v>
      </c>
      <c r="C8" s="57">
        <v>6608.5</v>
      </c>
      <c r="D8" s="57">
        <v>9612</v>
      </c>
      <c r="E8" s="57">
        <v>6313.62</v>
      </c>
      <c r="F8" s="57">
        <v>3265.69</v>
      </c>
      <c r="G8" s="57">
        <v>1550</v>
      </c>
      <c r="H8" s="57">
        <v>3829.84</v>
      </c>
      <c r="I8" s="57">
        <v>3829.84</v>
      </c>
      <c r="J8" s="57">
        <v>10269.24</v>
      </c>
      <c r="K8" s="57">
        <v>51301.75</v>
      </c>
      <c r="L8" s="57">
        <v>42828</v>
      </c>
      <c r="M8" s="57">
        <v>46863.630000000005</v>
      </c>
      <c r="N8" s="57">
        <v>47278.630000000005</v>
      </c>
      <c r="O8" s="57">
        <v>31406.068900535138</v>
      </c>
      <c r="P8" s="57">
        <v>37059.32</v>
      </c>
      <c r="Q8" s="57">
        <v>12069.500000000025</v>
      </c>
      <c r="R8" s="57">
        <v>39642.079999999994</v>
      </c>
      <c r="S8" s="57">
        <v>44950</v>
      </c>
    </row>
    <row r="9" spans="1:19" ht="17.25" customHeight="1" x14ac:dyDescent="0.2">
      <c r="A9" s="8" t="s">
        <v>25</v>
      </c>
      <c r="B9" s="59">
        <v>5772.16</v>
      </c>
      <c r="C9" s="57">
        <v>1669.5</v>
      </c>
      <c r="D9" s="57">
        <v>3425.16</v>
      </c>
      <c r="E9" s="57">
        <v>9770.9000000000015</v>
      </c>
      <c r="F9" s="57">
        <v>4446</v>
      </c>
      <c r="G9" s="57">
        <v>3547.36</v>
      </c>
      <c r="H9" s="57">
        <v>3782</v>
      </c>
      <c r="I9" s="57">
        <v>2970</v>
      </c>
      <c r="J9" s="57">
        <v>415.87</v>
      </c>
      <c r="K9" s="59">
        <v>27167</v>
      </c>
      <c r="L9" s="57">
        <v>21209</v>
      </c>
      <c r="M9" s="59">
        <v>15732</v>
      </c>
      <c r="N9" s="57">
        <v>17682</v>
      </c>
      <c r="O9" s="57">
        <v>32470.715925512846</v>
      </c>
      <c r="P9" s="57">
        <v>35741.72</v>
      </c>
      <c r="Q9" s="57">
        <v>5297.6800000000085</v>
      </c>
      <c r="R9" s="57">
        <v>20061</v>
      </c>
      <c r="S9" s="57">
        <v>23200</v>
      </c>
    </row>
    <row r="10" spans="1:19" ht="17.25" customHeight="1" x14ac:dyDescent="0.2">
      <c r="A10" s="8" t="s">
        <v>26</v>
      </c>
      <c r="B10" s="59">
        <v>687</v>
      </c>
      <c r="C10" s="57">
        <v>1912</v>
      </c>
      <c r="D10" s="57">
        <v>7360.35</v>
      </c>
      <c r="E10" s="57">
        <v>3968</v>
      </c>
      <c r="F10" s="57">
        <v>1952</v>
      </c>
      <c r="G10" s="57">
        <v>1050</v>
      </c>
      <c r="H10" s="57">
        <v>6074</v>
      </c>
      <c r="I10" s="57">
        <v>6074</v>
      </c>
      <c r="J10" s="57">
        <v>1747.32</v>
      </c>
      <c r="K10" s="59">
        <v>10761</v>
      </c>
      <c r="L10" s="57">
        <v>15566.99</v>
      </c>
      <c r="M10" s="57">
        <v>23294.59</v>
      </c>
      <c r="N10" s="57">
        <v>23744.59</v>
      </c>
      <c r="O10" s="57">
        <v>8100.8372925959166</v>
      </c>
      <c r="P10" s="57">
        <v>11974</v>
      </c>
      <c r="Q10" s="57">
        <v>2490.7700000000009</v>
      </c>
      <c r="R10" s="57">
        <v>8447.64</v>
      </c>
      <c r="S10" s="57">
        <v>10730</v>
      </c>
    </row>
    <row r="11" spans="1:19" ht="17.25" customHeight="1" x14ac:dyDescent="0.2">
      <c r="A11" s="8" t="s">
        <v>27</v>
      </c>
      <c r="B11" s="59">
        <v>9767.09</v>
      </c>
      <c r="C11" s="57">
        <v>10474.709999999999</v>
      </c>
      <c r="D11" s="57">
        <v>11929.99</v>
      </c>
      <c r="E11" s="57">
        <v>14521</v>
      </c>
      <c r="F11" s="57">
        <v>13717.560000000001</v>
      </c>
      <c r="G11" s="57">
        <v>11130.529999999999</v>
      </c>
      <c r="H11" s="57">
        <v>24150.09</v>
      </c>
      <c r="I11" s="57">
        <v>29547.27</v>
      </c>
      <c r="J11" s="57">
        <v>23509.200000000001</v>
      </c>
      <c r="K11" s="57">
        <v>12058.259999999998</v>
      </c>
      <c r="L11" s="57">
        <v>32422.32</v>
      </c>
      <c r="M11" s="57">
        <v>47575.97</v>
      </c>
      <c r="N11" s="57">
        <v>43325.97</v>
      </c>
      <c r="O11" s="57">
        <v>26225.766215432646</v>
      </c>
      <c r="P11" s="57">
        <v>29038.97</v>
      </c>
      <c r="Q11" s="57">
        <v>29797.319999999978</v>
      </c>
      <c r="R11" s="57">
        <v>56322.92</v>
      </c>
      <c r="S11" s="57">
        <v>28665.96</v>
      </c>
    </row>
    <row r="12" spans="1:19" ht="17.25" customHeight="1" x14ac:dyDescent="0.2">
      <c r="A12" s="8" t="s">
        <v>11</v>
      </c>
      <c r="B12" s="59">
        <v>0</v>
      </c>
      <c r="C12" s="57">
        <v>1800</v>
      </c>
      <c r="D12" s="57">
        <v>1200</v>
      </c>
      <c r="E12" s="57">
        <v>600</v>
      </c>
      <c r="F12" s="57">
        <v>3600</v>
      </c>
      <c r="G12" s="57">
        <v>1359</v>
      </c>
      <c r="H12" s="57">
        <v>3600</v>
      </c>
      <c r="I12" s="57">
        <v>3600</v>
      </c>
      <c r="J12" s="57">
        <v>1683.02</v>
      </c>
      <c r="K12" s="59">
        <v>12642</v>
      </c>
      <c r="L12" s="57">
        <v>22326</v>
      </c>
      <c r="M12" s="59">
        <v>5628</v>
      </c>
      <c r="N12" s="57">
        <v>5628</v>
      </c>
      <c r="O12" s="57">
        <v>7659.3632381802145</v>
      </c>
      <c r="P12" s="57">
        <v>8541.36</v>
      </c>
      <c r="Q12" s="57">
        <v>6665.840000000012</v>
      </c>
      <c r="R12" s="57">
        <v>8325.07</v>
      </c>
      <c r="S12" s="57">
        <v>13425.07</v>
      </c>
    </row>
    <row r="13" spans="1:19" ht="17.25" customHeight="1" x14ac:dyDescent="0.2">
      <c r="A13" s="8" t="s">
        <v>7</v>
      </c>
      <c r="B13" s="59">
        <v>6226.5</v>
      </c>
      <c r="C13" s="57">
        <v>16346.140000000001</v>
      </c>
      <c r="D13" s="57">
        <v>12064.15</v>
      </c>
      <c r="E13" s="57">
        <v>16317.7</v>
      </c>
      <c r="F13" s="57">
        <v>20560.599999999999</v>
      </c>
      <c r="G13" s="57">
        <v>6750</v>
      </c>
      <c r="H13" s="57">
        <v>16129</v>
      </c>
      <c r="I13" s="57">
        <v>14869.5</v>
      </c>
      <c r="J13" s="57">
        <v>10497.86</v>
      </c>
      <c r="K13" s="57">
        <v>42448.499999999993</v>
      </c>
      <c r="L13" s="57">
        <v>31835.98</v>
      </c>
      <c r="M13" s="57">
        <v>39681.5</v>
      </c>
      <c r="N13" s="57">
        <v>39313.5</v>
      </c>
      <c r="O13" s="57">
        <v>24101.458106601243</v>
      </c>
      <c r="P13" s="57">
        <v>31178.46</v>
      </c>
      <c r="Q13" s="57">
        <v>28708.719999999961</v>
      </c>
      <c r="R13" s="57">
        <v>25207.5</v>
      </c>
      <c r="S13" s="57">
        <v>44466.5</v>
      </c>
    </row>
    <row r="14" spans="1:19" ht="17.25" customHeight="1" x14ac:dyDescent="0.2">
      <c r="A14" s="8" t="s">
        <v>28</v>
      </c>
      <c r="B14" s="59">
        <v>11771</v>
      </c>
      <c r="C14" s="57">
        <v>10476</v>
      </c>
      <c r="D14" s="57">
        <v>13959</v>
      </c>
      <c r="E14" s="57">
        <v>9979</v>
      </c>
      <c r="F14" s="57">
        <v>28328.5</v>
      </c>
      <c r="G14" s="57">
        <v>7077</v>
      </c>
      <c r="H14" s="57">
        <v>22294.5</v>
      </c>
      <c r="I14" s="57">
        <v>25604.5</v>
      </c>
      <c r="J14" s="57">
        <v>0</v>
      </c>
      <c r="K14" s="57">
        <v>62220.5</v>
      </c>
      <c r="L14" s="57">
        <v>37544.5</v>
      </c>
      <c r="M14" s="57">
        <v>27277.5</v>
      </c>
      <c r="N14" s="57">
        <v>24874.5</v>
      </c>
      <c r="O14" s="57">
        <v>20466.312961641357</v>
      </c>
      <c r="P14" s="57">
        <v>27790.31</v>
      </c>
      <c r="Q14" s="57">
        <v>19171.239999999969</v>
      </c>
      <c r="R14" s="57">
        <v>1445</v>
      </c>
      <c r="S14" s="57">
        <v>53067.5</v>
      </c>
    </row>
    <row r="15" spans="1:19" ht="17.25" customHeight="1" x14ac:dyDescent="0.2">
      <c r="A15" s="8" t="s">
        <v>4</v>
      </c>
      <c r="B15" s="59">
        <v>51695.5</v>
      </c>
      <c r="C15" s="57">
        <v>78739.399999999994</v>
      </c>
      <c r="D15" s="57">
        <v>113272</v>
      </c>
      <c r="E15" s="57">
        <v>102484</v>
      </c>
      <c r="F15" s="57">
        <v>89686</v>
      </c>
      <c r="G15" s="57">
        <v>147327</v>
      </c>
      <c r="H15" s="57">
        <v>87779</v>
      </c>
      <c r="I15" s="57">
        <v>80095</v>
      </c>
      <c r="J15" s="57">
        <v>9415.74</v>
      </c>
      <c r="K15" s="59">
        <v>155019</v>
      </c>
      <c r="L15" s="57">
        <v>126531</v>
      </c>
      <c r="M15" s="59">
        <v>151896</v>
      </c>
      <c r="N15" s="57">
        <v>165040</v>
      </c>
      <c r="O15" s="57">
        <v>26542.479185994634</v>
      </c>
      <c r="P15" s="57">
        <v>39394.480000000003</v>
      </c>
      <c r="Q15" s="57">
        <v>110549.08999999988</v>
      </c>
      <c r="R15" s="57">
        <v>102414.5</v>
      </c>
      <c r="S15" s="57">
        <v>73859.5</v>
      </c>
    </row>
    <row r="16" spans="1:19" ht="17.25" customHeight="1" x14ac:dyDescent="0.2">
      <c r="A16" s="8" t="s">
        <v>1</v>
      </c>
      <c r="B16" s="59">
        <v>5200.16</v>
      </c>
      <c r="C16" s="57">
        <v>9885.06</v>
      </c>
      <c r="D16" s="57">
        <v>6033</v>
      </c>
      <c r="E16" s="57">
        <v>4897</v>
      </c>
      <c r="F16" s="57">
        <v>3854</v>
      </c>
      <c r="G16" s="57">
        <v>6824</v>
      </c>
      <c r="H16" s="57">
        <v>147</v>
      </c>
      <c r="I16" s="57">
        <v>2922</v>
      </c>
      <c r="J16" s="57">
        <v>0</v>
      </c>
      <c r="K16" s="57">
        <v>13101.65</v>
      </c>
      <c r="L16" s="57">
        <v>14358</v>
      </c>
      <c r="M16" s="59">
        <v>20149</v>
      </c>
      <c r="N16" s="57">
        <v>21499</v>
      </c>
      <c r="O16" s="57">
        <v>16822.031077163236</v>
      </c>
      <c r="P16" s="57">
        <v>20529.03</v>
      </c>
      <c r="Q16" s="57">
        <v>10078.800000000014</v>
      </c>
      <c r="R16" s="57">
        <v>22077</v>
      </c>
      <c r="S16" s="57">
        <v>13195</v>
      </c>
    </row>
    <row r="17" spans="1:19" ht="17.25" customHeight="1" x14ac:dyDescent="0.2">
      <c r="A17" s="8" t="s">
        <v>24</v>
      </c>
      <c r="B17" s="59">
        <v>39248</v>
      </c>
      <c r="C17" s="57">
        <v>32456</v>
      </c>
      <c r="D17" s="57">
        <v>38486</v>
      </c>
      <c r="E17" s="57">
        <v>14024</v>
      </c>
      <c r="F17" s="57">
        <v>39601</v>
      </c>
      <c r="G17" s="57">
        <v>33824.5</v>
      </c>
      <c r="H17" s="57">
        <v>72905</v>
      </c>
      <c r="I17" s="57">
        <v>56476</v>
      </c>
      <c r="J17" s="57">
        <v>238085.07</v>
      </c>
      <c r="K17" s="59">
        <v>19102</v>
      </c>
      <c r="L17" s="57">
        <v>49921.24</v>
      </c>
      <c r="M17" s="57">
        <v>53624.24</v>
      </c>
      <c r="N17" s="57">
        <v>50791.24</v>
      </c>
      <c r="O17" s="57">
        <v>17507.435943354139</v>
      </c>
      <c r="P17" s="57">
        <v>20449.439999999999</v>
      </c>
      <c r="Q17" s="57">
        <v>21315.849999999991</v>
      </c>
      <c r="R17" s="57">
        <v>37029</v>
      </c>
      <c r="S17" s="57">
        <v>42470</v>
      </c>
    </row>
    <row r="18" spans="1:19" ht="17.25" customHeight="1" x14ac:dyDescent="0.2">
      <c r="A18" s="8" t="s">
        <v>8</v>
      </c>
      <c r="B18" s="59">
        <v>2585</v>
      </c>
      <c r="C18" s="57">
        <v>14447</v>
      </c>
      <c r="D18" s="57">
        <v>15071</v>
      </c>
      <c r="E18" s="57">
        <v>19137</v>
      </c>
      <c r="F18" s="57">
        <v>14354.75</v>
      </c>
      <c r="G18" s="57">
        <v>7050</v>
      </c>
      <c r="H18" s="57">
        <v>7523</v>
      </c>
      <c r="I18" s="57">
        <v>8930</v>
      </c>
      <c r="J18" s="57">
        <v>4038.35</v>
      </c>
      <c r="K18" s="59">
        <v>6174</v>
      </c>
      <c r="L18" s="57">
        <v>11811.8</v>
      </c>
      <c r="M18" s="57">
        <v>25669.8</v>
      </c>
      <c r="N18" s="57">
        <v>27929.8</v>
      </c>
      <c r="O18" s="57">
        <v>5272.8927007136535</v>
      </c>
      <c r="P18" s="57">
        <v>6154.89</v>
      </c>
      <c r="Q18" s="57">
        <v>7734.0800000000008</v>
      </c>
      <c r="R18" s="57">
        <v>14177</v>
      </c>
      <c r="S18" s="57">
        <v>14355</v>
      </c>
    </row>
    <row r="19" spans="1:19" ht="17.25" customHeight="1" x14ac:dyDescent="0.2">
      <c r="A19" s="8" t="s">
        <v>5</v>
      </c>
      <c r="B19" s="59">
        <v>10775.699999999999</v>
      </c>
      <c r="C19" s="57">
        <v>26712.000000000004</v>
      </c>
      <c r="D19" s="57">
        <v>25160.799999999999</v>
      </c>
      <c r="E19" s="57">
        <v>25328.600000000002</v>
      </c>
      <c r="F19" s="57">
        <v>6807.6</v>
      </c>
      <c r="G19" s="57">
        <v>2070</v>
      </c>
      <c r="H19" s="57">
        <v>16522.400000000001</v>
      </c>
      <c r="I19" s="57">
        <v>7636.9</v>
      </c>
      <c r="J19" s="57">
        <v>24050.83</v>
      </c>
      <c r="K19" s="59">
        <v>26899</v>
      </c>
      <c r="L19" s="57">
        <v>26071</v>
      </c>
      <c r="M19" s="59">
        <v>18527</v>
      </c>
      <c r="N19" s="57">
        <v>17876</v>
      </c>
      <c r="O19" s="57">
        <v>5204.2075646744033</v>
      </c>
      <c r="P19" s="57">
        <v>10981.21</v>
      </c>
      <c r="Q19" s="57">
        <v>15909.720000000034</v>
      </c>
      <c r="R19" s="57">
        <v>24441</v>
      </c>
      <c r="S19" s="57">
        <v>45016</v>
      </c>
    </row>
    <row r="20" spans="1:19" ht="17.25" customHeight="1" x14ac:dyDescent="0.2">
      <c r="A20" s="8" t="s">
        <v>9</v>
      </c>
      <c r="B20" s="59">
        <v>1983</v>
      </c>
      <c r="C20" s="57">
        <v>5655</v>
      </c>
      <c r="D20" s="57">
        <v>2594.75</v>
      </c>
      <c r="E20" s="57">
        <v>3771.5</v>
      </c>
      <c r="F20" s="57">
        <v>3363.75</v>
      </c>
      <c r="G20" s="57">
        <v>2900</v>
      </c>
      <c r="H20" s="57">
        <v>7135.11</v>
      </c>
      <c r="I20" s="57">
        <v>3719.6</v>
      </c>
      <c r="J20" s="57">
        <v>1075.1500000000001</v>
      </c>
      <c r="K20" s="59">
        <v>12227</v>
      </c>
      <c r="L20" s="57">
        <v>13052</v>
      </c>
      <c r="M20" s="59">
        <v>9615</v>
      </c>
      <c r="N20" s="57">
        <v>15391</v>
      </c>
      <c r="O20" s="57">
        <v>13920.819188224799</v>
      </c>
      <c r="P20" s="57">
        <v>17514.82</v>
      </c>
      <c r="Q20" s="57">
        <v>22417.269999999997</v>
      </c>
      <c r="R20" s="57">
        <v>46570.399999999994</v>
      </c>
      <c r="S20" s="57">
        <v>28053.7</v>
      </c>
    </row>
    <row r="21" spans="1:19" ht="17.25" customHeight="1" x14ac:dyDescent="0.2">
      <c r="A21" s="8" t="s">
        <v>2</v>
      </c>
      <c r="B21" s="59">
        <v>9093</v>
      </c>
      <c r="C21" s="57">
        <v>6089.5</v>
      </c>
      <c r="D21" s="57">
        <v>25077</v>
      </c>
      <c r="E21" s="57">
        <v>26003</v>
      </c>
      <c r="F21" s="57">
        <v>26045</v>
      </c>
      <c r="G21" s="57">
        <v>2980</v>
      </c>
      <c r="H21" s="57">
        <v>6405</v>
      </c>
      <c r="I21" s="57">
        <v>24420</v>
      </c>
      <c r="J21" s="57">
        <v>0</v>
      </c>
      <c r="K21" s="59">
        <v>12978</v>
      </c>
      <c r="L21" s="57">
        <v>31002</v>
      </c>
      <c r="M21" s="57">
        <v>28409.5</v>
      </c>
      <c r="N21" s="57">
        <v>28208.5</v>
      </c>
      <c r="O21" s="57">
        <v>34890.082680642263</v>
      </c>
      <c r="P21" s="57">
        <v>36250.080000000002</v>
      </c>
      <c r="Q21" s="57">
        <v>35678.409999999742</v>
      </c>
      <c r="R21" s="57">
        <v>35930</v>
      </c>
      <c r="S21" s="57">
        <v>58705</v>
      </c>
    </row>
    <row r="22" spans="1:19" ht="17.25" customHeight="1" x14ac:dyDescent="0.2">
      <c r="A22" s="8" t="s">
        <v>6</v>
      </c>
      <c r="B22" s="59">
        <v>930</v>
      </c>
      <c r="C22" s="57">
        <v>21861</v>
      </c>
      <c r="D22" s="57">
        <v>12157</v>
      </c>
      <c r="E22" s="57">
        <v>252489</v>
      </c>
      <c r="F22" s="57">
        <v>5126</v>
      </c>
      <c r="G22" s="57">
        <v>5166</v>
      </c>
      <c r="H22" s="57">
        <v>266973</v>
      </c>
      <c r="I22" s="57">
        <v>250790</v>
      </c>
      <c r="J22" s="57">
        <v>10247.24</v>
      </c>
      <c r="K22" s="59">
        <v>40260</v>
      </c>
      <c r="L22" s="57">
        <v>18257</v>
      </c>
      <c r="M22" s="59">
        <v>33103</v>
      </c>
      <c r="N22" s="57">
        <v>45565</v>
      </c>
      <c r="O22" s="57">
        <v>20062.92026092772</v>
      </c>
      <c r="P22" s="57">
        <v>22445.919999999998</v>
      </c>
      <c r="Q22" s="57">
        <v>14306.27000000003</v>
      </c>
      <c r="R22" s="57">
        <v>17027.12</v>
      </c>
      <c r="S22" s="57">
        <v>25665</v>
      </c>
    </row>
    <row r="23" spans="1:19" ht="17.25" customHeight="1" x14ac:dyDescent="0.2">
      <c r="A23" s="9" t="s">
        <v>34</v>
      </c>
      <c r="B23" s="58">
        <f>SUM(B5:B22)</f>
        <v>161952.11000000002</v>
      </c>
      <c r="C23" s="58">
        <f>SUM(C5:C22)</f>
        <v>265743.81</v>
      </c>
      <c r="D23" s="58">
        <f>SUM(D5:D22)</f>
        <v>321620.2</v>
      </c>
      <c r="E23" s="58">
        <f t="shared" ref="E23:J23" si="0">SUM(E5:E22)</f>
        <v>534601.32000000007</v>
      </c>
      <c r="F23" s="58">
        <f t="shared" si="0"/>
        <v>284103.45</v>
      </c>
      <c r="G23" s="58">
        <f t="shared" si="0"/>
        <v>248967.39</v>
      </c>
      <c r="H23" s="58">
        <f t="shared" si="0"/>
        <v>581539.72</v>
      </c>
      <c r="I23" s="58">
        <f t="shared" si="0"/>
        <v>571897.61</v>
      </c>
      <c r="J23" s="58">
        <f t="shared" si="0"/>
        <v>401294.75000000006</v>
      </c>
      <c r="K23" s="35">
        <f t="shared" ref="K23:P23" si="1">SUM(K5:K22)</f>
        <v>649251.66</v>
      </c>
      <c r="L23" s="35">
        <f t="shared" si="1"/>
        <v>604232.82999999996</v>
      </c>
      <c r="M23" s="35">
        <f t="shared" si="1"/>
        <v>660314.7300000001</v>
      </c>
      <c r="N23" s="35">
        <f t="shared" si="1"/>
        <v>698813.85000000009</v>
      </c>
      <c r="O23" s="35">
        <f t="shared" si="1"/>
        <v>367822.25932426372</v>
      </c>
      <c r="P23" s="35">
        <f t="shared" si="1"/>
        <v>456563.87000000005</v>
      </c>
      <c r="Q23" s="35">
        <v>447001.62000000023</v>
      </c>
      <c r="R23" s="35">
        <f>SUM(R5:R22)</f>
        <v>709027.23</v>
      </c>
      <c r="S23" s="35">
        <v>709663.23</v>
      </c>
    </row>
    <row r="24" spans="1:19" ht="17.25" customHeight="1" x14ac:dyDescent="0.2">
      <c r="A24" s="13" t="s">
        <v>62</v>
      </c>
      <c r="B24" s="13"/>
      <c r="C24" s="13"/>
      <c r="D24" s="13"/>
      <c r="E24" s="13"/>
      <c r="F24" s="13"/>
      <c r="G24" s="13"/>
      <c r="H24" s="13"/>
      <c r="I24" s="13"/>
      <c r="J24" s="13"/>
      <c r="K24" s="23"/>
      <c r="L24" s="13"/>
      <c r="M24" s="13"/>
      <c r="N24" s="13"/>
      <c r="O24" s="13"/>
      <c r="P24" s="23"/>
    </row>
    <row r="28" spans="1:19" ht="17.25" customHeight="1" x14ac:dyDescent="0.2">
      <c r="A28" s="1" t="s">
        <v>73</v>
      </c>
    </row>
    <row r="29" spans="1:19" ht="17.25" customHeight="1" x14ac:dyDescent="0.2">
      <c r="A29" s="60" t="s">
        <v>32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9" ht="17.25" customHeight="1" x14ac:dyDescent="0.2">
      <c r="A30" s="61"/>
      <c r="B30" s="2" t="s">
        <v>46</v>
      </c>
      <c r="C30" s="2" t="s">
        <v>45</v>
      </c>
      <c r="D30" s="2" t="s">
        <v>49</v>
      </c>
      <c r="E30" s="2" t="s">
        <v>50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40</v>
      </c>
      <c r="L30" s="5" t="s">
        <v>41</v>
      </c>
      <c r="M30" s="5" t="s">
        <v>56</v>
      </c>
      <c r="N30" s="5" t="s">
        <v>57</v>
      </c>
      <c r="O30" s="5" t="s">
        <v>58</v>
      </c>
      <c r="P30" s="5" t="s">
        <v>59</v>
      </c>
      <c r="Q30" s="5" t="s">
        <v>77</v>
      </c>
      <c r="R30" s="5" t="s">
        <v>78</v>
      </c>
      <c r="S30" s="5" t="s">
        <v>79</v>
      </c>
    </row>
    <row r="31" spans="1:19" ht="17.25" customHeight="1" x14ac:dyDescent="0.2">
      <c r="A31" s="8" t="s">
        <v>0</v>
      </c>
      <c r="B31" s="57">
        <v>1277.96</v>
      </c>
      <c r="C31" s="57">
        <v>6547.2</v>
      </c>
      <c r="D31" s="57">
        <v>15845.31</v>
      </c>
      <c r="E31" s="57">
        <v>22790.6</v>
      </c>
      <c r="F31" s="57">
        <v>14596.5</v>
      </c>
      <c r="G31" s="57">
        <v>11300</v>
      </c>
      <c r="H31" s="57">
        <v>42653.2</v>
      </c>
      <c r="I31" s="57">
        <v>34818</v>
      </c>
      <c r="J31" s="57">
        <v>20910.97</v>
      </c>
      <c r="K31" s="57">
        <v>6148</v>
      </c>
      <c r="L31" s="57">
        <v>12929</v>
      </c>
      <c r="M31" s="57">
        <v>7482</v>
      </c>
      <c r="N31" s="57">
        <v>7482</v>
      </c>
      <c r="O31" s="57">
        <v>3564</v>
      </c>
      <c r="P31" s="57">
        <v>7917</v>
      </c>
      <c r="Q31" s="57">
        <v>7375.1100000000006</v>
      </c>
      <c r="R31" s="57">
        <v>3591.59</v>
      </c>
      <c r="S31" s="57">
        <v>3930</v>
      </c>
    </row>
    <row r="32" spans="1:19" ht="17.25" customHeight="1" x14ac:dyDescent="0.2">
      <c r="A32" s="8" t="s">
        <v>10</v>
      </c>
      <c r="B32" s="57">
        <v>1700</v>
      </c>
      <c r="C32" s="57">
        <v>1790</v>
      </c>
      <c r="D32" s="57">
        <v>420</v>
      </c>
      <c r="E32" s="57">
        <v>500</v>
      </c>
      <c r="F32" s="57">
        <v>0</v>
      </c>
      <c r="G32" s="57">
        <v>750</v>
      </c>
      <c r="H32" s="57">
        <v>1500</v>
      </c>
      <c r="I32" s="57">
        <v>4000</v>
      </c>
      <c r="J32" s="57">
        <v>517.44000000000005</v>
      </c>
      <c r="K32" s="57">
        <v>100</v>
      </c>
      <c r="L32" s="57">
        <v>0</v>
      </c>
      <c r="M32" s="57">
        <v>0</v>
      </c>
      <c r="N32" s="57">
        <v>144</v>
      </c>
      <c r="O32" s="57">
        <v>0</v>
      </c>
      <c r="P32" s="57">
        <v>100</v>
      </c>
      <c r="Q32" s="57">
        <v>1376.16</v>
      </c>
      <c r="R32" s="57">
        <v>718.8</v>
      </c>
      <c r="S32" s="57">
        <v>1660</v>
      </c>
    </row>
    <row r="33" spans="1:19" ht="17.25" customHeight="1" x14ac:dyDescent="0.2">
      <c r="A33" s="8" t="s">
        <v>3</v>
      </c>
      <c r="B33" s="57">
        <v>800</v>
      </c>
      <c r="C33" s="57">
        <v>4269</v>
      </c>
      <c r="D33" s="57">
        <v>16567</v>
      </c>
      <c r="E33" s="57">
        <v>11634</v>
      </c>
      <c r="F33" s="57">
        <v>13965</v>
      </c>
      <c r="G33" s="57">
        <v>5550</v>
      </c>
      <c r="H33" s="57">
        <v>20942</v>
      </c>
      <c r="I33" s="57">
        <v>13394</v>
      </c>
      <c r="J33" s="57">
        <v>38729.03</v>
      </c>
      <c r="K33" s="57">
        <v>20541</v>
      </c>
      <c r="L33" s="57">
        <v>43945</v>
      </c>
      <c r="M33" s="57">
        <v>46522</v>
      </c>
      <c r="N33" s="57">
        <v>48172</v>
      </c>
      <c r="O33" s="57">
        <v>7320</v>
      </c>
      <c r="P33" s="57">
        <v>15372</v>
      </c>
      <c r="Q33" s="57">
        <v>6300</v>
      </c>
      <c r="R33" s="57">
        <v>14700</v>
      </c>
      <c r="S33" s="57">
        <v>20985</v>
      </c>
    </row>
    <row r="34" spans="1:19" ht="17.25" customHeight="1" x14ac:dyDescent="0.2">
      <c r="A34" s="8" t="s">
        <v>23</v>
      </c>
      <c r="B34" s="57">
        <v>0</v>
      </c>
      <c r="C34" s="57">
        <v>4330</v>
      </c>
      <c r="D34" s="57">
        <v>4054</v>
      </c>
      <c r="E34" s="57">
        <v>14311.47</v>
      </c>
      <c r="F34" s="57">
        <v>3399.17</v>
      </c>
      <c r="G34" s="57">
        <v>300</v>
      </c>
      <c r="H34" s="57">
        <v>1409.36</v>
      </c>
      <c r="I34" s="57">
        <v>1409.36</v>
      </c>
      <c r="J34" s="57">
        <v>13748.91</v>
      </c>
      <c r="K34" s="57">
        <v>1170</v>
      </c>
      <c r="L34" s="57">
        <v>2340</v>
      </c>
      <c r="M34" s="57">
        <v>3510</v>
      </c>
      <c r="N34" s="57">
        <v>3810</v>
      </c>
      <c r="O34" s="57">
        <v>0</v>
      </c>
      <c r="P34" s="57">
        <v>1170</v>
      </c>
      <c r="Q34" s="57">
        <v>168</v>
      </c>
      <c r="R34" s="57">
        <v>1698</v>
      </c>
      <c r="S34" s="57">
        <v>9261.3799999999992</v>
      </c>
    </row>
    <row r="35" spans="1:19" ht="17.25" customHeight="1" x14ac:dyDescent="0.2">
      <c r="A35" s="8" t="s">
        <v>25</v>
      </c>
      <c r="B35" s="57">
        <v>2583</v>
      </c>
      <c r="C35" s="57">
        <v>182</v>
      </c>
      <c r="D35" s="57">
        <v>18946</v>
      </c>
      <c r="E35" s="57">
        <v>42172.24</v>
      </c>
      <c r="F35" s="57">
        <v>18319</v>
      </c>
      <c r="G35" s="57">
        <v>1540</v>
      </c>
      <c r="H35" s="57">
        <v>10477</v>
      </c>
      <c r="I35" s="57">
        <v>7564</v>
      </c>
      <c r="J35" s="57">
        <v>59.98</v>
      </c>
      <c r="K35" s="57">
        <v>1344</v>
      </c>
      <c r="L35" s="57">
        <v>4305</v>
      </c>
      <c r="M35" s="57">
        <v>7387.7</v>
      </c>
      <c r="N35" s="57">
        <v>7737.7</v>
      </c>
      <c r="O35" s="57">
        <v>980</v>
      </c>
      <c r="P35" s="57">
        <v>2324</v>
      </c>
      <c r="Q35" s="57">
        <v>1438.71</v>
      </c>
      <c r="R35" s="57">
        <v>3014</v>
      </c>
      <c r="S35" s="57">
        <v>1728</v>
      </c>
    </row>
    <row r="36" spans="1:19" ht="17.25" customHeight="1" x14ac:dyDescent="0.2">
      <c r="A36" s="8" t="s">
        <v>26</v>
      </c>
      <c r="B36" s="57">
        <v>1400</v>
      </c>
      <c r="C36" s="57">
        <v>450</v>
      </c>
      <c r="D36" s="57">
        <v>1204</v>
      </c>
      <c r="E36" s="57">
        <v>12000</v>
      </c>
      <c r="F36" s="57">
        <v>0</v>
      </c>
      <c r="G36" s="57">
        <v>600</v>
      </c>
      <c r="H36" s="57">
        <v>12300</v>
      </c>
      <c r="I36" s="57">
        <v>12300</v>
      </c>
      <c r="J36" s="57">
        <v>1572.29</v>
      </c>
      <c r="K36" s="57">
        <v>0</v>
      </c>
      <c r="L36" s="57">
        <v>0</v>
      </c>
      <c r="M36" s="57">
        <v>0</v>
      </c>
      <c r="N36" s="57">
        <v>0</v>
      </c>
      <c r="O36" s="57">
        <v>96</v>
      </c>
      <c r="P36" s="57">
        <v>96</v>
      </c>
      <c r="Q36" s="57">
        <v>548.08000000000004</v>
      </c>
      <c r="R36" s="57">
        <v>1700</v>
      </c>
      <c r="S36" s="57">
        <v>390</v>
      </c>
    </row>
    <row r="37" spans="1:19" ht="17.25" customHeight="1" x14ac:dyDescent="0.2">
      <c r="A37" s="8" t="s">
        <v>27</v>
      </c>
      <c r="B37" s="57">
        <v>69832.478000000003</v>
      </c>
      <c r="C37" s="57">
        <v>14433.470000000001</v>
      </c>
      <c r="D37" s="57">
        <v>15457.470000000001</v>
      </c>
      <c r="E37" s="57">
        <v>47748</v>
      </c>
      <c r="F37" s="57">
        <v>13804</v>
      </c>
      <c r="G37" s="57">
        <v>5150</v>
      </c>
      <c r="H37" s="57">
        <v>30559</v>
      </c>
      <c r="I37" s="57">
        <v>68001</v>
      </c>
      <c r="J37" s="57">
        <v>25435.87</v>
      </c>
      <c r="K37" s="57">
        <v>10374</v>
      </c>
      <c r="L37" s="57">
        <v>21909</v>
      </c>
      <c r="M37" s="57">
        <v>16367</v>
      </c>
      <c r="N37" s="57">
        <v>18017</v>
      </c>
      <c r="O37" s="57">
        <v>9981</v>
      </c>
      <c r="P37" s="57">
        <v>12563</v>
      </c>
      <c r="Q37" s="57">
        <v>33217.979999999996</v>
      </c>
      <c r="R37" s="57">
        <v>57331.78</v>
      </c>
      <c r="S37" s="57">
        <v>13287.64</v>
      </c>
    </row>
    <row r="38" spans="1:19" ht="17.25" customHeight="1" x14ac:dyDescent="0.2">
      <c r="A38" s="8" t="s">
        <v>11</v>
      </c>
      <c r="B38" s="57">
        <v>7500</v>
      </c>
      <c r="C38" s="57">
        <v>442</v>
      </c>
      <c r="D38" s="57">
        <v>3300</v>
      </c>
      <c r="E38" s="57">
        <v>1500</v>
      </c>
      <c r="F38" s="57">
        <v>700</v>
      </c>
      <c r="G38" s="57">
        <v>1290</v>
      </c>
      <c r="H38" s="57">
        <v>700</v>
      </c>
      <c r="I38" s="57">
        <v>700</v>
      </c>
      <c r="J38" s="57">
        <v>1262.71</v>
      </c>
      <c r="K38" s="57">
        <v>810</v>
      </c>
      <c r="L38" s="57">
        <v>2220</v>
      </c>
      <c r="M38" s="57">
        <v>600</v>
      </c>
      <c r="N38" s="57">
        <v>600</v>
      </c>
      <c r="O38" s="57">
        <v>3695</v>
      </c>
      <c r="P38" s="57">
        <v>4505</v>
      </c>
      <c r="Q38" s="57">
        <v>1440</v>
      </c>
      <c r="R38" s="57">
        <v>3040</v>
      </c>
      <c r="S38" s="57">
        <v>4240</v>
      </c>
    </row>
    <row r="39" spans="1:19" ht="17.25" customHeight="1" x14ac:dyDescent="0.2">
      <c r="A39" s="8" t="s">
        <v>7</v>
      </c>
      <c r="B39" s="57">
        <v>2117</v>
      </c>
      <c r="C39" s="57">
        <v>3722.2</v>
      </c>
      <c r="D39" s="57">
        <v>2105</v>
      </c>
      <c r="E39" s="57">
        <v>4022.5</v>
      </c>
      <c r="F39" s="57">
        <v>3329</v>
      </c>
      <c r="G39" s="57">
        <v>1700</v>
      </c>
      <c r="H39" s="57">
        <v>3505</v>
      </c>
      <c r="I39" s="57">
        <v>4764.5</v>
      </c>
      <c r="J39" s="57">
        <v>2903.42</v>
      </c>
      <c r="K39" s="57">
        <v>6582.5</v>
      </c>
      <c r="L39" s="57">
        <v>4149</v>
      </c>
      <c r="M39" s="57">
        <v>6358</v>
      </c>
      <c r="N39" s="57">
        <v>6358</v>
      </c>
      <c r="O39" s="57">
        <v>2334</v>
      </c>
      <c r="P39" s="57">
        <v>2424</v>
      </c>
      <c r="Q39" s="57">
        <v>4894</v>
      </c>
      <c r="R39" s="57">
        <v>2524</v>
      </c>
      <c r="S39" s="57">
        <v>5258</v>
      </c>
    </row>
    <row r="40" spans="1:19" ht="17.25" customHeight="1" x14ac:dyDescent="0.2">
      <c r="A40" s="8" t="s">
        <v>28</v>
      </c>
      <c r="B40" s="57">
        <v>5256</v>
      </c>
      <c r="C40" s="57">
        <v>38330</v>
      </c>
      <c r="D40" s="57">
        <v>5607</v>
      </c>
      <c r="E40" s="57">
        <v>6030</v>
      </c>
      <c r="F40" s="57">
        <v>15722</v>
      </c>
      <c r="G40" s="57">
        <v>2607</v>
      </c>
      <c r="H40" s="57">
        <v>3652</v>
      </c>
      <c r="I40" s="57">
        <v>7881</v>
      </c>
      <c r="J40" s="57">
        <v>0</v>
      </c>
      <c r="K40" s="57">
        <v>5852</v>
      </c>
      <c r="L40" s="57">
        <v>5852</v>
      </c>
      <c r="M40" s="57">
        <v>5882</v>
      </c>
      <c r="N40" s="57">
        <v>6182</v>
      </c>
      <c r="O40" s="57">
        <v>2880</v>
      </c>
      <c r="P40" s="57">
        <v>6260</v>
      </c>
      <c r="Q40" s="57">
        <v>5780</v>
      </c>
      <c r="R40" s="57">
        <v>540</v>
      </c>
      <c r="S40" s="57">
        <v>5000</v>
      </c>
    </row>
    <row r="41" spans="1:19" ht="17.25" customHeight="1" x14ac:dyDescent="0.2">
      <c r="A41" s="8" t="s">
        <v>4</v>
      </c>
      <c r="B41" s="57">
        <v>12466.259999999998</v>
      </c>
      <c r="C41" s="57">
        <v>18245.61</v>
      </c>
      <c r="D41" s="57">
        <v>22786</v>
      </c>
      <c r="E41" s="57">
        <v>25036</v>
      </c>
      <c r="F41" s="57">
        <v>27808</v>
      </c>
      <c r="G41" s="57">
        <v>38940</v>
      </c>
      <c r="H41" s="57">
        <v>32937</v>
      </c>
      <c r="I41" s="57">
        <v>17739</v>
      </c>
      <c r="J41" s="57">
        <v>16784.29</v>
      </c>
      <c r="K41" s="57">
        <v>26909</v>
      </c>
      <c r="L41" s="57">
        <v>23608</v>
      </c>
      <c r="M41" s="57">
        <v>18687</v>
      </c>
      <c r="N41" s="57">
        <v>19209</v>
      </c>
      <c r="O41" s="57">
        <v>4939</v>
      </c>
      <c r="P41" s="57">
        <v>11783</v>
      </c>
      <c r="Q41" s="57">
        <v>2364.5100000000002</v>
      </c>
      <c r="R41" s="57">
        <v>9721</v>
      </c>
      <c r="S41" s="57">
        <v>2540</v>
      </c>
    </row>
    <row r="42" spans="1:19" ht="17.25" customHeight="1" x14ac:dyDescent="0.2">
      <c r="A42" s="8" t="s">
        <v>1</v>
      </c>
      <c r="B42" s="57">
        <v>5653</v>
      </c>
      <c r="C42" s="57">
        <v>9494</v>
      </c>
      <c r="D42" s="57">
        <v>7580</v>
      </c>
      <c r="E42" s="57">
        <v>922</v>
      </c>
      <c r="F42" s="57">
        <v>1182</v>
      </c>
      <c r="G42" s="57">
        <v>1513</v>
      </c>
      <c r="H42" s="57">
        <v>0</v>
      </c>
      <c r="I42" s="57">
        <v>110</v>
      </c>
      <c r="J42" s="57">
        <v>0</v>
      </c>
      <c r="K42" s="57">
        <v>600</v>
      </c>
      <c r="L42" s="57">
        <v>0</v>
      </c>
      <c r="M42" s="57">
        <v>716.96</v>
      </c>
      <c r="N42" s="57">
        <v>716.96</v>
      </c>
      <c r="O42" s="57">
        <v>663</v>
      </c>
      <c r="P42" s="57">
        <v>663</v>
      </c>
      <c r="Q42" s="57">
        <v>7900</v>
      </c>
      <c r="R42" s="57">
        <v>8500</v>
      </c>
      <c r="S42" s="57">
        <v>1613</v>
      </c>
    </row>
    <row r="43" spans="1:19" ht="17.25" customHeight="1" x14ac:dyDescent="0.2">
      <c r="A43" s="8" t="s">
        <v>24</v>
      </c>
      <c r="B43" s="57">
        <v>2977</v>
      </c>
      <c r="C43" s="57">
        <v>3900</v>
      </c>
      <c r="D43" s="57">
        <v>40233</v>
      </c>
      <c r="E43" s="57">
        <v>1940</v>
      </c>
      <c r="F43" s="57">
        <v>7832</v>
      </c>
      <c r="G43" s="57">
        <v>5856</v>
      </c>
      <c r="H43" s="57">
        <v>32760</v>
      </c>
      <c r="I43" s="57">
        <v>49189</v>
      </c>
      <c r="J43" s="57">
        <v>190291.42</v>
      </c>
      <c r="K43" s="57">
        <v>14178.4</v>
      </c>
      <c r="L43" s="57">
        <v>39376.400000000001</v>
      </c>
      <c r="M43" s="57">
        <v>29361</v>
      </c>
      <c r="N43" s="57">
        <v>23539</v>
      </c>
      <c r="O43" s="57">
        <v>15813</v>
      </c>
      <c r="P43" s="57">
        <v>17158</v>
      </c>
      <c r="Q43" s="57">
        <v>14673</v>
      </c>
      <c r="R43" s="57">
        <v>20404</v>
      </c>
      <c r="S43" s="57">
        <v>22685.360000000001</v>
      </c>
    </row>
    <row r="44" spans="1:19" ht="17.25" customHeight="1" x14ac:dyDescent="0.2">
      <c r="A44" s="8" t="s">
        <v>8</v>
      </c>
      <c r="B44" s="57">
        <v>0</v>
      </c>
      <c r="C44" s="57">
        <v>3400</v>
      </c>
      <c r="D44" s="57">
        <v>1240</v>
      </c>
      <c r="E44" s="57">
        <v>700</v>
      </c>
      <c r="F44" s="57">
        <v>1500</v>
      </c>
      <c r="G44" s="57">
        <v>300</v>
      </c>
      <c r="H44" s="57">
        <v>3800</v>
      </c>
      <c r="I44" s="57">
        <v>3700</v>
      </c>
      <c r="J44" s="57">
        <v>1114.8</v>
      </c>
      <c r="K44" s="57">
        <v>0</v>
      </c>
      <c r="L44" s="57">
        <v>0</v>
      </c>
      <c r="M44" s="57">
        <v>0</v>
      </c>
      <c r="N44" s="57">
        <v>0</v>
      </c>
      <c r="O44" s="57">
        <v>590</v>
      </c>
      <c r="P44" s="57">
        <v>590</v>
      </c>
      <c r="Q44" s="57">
        <v>788.53</v>
      </c>
      <c r="R44" s="57">
        <v>780</v>
      </c>
      <c r="S44" s="57">
        <v>610</v>
      </c>
    </row>
    <row r="45" spans="1:19" ht="17.25" customHeight="1" x14ac:dyDescent="0.2">
      <c r="A45" s="8" t="s">
        <v>5</v>
      </c>
      <c r="B45" s="57">
        <v>15605.45</v>
      </c>
      <c r="C45" s="57">
        <v>33111.800000000003</v>
      </c>
      <c r="D45" s="57">
        <v>36673.300000000003</v>
      </c>
      <c r="E45" s="57">
        <v>18417.45</v>
      </c>
      <c r="F45" s="57">
        <v>3398.85</v>
      </c>
      <c r="G45" s="57">
        <v>6000</v>
      </c>
      <c r="H45" s="57">
        <v>10598</v>
      </c>
      <c r="I45" s="57">
        <v>5000</v>
      </c>
      <c r="J45" s="57">
        <v>14821.53</v>
      </c>
      <c r="K45" s="57">
        <v>2000</v>
      </c>
      <c r="L45" s="57">
        <v>2000</v>
      </c>
      <c r="M45" s="57">
        <v>2900</v>
      </c>
      <c r="N45" s="57">
        <v>2900</v>
      </c>
      <c r="O45" s="57">
        <v>0</v>
      </c>
      <c r="P45" s="57">
        <v>2000</v>
      </c>
      <c r="Q45" s="57">
        <v>3190.4000000000033</v>
      </c>
      <c r="R45" s="57">
        <v>1650</v>
      </c>
      <c r="S45" s="57">
        <v>1650</v>
      </c>
    </row>
    <row r="46" spans="1:19" ht="17.25" customHeight="1" x14ac:dyDescent="0.2">
      <c r="A46" s="8" t="s">
        <v>9</v>
      </c>
      <c r="B46" s="57">
        <v>0</v>
      </c>
      <c r="C46" s="57">
        <v>4030</v>
      </c>
      <c r="D46" s="57">
        <v>4747</v>
      </c>
      <c r="E46" s="57">
        <v>1708</v>
      </c>
      <c r="F46" s="57">
        <v>1749</v>
      </c>
      <c r="G46" s="57">
        <v>6359</v>
      </c>
      <c r="H46" s="57">
        <v>6595</v>
      </c>
      <c r="I46" s="57">
        <v>3702</v>
      </c>
      <c r="J46" s="57">
        <v>850.9</v>
      </c>
      <c r="K46" s="57">
        <v>2213</v>
      </c>
      <c r="L46" s="57">
        <v>8838</v>
      </c>
      <c r="M46" s="57">
        <v>7572.5</v>
      </c>
      <c r="N46" s="57">
        <v>9872.5</v>
      </c>
      <c r="O46" s="57">
        <v>13266</v>
      </c>
      <c r="P46" s="57">
        <v>13666</v>
      </c>
      <c r="Q46" s="57">
        <v>14559</v>
      </c>
      <c r="R46" s="57">
        <v>30041</v>
      </c>
      <c r="S46" s="57">
        <v>13142</v>
      </c>
    </row>
    <row r="47" spans="1:19" ht="17.25" customHeight="1" x14ac:dyDescent="0.2">
      <c r="A47" s="8" t="s">
        <v>2</v>
      </c>
      <c r="B47" s="57">
        <v>15205</v>
      </c>
      <c r="C47" s="57">
        <v>13283</v>
      </c>
      <c r="D47" s="57">
        <v>14829</v>
      </c>
      <c r="E47" s="57">
        <v>36152</v>
      </c>
      <c r="F47" s="57">
        <v>36170</v>
      </c>
      <c r="G47" s="57">
        <v>6143</v>
      </c>
      <c r="H47" s="57">
        <v>11017</v>
      </c>
      <c r="I47" s="57">
        <v>11078</v>
      </c>
      <c r="J47" s="57">
        <v>0</v>
      </c>
      <c r="K47" s="57">
        <v>4078</v>
      </c>
      <c r="L47" s="57">
        <v>4078</v>
      </c>
      <c r="M47" s="57">
        <v>5630</v>
      </c>
      <c r="N47" s="57">
        <v>5630</v>
      </c>
      <c r="O47" s="57">
        <v>5874</v>
      </c>
      <c r="P47" s="57">
        <v>7605</v>
      </c>
      <c r="Q47" s="57">
        <v>7714</v>
      </c>
      <c r="R47" s="57">
        <v>5872</v>
      </c>
      <c r="S47" s="57">
        <v>5530</v>
      </c>
    </row>
    <row r="48" spans="1:19" ht="17.25" customHeight="1" x14ac:dyDescent="0.2">
      <c r="A48" s="8" t="s">
        <v>6</v>
      </c>
      <c r="B48" s="57">
        <v>7520</v>
      </c>
      <c r="C48" s="57">
        <v>9198</v>
      </c>
      <c r="D48" s="57">
        <v>13288</v>
      </c>
      <c r="E48" s="57">
        <v>6651</v>
      </c>
      <c r="F48" s="57">
        <v>5377</v>
      </c>
      <c r="G48" s="57">
        <v>4025</v>
      </c>
      <c r="H48" s="57">
        <v>11782</v>
      </c>
      <c r="I48" s="57">
        <v>36887</v>
      </c>
      <c r="J48" s="57">
        <v>17788.22</v>
      </c>
      <c r="K48" s="57">
        <v>4246</v>
      </c>
      <c r="L48" s="57">
        <v>2216</v>
      </c>
      <c r="M48" s="57">
        <v>8087</v>
      </c>
      <c r="N48" s="57">
        <v>5697</v>
      </c>
      <c r="O48" s="57">
        <v>2337</v>
      </c>
      <c r="P48" s="57">
        <v>2613</v>
      </c>
      <c r="Q48" s="57">
        <v>6076</v>
      </c>
      <c r="R48" s="57">
        <v>6076</v>
      </c>
      <c r="S48" s="57">
        <v>1417</v>
      </c>
    </row>
    <row r="49" spans="1:19" ht="17.25" customHeight="1" x14ac:dyDescent="0.2">
      <c r="A49" s="9" t="s">
        <v>34</v>
      </c>
      <c r="B49" s="58">
        <f>SUM(B31:B48)</f>
        <v>151893.14799999999</v>
      </c>
      <c r="C49" s="58">
        <f>SUM(C31:C48)</f>
        <v>169158.28</v>
      </c>
      <c r="D49" s="58">
        <f>SUM(D31:D48)</f>
        <v>224882.08000000002</v>
      </c>
      <c r="E49" s="58">
        <f t="shared" ref="E49:J49" si="2">SUM(E31:E48)</f>
        <v>254235.26</v>
      </c>
      <c r="F49" s="58">
        <f t="shared" si="2"/>
        <v>168851.52000000002</v>
      </c>
      <c r="G49" s="58">
        <f t="shared" si="2"/>
        <v>99923</v>
      </c>
      <c r="H49" s="58">
        <f t="shared" si="2"/>
        <v>237186.56</v>
      </c>
      <c r="I49" s="58">
        <f t="shared" si="2"/>
        <v>282236.86</v>
      </c>
      <c r="J49" s="58">
        <f t="shared" si="2"/>
        <v>346791.78</v>
      </c>
      <c r="K49" s="35">
        <f t="shared" ref="K49:P49" si="3">SUM(K31:K48)</f>
        <v>107145.9</v>
      </c>
      <c r="L49" s="35">
        <f t="shared" si="3"/>
        <v>177765.4</v>
      </c>
      <c r="M49" s="35">
        <f t="shared" si="3"/>
        <v>167063.16</v>
      </c>
      <c r="N49" s="35">
        <f t="shared" si="3"/>
        <v>166067.16</v>
      </c>
      <c r="O49" s="35">
        <f t="shared" si="3"/>
        <v>74332</v>
      </c>
      <c r="P49" s="35">
        <f t="shared" si="3"/>
        <v>108809</v>
      </c>
      <c r="Q49" s="35">
        <v>119803.48</v>
      </c>
      <c r="R49" s="35">
        <f>SUM(R31:R48)</f>
        <v>171902.16999999998</v>
      </c>
      <c r="S49" s="35">
        <v>114927.37999999999</v>
      </c>
    </row>
    <row r="50" spans="1:19" ht="17.25" customHeight="1" x14ac:dyDescent="0.2">
      <c r="A50" s="13" t="s">
        <v>62</v>
      </c>
    </row>
  </sheetData>
  <mergeCells count="3">
    <mergeCell ref="A3:A4"/>
    <mergeCell ref="A29:A30"/>
    <mergeCell ref="B3:R3"/>
  </mergeCells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2:AC49"/>
  <sheetViews>
    <sheetView showGridLines="0" workbookViewId="0">
      <pane xSplit="1" topLeftCell="B1" activePane="topRight" state="frozen"/>
      <selection pane="topRight" activeCell="I13" sqref="I13"/>
    </sheetView>
  </sheetViews>
  <sheetFormatPr defaultRowHeight="19.5" customHeight="1" x14ac:dyDescent="0.2"/>
  <cols>
    <col min="1" max="1" width="27.85546875" style="7" customWidth="1"/>
    <col min="2" max="16384" width="9.140625" style="7"/>
  </cols>
  <sheetData>
    <row r="2" spans="1:19" ht="19.5" customHeight="1" x14ac:dyDescent="0.2">
      <c r="A2" s="36" t="s">
        <v>74</v>
      </c>
      <c r="B2" s="36"/>
      <c r="C2" s="36"/>
      <c r="D2" s="36"/>
      <c r="E2" s="36"/>
      <c r="F2" s="36"/>
      <c r="G2" s="36"/>
      <c r="H2" s="36"/>
      <c r="I2" s="36"/>
      <c r="J2" s="36"/>
      <c r="K2" s="24"/>
      <c r="L2" s="24"/>
      <c r="M2" s="24"/>
      <c r="N2" s="24"/>
      <c r="O2" s="24"/>
    </row>
    <row r="3" spans="1:19" ht="19.5" customHeight="1" x14ac:dyDescent="0.2">
      <c r="A3" s="60" t="s">
        <v>35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47"/>
      <c r="Q3" s="47"/>
      <c r="R3" s="47"/>
    </row>
    <row r="4" spans="1:19" ht="19.5" customHeight="1" x14ac:dyDescent="0.2">
      <c r="A4" s="61"/>
      <c r="B4" s="6" t="s">
        <v>46</v>
      </c>
      <c r="C4" s="6" t="s">
        <v>45</v>
      </c>
      <c r="D4" s="6" t="s">
        <v>49</v>
      </c>
      <c r="E4" s="6" t="s">
        <v>50</v>
      </c>
      <c r="F4" s="6" t="s">
        <v>51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40</v>
      </c>
      <c r="L4" s="6" t="s">
        <v>41</v>
      </c>
      <c r="M4" s="6" t="s">
        <v>56</v>
      </c>
      <c r="N4" s="6" t="s">
        <v>57</v>
      </c>
      <c r="O4" s="6" t="s">
        <v>58</v>
      </c>
      <c r="P4" s="6" t="s">
        <v>59</v>
      </c>
      <c r="Q4" s="6" t="s">
        <v>77</v>
      </c>
      <c r="R4" s="6" t="s">
        <v>78</v>
      </c>
      <c r="S4" s="6" t="s">
        <v>79</v>
      </c>
    </row>
    <row r="5" spans="1:19" ht="19.5" customHeight="1" x14ac:dyDescent="0.2">
      <c r="A5" s="36" t="s">
        <v>36</v>
      </c>
      <c r="B5" s="36"/>
      <c r="C5" s="36"/>
      <c r="D5" s="36"/>
      <c r="E5" s="36"/>
      <c r="F5" s="36"/>
      <c r="G5" s="36"/>
      <c r="H5" s="36"/>
      <c r="I5" s="36"/>
      <c r="J5" s="36"/>
      <c r="K5" s="24"/>
      <c r="L5" s="24"/>
      <c r="M5" s="24"/>
      <c r="N5" s="24"/>
      <c r="O5" s="24"/>
      <c r="P5" s="24"/>
      <c r="Q5" s="24"/>
      <c r="R5" s="24"/>
      <c r="S5" s="24"/>
    </row>
    <row r="6" spans="1:19" ht="19.5" customHeight="1" x14ac:dyDescent="0.2">
      <c r="A6" s="8" t="s">
        <v>12</v>
      </c>
      <c r="B6" s="8">
        <v>364</v>
      </c>
      <c r="C6" s="8">
        <v>560</v>
      </c>
      <c r="D6" s="8">
        <v>698</v>
      </c>
      <c r="E6" s="8">
        <v>643</v>
      </c>
      <c r="F6" s="8">
        <v>553</v>
      </c>
      <c r="G6" s="8">
        <v>559</v>
      </c>
      <c r="H6" s="8">
        <v>650</v>
      </c>
      <c r="I6" s="8">
        <v>620</v>
      </c>
      <c r="J6" s="8">
        <v>438</v>
      </c>
      <c r="K6" s="8">
        <v>638</v>
      </c>
      <c r="L6" s="8">
        <v>67</v>
      </c>
      <c r="M6" s="8">
        <v>916</v>
      </c>
      <c r="N6" s="8">
        <v>4344</v>
      </c>
      <c r="O6" s="8">
        <v>2599</v>
      </c>
      <c r="P6" s="8">
        <v>3001</v>
      </c>
      <c r="Q6" s="8">
        <v>3326</v>
      </c>
      <c r="R6" s="8">
        <v>4827</v>
      </c>
      <c r="S6" s="8">
        <v>3855</v>
      </c>
    </row>
    <row r="7" spans="1:19" ht="19.5" customHeight="1" x14ac:dyDescent="0.2">
      <c r="A7" s="8" t="s">
        <v>22</v>
      </c>
      <c r="B7" s="8">
        <v>2</v>
      </c>
      <c r="C7" s="8">
        <v>3</v>
      </c>
      <c r="D7" s="8">
        <v>3</v>
      </c>
      <c r="E7" s="8">
        <v>4</v>
      </c>
      <c r="F7" s="8">
        <v>4</v>
      </c>
      <c r="G7" s="8">
        <v>3</v>
      </c>
      <c r="H7" s="8">
        <v>3</v>
      </c>
      <c r="I7" s="8">
        <v>2</v>
      </c>
      <c r="J7" s="8">
        <v>1</v>
      </c>
      <c r="K7" s="8">
        <v>2</v>
      </c>
      <c r="L7" s="8">
        <v>193</v>
      </c>
      <c r="M7" s="8">
        <v>39</v>
      </c>
      <c r="N7" s="8">
        <v>38</v>
      </c>
      <c r="O7" s="8">
        <v>1</v>
      </c>
      <c r="P7" s="8">
        <v>26</v>
      </c>
      <c r="Q7" s="8">
        <v>7</v>
      </c>
      <c r="R7" s="8">
        <v>518</v>
      </c>
      <c r="S7" s="8">
        <v>498</v>
      </c>
    </row>
    <row r="8" spans="1:19" ht="19.5" customHeight="1" x14ac:dyDescent="0.2">
      <c r="A8" s="8" t="s">
        <v>16</v>
      </c>
      <c r="B8" s="8">
        <v>93</v>
      </c>
      <c r="C8" s="8">
        <v>126</v>
      </c>
      <c r="D8" s="8">
        <v>108</v>
      </c>
      <c r="E8" s="8">
        <v>91</v>
      </c>
      <c r="F8" s="8">
        <v>88</v>
      </c>
      <c r="G8" s="8">
        <v>49</v>
      </c>
      <c r="H8" s="8">
        <v>59</v>
      </c>
      <c r="I8" s="8">
        <v>2734</v>
      </c>
      <c r="J8" s="8">
        <v>60</v>
      </c>
      <c r="K8" s="8">
        <v>101</v>
      </c>
      <c r="L8" s="8">
        <v>51</v>
      </c>
      <c r="M8" s="8">
        <v>198</v>
      </c>
      <c r="N8" s="8">
        <v>197</v>
      </c>
      <c r="O8" s="8">
        <v>140</v>
      </c>
      <c r="P8" s="8">
        <v>149</v>
      </c>
      <c r="Q8" s="8">
        <v>80</v>
      </c>
      <c r="R8" s="8">
        <v>178</v>
      </c>
      <c r="S8" s="8">
        <v>95</v>
      </c>
    </row>
    <row r="9" spans="1:19" ht="19.5" customHeight="1" x14ac:dyDescent="0.2">
      <c r="A9" s="9" t="s">
        <v>29</v>
      </c>
      <c r="B9" s="37"/>
      <c r="C9" s="37"/>
      <c r="D9" s="37"/>
      <c r="E9" s="37"/>
      <c r="F9" s="37"/>
      <c r="G9" s="37"/>
      <c r="H9" s="37"/>
      <c r="I9" s="37"/>
      <c r="J9" s="37"/>
      <c r="K9" s="38"/>
      <c r="L9" s="38"/>
      <c r="M9" s="37"/>
      <c r="N9" s="37"/>
      <c r="O9" s="37"/>
      <c r="P9" s="37"/>
      <c r="Q9" s="37"/>
      <c r="R9" s="37"/>
      <c r="S9" s="37"/>
    </row>
    <row r="10" spans="1:19" ht="19.5" customHeight="1" x14ac:dyDescent="0.2">
      <c r="A10" s="8" t="s">
        <v>13</v>
      </c>
      <c r="B10" s="8">
        <v>363</v>
      </c>
      <c r="C10" s="8">
        <v>542</v>
      </c>
      <c r="D10" s="8">
        <v>673</v>
      </c>
      <c r="E10" s="8">
        <v>624</v>
      </c>
      <c r="F10" s="8">
        <v>505</v>
      </c>
      <c r="G10" s="8">
        <v>490</v>
      </c>
      <c r="H10" s="8">
        <v>568</v>
      </c>
      <c r="I10" s="8">
        <v>3275</v>
      </c>
      <c r="J10" s="8">
        <v>413</v>
      </c>
      <c r="K10" s="8">
        <v>601</v>
      </c>
      <c r="L10" s="8">
        <v>67</v>
      </c>
      <c r="M10" s="8">
        <v>1014</v>
      </c>
      <c r="N10" s="8">
        <v>4765</v>
      </c>
      <c r="O10" s="8">
        <v>2630</v>
      </c>
      <c r="P10" s="8">
        <v>3015</v>
      </c>
      <c r="Q10" s="8">
        <v>3289</v>
      </c>
      <c r="R10" s="8">
        <v>4809</v>
      </c>
      <c r="S10" s="8">
        <v>3853</v>
      </c>
    </row>
    <row r="11" spans="1:19" ht="19.5" customHeight="1" x14ac:dyDescent="0.2">
      <c r="A11" s="8" t="s">
        <v>17</v>
      </c>
      <c r="B11" s="8">
        <v>82</v>
      </c>
      <c r="C11" s="8">
        <v>114</v>
      </c>
      <c r="D11" s="8">
        <v>97</v>
      </c>
      <c r="E11" s="8">
        <v>84</v>
      </c>
      <c r="F11" s="8">
        <v>88</v>
      </c>
      <c r="G11" s="8">
        <v>88</v>
      </c>
      <c r="H11" s="8">
        <v>91</v>
      </c>
      <c r="I11" s="8">
        <v>80</v>
      </c>
      <c r="J11" s="8">
        <v>60</v>
      </c>
      <c r="K11" s="8">
        <v>109</v>
      </c>
      <c r="L11" s="8">
        <v>193</v>
      </c>
      <c r="M11" s="8">
        <v>122</v>
      </c>
      <c r="N11" s="8">
        <v>149</v>
      </c>
      <c r="O11" s="8">
        <v>50</v>
      </c>
      <c r="P11" s="8">
        <v>129</v>
      </c>
      <c r="Q11" s="8">
        <v>63</v>
      </c>
      <c r="R11" s="8">
        <v>600</v>
      </c>
      <c r="S11" s="8">
        <v>532</v>
      </c>
    </row>
    <row r="12" spans="1:19" ht="19.5" customHeight="1" x14ac:dyDescent="0.2">
      <c r="A12" s="8" t="s">
        <v>39</v>
      </c>
      <c r="B12" s="8">
        <v>0</v>
      </c>
      <c r="C12" s="8">
        <v>2</v>
      </c>
      <c r="D12" s="8">
        <v>2</v>
      </c>
      <c r="E12" s="8">
        <v>2</v>
      </c>
      <c r="F12" s="8">
        <v>1</v>
      </c>
      <c r="G12" s="8">
        <v>2</v>
      </c>
      <c r="H12" s="8">
        <v>0</v>
      </c>
      <c r="I12" s="8">
        <v>1</v>
      </c>
      <c r="J12" s="8">
        <v>1</v>
      </c>
      <c r="K12" s="8">
        <v>0</v>
      </c>
      <c r="L12" s="8">
        <v>51</v>
      </c>
      <c r="M12" s="8">
        <v>17</v>
      </c>
      <c r="N12" s="8">
        <v>72</v>
      </c>
      <c r="O12" s="8">
        <v>60</v>
      </c>
      <c r="P12" s="8">
        <v>17</v>
      </c>
      <c r="Q12" s="8">
        <v>61</v>
      </c>
      <c r="R12" s="8">
        <v>114</v>
      </c>
      <c r="S12" s="8">
        <v>73</v>
      </c>
    </row>
    <row r="13" spans="1:19" ht="19.5" customHeight="1" x14ac:dyDescent="0.2">
      <c r="A13" s="9" t="s">
        <v>37</v>
      </c>
      <c r="B13" s="37"/>
      <c r="C13" s="37"/>
      <c r="D13" s="37"/>
      <c r="E13" s="37"/>
      <c r="F13" s="37"/>
      <c r="G13" s="37"/>
      <c r="H13" s="37"/>
      <c r="I13" s="37"/>
      <c r="J13" s="37"/>
      <c r="K13" s="38"/>
      <c r="L13" s="38"/>
      <c r="M13" s="37"/>
      <c r="N13" s="37"/>
      <c r="O13" s="37"/>
      <c r="P13" s="37"/>
      <c r="Q13" s="37"/>
      <c r="R13" s="37"/>
      <c r="S13" s="37"/>
    </row>
    <row r="14" spans="1:19" ht="19.5" customHeight="1" x14ac:dyDescent="0.2">
      <c r="A14" s="8" t="s">
        <v>21</v>
      </c>
      <c r="B14" s="8">
        <v>48</v>
      </c>
      <c r="C14" s="8">
        <v>53</v>
      </c>
      <c r="D14" s="8">
        <v>69</v>
      </c>
      <c r="E14" s="8">
        <v>48</v>
      </c>
      <c r="F14" s="8">
        <v>43</v>
      </c>
      <c r="G14" s="8">
        <v>44</v>
      </c>
      <c r="H14" s="8">
        <v>16</v>
      </c>
      <c r="I14" s="8">
        <v>310</v>
      </c>
      <c r="J14" s="8">
        <v>23</v>
      </c>
      <c r="K14" s="8">
        <v>32</v>
      </c>
      <c r="L14" s="8">
        <v>67</v>
      </c>
      <c r="M14" s="8">
        <v>48</v>
      </c>
      <c r="N14" s="8">
        <v>63</v>
      </c>
      <c r="O14" s="8">
        <v>12</v>
      </c>
      <c r="P14" s="8">
        <v>14</v>
      </c>
      <c r="Q14" s="8">
        <v>6</v>
      </c>
      <c r="R14" s="8">
        <v>23</v>
      </c>
      <c r="S14" s="8">
        <v>29</v>
      </c>
    </row>
    <row r="15" spans="1:19" ht="19.5" customHeight="1" x14ac:dyDescent="0.2">
      <c r="A15" s="8" t="s">
        <v>19</v>
      </c>
      <c r="B15" s="8">
        <v>20</v>
      </c>
      <c r="C15" s="8">
        <v>19</v>
      </c>
      <c r="D15" s="8">
        <v>37</v>
      </c>
      <c r="E15" s="8">
        <v>39</v>
      </c>
      <c r="F15" s="8">
        <v>18</v>
      </c>
      <c r="G15" s="8">
        <v>26</v>
      </c>
      <c r="H15" s="8">
        <v>45</v>
      </c>
      <c r="I15" s="8">
        <v>15</v>
      </c>
      <c r="J15" s="8">
        <v>27</v>
      </c>
      <c r="K15" s="8">
        <v>38</v>
      </c>
      <c r="L15" s="8">
        <v>193</v>
      </c>
      <c r="M15" s="8">
        <v>59</v>
      </c>
      <c r="N15" s="8">
        <v>65</v>
      </c>
      <c r="O15" s="8">
        <v>10</v>
      </c>
      <c r="P15" s="8">
        <v>17</v>
      </c>
      <c r="Q15" s="8">
        <v>23</v>
      </c>
      <c r="R15" s="8">
        <v>30</v>
      </c>
      <c r="S15" s="8">
        <v>13</v>
      </c>
    </row>
    <row r="16" spans="1:19" ht="19.5" customHeight="1" x14ac:dyDescent="0.2">
      <c r="A16" s="8" t="s">
        <v>42</v>
      </c>
      <c r="B16" s="8">
        <v>0</v>
      </c>
      <c r="C16" s="8">
        <v>0</v>
      </c>
      <c r="D16" s="8">
        <v>1</v>
      </c>
      <c r="E16" s="8">
        <v>1</v>
      </c>
      <c r="F16" s="8">
        <v>0</v>
      </c>
      <c r="G16" s="8">
        <v>151</v>
      </c>
      <c r="H16" s="8">
        <v>1</v>
      </c>
      <c r="I16" s="8">
        <v>31</v>
      </c>
      <c r="J16" s="8" t="s">
        <v>60</v>
      </c>
      <c r="K16" s="8">
        <v>0</v>
      </c>
      <c r="L16" s="8">
        <v>51</v>
      </c>
      <c r="M16" s="8">
        <v>288</v>
      </c>
      <c r="N16" s="8">
        <v>556</v>
      </c>
      <c r="O16" s="8">
        <v>1347</v>
      </c>
      <c r="P16" s="8">
        <v>2365</v>
      </c>
      <c r="Q16" s="8">
        <v>1420</v>
      </c>
      <c r="R16" s="8">
        <v>1378</v>
      </c>
      <c r="S16" s="8">
        <v>3449</v>
      </c>
    </row>
    <row r="17" spans="1:29" ht="19.5" customHeight="1" x14ac:dyDescent="0.2">
      <c r="A17" s="8" t="s">
        <v>43</v>
      </c>
      <c r="B17" s="8">
        <v>149</v>
      </c>
      <c r="C17" s="8">
        <v>196</v>
      </c>
      <c r="D17" s="8">
        <v>253</v>
      </c>
      <c r="E17" s="8">
        <v>189</v>
      </c>
      <c r="F17" s="8">
        <v>160</v>
      </c>
      <c r="G17" s="8">
        <v>1</v>
      </c>
      <c r="H17" s="8">
        <v>254</v>
      </c>
      <c r="I17" s="8">
        <v>2994</v>
      </c>
      <c r="J17" s="8">
        <v>164</v>
      </c>
      <c r="K17" s="8">
        <v>197</v>
      </c>
      <c r="L17" s="8">
        <v>20</v>
      </c>
      <c r="M17" s="8">
        <v>24</v>
      </c>
      <c r="N17" s="8">
        <v>28</v>
      </c>
      <c r="O17" s="8">
        <v>30</v>
      </c>
      <c r="P17" s="8">
        <v>452</v>
      </c>
      <c r="Q17" s="8">
        <v>70</v>
      </c>
      <c r="R17" s="8">
        <v>30</v>
      </c>
      <c r="S17" s="8">
        <v>36</v>
      </c>
    </row>
    <row r="18" spans="1:29" ht="19.5" customHeight="1" x14ac:dyDescent="0.2">
      <c r="A18" s="8" t="s">
        <v>44</v>
      </c>
      <c r="B18" s="8">
        <v>1</v>
      </c>
      <c r="C18" s="8">
        <v>1</v>
      </c>
      <c r="D18" s="8">
        <v>2</v>
      </c>
      <c r="E18" s="8">
        <v>2</v>
      </c>
      <c r="F18" s="8">
        <v>2</v>
      </c>
      <c r="G18" s="8">
        <v>1</v>
      </c>
      <c r="H18" s="8">
        <v>1</v>
      </c>
      <c r="I18" s="8">
        <v>6</v>
      </c>
      <c r="J18" s="8" t="s">
        <v>60</v>
      </c>
      <c r="K18" s="8">
        <v>0</v>
      </c>
      <c r="L18" s="8">
        <v>23</v>
      </c>
      <c r="M18" s="8">
        <v>734</v>
      </c>
      <c r="N18" s="8">
        <v>729</v>
      </c>
      <c r="O18" s="8">
        <v>374</v>
      </c>
      <c r="P18" s="8">
        <v>18</v>
      </c>
      <c r="Q18" s="8">
        <v>3</v>
      </c>
      <c r="R18" s="8">
        <v>6</v>
      </c>
      <c r="S18" s="8">
        <v>496</v>
      </c>
    </row>
    <row r="19" spans="1:29" ht="19.5" customHeight="1" x14ac:dyDescent="0.2">
      <c r="A19" s="39" t="s">
        <v>30</v>
      </c>
      <c r="B19" s="37"/>
      <c r="C19" s="37"/>
      <c r="D19" s="37"/>
      <c r="E19" s="37"/>
      <c r="F19" s="37"/>
      <c r="G19" s="37"/>
      <c r="H19" s="37"/>
      <c r="I19" s="37"/>
      <c r="J19" s="37"/>
      <c r="K19" s="38"/>
      <c r="L19" s="38"/>
      <c r="M19" s="37"/>
      <c r="N19" s="37"/>
      <c r="O19" s="37"/>
      <c r="P19" s="37"/>
      <c r="Q19" s="37"/>
      <c r="R19" s="37"/>
      <c r="S19" s="37"/>
    </row>
    <row r="20" spans="1:29" ht="19.5" customHeight="1" x14ac:dyDescent="0.2">
      <c r="A20" s="8" t="s">
        <v>15</v>
      </c>
      <c r="B20" s="8">
        <v>30</v>
      </c>
      <c r="C20" s="8">
        <v>39</v>
      </c>
      <c r="D20" s="8">
        <v>62</v>
      </c>
      <c r="E20" s="8">
        <v>57</v>
      </c>
      <c r="F20" s="8">
        <v>46</v>
      </c>
      <c r="G20" s="8">
        <v>52</v>
      </c>
      <c r="H20" s="8">
        <v>64</v>
      </c>
      <c r="I20" s="8">
        <v>64</v>
      </c>
      <c r="J20" s="8">
        <v>45</v>
      </c>
      <c r="K20" s="8">
        <v>58</v>
      </c>
      <c r="L20" s="8">
        <v>67</v>
      </c>
      <c r="M20" s="8">
        <v>91</v>
      </c>
      <c r="N20" s="8">
        <v>331</v>
      </c>
      <c r="O20" s="8">
        <v>21</v>
      </c>
      <c r="P20" s="8">
        <v>32</v>
      </c>
      <c r="Q20" s="8">
        <v>38</v>
      </c>
      <c r="R20" s="8">
        <v>583</v>
      </c>
      <c r="S20" s="8">
        <v>57</v>
      </c>
    </row>
    <row r="21" spans="1:29" ht="19.5" customHeight="1" x14ac:dyDescent="0.2">
      <c r="A21" s="8" t="s">
        <v>14</v>
      </c>
      <c r="B21" s="8">
        <v>128</v>
      </c>
      <c r="C21" s="8">
        <v>157</v>
      </c>
      <c r="D21" s="8">
        <v>181</v>
      </c>
      <c r="E21" s="8">
        <v>165</v>
      </c>
      <c r="F21" s="8">
        <v>124</v>
      </c>
      <c r="G21" s="8">
        <v>120</v>
      </c>
      <c r="H21" s="8">
        <v>181</v>
      </c>
      <c r="I21" s="8">
        <v>3227</v>
      </c>
      <c r="J21" s="8">
        <v>126</v>
      </c>
      <c r="K21" s="8">
        <v>159</v>
      </c>
      <c r="L21" s="8">
        <v>193</v>
      </c>
      <c r="M21" s="8">
        <v>276</v>
      </c>
      <c r="N21" s="8">
        <v>343</v>
      </c>
      <c r="O21" s="8">
        <v>428</v>
      </c>
      <c r="P21" s="8">
        <v>529</v>
      </c>
      <c r="Q21" s="8">
        <v>1446</v>
      </c>
      <c r="R21" s="8">
        <v>824</v>
      </c>
      <c r="S21" s="8">
        <v>601</v>
      </c>
    </row>
    <row r="22" spans="1:29" ht="19.5" customHeight="1" x14ac:dyDescent="0.2">
      <c r="A22" s="8" t="s">
        <v>20</v>
      </c>
      <c r="B22" s="8">
        <v>48</v>
      </c>
      <c r="C22" s="8">
        <v>43</v>
      </c>
      <c r="D22" s="8">
        <v>57</v>
      </c>
      <c r="E22" s="8">
        <v>44</v>
      </c>
      <c r="F22" s="8">
        <v>41</v>
      </c>
      <c r="G22" s="8">
        <v>37</v>
      </c>
      <c r="H22" s="8">
        <v>62</v>
      </c>
      <c r="I22" s="8">
        <v>48</v>
      </c>
      <c r="J22" s="8">
        <v>46</v>
      </c>
      <c r="K22" s="8">
        <v>58</v>
      </c>
      <c r="L22" s="8">
        <v>51</v>
      </c>
      <c r="M22" s="8">
        <v>729</v>
      </c>
      <c r="N22" s="8">
        <v>259</v>
      </c>
      <c r="O22" s="8">
        <v>13</v>
      </c>
      <c r="P22" s="8">
        <v>43</v>
      </c>
      <c r="Q22" s="8">
        <v>27</v>
      </c>
      <c r="R22" s="8">
        <v>22</v>
      </c>
      <c r="S22" s="8">
        <v>23</v>
      </c>
    </row>
    <row r="23" spans="1:29" ht="19.5" customHeight="1" x14ac:dyDescent="0.2">
      <c r="A23" s="40" t="s">
        <v>18</v>
      </c>
      <c r="B23" s="40">
        <v>11</v>
      </c>
      <c r="C23" s="40">
        <v>13</v>
      </c>
      <c r="D23" s="40">
        <v>17</v>
      </c>
      <c r="E23" s="40">
        <v>11</v>
      </c>
      <c r="F23" s="40">
        <v>10</v>
      </c>
      <c r="G23" s="40">
        <v>14</v>
      </c>
      <c r="H23" s="40">
        <v>17</v>
      </c>
      <c r="I23" s="40">
        <v>17</v>
      </c>
      <c r="J23" s="40">
        <v>13</v>
      </c>
      <c r="K23" s="40">
        <v>11</v>
      </c>
      <c r="L23" s="40">
        <v>20</v>
      </c>
      <c r="M23" s="40">
        <v>57</v>
      </c>
      <c r="N23" s="40">
        <v>20</v>
      </c>
      <c r="O23" s="40">
        <v>19</v>
      </c>
      <c r="P23" s="40">
        <v>20</v>
      </c>
      <c r="Q23" s="40">
        <v>11</v>
      </c>
      <c r="R23" s="40">
        <v>38</v>
      </c>
      <c r="S23" s="40">
        <v>11</v>
      </c>
    </row>
    <row r="24" spans="1:29" ht="19.5" customHeight="1" x14ac:dyDescent="0.2">
      <c r="A24" s="13" t="s">
        <v>62</v>
      </c>
      <c r="B24" s="13"/>
      <c r="C24" s="13"/>
      <c r="D24" s="13"/>
      <c r="E24" s="13"/>
      <c r="F24" s="13"/>
      <c r="G24" s="13"/>
      <c r="H24" s="13"/>
      <c r="I24" s="13"/>
      <c r="J24" s="13"/>
      <c r="K24" s="8"/>
      <c r="L24" s="8"/>
      <c r="M24" s="8"/>
      <c r="N24" s="8"/>
      <c r="O24" s="8"/>
    </row>
    <row r="27" spans="1:29" ht="19.5" customHeight="1" x14ac:dyDescent="0.2">
      <c r="A27" s="36" t="s">
        <v>75</v>
      </c>
    </row>
    <row r="28" spans="1:29" ht="19.5" customHeight="1" x14ac:dyDescent="0.2">
      <c r="A28" s="60" t="s">
        <v>35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25"/>
      <c r="Q28" s="25"/>
      <c r="R28" s="25"/>
      <c r="S28" s="25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1:29" ht="19.5" customHeight="1" x14ac:dyDescent="0.2">
      <c r="A29" s="61"/>
      <c r="B29" s="6" t="s">
        <v>46</v>
      </c>
      <c r="C29" s="6" t="s">
        <v>45</v>
      </c>
      <c r="D29" s="6" t="s">
        <v>49</v>
      </c>
      <c r="E29" s="6" t="s">
        <v>50</v>
      </c>
      <c r="F29" s="6" t="s">
        <v>51</v>
      </c>
      <c r="G29" s="6" t="s">
        <v>52</v>
      </c>
      <c r="H29" s="6" t="s">
        <v>53</v>
      </c>
      <c r="I29" s="6" t="s">
        <v>54</v>
      </c>
      <c r="J29" s="6" t="s">
        <v>55</v>
      </c>
      <c r="K29" s="6" t="s">
        <v>40</v>
      </c>
      <c r="L29" s="6" t="s">
        <v>41</v>
      </c>
      <c r="M29" s="44" t="s">
        <v>56</v>
      </c>
      <c r="N29" s="44" t="s">
        <v>57</v>
      </c>
      <c r="O29" s="6" t="s">
        <v>58</v>
      </c>
      <c r="P29" s="6" t="s">
        <v>59</v>
      </c>
      <c r="Q29" s="6" t="s">
        <v>77</v>
      </c>
      <c r="R29" s="6" t="s">
        <v>78</v>
      </c>
      <c r="S29" s="6" t="s">
        <v>79</v>
      </c>
    </row>
    <row r="30" spans="1:29" ht="19.5" customHeight="1" x14ac:dyDescent="0.2">
      <c r="A30" s="36" t="s">
        <v>36</v>
      </c>
      <c r="B30" s="36"/>
      <c r="C30" s="36"/>
      <c r="D30" s="36"/>
      <c r="E30" s="36"/>
      <c r="F30" s="36"/>
      <c r="G30" s="36"/>
      <c r="H30" s="36"/>
      <c r="I30" s="36"/>
      <c r="J30" s="36"/>
      <c r="K30" s="24"/>
      <c r="L30" s="24"/>
      <c r="M30" s="32"/>
      <c r="N30" s="32"/>
      <c r="O30" s="24"/>
      <c r="P30" s="24"/>
      <c r="Q30" s="24"/>
      <c r="R30" s="24"/>
      <c r="S30" s="24"/>
    </row>
    <row r="31" spans="1:29" ht="19.5" customHeight="1" x14ac:dyDescent="0.2">
      <c r="A31" s="8" t="s">
        <v>12</v>
      </c>
      <c r="B31" s="8">
        <v>92</v>
      </c>
      <c r="C31" s="8">
        <v>120</v>
      </c>
      <c r="D31" s="8">
        <v>139</v>
      </c>
      <c r="E31" s="8">
        <v>138</v>
      </c>
      <c r="F31" s="8">
        <v>128</v>
      </c>
      <c r="G31" s="8">
        <v>149</v>
      </c>
      <c r="H31" s="8">
        <v>143</v>
      </c>
      <c r="I31" s="8">
        <v>164</v>
      </c>
      <c r="J31" s="8">
        <v>108</v>
      </c>
      <c r="K31" s="8">
        <v>168</v>
      </c>
      <c r="L31" s="8">
        <v>38</v>
      </c>
      <c r="M31" s="8">
        <v>199</v>
      </c>
      <c r="N31" s="8">
        <v>189</v>
      </c>
      <c r="O31" s="8">
        <v>90</v>
      </c>
      <c r="P31" s="8">
        <v>131</v>
      </c>
      <c r="Q31" s="8">
        <v>118</v>
      </c>
      <c r="R31" s="8">
        <v>171</v>
      </c>
      <c r="S31" s="8">
        <v>111</v>
      </c>
      <c r="T31" s="8"/>
    </row>
    <row r="32" spans="1:29" ht="19.5" customHeight="1" x14ac:dyDescent="0.2">
      <c r="A32" s="8" t="s">
        <v>22</v>
      </c>
      <c r="B32" s="8">
        <v>1</v>
      </c>
      <c r="C32" s="8">
        <v>1</v>
      </c>
      <c r="D32" s="8">
        <v>1</v>
      </c>
      <c r="E32" s="8">
        <v>0</v>
      </c>
      <c r="F32" s="8">
        <v>4</v>
      </c>
      <c r="G32" s="8">
        <v>4</v>
      </c>
      <c r="H32" s="8">
        <v>1</v>
      </c>
      <c r="I32" s="8">
        <v>0</v>
      </c>
      <c r="J32" s="8">
        <v>1</v>
      </c>
      <c r="K32" s="8">
        <v>1</v>
      </c>
      <c r="L32" s="8">
        <v>42</v>
      </c>
      <c r="M32" s="8">
        <v>6</v>
      </c>
      <c r="N32" s="8">
        <v>6</v>
      </c>
      <c r="O32" s="8">
        <v>1</v>
      </c>
      <c r="P32" s="8">
        <v>6</v>
      </c>
      <c r="Q32" s="8">
        <v>4</v>
      </c>
      <c r="R32" s="8">
        <v>47</v>
      </c>
      <c r="S32" s="8">
        <v>11</v>
      </c>
      <c r="T32" s="8"/>
    </row>
    <row r="33" spans="1:20" ht="19.5" customHeight="1" x14ac:dyDescent="0.2">
      <c r="A33" s="8" t="s">
        <v>16</v>
      </c>
      <c r="B33" s="8">
        <v>17</v>
      </c>
      <c r="C33" s="8">
        <v>20</v>
      </c>
      <c r="D33" s="8">
        <v>22</v>
      </c>
      <c r="E33" s="8">
        <v>18</v>
      </c>
      <c r="F33" s="8">
        <v>15</v>
      </c>
      <c r="G33" s="8">
        <v>11</v>
      </c>
      <c r="H33" s="8">
        <v>19</v>
      </c>
      <c r="I33" s="8">
        <v>15</v>
      </c>
      <c r="J33" s="8">
        <v>21</v>
      </c>
      <c r="K33" s="8">
        <v>20</v>
      </c>
      <c r="L33" s="8">
        <v>5</v>
      </c>
      <c r="M33" s="8">
        <v>33</v>
      </c>
      <c r="N33" s="8">
        <v>33</v>
      </c>
      <c r="O33" s="8">
        <v>16</v>
      </c>
      <c r="P33" s="8">
        <v>19</v>
      </c>
      <c r="Q33" s="8">
        <v>9</v>
      </c>
      <c r="R33" s="8">
        <v>17</v>
      </c>
      <c r="S33" s="8">
        <v>9</v>
      </c>
      <c r="T33" s="8"/>
    </row>
    <row r="34" spans="1:20" ht="19.5" customHeight="1" x14ac:dyDescent="0.2">
      <c r="A34" s="9" t="s">
        <v>29</v>
      </c>
      <c r="B34" s="37"/>
      <c r="C34" s="37"/>
      <c r="D34" s="37"/>
      <c r="E34" s="37"/>
      <c r="F34" s="37"/>
      <c r="G34" s="37"/>
      <c r="H34" s="37"/>
      <c r="I34" s="37"/>
      <c r="J34" s="37"/>
      <c r="K34" s="38"/>
      <c r="L34" s="38"/>
      <c r="M34" s="37">
        <f>SUM(M31:M33)</f>
        <v>238</v>
      </c>
      <c r="N34" s="37"/>
      <c r="O34" s="37"/>
      <c r="P34" s="37"/>
      <c r="Q34" s="37"/>
      <c r="R34" s="37"/>
      <c r="S34" s="37"/>
    </row>
    <row r="35" spans="1:20" ht="19.5" customHeight="1" x14ac:dyDescent="0.2">
      <c r="A35" s="8" t="s">
        <v>13</v>
      </c>
      <c r="B35" s="8">
        <v>70</v>
      </c>
      <c r="C35" s="8">
        <v>91</v>
      </c>
      <c r="D35" s="8">
        <v>109</v>
      </c>
      <c r="E35" s="8">
        <v>115</v>
      </c>
      <c r="F35" s="8">
        <v>96</v>
      </c>
      <c r="G35" s="8">
        <v>118</v>
      </c>
      <c r="H35" s="8">
        <v>119</v>
      </c>
      <c r="I35" s="8">
        <v>149</v>
      </c>
      <c r="J35" s="8">
        <v>95</v>
      </c>
      <c r="K35" s="8">
        <v>129</v>
      </c>
      <c r="L35" s="8">
        <v>38</v>
      </c>
      <c r="M35" s="8">
        <v>193</v>
      </c>
      <c r="N35" s="8">
        <v>217</v>
      </c>
      <c r="O35" s="8">
        <v>76</v>
      </c>
      <c r="P35" s="8">
        <v>123</v>
      </c>
      <c r="Q35" s="8">
        <v>94</v>
      </c>
      <c r="R35" s="8">
        <v>139</v>
      </c>
      <c r="S35" s="8">
        <v>84</v>
      </c>
    </row>
    <row r="36" spans="1:20" ht="19.5" customHeight="1" x14ac:dyDescent="0.2">
      <c r="A36" s="8" t="s">
        <v>17</v>
      </c>
      <c r="B36" s="8">
        <v>36</v>
      </c>
      <c r="C36" s="8">
        <v>47</v>
      </c>
      <c r="D36" s="8">
        <v>46</v>
      </c>
      <c r="E36" s="8">
        <v>31</v>
      </c>
      <c r="F36" s="8">
        <v>38</v>
      </c>
      <c r="G36" s="8">
        <v>32</v>
      </c>
      <c r="H36" s="8">
        <v>29</v>
      </c>
      <c r="I36" s="8">
        <v>29</v>
      </c>
      <c r="J36" s="8">
        <v>21</v>
      </c>
      <c r="K36" s="8">
        <v>40</v>
      </c>
      <c r="L36" s="8">
        <v>42</v>
      </c>
      <c r="M36" s="8">
        <v>45</v>
      </c>
      <c r="N36" s="8">
        <v>48</v>
      </c>
      <c r="O36" s="8">
        <v>17</v>
      </c>
      <c r="P36" s="8">
        <v>43</v>
      </c>
      <c r="Q36" s="8">
        <v>26</v>
      </c>
      <c r="R36" s="8">
        <v>68</v>
      </c>
      <c r="S36" s="8">
        <v>20</v>
      </c>
    </row>
    <row r="37" spans="1:20" ht="19.5" customHeight="1" x14ac:dyDescent="0.2">
      <c r="A37" s="8" t="s">
        <v>39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</v>
      </c>
      <c r="I37" s="8">
        <v>1</v>
      </c>
      <c r="J37" s="8">
        <v>1</v>
      </c>
      <c r="K37" s="8">
        <v>1</v>
      </c>
      <c r="L37" s="8">
        <v>5</v>
      </c>
      <c r="M37" s="8">
        <v>0</v>
      </c>
      <c r="N37" s="8">
        <v>8</v>
      </c>
      <c r="O37" s="8">
        <v>14</v>
      </c>
      <c r="P37" s="8">
        <v>5</v>
      </c>
      <c r="Q37" s="8">
        <v>11</v>
      </c>
      <c r="R37" s="8">
        <v>9</v>
      </c>
      <c r="S37" s="8">
        <v>17</v>
      </c>
    </row>
    <row r="38" spans="1:20" ht="19.5" customHeight="1" x14ac:dyDescent="0.2">
      <c r="A38" s="9" t="s">
        <v>37</v>
      </c>
      <c r="B38" s="37"/>
      <c r="C38" s="37"/>
      <c r="D38" s="37"/>
      <c r="E38" s="37"/>
      <c r="F38" s="37"/>
      <c r="G38" s="37"/>
      <c r="H38" s="37"/>
      <c r="I38" s="37"/>
      <c r="J38" s="37"/>
      <c r="K38" s="38"/>
      <c r="L38" s="38"/>
      <c r="M38" s="37"/>
      <c r="N38" s="37"/>
      <c r="O38" s="37"/>
      <c r="P38" s="37"/>
      <c r="Q38" s="37"/>
      <c r="R38" s="37"/>
      <c r="S38" s="37"/>
    </row>
    <row r="39" spans="1:20" ht="19.5" customHeight="1" x14ac:dyDescent="0.2">
      <c r="A39" s="8" t="s">
        <v>21</v>
      </c>
      <c r="B39" s="8">
        <v>8</v>
      </c>
      <c r="C39" s="8">
        <v>14</v>
      </c>
      <c r="D39" s="8">
        <v>7</v>
      </c>
      <c r="E39" s="8">
        <v>8</v>
      </c>
      <c r="F39" s="8">
        <v>5</v>
      </c>
      <c r="G39" s="8">
        <v>5</v>
      </c>
      <c r="H39" s="8">
        <v>2</v>
      </c>
      <c r="I39" s="8">
        <v>68</v>
      </c>
      <c r="J39" s="8">
        <v>2</v>
      </c>
      <c r="K39" s="8">
        <v>6</v>
      </c>
      <c r="L39" s="8">
        <v>38</v>
      </c>
      <c r="M39" s="8">
        <v>8</v>
      </c>
      <c r="N39" s="8">
        <v>13</v>
      </c>
      <c r="O39" s="8">
        <v>15</v>
      </c>
      <c r="P39" s="8">
        <v>3</v>
      </c>
      <c r="Q39" s="8">
        <v>2</v>
      </c>
      <c r="R39" s="8">
        <v>11</v>
      </c>
      <c r="S39" s="8">
        <v>14</v>
      </c>
    </row>
    <row r="40" spans="1:20" ht="19.5" customHeight="1" x14ac:dyDescent="0.2">
      <c r="A40" s="8" t="s">
        <v>19</v>
      </c>
      <c r="B40" s="8">
        <v>8</v>
      </c>
      <c r="C40" s="8">
        <v>4</v>
      </c>
      <c r="D40" s="8">
        <v>11</v>
      </c>
      <c r="E40" s="8">
        <v>10</v>
      </c>
      <c r="F40" s="8">
        <v>8</v>
      </c>
      <c r="G40" s="8">
        <v>11</v>
      </c>
      <c r="H40" s="8">
        <v>15</v>
      </c>
      <c r="I40" s="8">
        <v>3</v>
      </c>
      <c r="J40" s="8">
        <v>13</v>
      </c>
      <c r="K40" s="8">
        <v>22</v>
      </c>
      <c r="L40" s="8">
        <v>42</v>
      </c>
      <c r="M40" s="8">
        <v>18</v>
      </c>
      <c r="N40" s="8">
        <v>19</v>
      </c>
      <c r="O40" s="8">
        <v>15</v>
      </c>
      <c r="P40" s="8">
        <v>12</v>
      </c>
      <c r="Q40" s="8">
        <v>2</v>
      </c>
      <c r="R40" s="8">
        <v>14</v>
      </c>
      <c r="S40" s="8">
        <v>8</v>
      </c>
    </row>
    <row r="41" spans="1:20" ht="19.5" customHeight="1" x14ac:dyDescent="0.2">
      <c r="A41" s="8" t="s">
        <v>42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59</v>
      </c>
      <c r="H41" s="8">
        <v>0</v>
      </c>
      <c r="I41" s="8">
        <v>11</v>
      </c>
      <c r="J41" s="8" t="s">
        <v>60</v>
      </c>
      <c r="K41" s="8">
        <v>0</v>
      </c>
      <c r="L41" s="8">
        <v>5</v>
      </c>
      <c r="M41" s="8">
        <v>65</v>
      </c>
      <c r="N41" s="8">
        <v>98</v>
      </c>
      <c r="O41" s="8">
        <v>442</v>
      </c>
      <c r="P41" s="8">
        <v>43</v>
      </c>
      <c r="Q41" s="8">
        <v>119</v>
      </c>
      <c r="R41" s="8">
        <v>160</v>
      </c>
      <c r="S41" s="8">
        <v>31</v>
      </c>
    </row>
    <row r="42" spans="1:20" ht="19.5" customHeight="1" x14ac:dyDescent="0.2">
      <c r="A42" s="8" t="s">
        <v>43</v>
      </c>
      <c r="B42" s="8">
        <v>34</v>
      </c>
      <c r="C42" s="8">
        <v>51</v>
      </c>
      <c r="D42" s="8">
        <v>77</v>
      </c>
      <c r="E42" s="8">
        <v>51</v>
      </c>
      <c r="F42" s="8">
        <v>55</v>
      </c>
      <c r="G42" s="8">
        <v>0</v>
      </c>
      <c r="H42" s="8">
        <v>67</v>
      </c>
      <c r="I42" s="8">
        <v>94</v>
      </c>
      <c r="J42" s="8">
        <v>43</v>
      </c>
      <c r="K42" s="8">
        <v>52</v>
      </c>
      <c r="L42" s="8">
        <v>4</v>
      </c>
      <c r="M42" s="8">
        <v>19</v>
      </c>
      <c r="N42" s="8">
        <v>20</v>
      </c>
      <c r="O42" s="8">
        <v>17</v>
      </c>
      <c r="P42" s="8">
        <v>92</v>
      </c>
      <c r="Q42" s="8">
        <v>7</v>
      </c>
      <c r="R42" s="8">
        <v>48</v>
      </c>
      <c r="S42" s="8">
        <v>5</v>
      </c>
    </row>
    <row r="43" spans="1:20" ht="19.5" customHeight="1" x14ac:dyDescent="0.2">
      <c r="A43" s="8" t="s">
        <v>44</v>
      </c>
      <c r="B43" s="8">
        <v>0</v>
      </c>
      <c r="C43" s="8">
        <v>1</v>
      </c>
      <c r="D43" s="8">
        <v>0</v>
      </c>
      <c r="E43" s="8"/>
      <c r="F43" s="8">
        <v>0</v>
      </c>
      <c r="G43" s="8">
        <v>1</v>
      </c>
      <c r="H43" s="8">
        <v>1</v>
      </c>
      <c r="I43" s="8">
        <v>3</v>
      </c>
      <c r="J43" s="8" t="s">
        <v>60</v>
      </c>
      <c r="K43" s="8">
        <v>0</v>
      </c>
      <c r="L43" s="8">
        <v>9</v>
      </c>
      <c r="M43" s="8">
        <v>128</v>
      </c>
      <c r="N43" s="8">
        <v>123</v>
      </c>
      <c r="O43" s="8">
        <v>2</v>
      </c>
      <c r="P43" s="8">
        <v>6</v>
      </c>
      <c r="Q43" s="8">
        <v>1</v>
      </c>
      <c r="R43" s="8">
        <v>2</v>
      </c>
      <c r="S43" s="8">
        <v>73</v>
      </c>
    </row>
    <row r="44" spans="1:20" ht="19.5" customHeight="1" x14ac:dyDescent="0.2">
      <c r="A44" s="39" t="s">
        <v>30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7"/>
      <c r="N44" s="37"/>
      <c r="O44" s="37"/>
      <c r="P44" s="37"/>
      <c r="Q44" s="37"/>
      <c r="R44" s="37"/>
      <c r="S44" s="37"/>
    </row>
    <row r="45" spans="1:20" ht="19.5" customHeight="1" x14ac:dyDescent="0.2">
      <c r="A45" s="8" t="s">
        <v>15</v>
      </c>
      <c r="B45" s="8">
        <v>10</v>
      </c>
      <c r="C45" s="8">
        <v>15</v>
      </c>
      <c r="D45" s="8">
        <v>23</v>
      </c>
      <c r="E45" s="8">
        <v>21</v>
      </c>
      <c r="F45" s="8">
        <v>23</v>
      </c>
      <c r="G45" s="8">
        <v>30</v>
      </c>
      <c r="H45" s="8">
        <v>35</v>
      </c>
      <c r="I45" s="8">
        <v>35</v>
      </c>
      <c r="J45" s="8">
        <v>35</v>
      </c>
      <c r="K45" s="8">
        <v>23</v>
      </c>
      <c r="L45" s="8">
        <v>38</v>
      </c>
      <c r="M45" s="8">
        <v>44</v>
      </c>
      <c r="N45" s="8">
        <v>27</v>
      </c>
      <c r="O45" s="8">
        <v>36</v>
      </c>
      <c r="P45" s="8">
        <v>21</v>
      </c>
      <c r="Q45" s="8">
        <v>18</v>
      </c>
      <c r="R45" s="8">
        <v>68</v>
      </c>
      <c r="S45" s="8">
        <v>21</v>
      </c>
    </row>
    <row r="46" spans="1:20" ht="19.5" customHeight="1" x14ac:dyDescent="0.2">
      <c r="A46" s="8" t="s">
        <v>14</v>
      </c>
      <c r="B46" s="8">
        <v>29</v>
      </c>
      <c r="C46" s="8">
        <v>33</v>
      </c>
      <c r="D46" s="8">
        <v>35</v>
      </c>
      <c r="E46" s="8">
        <v>28</v>
      </c>
      <c r="F46" s="8">
        <v>27</v>
      </c>
      <c r="G46" s="8">
        <v>30</v>
      </c>
      <c r="H46" s="8">
        <v>38</v>
      </c>
      <c r="I46" s="8">
        <v>138</v>
      </c>
      <c r="J46" s="8">
        <v>138</v>
      </c>
      <c r="K46" s="8">
        <v>25</v>
      </c>
      <c r="L46" s="8">
        <v>42</v>
      </c>
      <c r="M46" s="8">
        <v>46</v>
      </c>
      <c r="N46" s="8">
        <v>36</v>
      </c>
      <c r="O46" s="8">
        <v>212</v>
      </c>
      <c r="P46" s="8">
        <v>122</v>
      </c>
      <c r="Q46" s="8">
        <v>109</v>
      </c>
      <c r="R46" s="8">
        <v>153</v>
      </c>
      <c r="S46" s="8">
        <v>93</v>
      </c>
    </row>
    <row r="47" spans="1:20" ht="19.5" customHeight="1" x14ac:dyDescent="0.2">
      <c r="A47" s="8" t="s">
        <v>20</v>
      </c>
      <c r="B47" s="8">
        <v>0</v>
      </c>
      <c r="C47" s="8">
        <v>4</v>
      </c>
      <c r="D47" s="8">
        <v>6</v>
      </c>
      <c r="E47" s="8">
        <v>5</v>
      </c>
      <c r="F47" s="8">
        <v>4</v>
      </c>
      <c r="G47" s="8">
        <v>4</v>
      </c>
      <c r="H47" s="8">
        <v>2</v>
      </c>
      <c r="I47" s="8">
        <v>4</v>
      </c>
      <c r="J47" s="8">
        <v>4</v>
      </c>
      <c r="K47" s="8">
        <v>4</v>
      </c>
      <c r="L47" s="8">
        <v>5</v>
      </c>
      <c r="M47" s="8">
        <v>140</v>
      </c>
      <c r="N47" s="8">
        <v>15</v>
      </c>
      <c r="O47" s="8">
        <v>17</v>
      </c>
      <c r="P47" s="8">
        <v>10</v>
      </c>
      <c r="Q47" s="8">
        <v>3</v>
      </c>
      <c r="R47" s="8">
        <v>6</v>
      </c>
      <c r="S47" s="8">
        <v>5</v>
      </c>
    </row>
    <row r="48" spans="1:20" ht="19.5" customHeight="1" x14ac:dyDescent="0.2">
      <c r="A48" s="40" t="s">
        <v>18</v>
      </c>
      <c r="B48" s="40">
        <v>0</v>
      </c>
      <c r="C48" s="40">
        <v>2</v>
      </c>
      <c r="D48" s="40">
        <v>5</v>
      </c>
      <c r="E48" s="40">
        <v>2</v>
      </c>
      <c r="F48" s="40">
        <v>1</v>
      </c>
      <c r="G48" s="40">
        <v>2</v>
      </c>
      <c r="H48" s="40">
        <v>3</v>
      </c>
      <c r="I48" s="40">
        <v>2</v>
      </c>
      <c r="J48" s="40">
        <v>2</v>
      </c>
      <c r="K48" s="40">
        <v>4</v>
      </c>
      <c r="L48" s="40">
        <v>4</v>
      </c>
      <c r="M48" s="40">
        <v>8</v>
      </c>
      <c r="N48" s="40">
        <v>15</v>
      </c>
      <c r="O48" s="40">
        <v>20</v>
      </c>
      <c r="P48" s="40">
        <v>3</v>
      </c>
      <c r="Q48" s="40">
        <v>1</v>
      </c>
      <c r="R48" s="40">
        <v>8</v>
      </c>
      <c r="S48" s="40">
        <v>8</v>
      </c>
    </row>
    <row r="49" spans="1:10" ht="19.5" customHeight="1" x14ac:dyDescent="0.2">
      <c r="A49" s="13" t="s">
        <v>62</v>
      </c>
      <c r="B49" s="13"/>
      <c r="C49" s="13"/>
      <c r="D49" s="13"/>
      <c r="E49" s="13"/>
      <c r="F49" s="13"/>
      <c r="G49" s="13"/>
      <c r="H49" s="13"/>
      <c r="I49" s="13"/>
      <c r="J49" s="13"/>
    </row>
  </sheetData>
  <mergeCells count="4">
    <mergeCell ref="A3:A4"/>
    <mergeCell ref="A28:A29"/>
    <mergeCell ref="B3:O3"/>
    <mergeCell ref="B28:O2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V48"/>
  <sheetViews>
    <sheetView showGridLines="0" workbookViewId="0">
      <pane xSplit="1" topLeftCell="K1" activePane="topRight" state="frozen"/>
      <selection pane="topRight" activeCell="Z10" sqref="Z10"/>
    </sheetView>
  </sheetViews>
  <sheetFormatPr defaultRowHeight="18.75" customHeight="1" x14ac:dyDescent="0.2"/>
  <cols>
    <col min="1" max="1" width="14" style="7" customWidth="1"/>
    <col min="2" max="9" width="9.140625" style="7"/>
    <col min="10" max="10" width="10.85546875" style="7" bestFit="1" customWidth="1"/>
    <col min="11" max="16384" width="9.140625" style="7"/>
  </cols>
  <sheetData>
    <row r="2" spans="1:22" ht="18.75" customHeight="1" x14ac:dyDescent="0.2">
      <c r="A2" s="11" t="s">
        <v>65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33"/>
      <c r="O2" s="33"/>
      <c r="P2" s="33"/>
      <c r="Q2" s="33"/>
      <c r="R2" s="33"/>
      <c r="S2" s="11"/>
    </row>
    <row r="3" spans="1:22" ht="18.75" customHeight="1" x14ac:dyDescent="0.2">
      <c r="A3" s="31" t="s">
        <v>32</v>
      </c>
      <c r="B3" s="6" t="s">
        <v>48</v>
      </c>
      <c r="C3" s="6" t="s">
        <v>47</v>
      </c>
      <c r="D3" s="6" t="s">
        <v>46</v>
      </c>
      <c r="E3" s="6" t="s">
        <v>45</v>
      </c>
      <c r="F3" s="6">
        <v>2021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40</v>
      </c>
      <c r="O3" s="6" t="s">
        <v>41</v>
      </c>
      <c r="P3" s="6" t="s">
        <v>56</v>
      </c>
      <c r="Q3" s="6" t="s">
        <v>57</v>
      </c>
      <c r="R3" s="6" t="s">
        <v>58</v>
      </c>
      <c r="S3" s="6" t="s">
        <v>59</v>
      </c>
      <c r="T3" s="6" t="s">
        <v>77</v>
      </c>
      <c r="U3" s="6" t="s">
        <v>78</v>
      </c>
      <c r="V3" s="6" t="s">
        <v>79</v>
      </c>
    </row>
    <row r="4" spans="1:22" ht="18.75" customHeight="1" x14ac:dyDescent="0.2">
      <c r="A4" s="8" t="s">
        <v>0</v>
      </c>
      <c r="B4" s="8"/>
      <c r="C4" s="8"/>
      <c r="D4" s="8"/>
      <c r="E4" s="8">
        <v>4</v>
      </c>
      <c r="F4" s="8">
        <v>27</v>
      </c>
      <c r="G4" s="8">
        <v>11</v>
      </c>
      <c r="H4" s="8">
        <v>8</v>
      </c>
      <c r="I4" s="8">
        <v>7</v>
      </c>
      <c r="J4" s="34">
        <v>19.590163934426229</v>
      </c>
      <c r="K4" s="8">
        <v>13</v>
      </c>
      <c r="L4" s="8">
        <v>6</v>
      </c>
      <c r="M4" s="34">
        <v>10.202749140893468</v>
      </c>
      <c r="N4" s="34">
        <v>51.809756097560985</v>
      </c>
      <c r="O4" s="8">
        <v>50</v>
      </c>
      <c r="P4" s="8">
        <v>25</v>
      </c>
      <c r="Q4" s="8">
        <v>25</v>
      </c>
      <c r="R4" s="34">
        <v>11</v>
      </c>
      <c r="S4" s="45">
        <v>25</v>
      </c>
      <c r="T4" s="45">
        <v>23</v>
      </c>
      <c r="U4" s="51">
        <v>34</v>
      </c>
      <c r="V4" s="51">
        <v>30</v>
      </c>
    </row>
    <row r="5" spans="1:22" ht="18.75" customHeight="1" x14ac:dyDescent="0.2">
      <c r="A5" s="8" t="s">
        <v>10</v>
      </c>
      <c r="B5" s="8"/>
      <c r="C5" s="8"/>
      <c r="D5" s="8"/>
      <c r="E5" s="8">
        <v>12</v>
      </c>
      <c r="F5" s="8">
        <v>33</v>
      </c>
      <c r="G5" s="8">
        <v>8</v>
      </c>
      <c r="H5" s="8">
        <v>5</v>
      </c>
      <c r="I5" s="8">
        <v>0</v>
      </c>
      <c r="J5" s="34">
        <v>27.42622950819672</v>
      </c>
      <c r="K5" s="8">
        <v>38</v>
      </c>
      <c r="L5" s="8">
        <v>721</v>
      </c>
      <c r="M5" s="34">
        <v>66.317869415807536</v>
      </c>
      <c r="N5" s="34">
        <v>31.882926829268296</v>
      </c>
      <c r="O5" s="8">
        <v>431</v>
      </c>
      <c r="P5" s="8">
        <v>312</v>
      </c>
      <c r="Q5" s="8">
        <v>327</v>
      </c>
      <c r="R5" s="34">
        <v>386</v>
      </c>
      <c r="S5" s="45">
        <v>419</v>
      </c>
      <c r="T5" s="45">
        <v>929</v>
      </c>
      <c r="U5" s="51">
        <v>1866</v>
      </c>
      <c r="V5" s="51">
        <v>1071</v>
      </c>
    </row>
    <row r="6" spans="1:22" ht="18.75" customHeight="1" x14ac:dyDescent="0.2">
      <c r="A6" s="8" t="s">
        <v>3</v>
      </c>
      <c r="B6" s="8"/>
      <c r="C6" s="8"/>
      <c r="D6" s="8"/>
      <c r="E6" s="8">
        <v>27</v>
      </c>
      <c r="F6" s="8">
        <v>37</v>
      </c>
      <c r="G6" s="8">
        <v>35</v>
      </c>
      <c r="H6" s="8">
        <v>44</v>
      </c>
      <c r="I6" s="8">
        <v>34</v>
      </c>
      <c r="J6" s="34">
        <v>191.98360655737704</v>
      </c>
      <c r="K6" s="8">
        <v>258</v>
      </c>
      <c r="L6" s="8">
        <v>95</v>
      </c>
      <c r="M6" s="34">
        <v>280.5756013745704</v>
      </c>
      <c r="N6" s="34">
        <v>159.41463414634148</v>
      </c>
      <c r="O6" s="8">
        <v>280</v>
      </c>
      <c r="P6" s="8">
        <v>279</v>
      </c>
      <c r="Q6" s="8">
        <v>287</v>
      </c>
      <c r="R6" s="34">
        <v>100</v>
      </c>
      <c r="S6" s="45">
        <v>143</v>
      </c>
      <c r="T6" s="45">
        <v>121</v>
      </c>
      <c r="U6" s="51">
        <v>238</v>
      </c>
      <c r="V6" s="51">
        <v>223</v>
      </c>
    </row>
    <row r="7" spans="1:22" ht="18.75" customHeight="1" x14ac:dyDescent="0.2">
      <c r="A7" s="8" t="s">
        <v>23</v>
      </c>
      <c r="B7" s="8"/>
      <c r="C7" s="8"/>
      <c r="D7" s="8"/>
      <c r="E7" s="8">
        <v>30</v>
      </c>
      <c r="F7" s="8">
        <v>71</v>
      </c>
      <c r="G7" s="8">
        <v>43</v>
      </c>
      <c r="H7" s="8">
        <v>30</v>
      </c>
      <c r="I7" s="8">
        <v>15</v>
      </c>
      <c r="J7" s="34">
        <v>35.26229508196721</v>
      </c>
      <c r="K7" s="8">
        <v>85</v>
      </c>
      <c r="L7" s="8">
        <v>292</v>
      </c>
      <c r="M7" s="34">
        <v>91.824742268041206</v>
      </c>
      <c r="N7" s="34">
        <v>47.82439024390245</v>
      </c>
      <c r="O7" s="8">
        <v>557</v>
      </c>
      <c r="P7" s="8">
        <v>585</v>
      </c>
      <c r="Q7" s="8">
        <v>585</v>
      </c>
      <c r="R7" s="34">
        <v>315</v>
      </c>
      <c r="S7" s="45">
        <v>353</v>
      </c>
      <c r="T7" s="45">
        <v>152</v>
      </c>
      <c r="U7" s="51">
        <v>426</v>
      </c>
      <c r="V7" s="51">
        <v>309</v>
      </c>
    </row>
    <row r="8" spans="1:22" ht="18.75" customHeight="1" x14ac:dyDescent="0.2">
      <c r="A8" s="8" t="s">
        <v>25</v>
      </c>
      <c r="B8" s="8"/>
      <c r="C8" s="8"/>
      <c r="D8" s="8"/>
      <c r="E8" s="8">
        <v>7</v>
      </c>
      <c r="F8" s="8">
        <v>35</v>
      </c>
      <c r="G8" s="8">
        <v>13</v>
      </c>
      <c r="H8" s="8">
        <v>31</v>
      </c>
      <c r="I8" s="8">
        <v>21</v>
      </c>
      <c r="J8" s="34">
        <v>70.52459016393442</v>
      </c>
      <c r="K8" s="8">
        <v>110</v>
      </c>
      <c r="L8" s="8">
        <v>19</v>
      </c>
      <c r="M8" s="34">
        <v>10.202749140893468</v>
      </c>
      <c r="N8" s="34">
        <v>75.721951219512206</v>
      </c>
      <c r="O8" s="8">
        <v>312</v>
      </c>
      <c r="P8" s="8">
        <v>219</v>
      </c>
      <c r="Q8" s="8">
        <v>232</v>
      </c>
      <c r="R8" s="34">
        <v>343</v>
      </c>
      <c r="S8" s="45">
        <v>364</v>
      </c>
      <c r="T8" s="45">
        <v>72</v>
      </c>
      <c r="U8" s="51">
        <v>231</v>
      </c>
      <c r="V8" s="51">
        <v>161</v>
      </c>
    </row>
    <row r="9" spans="1:22" ht="18.75" customHeight="1" x14ac:dyDescent="0.2">
      <c r="A9" s="8" t="s">
        <v>26</v>
      </c>
      <c r="B9" s="8"/>
      <c r="C9" s="8"/>
      <c r="D9" s="8"/>
      <c r="E9" s="8">
        <v>8</v>
      </c>
      <c r="F9" s="8">
        <v>8</v>
      </c>
      <c r="G9" s="8">
        <v>37</v>
      </c>
      <c r="H9" s="8">
        <v>19</v>
      </c>
      <c r="I9" s="8">
        <v>10</v>
      </c>
      <c r="J9" s="34">
        <v>90.114754098360649</v>
      </c>
      <c r="K9" s="8">
        <v>101</v>
      </c>
      <c r="L9" s="8">
        <v>155</v>
      </c>
      <c r="M9" s="34">
        <v>117.33161512027488</v>
      </c>
      <c r="N9" s="34">
        <v>43.8390243902439</v>
      </c>
      <c r="O9" s="8">
        <v>233</v>
      </c>
      <c r="P9" s="8">
        <v>314</v>
      </c>
      <c r="Q9" s="8">
        <v>317</v>
      </c>
      <c r="R9" s="34">
        <v>83</v>
      </c>
      <c r="S9" s="45">
        <v>101</v>
      </c>
      <c r="T9" s="45">
        <v>32</v>
      </c>
      <c r="U9" s="51">
        <v>93</v>
      </c>
      <c r="V9" s="51">
        <v>76</v>
      </c>
    </row>
    <row r="10" spans="1:22" ht="18.75" customHeight="1" x14ac:dyDescent="0.2">
      <c r="A10" s="8" t="s">
        <v>27</v>
      </c>
      <c r="B10" s="8"/>
      <c r="C10" s="8"/>
      <c r="D10" s="8"/>
      <c r="E10" s="8">
        <v>45</v>
      </c>
      <c r="F10" s="8">
        <v>85</v>
      </c>
      <c r="G10" s="8">
        <v>54</v>
      </c>
      <c r="H10" s="8">
        <v>59</v>
      </c>
      <c r="I10" s="8">
        <v>60</v>
      </c>
      <c r="J10" s="34">
        <v>286.01639344262293</v>
      </c>
      <c r="K10" s="8">
        <v>511</v>
      </c>
      <c r="L10" s="8">
        <v>145</v>
      </c>
      <c r="M10" s="34">
        <v>418.31271477663216</v>
      </c>
      <c r="N10" s="34">
        <v>211.22439024390246</v>
      </c>
      <c r="O10" s="8">
        <v>184</v>
      </c>
      <c r="P10" s="8">
        <v>259</v>
      </c>
      <c r="Q10" s="8">
        <v>308</v>
      </c>
      <c r="R10" s="34">
        <v>90</v>
      </c>
      <c r="S10" s="45">
        <v>111</v>
      </c>
      <c r="T10" s="45">
        <v>128</v>
      </c>
      <c r="U10" s="51">
        <v>224</v>
      </c>
      <c r="V10" s="51">
        <v>102</v>
      </c>
    </row>
    <row r="11" spans="1:22" ht="18.75" customHeight="1" x14ac:dyDescent="0.2">
      <c r="A11" s="8" t="s">
        <v>11</v>
      </c>
      <c r="B11" s="8"/>
      <c r="C11" s="8"/>
      <c r="D11" s="8"/>
      <c r="E11" s="8">
        <v>3</v>
      </c>
      <c r="F11" s="8">
        <v>9</v>
      </c>
      <c r="G11" s="8">
        <v>2</v>
      </c>
      <c r="H11" s="8">
        <v>1</v>
      </c>
      <c r="I11" s="8">
        <v>7</v>
      </c>
      <c r="J11" s="34">
        <v>27.42622950819672</v>
      </c>
      <c r="K11" s="8">
        <v>30</v>
      </c>
      <c r="L11" s="8">
        <v>116</v>
      </c>
      <c r="M11" s="34">
        <v>15.304123711340202</v>
      </c>
      <c r="N11" s="34">
        <v>0</v>
      </c>
      <c r="O11" s="8">
        <v>256</v>
      </c>
      <c r="P11" s="8">
        <v>84</v>
      </c>
      <c r="Q11" s="8">
        <v>84</v>
      </c>
      <c r="R11" s="34">
        <v>85</v>
      </c>
      <c r="S11" s="45">
        <v>91</v>
      </c>
      <c r="T11" s="45">
        <v>88</v>
      </c>
      <c r="U11" s="51">
        <v>90</v>
      </c>
      <c r="V11" s="51">
        <v>90</v>
      </c>
    </row>
    <row r="12" spans="1:22" ht="18.75" customHeight="1" x14ac:dyDescent="0.2">
      <c r="A12" s="8" t="s">
        <v>7</v>
      </c>
      <c r="B12" s="8"/>
      <c r="C12" s="8"/>
      <c r="D12" s="8"/>
      <c r="E12" s="8">
        <v>66</v>
      </c>
      <c r="F12" s="8">
        <v>84</v>
      </c>
      <c r="G12" s="8">
        <v>66</v>
      </c>
      <c r="H12" s="8">
        <v>67</v>
      </c>
      <c r="I12" s="8">
        <v>84</v>
      </c>
      <c r="J12" s="34">
        <v>180.2295081967213</v>
      </c>
      <c r="K12" s="8">
        <v>313</v>
      </c>
      <c r="L12" s="8">
        <v>88</v>
      </c>
      <c r="M12" s="34">
        <v>270.37285223367689</v>
      </c>
      <c r="N12" s="34">
        <v>613.74634146341464</v>
      </c>
      <c r="O12" s="8">
        <v>159</v>
      </c>
      <c r="P12" s="8">
        <v>178</v>
      </c>
      <c r="Q12" s="8">
        <v>176</v>
      </c>
      <c r="R12" s="34">
        <v>96</v>
      </c>
      <c r="S12" s="45">
        <v>133</v>
      </c>
      <c r="T12" s="45">
        <v>130</v>
      </c>
      <c r="U12" s="51">
        <v>124</v>
      </c>
      <c r="V12" s="51">
        <v>209</v>
      </c>
    </row>
    <row r="13" spans="1:22" ht="18.75" customHeight="1" x14ac:dyDescent="0.2">
      <c r="A13" s="8" t="s">
        <v>28</v>
      </c>
      <c r="B13" s="8"/>
      <c r="C13" s="8"/>
      <c r="D13" s="8"/>
      <c r="E13" s="8">
        <v>39</v>
      </c>
      <c r="F13" s="8">
        <v>19</v>
      </c>
      <c r="G13" s="8">
        <v>43</v>
      </c>
      <c r="H13" s="8">
        <v>31</v>
      </c>
      <c r="I13" s="8">
        <v>45</v>
      </c>
      <c r="J13" s="34">
        <v>172.3934426229508</v>
      </c>
      <c r="K13" s="8">
        <v>110</v>
      </c>
      <c r="L13" s="8">
        <v>241</v>
      </c>
      <c r="M13" s="34">
        <v>0</v>
      </c>
      <c r="N13" s="34">
        <v>123.54634146341465</v>
      </c>
      <c r="O13" s="8">
        <v>437</v>
      </c>
      <c r="P13" s="8">
        <v>329</v>
      </c>
      <c r="Q13" s="8">
        <v>321</v>
      </c>
      <c r="R13" s="34">
        <v>193</v>
      </c>
      <c r="S13" s="45">
        <v>216</v>
      </c>
      <c r="T13" s="45">
        <v>241</v>
      </c>
      <c r="U13" s="51">
        <v>17</v>
      </c>
      <c r="V13" s="51">
        <v>345</v>
      </c>
    </row>
    <row r="14" spans="1:22" ht="18.75" customHeight="1" x14ac:dyDescent="0.2">
      <c r="A14" s="8" t="s">
        <v>4</v>
      </c>
      <c r="B14" s="8"/>
      <c r="C14" s="8"/>
      <c r="D14" s="8"/>
      <c r="E14" s="8">
        <v>207</v>
      </c>
      <c r="F14" s="8">
        <v>417</v>
      </c>
      <c r="G14" s="8">
        <v>338</v>
      </c>
      <c r="H14" s="8">
        <v>316</v>
      </c>
      <c r="I14" s="8">
        <v>301</v>
      </c>
      <c r="J14" s="34">
        <v>1829.7213114754095</v>
      </c>
      <c r="K14" s="41">
        <v>1044</v>
      </c>
      <c r="L14" s="8">
        <v>402</v>
      </c>
      <c r="M14" s="34">
        <v>1183.5189003436421</v>
      </c>
      <c r="N14" s="34">
        <v>1382.9219512195123</v>
      </c>
      <c r="O14" s="8">
        <v>578</v>
      </c>
      <c r="P14" s="8">
        <v>805</v>
      </c>
      <c r="Q14" s="8">
        <v>902</v>
      </c>
      <c r="R14" s="34">
        <v>141</v>
      </c>
      <c r="S14" s="45">
        <v>203</v>
      </c>
      <c r="T14" s="45">
        <v>256</v>
      </c>
      <c r="U14" s="51">
        <v>668</v>
      </c>
      <c r="V14" s="51">
        <v>388</v>
      </c>
    </row>
    <row r="15" spans="1:22" ht="18.75" customHeight="1" x14ac:dyDescent="0.2">
      <c r="A15" s="8" t="s">
        <v>1</v>
      </c>
      <c r="B15" s="8"/>
      <c r="C15" s="8"/>
      <c r="D15" s="8"/>
      <c r="E15" s="8">
        <v>44</v>
      </c>
      <c r="F15" s="8">
        <v>78</v>
      </c>
      <c r="G15" s="8">
        <v>21</v>
      </c>
      <c r="H15" s="8">
        <v>20</v>
      </c>
      <c r="I15" s="8">
        <v>16</v>
      </c>
      <c r="J15" s="34">
        <v>3.9180327868852456</v>
      </c>
      <c r="K15" s="8">
        <v>8</v>
      </c>
      <c r="L15" s="8">
        <v>61</v>
      </c>
      <c r="M15" s="34">
        <v>0</v>
      </c>
      <c r="N15" s="34">
        <v>71.736585365853671</v>
      </c>
      <c r="O15" s="8">
        <v>82</v>
      </c>
      <c r="P15" s="8">
        <v>164</v>
      </c>
      <c r="Q15" s="8">
        <v>173</v>
      </c>
      <c r="R15" s="34">
        <v>92</v>
      </c>
      <c r="S15" s="45">
        <v>104</v>
      </c>
      <c r="T15" s="45">
        <v>93</v>
      </c>
      <c r="U15" s="51">
        <v>187</v>
      </c>
      <c r="V15" s="51">
        <v>96</v>
      </c>
    </row>
    <row r="16" spans="1:22" ht="18.75" customHeight="1" x14ac:dyDescent="0.2">
      <c r="A16" s="8" t="s">
        <v>24</v>
      </c>
      <c r="B16" s="8"/>
      <c r="C16" s="8"/>
      <c r="D16" s="8"/>
      <c r="E16" s="8">
        <v>36</v>
      </c>
      <c r="F16" s="8">
        <v>196</v>
      </c>
      <c r="G16" s="8">
        <v>69</v>
      </c>
      <c r="H16" s="8">
        <v>29</v>
      </c>
      <c r="I16" s="8">
        <v>21</v>
      </c>
      <c r="J16" s="34">
        <v>156.72131147540983</v>
      </c>
      <c r="K16" s="8">
        <v>283</v>
      </c>
      <c r="L16" s="8">
        <v>95</v>
      </c>
      <c r="M16" s="34">
        <v>198.95360824742261</v>
      </c>
      <c r="N16" s="34">
        <v>139.48780487804879</v>
      </c>
      <c r="O16" s="8">
        <v>161</v>
      </c>
      <c r="P16" s="8">
        <v>156</v>
      </c>
      <c r="Q16" s="8">
        <v>173</v>
      </c>
      <c r="R16" s="34">
        <v>64</v>
      </c>
      <c r="S16" s="45">
        <v>77</v>
      </c>
      <c r="T16" s="45">
        <v>60</v>
      </c>
      <c r="U16" s="51">
        <v>125</v>
      </c>
      <c r="V16" s="51">
        <v>83</v>
      </c>
    </row>
    <row r="17" spans="1:22" ht="18.75" customHeight="1" x14ac:dyDescent="0.2">
      <c r="A17" s="8" t="s">
        <v>8</v>
      </c>
      <c r="B17" s="8"/>
      <c r="C17" s="8"/>
      <c r="D17" s="8"/>
      <c r="E17" s="8">
        <v>37</v>
      </c>
      <c r="F17" s="8">
        <v>42</v>
      </c>
      <c r="G17" s="8">
        <v>49</v>
      </c>
      <c r="H17" s="8">
        <v>50</v>
      </c>
      <c r="I17" s="8">
        <v>31</v>
      </c>
      <c r="J17" s="34">
        <v>180.2295081967213</v>
      </c>
      <c r="K17" s="8">
        <v>97</v>
      </c>
      <c r="L17" s="8">
        <v>144</v>
      </c>
      <c r="M17" s="34">
        <v>76.52061855670101</v>
      </c>
      <c r="N17" s="34">
        <v>19.926829268292686</v>
      </c>
      <c r="O17" s="8">
        <v>181</v>
      </c>
      <c r="P17" s="8">
        <v>195</v>
      </c>
      <c r="Q17" s="8">
        <v>215</v>
      </c>
      <c r="R17" s="34">
        <v>40</v>
      </c>
      <c r="S17" s="45">
        <v>46</v>
      </c>
      <c r="T17" s="45">
        <v>23</v>
      </c>
      <c r="U17" s="51">
        <v>124</v>
      </c>
      <c r="V17" s="51">
        <v>103</v>
      </c>
    </row>
    <row r="18" spans="1:22" ht="18.75" customHeight="1" x14ac:dyDescent="0.2">
      <c r="A18" s="8" t="s">
        <v>5</v>
      </c>
      <c r="B18" s="8"/>
      <c r="C18" s="8"/>
      <c r="D18" s="8"/>
      <c r="E18" s="8">
        <v>53</v>
      </c>
      <c r="F18" s="8">
        <v>45</v>
      </c>
      <c r="G18" s="8">
        <v>55</v>
      </c>
      <c r="H18" s="8">
        <v>56</v>
      </c>
      <c r="I18" s="8">
        <v>12</v>
      </c>
      <c r="J18" s="34">
        <v>54.852459016393439</v>
      </c>
      <c r="K18" s="8">
        <v>135</v>
      </c>
      <c r="L18" s="8">
        <v>53</v>
      </c>
      <c r="M18" s="34">
        <v>91.824742268041206</v>
      </c>
      <c r="N18" s="34">
        <v>43.839024390243907</v>
      </c>
      <c r="O18" s="8">
        <v>149</v>
      </c>
      <c r="P18" s="8">
        <v>193</v>
      </c>
      <c r="Q18" s="8">
        <v>189</v>
      </c>
      <c r="R18" s="34">
        <v>52</v>
      </c>
      <c r="S18" s="45">
        <v>67</v>
      </c>
      <c r="T18" s="45">
        <v>189</v>
      </c>
      <c r="U18" s="51">
        <v>256</v>
      </c>
      <c r="V18" s="51">
        <v>285</v>
      </c>
    </row>
    <row r="19" spans="1:22" ht="18.75" customHeight="1" x14ac:dyDescent="0.2">
      <c r="A19" s="8" t="s">
        <v>9</v>
      </c>
      <c r="B19" s="8"/>
      <c r="C19" s="8"/>
      <c r="D19" s="8"/>
      <c r="E19" s="8">
        <v>18</v>
      </c>
      <c r="F19" s="8">
        <v>25</v>
      </c>
      <c r="G19" s="8">
        <v>9</v>
      </c>
      <c r="H19" s="8">
        <v>15</v>
      </c>
      <c r="I19" s="8">
        <v>15</v>
      </c>
      <c r="J19" s="34">
        <v>66.606557377049171</v>
      </c>
      <c r="K19" s="8">
        <v>123</v>
      </c>
      <c r="L19" s="8">
        <v>39</v>
      </c>
      <c r="M19" s="34">
        <v>40.810996563573873</v>
      </c>
      <c r="N19" s="34">
        <v>47.82439024390245</v>
      </c>
      <c r="O19" s="8">
        <v>113</v>
      </c>
      <c r="P19" s="8">
        <v>53</v>
      </c>
      <c r="Q19" s="8">
        <v>84</v>
      </c>
      <c r="R19" s="34">
        <v>86</v>
      </c>
      <c r="S19" s="45">
        <v>109</v>
      </c>
      <c r="T19" s="45">
        <v>112</v>
      </c>
      <c r="U19" s="51">
        <v>240</v>
      </c>
      <c r="V19" s="51">
        <v>141</v>
      </c>
    </row>
    <row r="20" spans="1:22" ht="18.75" customHeight="1" x14ac:dyDescent="0.2">
      <c r="A20" s="8" t="s">
        <v>2</v>
      </c>
      <c r="B20" s="8"/>
      <c r="C20" s="8"/>
      <c r="D20" s="8"/>
      <c r="E20" s="8">
        <v>29</v>
      </c>
      <c r="F20" s="8">
        <v>25</v>
      </c>
      <c r="G20" s="8">
        <v>28</v>
      </c>
      <c r="H20" s="8">
        <v>35</v>
      </c>
      <c r="I20" s="8">
        <v>37</v>
      </c>
      <c r="J20" s="34">
        <v>90.114754098360649</v>
      </c>
      <c r="K20" s="8">
        <v>110</v>
      </c>
      <c r="L20" s="8">
        <v>476</v>
      </c>
      <c r="M20" s="34">
        <v>0</v>
      </c>
      <c r="N20" s="34">
        <v>67.751219512195135</v>
      </c>
      <c r="O20" s="8">
        <v>484</v>
      </c>
      <c r="P20" s="8">
        <v>416</v>
      </c>
      <c r="Q20" s="8">
        <v>413</v>
      </c>
      <c r="R20" s="34">
        <v>370</v>
      </c>
      <c r="S20" s="45">
        <v>378</v>
      </c>
      <c r="T20" s="45">
        <v>495</v>
      </c>
      <c r="U20" s="51">
        <v>401</v>
      </c>
      <c r="V20" s="51">
        <v>399</v>
      </c>
    </row>
    <row r="21" spans="1:22" ht="18.75" customHeight="1" x14ac:dyDescent="0.2">
      <c r="A21" s="8" t="s">
        <v>6</v>
      </c>
      <c r="B21" s="8"/>
      <c r="C21" s="8"/>
      <c r="D21" s="8"/>
      <c r="E21" s="8">
        <v>52</v>
      </c>
      <c r="F21" s="8">
        <v>10</v>
      </c>
      <c r="G21" s="8">
        <v>26</v>
      </c>
      <c r="H21" s="8">
        <v>25</v>
      </c>
      <c r="I21" s="8">
        <v>12</v>
      </c>
      <c r="J21" s="34">
        <v>101.86885245901638</v>
      </c>
      <c r="K21" s="8">
        <v>249</v>
      </c>
      <c r="L21" s="8">
        <v>208</v>
      </c>
      <c r="M21" s="34">
        <v>96.926116838487943</v>
      </c>
      <c r="N21" s="34">
        <v>135.50243902439027</v>
      </c>
      <c r="O21" s="8">
        <v>211</v>
      </c>
      <c r="P21" s="8">
        <v>388</v>
      </c>
      <c r="Q21" s="8">
        <v>404</v>
      </c>
      <c r="R21" s="34">
        <v>193</v>
      </c>
      <c r="S21" s="45">
        <v>208</v>
      </c>
      <c r="T21" s="45">
        <v>179</v>
      </c>
      <c r="U21" s="51">
        <v>179</v>
      </c>
      <c r="V21" s="51">
        <v>193</v>
      </c>
    </row>
    <row r="22" spans="1:22" ht="18.75" customHeight="1" x14ac:dyDescent="0.2">
      <c r="A22" s="9" t="s">
        <v>34</v>
      </c>
      <c r="B22" s="9"/>
      <c r="C22" s="9"/>
      <c r="D22" s="9"/>
      <c r="E22" s="9">
        <v>717</v>
      </c>
      <c r="F22" s="9">
        <v>1246</v>
      </c>
      <c r="G22" s="9">
        <v>907</v>
      </c>
      <c r="H22" s="9">
        <v>841</v>
      </c>
      <c r="I22" s="9">
        <v>728</v>
      </c>
      <c r="J22" s="9">
        <f t="shared" ref="J22" si="0">SUM(J4:J21)</f>
        <v>3585</v>
      </c>
      <c r="K22" s="42">
        <v>3617</v>
      </c>
      <c r="L22" s="42">
        <v>3356</v>
      </c>
      <c r="M22" s="43">
        <v>2969</v>
      </c>
      <c r="N22" s="9">
        <v>3268.0000000000009</v>
      </c>
      <c r="O22" s="9">
        <v>4858</v>
      </c>
      <c r="P22" s="9">
        <v>4954</v>
      </c>
      <c r="Q22" s="9">
        <v>5215</v>
      </c>
      <c r="R22" s="9">
        <v>2740</v>
      </c>
      <c r="S22" s="32">
        <v>3148</v>
      </c>
      <c r="T22" s="32">
        <v>3323</v>
      </c>
      <c r="U22" s="52">
        <f>SUM(U4:U21)</f>
        <v>5523</v>
      </c>
      <c r="V22" s="52">
        <v>4304</v>
      </c>
    </row>
    <row r="23" spans="1:22" ht="18.75" customHeight="1" x14ac:dyDescent="0.2">
      <c r="A23" s="13" t="s">
        <v>62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23"/>
      <c r="O23" s="13"/>
      <c r="P23" s="13"/>
      <c r="Q23" s="13"/>
      <c r="R23" s="13"/>
      <c r="S23" s="23"/>
    </row>
    <row r="27" spans="1:22" ht="18.75" customHeight="1" x14ac:dyDescent="0.2">
      <c r="A27" s="11" t="s">
        <v>66</v>
      </c>
    </row>
    <row r="28" spans="1:22" ht="18.75" customHeight="1" x14ac:dyDescent="0.2">
      <c r="A28" s="31" t="s">
        <v>32</v>
      </c>
      <c r="B28" s="6" t="s">
        <v>48</v>
      </c>
      <c r="C28" s="6" t="s">
        <v>47</v>
      </c>
      <c r="D28" s="6" t="s">
        <v>46</v>
      </c>
      <c r="E28" s="6" t="s">
        <v>45</v>
      </c>
      <c r="F28" s="6">
        <v>2021</v>
      </c>
      <c r="G28" s="6" t="s">
        <v>49</v>
      </c>
      <c r="H28" s="6" t="s">
        <v>50</v>
      </c>
      <c r="I28" s="6" t="s">
        <v>51</v>
      </c>
      <c r="J28" s="6" t="s">
        <v>52</v>
      </c>
      <c r="K28" s="6" t="s">
        <v>53</v>
      </c>
      <c r="L28" s="6" t="s">
        <v>54</v>
      </c>
      <c r="M28" s="6" t="s">
        <v>55</v>
      </c>
      <c r="N28" s="6" t="s">
        <v>40</v>
      </c>
      <c r="O28" s="6" t="s">
        <v>41</v>
      </c>
      <c r="P28" s="6" t="s">
        <v>56</v>
      </c>
      <c r="Q28" s="6" t="s">
        <v>57</v>
      </c>
      <c r="R28" s="6" t="s">
        <v>58</v>
      </c>
      <c r="S28" s="6" t="s">
        <v>59</v>
      </c>
      <c r="T28" s="6" t="s">
        <v>77</v>
      </c>
      <c r="U28" s="6" t="s">
        <v>78</v>
      </c>
      <c r="V28" s="6" t="s">
        <v>79</v>
      </c>
    </row>
    <row r="29" spans="1:22" ht="18.75" customHeight="1" x14ac:dyDescent="0.2">
      <c r="A29" s="8" t="s">
        <v>0</v>
      </c>
      <c r="B29" s="8"/>
      <c r="C29" s="8"/>
      <c r="D29" s="8"/>
      <c r="E29" s="8">
        <v>8</v>
      </c>
      <c r="F29" s="8">
        <v>28</v>
      </c>
      <c r="G29" s="8">
        <v>16</v>
      </c>
      <c r="H29" s="8">
        <v>31</v>
      </c>
      <c r="I29" s="8">
        <v>18</v>
      </c>
      <c r="J29" s="8">
        <v>26</v>
      </c>
      <c r="K29" s="8">
        <v>19</v>
      </c>
      <c r="L29" s="8">
        <v>20</v>
      </c>
      <c r="M29" s="8">
        <v>21</v>
      </c>
      <c r="N29" s="8">
        <v>60</v>
      </c>
      <c r="O29" s="8">
        <v>26</v>
      </c>
      <c r="P29" s="8">
        <v>11</v>
      </c>
      <c r="Q29" s="8">
        <v>11</v>
      </c>
      <c r="R29" s="8">
        <v>9</v>
      </c>
      <c r="S29" s="45">
        <v>22</v>
      </c>
      <c r="T29" s="45">
        <v>20</v>
      </c>
      <c r="U29" s="49">
        <v>12</v>
      </c>
      <c r="V29" s="49">
        <v>16</v>
      </c>
    </row>
    <row r="30" spans="1:22" ht="18.75" customHeight="1" x14ac:dyDescent="0.2">
      <c r="A30" s="8" t="s">
        <v>10</v>
      </c>
      <c r="B30" s="8"/>
      <c r="C30" s="8"/>
      <c r="D30" s="8"/>
      <c r="E30" s="8">
        <v>5</v>
      </c>
      <c r="F30" s="8">
        <v>2</v>
      </c>
      <c r="G30" s="8">
        <v>2</v>
      </c>
      <c r="H30" s="8">
        <v>1</v>
      </c>
      <c r="I30" s="8">
        <v>0</v>
      </c>
      <c r="J30" s="8">
        <v>1</v>
      </c>
      <c r="K30" s="8">
        <v>1</v>
      </c>
      <c r="L30" s="8">
        <v>1</v>
      </c>
      <c r="M30" s="8">
        <v>2</v>
      </c>
      <c r="N30" s="8">
        <v>1</v>
      </c>
      <c r="O30" s="8">
        <v>0</v>
      </c>
      <c r="P30" s="8">
        <v>0</v>
      </c>
      <c r="Q30" s="8">
        <v>1</v>
      </c>
      <c r="R30" s="8">
        <v>0</v>
      </c>
      <c r="S30" s="45">
        <v>29</v>
      </c>
      <c r="T30" s="45">
        <v>17</v>
      </c>
      <c r="U30" s="49">
        <v>3</v>
      </c>
      <c r="V30" s="49">
        <v>17</v>
      </c>
    </row>
    <row r="31" spans="1:22" ht="18.75" customHeight="1" x14ac:dyDescent="0.2">
      <c r="A31" s="8" t="s">
        <v>3</v>
      </c>
      <c r="B31" s="8"/>
      <c r="C31" s="8"/>
      <c r="D31" s="8"/>
      <c r="E31" s="8">
        <v>8</v>
      </c>
      <c r="F31" s="8">
        <v>11</v>
      </c>
      <c r="G31" s="8">
        <v>17</v>
      </c>
      <c r="H31" s="8">
        <v>13</v>
      </c>
      <c r="I31" s="8">
        <v>15</v>
      </c>
      <c r="J31" s="8">
        <v>32</v>
      </c>
      <c r="K31" s="8">
        <v>30</v>
      </c>
      <c r="L31" s="8">
        <v>20</v>
      </c>
      <c r="M31" s="8">
        <v>30</v>
      </c>
      <c r="N31" s="8">
        <v>22</v>
      </c>
      <c r="O31" s="8">
        <v>49</v>
      </c>
      <c r="P31" s="8">
        <v>53</v>
      </c>
      <c r="Q31" s="8">
        <v>58</v>
      </c>
      <c r="R31" s="8">
        <v>12</v>
      </c>
      <c r="S31" s="45">
        <v>18</v>
      </c>
      <c r="T31" s="45">
        <v>11</v>
      </c>
      <c r="U31" s="49">
        <v>23</v>
      </c>
      <c r="V31" s="49">
        <v>21</v>
      </c>
    </row>
    <row r="32" spans="1:22" ht="18.75" customHeight="1" x14ac:dyDescent="0.2">
      <c r="A32" s="8" t="s">
        <v>23</v>
      </c>
      <c r="B32" s="8"/>
      <c r="C32" s="8"/>
      <c r="D32" s="8"/>
      <c r="E32" s="8">
        <v>4</v>
      </c>
      <c r="F32" s="8">
        <v>13</v>
      </c>
      <c r="G32" s="8">
        <v>4</v>
      </c>
      <c r="H32" s="8">
        <v>3</v>
      </c>
      <c r="I32" s="8">
        <v>2</v>
      </c>
      <c r="J32" s="8">
        <v>2</v>
      </c>
      <c r="K32" s="8">
        <v>3</v>
      </c>
      <c r="L32" s="8">
        <v>3</v>
      </c>
      <c r="M32" s="8">
        <v>2</v>
      </c>
      <c r="N32" s="8">
        <v>1</v>
      </c>
      <c r="O32" s="8">
        <v>2</v>
      </c>
      <c r="P32" s="8">
        <v>3</v>
      </c>
      <c r="Q32" s="8">
        <v>5</v>
      </c>
      <c r="R32" s="8">
        <v>0</v>
      </c>
      <c r="S32" s="45">
        <v>1</v>
      </c>
      <c r="T32" s="45">
        <v>1</v>
      </c>
      <c r="U32" s="49">
        <v>19</v>
      </c>
      <c r="V32" s="49">
        <v>17</v>
      </c>
    </row>
    <row r="33" spans="1:22" ht="18.75" customHeight="1" x14ac:dyDescent="0.2">
      <c r="A33" s="8" t="s">
        <v>25</v>
      </c>
      <c r="B33" s="8"/>
      <c r="C33" s="8"/>
      <c r="D33" s="8"/>
      <c r="E33" s="8">
        <v>1</v>
      </c>
      <c r="F33" s="8">
        <v>8</v>
      </c>
      <c r="G33" s="8">
        <v>6</v>
      </c>
      <c r="H33" s="8">
        <v>16</v>
      </c>
      <c r="I33" s="8">
        <v>12</v>
      </c>
      <c r="J33" s="8">
        <v>8</v>
      </c>
      <c r="K33" s="8">
        <v>13</v>
      </c>
      <c r="L33" s="8">
        <v>3</v>
      </c>
      <c r="M33" s="8">
        <v>0</v>
      </c>
      <c r="N33" s="8">
        <v>1</v>
      </c>
      <c r="O33" s="8">
        <v>7</v>
      </c>
      <c r="P33" s="8">
        <v>11</v>
      </c>
      <c r="Q33" s="8">
        <v>14</v>
      </c>
      <c r="R33" s="8">
        <v>1</v>
      </c>
      <c r="S33" s="45">
        <v>2</v>
      </c>
      <c r="T33" s="45">
        <v>21</v>
      </c>
      <c r="U33" s="49">
        <v>2</v>
      </c>
      <c r="V33" s="49">
        <v>8</v>
      </c>
    </row>
    <row r="34" spans="1:22" ht="18.75" customHeight="1" x14ac:dyDescent="0.2">
      <c r="A34" s="8" t="s">
        <v>26</v>
      </c>
      <c r="B34" s="8"/>
      <c r="C34" s="8"/>
      <c r="D34" s="8"/>
      <c r="E34" s="8">
        <v>1</v>
      </c>
      <c r="F34" s="8">
        <v>1</v>
      </c>
      <c r="G34" s="8">
        <v>3</v>
      </c>
      <c r="H34" s="8">
        <v>1</v>
      </c>
      <c r="I34" s="8">
        <v>0</v>
      </c>
      <c r="J34" s="8">
        <v>2</v>
      </c>
      <c r="K34" s="8">
        <v>2</v>
      </c>
      <c r="L34" s="8">
        <v>2</v>
      </c>
      <c r="M34" s="8">
        <v>2</v>
      </c>
      <c r="N34" s="8">
        <v>0</v>
      </c>
      <c r="O34" s="8">
        <v>0</v>
      </c>
      <c r="P34" s="8">
        <v>0</v>
      </c>
      <c r="Q34" s="8">
        <v>0</v>
      </c>
      <c r="R34" s="8">
        <v>1</v>
      </c>
      <c r="S34" s="45">
        <v>1</v>
      </c>
      <c r="T34" s="45">
        <v>8</v>
      </c>
      <c r="U34" s="49">
        <v>20</v>
      </c>
      <c r="V34" s="49">
        <v>24</v>
      </c>
    </row>
    <row r="35" spans="1:22" ht="18.75" customHeight="1" x14ac:dyDescent="0.2">
      <c r="A35" s="8" t="s">
        <v>27</v>
      </c>
      <c r="B35" s="8"/>
      <c r="C35" s="8"/>
      <c r="D35" s="8"/>
      <c r="E35" s="8">
        <v>12</v>
      </c>
      <c r="F35" s="8">
        <v>22</v>
      </c>
      <c r="G35" s="8">
        <v>13</v>
      </c>
      <c r="H35" s="8">
        <v>14</v>
      </c>
      <c r="I35" s="8">
        <v>15</v>
      </c>
      <c r="J35" s="8">
        <v>15</v>
      </c>
      <c r="K35" s="8">
        <v>23</v>
      </c>
      <c r="L35" s="8">
        <v>22</v>
      </c>
      <c r="M35" s="8">
        <v>25</v>
      </c>
      <c r="N35" s="8">
        <v>20</v>
      </c>
      <c r="O35" s="8">
        <v>36</v>
      </c>
      <c r="P35" s="8">
        <v>31</v>
      </c>
      <c r="Q35" s="8">
        <v>42</v>
      </c>
      <c r="R35" s="8">
        <v>19</v>
      </c>
      <c r="S35" s="45">
        <v>26</v>
      </c>
      <c r="T35" s="45">
        <v>21</v>
      </c>
      <c r="U35" s="49">
        <v>41</v>
      </c>
      <c r="V35" s="49">
        <v>21</v>
      </c>
    </row>
    <row r="36" spans="1:22" ht="18.75" customHeight="1" x14ac:dyDescent="0.2">
      <c r="A36" s="8" t="s">
        <v>11</v>
      </c>
      <c r="B36" s="8"/>
      <c r="C36" s="8"/>
      <c r="D36" s="8"/>
      <c r="E36" s="8">
        <v>1</v>
      </c>
      <c r="F36" s="8">
        <v>6</v>
      </c>
      <c r="G36" s="8">
        <v>5</v>
      </c>
      <c r="H36" s="8">
        <v>3</v>
      </c>
      <c r="I36" s="8">
        <v>2</v>
      </c>
      <c r="J36" s="8">
        <v>2</v>
      </c>
      <c r="K36" s="8">
        <v>2</v>
      </c>
      <c r="L36" s="8">
        <v>2</v>
      </c>
      <c r="M36" s="8">
        <v>3</v>
      </c>
      <c r="N36" s="8">
        <v>1</v>
      </c>
      <c r="O36" s="8">
        <v>3</v>
      </c>
      <c r="P36" s="8">
        <v>1</v>
      </c>
      <c r="Q36" s="8">
        <v>1</v>
      </c>
      <c r="R36" s="8">
        <v>4</v>
      </c>
      <c r="S36" s="45">
        <v>5</v>
      </c>
      <c r="T36" s="45">
        <v>4</v>
      </c>
      <c r="U36" s="49">
        <v>6</v>
      </c>
      <c r="V36" s="49">
        <v>7</v>
      </c>
    </row>
    <row r="37" spans="1:22" ht="18.75" customHeight="1" x14ac:dyDescent="0.2">
      <c r="A37" s="8" t="s">
        <v>7</v>
      </c>
      <c r="B37" s="8"/>
      <c r="C37" s="8"/>
      <c r="D37" s="8"/>
      <c r="E37" s="8">
        <v>8</v>
      </c>
      <c r="F37" s="8">
        <v>14</v>
      </c>
      <c r="G37" s="8">
        <v>5</v>
      </c>
      <c r="H37" s="8">
        <v>7</v>
      </c>
      <c r="I37" s="8">
        <v>7</v>
      </c>
      <c r="J37" s="8">
        <v>2</v>
      </c>
      <c r="K37" s="8">
        <v>6</v>
      </c>
      <c r="L37" s="8">
        <v>8</v>
      </c>
      <c r="M37" s="8">
        <v>2</v>
      </c>
      <c r="N37" s="8">
        <v>14</v>
      </c>
      <c r="O37" s="8">
        <v>9</v>
      </c>
      <c r="P37" s="8">
        <v>16</v>
      </c>
      <c r="Q37" s="8">
        <v>16</v>
      </c>
      <c r="R37" s="8">
        <v>5</v>
      </c>
      <c r="S37" s="45">
        <v>6</v>
      </c>
      <c r="T37" s="45">
        <v>9</v>
      </c>
      <c r="U37" s="49">
        <v>7</v>
      </c>
      <c r="V37" s="49">
        <v>12</v>
      </c>
    </row>
    <row r="38" spans="1:22" ht="18.75" customHeight="1" x14ac:dyDescent="0.2">
      <c r="A38" s="8" t="s">
        <v>28</v>
      </c>
      <c r="B38" s="8"/>
      <c r="C38" s="8"/>
      <c r="D38" s="8"/>
      <c r="E38" s="8">
        <v>16</v>
      </c>
      <c r="F38" s="8">
        <v>10</v>
      </c>
      <c r="G38" s="8">
        <v>13</v>
      </c>
      <c r="H38" s="8">
        <v>15</v>
      </c>
      <c r="I38" s="8">
        <v>21</v>
      </c>
      <c r="J38" s="8">
        <v>21</v>
      </c>
      <c r="K38" s="8">
        <v>9</v>
      </c>
      <c r="L38" s="8">
        <v>6</v>
      </c>
      <c r="M38" s="8">
        <v>0</v>
      </c>
      <c r="N38" s="8">
        <v>18</v>
      </c>
      <c r="O38" s="8">
        <v>12</v>
      </c>
      <c r="P38" s="8">
        <v>10</v>
      </c>
      <c r="Q38" s="8">
        <v>12</v>
      </c>
      <c r="R38" s="8">
        <v>4</v>
      </c>
      <c r="S38" s="45">
        <v>7</v>
      </c>
      <c r="T38" s="45">
        <v>9</v>
      </c>
      <c r="U38" s="49">
        <v>5</v>
      </c>
      <c r="V38" s="49">
        <v>6</v>
      </c>
    </row>
    <row r="39" spans="1:22" ht="18.75" customHeight="1" x14ac:dyDescent="0.2">
      <c r="A39" s="8" t="s">
        <v>4</v>
      </c>
      <c r="B39" s="8"/>
      <c r="C39" s="8"/>
      <c r="D39" s="8"/>
      <c r="E39" s="8">
        <v>29</v>
      </c>
      <c r="F39" s="8">
        <v>64</v>
      </c>
      <c r="G39" s="8">
        <v>36</v>
      </c>
      <c r="H39" s="8">
        <v>39</v>
      </c>
      <c r="I39" s="8">
        <v>42</v>
      </c>
      <c r="J39" s="8">
        <v>60</v>
      </c>
      <c r="K39" s="8">
        <v>42</v>
      </c>
      <c r="L39" s="8">
        <v>29</v>
      </c>
      <c r="M39" s="8">
        <v>25</v>
      </c>
      <c r="N39" s="8">
        <v>50</v>
      </c>
      <c r="O39" s="8">
        <v>40</v>
      </c>
      <c r="P39" s="8">
        <v>37</v>
      </c>
      <c r="Q39" s="8">
        <v>46</v>
      </c>
      <c r="R39" s="8">
        <v>8</v>
      </c>
      <c r="S39" s="45">
        <v>14</v>
      </c>
      <c r="T39" s="45">
        <v>8</v>
      </c>
      <c r="U39" s="49">
        <v>16</v>
      </c>
      <c r="V39" s="49">
        <v>8</v>
      </c>
    </row>
    <row r="40" spans="1:22" ht="18.75" customHeight="1" x14ac:dyDescent="0.2">
      <c r="A40" s="8" t="s">
        <v>1</v>
      </c>
      <c r="B40" s="8"/>
      <c r="C40" s="8"/>
      <c r="D40" s="8"/>
      <c r="E40" s="8">
        <v>9</v>
      </c>
      <c r="F40" s="8">
        <v>12</v>
      </c>
      <c r="G40" s="8">
        <v>9</v>
      </c>
      <c r="H40" s="8">
        <v>5</v>
      </c>
      <c r="I40" s="8">
        <v>2</v>
      </c>
      <c r="J40" s="8">
        <v>0</v>
      </c>
      <c r="K40" s="8" t="s">
        <v>61</v>
      </c>
      <c r="L40" s="8" t="s">
        <v>61</v>
      </c>
      <c r="M40" s="8">
        <v>0</v>
      </c>
      <c r="N40" s="8">
        <v>3</v>
      </c>
      <c r="O40" s="8">
        <v>0</v>
      </c>
      <c r="P40" s="8">
        <v>1</v>
      </c>
      <c r="Q40" s="8">
        <v>1</v>
      </c>
      <c r="R40" s="8">
        <v>2</v>
      </c>
      <c r="S40" s="45">
        <v>2</v>
      </c>
      <c r="T40" s="45">
        <v>3</v>
      </c>
      <c r="U40" s="49">
        <v>4</v>
      </c>
      <c r="V40" s="49">
        <v>22</v>
      </c>
    </row>
    <row r="41" spans="1:22" ht="18.75" customHeight="1" x14ac:dyDescent="0.2">
      <c r="A41" s="8" t="s">
        <v>24</v>
      </c>
      <c r="B41" s="8"/>
      <c r="C41" s="8"/>
      <c r="D41" s="8"/>
      <c r="E41" s="8">
        <v>4</v>
      </c>
      <c r="F41" s="8">
        <v>9</v>
      </c>
      <c r="G41" s="8">
        <v>20</v>
      </c>
      <c r="H41" s="8">
        <v>2</v>
      </c>
      <c r="I41" s="8">
        <v>5</v>
      </c>
      <c r="J41" s="8">
        <v>5</v>
      </c>
      <c r="K41" s="8">
        <v>11</v>
      </c>
      <c r="L41" s="8">
        <v>22</v>
      </c>
      <c r="M41" s="8">
        <v>31</v>
      </c>
      <c r="N41" s="8">
        <v>32</v>
      </c>
      <c r="O41" s="8">
        <v>42</v>
      </c>
      <c r="P41" s="8">
        <v>28</v>
      </c>
      <c r="Q41" s="8">
        <v>31</v>
      </c>
      <c r="R41" s="8">
        <v>8</v>
      </c>
      <c r="S41" s="45">
        <v>11</v>
      </c>
      <c r="T41" s="45">
        <v>7</v>
      </c>
      <c r="U41" s="49">
        <v>14</v>
      </c>
      <c r="V41" s="49">
        <v>12</v>
      </c>
    </row>
    <row r="42" spans="1:22" ht="18.75" customHeight="1" x14ac:dyDescent="0.2">
      <c r="A42" s="8" t="s">
        <v>8</v>
      </c>
      <c r="B42" s="8"/>
      <c r="C42" s="8"/>
      <c r="D42" s="8"/>
      <c r="E42" s="8">
        <v>5</v>
      </c>
      <c r="F42" s="8">
        <v>9</v>
      </c>
      <c r="G42" s="8">
        <v>3</v>
      </c>
      <c r="H42" s="8">
        <v>2</v>
      </c>
      <c r="I42" s="8">
        <v>3</v>
      </c>
      <c r="J42" s="8">
        <v>7</v>
      </c>
      <c r="K42" s="8">
        <v>11</v>
      </c>
      <c r="L42" s="8">
        <v>3</v>
      </c>
      <c r="M42" s="8">
        <v>3</v>
      </c>
      <c r="N42" s="8">
        <v>4</v>
      </c>
      <c r="O42" s="8">
        <v>0</v>
      </c>
      <c r="P42" s="8">
        <v>0</v>
      </c>
      <c r="Q42" s="8">
        <v>0</v>
      </c>
      <c r="R42" s="8">
        <v>3</v>
      </c>
      <c r="S42" s="45">
        <v>3</v>
      </c>
      <c r="T42" s="45">
        <v>6</v>
      </c>
      <c r="U42" s="49">
        <v>3</v>
      </c>
      <c r="V42" s="49">
        <v>11</v>
      </c>
    </row>
    <row r="43" spans="1:22" ht="18.75" customHeight="1" x14ac:dyDescent="0.2">
      <c r="A43" s="8" t="s">
        <v>5</v>
      </c>
      <c r="B43" s="8"/>
      <c r="C43" s="8"/>
      <c r="D43" s="8"/>
      <c r="E43" s="8">
        <v>10</v>
      </c>
      <c r="F43" s="8">
        <v>9</v>
      </c>
      <c r="G43" s="8">
        <v>9</v>
      </c>
      <c r="H43" s="8">
        <v>6</v>
      </c>
      <c r="I43" s="8">
        <v>1</v>
      </c>
      <c r="J43" s="8">
        <v>2</v>
      </c>
      <c r="K43" s="8">
        <v>2</v>
      </c>
      <c r="L43" s="8">
        <v>2</v>
      </c>
      <c r="M43" s="8">
        <v>0</v>
      </c>
      <c r="N43" s="8">
        <v>1</v>
      </c>
      <c r="O43" s="8">
        <v>1</v>
      </c>
      <c r="P43" s="8">
        <v>2</v>
      </c>
      <c r="Q43" s="8">
        <v>2</v>
      </c>
      <c r="R43" s="8">
        <v>0</v>
      </c>
      <c r="S43" s="45">
        <v>1</v>
      </c>
      <c r="T43" s="45">
        <v>41</v>
      </c>
      <c r="U43" s="49">
        <v>2</v>
      </c>
      <c r="V43" s="49">
        <v>16</v>
      </c>
    </row>
    <row r="44" spans="1:22" ht="18.75" customHeight="1" x14ac:dyDescent="0.2">
      <c r="A44" s="8" t="s">
        <v>9</v>
      </c>
      <c r="B44" s="8"/>
      <c r="C44" s="8"/>
      <c r="D44" s="8"/>
      <c r="E44" s="8">
        <v>3</v>
      </c>
      <c r="F44" s="8">
        <v>2</v>
      </c>
      <c r="G44" s="8">
        <v>6</v>
      </c>
      <c r="H44" s="8">
        <v>5</v>
      </c>
      <c r="I44" s="8">
        <v>4</v>
      </c>
      <c r="J44" s="8">
        <v>6</v>
      </c>
      <c r="K44" s="8">
        <v>9</v>
      </c>
      <c r="L44" s="8">
        <v>5</v>
      </c>
      <c r="M44" s="8">
        <v>2</v>
      </c>
      <c r="N44" s="8">
        <v>5</v>
      </c>
      <c r="O44" s="8">
        <v>15</v>
      </c>
      <c r="P44" s="8">
        <v>14</v>
      </c>
      <c r="Q44" s="8">
        <v>18</v>
      </c>
      <c r="R44" s="8">
        <v>23</v>
      </c>
      <c r="S44" s="45">
        <v>24</v>
      </c>
      <c r="T44" s="45">
        <v>24</v>
      </c>
      <c r="U44" s="49">
        <v>48</v>
      </c>
      <c r="V44" s="49">
        <v>37</v>
      </c>
    </row>
    <row r="45" spans="1:22" ht="18.75" customHeight="1" x14ac:dyDescent="0.2">
      <c r="A45" s="8" t="s">
        <v>2</v>
      </c>
      <c r="B45" s="8"/>
      <c r="C45" s="8"/>
      <c r="D45" s="8"/>
      <c r="E45" s="8">
        <v>13</v>
      </c>
      <c r="F45" s="8">
        <v>12</v>
      </c>
      <c r="G45" s="8">
        <v>15</v>
      </c>
      <c r="H45" s="8">
        <v>18</v>
      </c>
      <c r="I45" s="8">
        <v>21</v>
      </c>
      <c r="J45" s="8">
        <v>21</v>
      </c>
      <c r="K45" s="8">
        <v>17</v>
      </c>
      <c r="L45" s="8">
        <v>12</v>
      </c>
      <c r="M45" s="8">
        <v>0</v>
      </c>
      <c r="N45" s="8">
        <v>12</v>
      </c>
      <c r="O45" s="8">
        <v>12</v>
      </c>
      <c r="P45" s="8">
        <v>3</v>
      </c>
      <c r="Q45" s="8">
        <v>3</v>
      </c>
      <c r="R45" s="8">
        <v>2</v>
      </c>
      <c r="S45" s="45">
        <v>5</v>
      </c>
      <c r="T45" s="45">
        <v>4</v>
      </c>
      <c r="U45" s="49">
        <v>3</v>
      </c>
      <c r="V45" s="49">
        <v>5</v>
      </c>
    </row>
    <row r="46" spans="1:22" ht="18.75" customHeight="1" x14ac:dyDescent="0.2">
      <c r="A46" s="8" t="s">
        <v>6</v>
      </c>
      <c r="B46" s="8"/>
      <c r="C46" s="8"/>
      <c r="D46" s="8"/>
      <c r="E46" s="8">
        <v>7</v>
      </c>
      <c r="F46" s="8">
        <v>3</v>
      </c>
      <c r="G46" s="8">
        <v>8</v>
      </c>
      <c r="H46" s="8">
        <v>7</v>
      </c>
      <c r="I46" s="8">
        <v>6</v>
      </c>
      <c r="J46" s="8">
        <v>7</v>
      </c>
      <c r="K46" s="8">
        <v>13</v>
      </c>
      <c r="L46" s="8">
        <v>19</v>
      </c>
      <c r="M46" s="8">
        <v>8</v>
      </c>
      <c r="N46" s="8">
        <v>10</v>
      </c>
      <c r="O46" s="8">
        <v>7</v>
      </c>
      <c r="P46" s="8">
        <v>17</v>
      </c>
      <c r="Q46" s="8">
        <v>18</v>
      </c>
      <c r="R46" s="8">
        <v>6</v>
      </c>
      <c r="S46" s="45">
        <v>7</v>
      </c>
      <c r="T46" s="45">
        <v>7</v>
      </c>
      <c r="U46" s="49">
        <v>7</v>
      </c>
      <c r="V46" s="49">
        <v>15</v>
      </c>
    </row>
    <row r="47" spans="1:22" ht="18.75" customHeight="1" x14ac:dyDescent="0.2">
      <c r="A47" s="9" t="s">
        <v>34</v>
      </c>
      <c r="B47" s="9"/>
      <c r="C47" s="9"/>
      <c r="D47" s="9"/>
      <c r="E47" s="9">
        <v>144</v>
      </c>
      <c r="F47" s="9">
        <v>235</v>
      </c>
      <c r="G47" s="9">
        <v>190</v>
      </c>
      <c r="H47" s="9">
        <v>188</v>
      </c>
      <c r="I47" s="9">
        <v>176</v>
      </c>
      <c r="J47" s="9">
        <v>219</v>
      </c>
      <c r="K47" s="9">
        <v>213</v>
      </c>
      <c r="L47" s="9">
        <v>179</v>
      </c>
      <c r="M47" s="9">
        <v>156</v>
      </c>
      <c r="N47" s="9">
        <v>255</v>
      </c>
      <c r="O47" s="9">
        <v>261</v>
      </c>
      <c r="P47" s="9">
        <v>238</v>
      </c>
      <c r="Q47" s="9">
        <v>279</v>
      </c>
      <c r="R47" s="9">
        <v>107</v>
      </c>
      <c r="S47" s="32">
        <v>184</v>
      </c>
      <c r="T47" s="32">
        <v>221</v>
      </c>
      <c r="U47" s="52">
        <f>SUM(U29:U46)</f>
        <v>235</v>
      </c>
      <c r="V47" s="52">
        <v>275</v>
      </c>
    </row>
    <row r="48" spans="1:22" ht="18.75" customHeight="1" x14ac:dyDescent="0.2">
      <c r="A48" s="13" t="s">
        <v>62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2:AC90"/>
  <sheetViews>
    <sheetView showGridLines="0" zoomScaleNormal="100" workbookViewId="0">
      <pane xSplit="1" topLeftCell="B1" activePane="topRight" state="frozen"/>
      <selection pane="topRight" activeCell="G11" sqref="G11"/>
    </sheetView>
  </sheetViews>
  <sheetFormatPr defaultRowHeight="18.75" customHeight="1" x14ac:dyDescent="0.2"/>
  <cols>
    <col min="1" max="1" width="15.42578125" style="7" customWidth="1"/>
    <col min="2" max="16384" width="9.140625" style="7"/>
  </cols>
  <sheetData>
    <row r="2" spans="1:19" ht="18.75" customHeight="1" x14ac:dyDescent="0.2">
      <c r="A2" s="11" t="s">
        <v>67</v>
      </c>
      <c r="B2" s="13"/>
      <c r="C2" s="13"/>
      <c r="D2" s="13"/>
      <c r="E2" s="13"/>
      <c r="F2" s="13"/>
      <c r="G2" s="13"/>
      <c r="H2" s="13"/>
      <c r="I2" s="13"/>
      <c r="J2" s="13"/>
      <c r="L2" s="13"/>
      <c r="M2" s="13"/>
      <c r="N2" s="11"/>
      <c r="O2" s="11"/>
      <c r="P2" s="11"/>
      <c r="Q2" s="11"/>
      <c r="R2" s="11"/>
      <c r="S2" s="11"/>
    </row>
    <row r="3" spans="1:19" ht="18.75" customHeight="1" x14ac:dyDescent="0.2">
      <c r="A3" s="31" t="s">
        <v>38</v>
      </c>
      <c r="B3" s="6" t="s">
        <v>45</v>
      </c>
      <c r="C3" s="6">
        <v>2021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40</v>
      </c>
      <c r="L3" s="6" t="s">
        <v>41</v>
      </c>
      <c r="M3" s="6" t="s">
        <v>56</v>
      </c>
      <c r="N3" s="6" t="s">
        <v>57</v>
      </c>
      <c r="O3" s="6" t="s">
        <v>58</v>
      </c>
      <c r="P3" s="6" t="s">
        <v>59</v>
      </c>
      <c r="Q3" s="6" t="s">
        <v>77</v>
      </c>
      <c r="R3" s="6" t="s">
        <v>78</v>
      </c>
      <c r="S3" s="6" t="s">
        <v>79</v>
      </c>
    </row>
    <row r="4" spans="1:19" ht="18.75" customHeight="1" x14ac:dyDescent="0.2">
      <c r="A4" s="14" t="s">
        <v>0</v>
      </c>
      <c r="B4" s="14">
        <v>1</v>
      </c>
      <c r="C4" s="14">
        <v>18</v>
      </c>
      <c r="D4" s="14">
        <v>1</v>
      </c>
      <c r="E4" s="14">
        <v>4</v>
      </c>
      <c r="F4" s="14">
        <v>0</v>
      </c>
      <c r="G4" s="14">
        <v>0</v>
      </c>
      <c r="H4" s="14" t="s">
        <v>61</v>
      </c>
      <c r="I4" s="14" t="s">
        <v>61</v>
      </c>
      <c r="J4" s="14">
        <v>0</v>
      </c>
      <c r="K4" s="14">
        <v>11.579013906447535</v>
      </c>
      <c r="L4" s="14">
        <v>10</v>
      </c>
      <c r="M4" s="14">
        <v>4</v>
      </c>
      <c r="N4" s="14">
        <v>4</v>
      </c>
      <c r="O4" s="14">
        <v>2</v>
      </c>
      <c r="P4" s="13">
        <v>25</v>
      </c>
      <c r="Q4" s="13">
        <v>9</v>
      </c>
      <c r="R4" s="13">
        <v>10</v>
      </c>
      <c r="S4" s="13">
        <v>15</v>
      </c>
    </row>
    <row r="5" spans="1:19" ht="18.75" customHeight="1" x14ac:dyDescent="0.2">
      <c r="A5" s="15" t="s">
        <v>10</v>
      </c>
      <c r="B5" s="15">
        <v>12</v>
      </c>
      <c r="C5" s="15">
        <v>33</v>
      </c>
      <c r="D5" s="15">
        <v>680</v>
      </c>
      <c r="E5" s="15">
        <v>682</v>
      </c>
      <c r="F5" s="15">
        <v>669.43608473338202</v>
      </c>
      <c r="G5" s="15">
        <v>668.68986146095722</v>
      </c>
      <c r="H5" s="15">
        <v>623</v>
      </c>
      <c r="I5" s="15">
        <v>702</v>
      </c>
      <c r="J5" s="15">
        <v>563.32272069464545</v>
      </c>
      <c r="K5" s="15">
        <v>666.75821744627058</v>
      </c>
      <c r="L5" s="15">
        <v>417</v>
      </c>
      <c r="M5" s="15">
        <v>300</v>
      </c>
      <c r="N5" s="15">
        <v>314</v>
      </c>
      <c r="O5" s="15">
        <v>372</v>
      </c>
      <c r="P5" s="13">
        <v>411</v>
      </c>
      <c r="Q5" s="13">
        <v>896</v>
      </c>
      <c r="R5" s="13">
        <v>1763</v>
      </c>
      <c r="S5" s="13">
        <v>1023</v>
      </c>
    </row>
    <row r="6" spans="1:19" ht="18.75" customHeight="1" x14ac:dyDescent="0.2">
      <c r="A6" s="15" t="s">
        <v>3</v>
      </c>
      <c r="B6" s="15">
        <v>26</v>
      </c>
      <c r="C6" s="15">
        <v>35</v>
      </c>
      <c r="D6" s="15">
        <v>98</v>
      </c>
      <c r="E6" s="15">
        <v>127</v>
      </c>
      <c r="F6" s="15">
        <v>113.03433162892622</v>
      </c>
      <c r="G6" s="15">
        <v>90.181989924433253</v>
      </c>
      <c r="H6" s="15">
        <v>91</v>
      </c>
      <c r="I6" s="15">
        <v>92</v>
      </c>
      <c r="J6" s="15">
        <v>103.46743849493487</v>
      </c>
      <c r="K6" s="15">
        <v>115.79013906447534</v>
      </c>
      <c r="L6" s="15">
        <v>267</v>
      </c>
      <c r="M6" s="15">
        <v>265</v>
      </c>
      <c r="N6" s="15">
        <v>274</v>
      </c>
      <c r="O6" s="15">
        <v>87</v>
      </c>
      <c r="P6" s="13">
        <v>106</v>
      </c>
      <c r="Q6" s="13">
        <v>113</v>
      </c>
      <c r="R6" s="13">
        <v>219</v>
      </c>
      <c r="S6" s="13">
        <v>146</v>
      </c>
    </row>
    <row r="7" spans="1:19" ht="18.75" customHeight="1" x14ac:dyDescent="0.2">
      <c r="A7" s="15" t="s">
        <v>23</v>
      </c>
      <c r="B7" s="15">
        <v>28</v>
      </c>
      <c r="C7" s="15">
        <v>64</v>
      </c>
      <c r="D7" s="15">
        <v>109</v>
      </c>
      <c r="E7" s="15">
        <v>189</v>
      </c>
      <c r="F7" s="15">
        <v>110.11102994886778</v>
      </c>
      <c r="G7" s="15">
        <v>94.978904282115863</v>
      </c>
      <c r="H7" s="15">
        <v>272</v>
      </c>
      <c r="I7" s="15">
        <v>284</v>
      </c>
      <c r="J7" s="15">
        <v>327.64688856729379</v>
      </c>
      <c r="K7" s="15">
        <v>314.56321112515803</v>
      </c>
      <c r="L7" s="15">
        <v>542</v>
      </c>
      <c r="M7" s="15">
        <v>574</v>
      </c>
      <c r="N7" s="15">
        <v>575</v>
      </c>
      <c r="O7" s="15">
        <v>310</v>
      </c>
      <c r="P7" s="13">
        <v>319</v>
      </c>
      <c r="Q7" s="13">
        <v>140</v>
      </c>
      <c r="R7" s="13">
        <v>426</v>
      </c>
      <c r="S7" s="13">
        <v>295</v>
      </c>
    </row>
    <row r="8" spans="1:19" ht="18.75" customHeight="1" x14ac:dyDescent="0.2">
      <c r="A8" s="15" t="s">
        <v>25</v>
      </c>
      <c r="B8" s="15">
        <v>7</v>
      </c>
      <c r="C8" s="15">
        <v>34</v>
      </c>
      <c r="D8" s="15">
        <v>321</v>
      </c>
      <c r="E8" s="15">
        <v>90</v>
      </c>
      <c r="F8" s="15">
        <v>20.46311176040906</v>
      </c>
      <c r="G8" s="15">
        <v>24.943954659949622</v>
      </c>
      <c r="H8" s="15">
        <v>28</v>
      </c>
      <c r="I8" s="15">
        <v>19</v>
      </c>
      <c r="J8" s="15">
        <v>33.531114327062227</v>
      </c>
      <c r="K8" s="15">
        <v>165.96586599241468</v>
      </c>
      <c r="L8" s="15">
        <v>279</v>
      </c>
      <c r="M8" s="15">
        <v>191</v>
      </c>
      <c r="N8" s="15">
        <v>202</v>
      </c>
      <c r="O8" s="15">
        <v>337</v>
      </c>
      <c r="P8" s="13">
        <v>333</v>
      </c>
      <c r="Q8" s="13">
        <v>78</v>
      </c>
      <c r="R8" s="13">
        <v>229</v>
      </c>
      <c r="S8" s="13">
        <v>137</v>
      </c>
    </row>
    <row r="9" spans="1:19" ht="18.75" customHeight="1" x14ac:dyDescent="0.2">
      <c r="A9" s="15" t="s">
        <v>26</v>
      </c>
      <c r="B9" s="15">
        <v>8</v>
      </c>
      <c r="C9" s="15">
        <v>8</v>
      </c>
      <c r="D9" s="15">
        <v>227</v>
      </c>
      <c r="E9" s="15">
        <v>100</v>
      </c>
      <c r="F9" s="15">
        <v>12.66764061358656</v>
      </c>
      <c r="G9" s="15">
        <v>24.943954659949622</v>
      </c>
      <c r="H9" s="15">
        <v>155</v>
      </c>
      <c r="I9" s="15">
        <v>154</v>
      </c>
      <c r="J9" s="15">
        <v>38.321273516642549</v>
      </c>
      <c r="K9" s="15">
        <v>61.754740834386851</v>
      </c>
      <c r="L9" s="15">
        <v>231</v>
      </c>
      <c r="M9" s="15">
        <v>311</v>
      </c>
      <c r="N9" s="15">
        <v>314</v>
      </c>
      <c r="O9" s="15">
        <v>81</v>
      </c>
      <c r="P9" s="13">
        <v>72</v>
      </c>
      <c r="Q9" s="13">
        <v>30</v>
      </c>
      <c r="R9" s="13">
        <v>101</v>
      </c>
      <c r="S9" s="13">
        <v>75</v>
      </c>
    </row>
    <row r="10" spans="1:19" ht="18.75" customHeight="1" x14ac:dyDescent="0.2">
      <c r="A10" s="15" t="s">
        <v>27</v>
      </c>
      <c r="B10" s="15">
        <v>46</v>
      </c>
      <c r="C10" s="15">
        <v>85</v>
      </c>
      <c r="D10" s="15">
        <v>567</v>
      </c>
      <c r="E10" s="15">
        <v>400</v>
      </c>
      <c r="F10" s="15">
        <v>486.24251278305337</v>
      </c>
      <c r="G10" s="15">
        <v>157.33879093198993</v>
      </c>
      <c r="H10" s="15">
        <v>331</v>
      </c>
      <c r="I10" s="15">
        <v>145</v>
      </c>
      <c r="J10" s="15">
        <v>131.25036179450072</v>
      </c>
      <c r="K10" s="15">
        <v>75.263590391908977</v>
      </c>
      <c r="L10" s="15">
        <v>176</v>
      </c>
      <c r="M10" s="15">
        <v>249</v>
      </c>
      <c r="N10" s="15">
        <v>299</v>
      </c>
      <c r="O10" s="15">
        <v>90</v>
      </c>
      <c r="P10" s="13">
        <v>93</v>
      </c>
      <c r="Q10" s="13">
        <v>124</v>
      </c>
      <c r="R10" s="13">
        <v>223</v>
      </c>
      <c r="S10" s="13">
        <v>89</v>
      </c>
    </row>
    <row r="11" spans="1:19" ht="18.75" customHeight="1" x14ac:dyDescent="0.2">
      <c r="A11" s="15" t="s">
        <v>11</v>
      </c>
      <c r="B11" s="15">
        <v>4</v>
      </c>
      <c r="C11" s="15">
        <v>8</v>
      </c>
      <c r="D11" s="15">
        <v>112</v>
      </c>
      <c r="E11" s="15">
        <v>108</v>
      </c>
      <c r="F11" s="15">
        <v>110.11102994886778</v>
      </c>
      <c r="G11" s="15">
        <v>108.4102644836272</v>
      </c>
      <c r="H11" s="15">
        <v>108</v>
      </c>
      <c r="I11" s="15">
        <v>112</v>
      </c>
      <c r="J11" s="15">
        <v>75.68451519536903</v>
      </c>
      <c r="K11" s="15">
        <v>80.088179519595442</v>
      </c>
      <c r="L11" s="15">
        <v>249</v>
      </c>
      <c r="M11" s="15">
        <v>83</v>
      </c>
      <c r="N11" s="15">
        <v>83</v>
      </c>
      <c r="O11" s="15">
        <v>84</v>
      </c>
      <c r="P11" s="13">
        <v>71</v>
      </c>
      <c r="Q11" s="13">
        <v>86</v>
      </c>
      <c r="R11" s="13">
        <v>87</v>
      </c>
      <c r="S11" s="13">
        <v>85</v>
      </c>
    </row>
    <row r="12" spans="1:19" ht="18.75" customHeight="1" x14ac:dyDescent="0.2">
      <c r="A12" s="15" t="s">
        <v>7</v>
      </c>
      <c r="B12" s="15">
        <v>64</v>
      </c>
      <c r="C12" s="15">
        <v>84</v>
      </c>
      <c r="D12" s="15">
        <v>84</v>
      </c>
      <c r="E12" s="15">
        <v>101</v>
      </c>
      <c r="F12" s="15">
        <v>90.622352081811556</v>
      </c>
      <c r="G12" s="15">
        <v>54.684823677581861</v>
      </c>
      <c r="H12" s="15">
        <v>83</v>
      </c>
      <c r="I12" s="15">
        <v>84</v>
      </c>
      <c r="J12" s="15">
        <v>56.523878437047756</v>
      </c>
      <c r="K12" s="15">
        <v>178.5097977243995</v>
      </c>
      <c r="L12" s="15">
        <v>156</v>
      </c>
      <c r="M12" s="15">
        <v>173</v>
      </c>
      <c r="N12" s="15">
        <v>171</v>
      </c>
      <c r="O12" s="15">
        <v>95</v>
      </c>
      <c r="P12" s="13">
        <v>108</v>
      </c>
      <c r="Q12" s="13">
        <v>126</v>
      </c>
      <c r="R12" s="13">
        <v>123</v>
      </c>
      <c r="S12" s="13">
        <v>203</v>
      </c>
    </row>
    <row r="13" spans="1:19" ht="18.75" customHeight="1" x14ac:dyDescent="0.2">
      <c r="A13" s="15" t="s">
        <v>28</v>
      </c>
      <c r="B13" s="15">
        <v>24</v>
      </c>
      <c r="C13" s="15">
        <v>18</v>
      </c>
      <c r="D13" s="15">
        <v>236</v>
      </c>
      <c r="E13" s="15">
        <v>267</v>
      </c>
      <c r="F13" s="15">
        <v>270.89262235208184</v>
      </c>
      <c r="G13" s="15">
        <v>267.66782115869017</v>
      </c>
      <c r="H13" s="15">
        <v>192</v>
      </c>
      <c r="I13" s="15">
        <v>193</v>
      </c>
      <c r="J13" s="15">
        <v>226.09551374819102</v>
      </c>
      <c r="K13" s="15">
        <v>330.00189633375476</v>
      </c>
      <c r="L13" s="15">
        <v>391</v>
      </c>
      <c r="M13" s="15">
        <v>293</v>
      </c>
      <c r="N13" s="15">
        <v>290</v>
      </c>
      <c r="O13" s="15">
        <v>149</v>
      </c>
      <c r="P13" s="13">
        <v>171</v>
      </c>
      <c r="Q13" s="13">
        <v>225</v>
      </c>
      <c r="R13" s="13">
        <v>16</v>
      </c>
      <c r="S13" s="13">
        <v>306</v>
      </c>
    </row>
    <row r="14" spans="1:19" ht="18.75" customHeight="1" x14ac:dyDescent="0.2">
      <c r="A14" s="15" t="s">
        <v>4</v>
      </c>
      <c r="B14" s="15">
        <v>202</v>
      </c>
      <c r="C14" s="15">
        <v>412</v>
      </c>
      <c r="D14" s="15">
        <v>418</v>
      </c>
      <c r="E14" s="15">
        <v>452</v>
      </c>
      <c r="F14" s="15">
        <v>441.41855368882398</v>
      </c>
      <c r="G14" s="15">
        <v>651.4209697732997</v>
      </c>
      <c r="H14" s="15">
        <v>381</v>
      </c>
      <c r="I14" s="15">
        <v>391</v>
      </c>
      <c r="J14" s="15">
        <v>365.96816208393631</v>
      </c>
      <c r="K14" s="15">
        <v>507.54677623261693</v>
      </c>
      <c r="L14" s="15">
        <v>558</v>
      </c>
      <c r="M14" s="15">
        <v>766</v>
      </c>
      <c r="N14" s="15">
        <v>863</v>
      </c>
      <c r="O14" s="15">
        <v>139</v>
      </c>
      <c r="P14" s="13">
        <v>186</v>
      </c>
      <c r="Q14" s="13">
        <v>253</v>
      </c>
      <c r="R14" s="13">
        <v>648</v>
      </c>
      <c r="S14" s="13">
        <v>360</v>
      </c>
    </row>
    <row r="15" spans="1:19" ht="18.75" customHeight="1" x14ac:dyDescent="0.2">
      <c r="A15" s="15" t="s">
        <v>1</v>
      </c>
      <c r="B15" s="15">
        <v>42</v>
      </c>
      <c r="C15" s="15">
        <v>78</v>
      </c>
      <c r="D15" s="15">
        <v>71</v>
      </c>
      <c r="E15" s="15">
        <v>87</v>
      </c>
      <c r="F15" s="15">
        <v>80.878013148283429</v>
      </c>
      <c r="G15" s="15">
        <v>56.603589420654913</v>
      </c>
      <c r="H15" s="15">
        <v>59</v>
      </c>
      <c r="I15" s="15">
        <v>55</v>
      </c>
      <c r="J15" s="15">
        <v>59.397973950795951</v>
      </c>
      <c r="K15" s="15">
        <v>65.614412136536032</v>
      </c>
      <c r="L15" s="15">
        <v>81</v>
      </c>
      <c r="M15" s="15">
        <v>163</v>
      </c>
      <c r="N15" s="15">
        <v>172</v>
      </c>
      <c r="O15" s="15">
        <v>91</v>
      </c>
      <c r="P15" s="13">
        <v>84</v>
      </c>
      <c r="Q15" s="13">
        <v>82</v>
      </c>
      <c r="R15" s="13">
        <v>181</v>
      </c>
      <c r="S15" s="13">
        <v>93</v>
      </c>
    </row>
    <row r="16" spans="1:19" ht="18.75" customHeight="1" x14ac:dyDescent="0.2">
      <c r="A16" s="15" t="s">
        <v>24</v>
      </c>
      <c r="B16" s="15">
        <v>29</v>
      </c>
      <c r="C16" s="15">
        <v>137</v>
      </c>
      <c r="D16" s="15">
        <v>124</v>
      </c>
      <c r="E16" s="15">
        <v>47</v>
      </c>
      <c r="F16" s="15">
        <v>44.823959094229359</v>
      </c>
      <c r="G16" s="15">
        <v>67.15680100755668</v>
      </c>
      <c r="H16" s="15">
        <v>71</v>
      </c>
      <c r="I16" s="15">
        <v>72</v>
      </c>
      <c r="J16" s="15">
        <v>61.314037626628071</v>
      </c>
      <c r="K16" s="15">
        <v>52.105562579013906</v>
      </c>
      <c r="L16" s="15">
        <v>123</v>
      </c>
      <c r="M16" s="15">
        <v>104</v>
      </c>
      <c r="N16" s="15">
        <v>119</v>
      </c>
      <c r="O16" s="15">
        <v>53</v>
      </c>
      <c r="P16" s="13">
        <v>62</v>
      </c>
      <c r="Q16" s="13">
        <v>51</v>
      </c>
      <c r="R16" s="13">
        <v>103</v>
      </c>
      <c r="S16" s="13">
        <v>70</v>
      </c>
    </row>
    <row r="17" spans="1:19" ht="18.75" customHeight="1" x14ac:dyDescent="0.2">
      <c r="A17" s="15" t="s">
        <v>8</v>
      </c>
      <c r="B17" s="15">
        <v>38</v>
      </c>
      <c r="C17" s="15">
        <v>43</v>
      </c>
      <c r="D17" s="15">
        <v>434</v>
      </c>
      <c r="E17" s="15">
        <v>402</v>
      </c>
      <c r="F17" s="15">
        <v>360.54054054054063</v>
      </c>
      <c r="G17" s="15">
        <v>211.06423173803526</v>
      </c>
      <c r="H17" s="15">
        <v>142</v>
      </c>
      <c r="I17" s="15">
        <v>134</v>
      </c>
      <c r="J17" s="15">
        <v>146.57887120115774</v>
      </c>
      <c r="K17" s="15">
        <v>41.491466498103669</v>
      </c>
      <c r="L17" s="15">
        <v>172</v>
      </c>
      <c r="M17" s="15">
        <v>184</v>
      </c>
      <c r="N17" s="15">
        <v>199</v>
      </c>
      <c r="O17" s="15">
        <v>31</v>
      </c>
      <c r="P17" s="13">
        <v>29</v>
      </c>
      <c r="Q17" s="13">
        <v>23</v>
      </c>
      <c r="R17" s="13">
        <v>117</v>
      </c>
      <c r="S17" s="13">
        <v>94</v>
      </c>
    </row>
    <row r="18" spans="1:19" ht="18.75" customHeight="1" x14ac:dyDescent="0.2">
      <c r="A18" s="15" t="s">
        <v>5</v>
      </c>
      <c r="B18" s="15">
        <v>54</v>
      </c>
      <c r="C18" s="15">
        <v>45</v>
      </c>
      <c r="D18" s="15">
        <v>229</v>
      </c>
      <c r="E18" s="15">
        <v>222</v>
      </c>
      <c r="F18" s="15">
        <v>111.08546384222059</v>
      </c>
      <c r="G18" s="15">
        <v>112.24779596977331</v>
      </c>
      <c r="H18" s="15">
        <v>116</v>
      </c>
      <c r="I18" s="15">
        <v>50</v>
      </c>
      <c r="J18" s="15">
        <v>93.887120115774238</v>
      </c>
      <c r="K18" s="15">
        <v>143.77275600505689</v>
      </c>
      <c r="L18" s="15">
        <v>149</v>
      </c>
      <c r="M18" s="15">
        <v>193</v>
      </c>
      <c r="N18" s="15">
        <v>189</v>
      </c>
      <c r="O18" s="15">
        <v>52</v>
      </c>
      <c r="P18" s="13">
        <v>48</v>
      </c>
      <c r="Q18" s="13">
        <v>220</v>
      </c>
      <c r="R18" s="13">
        <v>242</v>
      </c>
      <c r="S18" s="13">
        <v>278</v>
      </c>
    </row>
    <row r="19" spans="1:19" ht="18.75" customHeight="1" x14ac:dyDescent="0.2">
      <c r="A19" s="15" t="s">
        <v>9</v>
      </c>
      <c r="B19" s="15">
        <v>15</v>
      </c>
      <c r="C19" s="15">
        <v>23</v>
      </c>
      <c r="D19" s="15">
        <v>202</v>
      </c>
      <c r="E19" s="15">
        <v>171</v>
      </c>
      <c r="F19" s="15">
        <v>210.47772096420746</v>
      </c>
      <c r="G19" s="15">
        <v>69.075566750629719</v>
      </c>
      <c r="H19" s="15">
        <v>38</v>
      </c>
      <c r="I19" s="15">
        <v>36</v>
      </c>
      <c r="J19" s="15">
        <v>21.076700434153402</v>
      </c>
      <c r="K19" s="15">
        <v>74.298672566371678</v>
      </c>
      <c r="L19" s="15">
        <v>112</v>
      </c>
      <c r="M19" s="15">
        <v>53</v>
      </c>
      <c r="N19" s="15">
        <v>83</v>
      </c>
      <c r="O19" s="15">
        <v>85</v>
      </c>
      <c r="P19" s="13">
        <v>97</v>
      </c>
      <c r="Q19" s="13">
        <v>109</v>
      </c>
      <c r="R19" s="13">
        <v>235</v>
      </c>
      <c r="S19" s="13">
        <v>139</v>
      </c>
    </row>
    <row r="20" spans="1:19" ht="18.75" customHeight="1" x14ac:dyDescent="0.2">
      <c r="A20" s="15" t="s">
        <v>2</v>
      </c>
      <c r="B20" s="15">
        <v>20</v>
      </c>
      <c r="C20" s="15">
        <v>20</v>
      </c>
      <c r="D20" s="15">
        <v>288</v>
      </c>
      <c r="E20" s="15">
        <v>288</v>
      </c>
      <c r="F20" s="15">
        <v>285.50913075237406</v>
      </c>
      <c r="G20" s="15">
        <v>333.86523929471031</v>
      </c>
      <c r="H20" s="15">
        <v>331</v>
      </c>
      <c r="I20" s="15">
        <v>343</v>
      </c>
      <c r="J20" s="15">
        <v>257.71056439942112</v>
      </c>
      <c r="K20" s="15">
        <v>55.000316055625788</v>
      </c>
      <c r="L20" s="15">
        <v>346</v>
      </c>
      <c r="M20" s="15">
        <v>298</v>
      </c>
      <c r="N20" s="15">
        <v>297</v>
      </c>
      <c r="O20" s="15">
        <v>273</v>
      </c>
      <c r="P20" s="13">
        <v>277</v>
      </c>
      <c r="Q20" s="13">
        <v>360</v>
      </c>
      <c r="R20" s="13">
        <v>297</v>
      </c>
      <c r="S20" s="13">
        <v>297</v>
      </c>
    </row>
    <row r="21" spans="1:19" ht="18.75" customHeight="1" x14ac:dyDescent="0.2">
      <c r="A21" s="18" t="s">
        <v>6</v>
      </c>
      <c r="B21" s="18">
        <v>31</v>
      </c>
      <c r="C21" s="18">
        <v>6</v>
      </c>
      <c r="D21" s="18">
        <v>54</v>
      </c>
      <c r="E21" s="18">
        <v>57</v>
      </c>
      <c r="F21" s="18">
        <v>34.105186267348429</v>
      </c>
      <c r="G21" s="18">
        <v>53.725440806045341</v>
      </c>
      <c r="H21" s="18">
        <v>107</v>
      </c>
      <c r="I21" s="18">
        <v>85</v>
      </c>
      <c r="J21" s="18">
        <v>86.222865412445728</v>
      </c>
      <c r="K21" s="18">
        <v>112.89538558786346</v>
      </c>
      <c r="L21" s="18">
        <v>133</v>
      </c>
      <c r="M21" s="18">
        <v>286</v>
      </c>
      <c r="N21" s="18">
        <v>302</v>
      </c>
      <c r="O21" s="18">
        <v>160</v>
      </c>
      <c r="P21" s="13">
        <v>173</v>
      </c>
      <c r="Q21" s="13">
        <v>139</v>
      </c>
      <c r="R21" s="13">
        <v>139</v>
      </c>
      <c r="S21" s="13">
        <v>148</v>
      </c>
    </row>
    <row r="22" spans="1:19" ht="18.75" customHeight="1" x14ac:dyDescent="0.2">
      <c r="A22" s="19" t="s">
        <v>31</v>
      </c>
      <c r="B22" s="19">
        <f>SUM(B4:B21)</f>
        <v>651</v>
      </c>
      <c r="C22" s="19">
        <f>SUM(C3:C21)</f>
        <v>3172</v>
      </c>
      <c r="D22" s="19">
        <f>SUM(D4:D21)</f>
        <v>4255</v>
      </c>
      <c r="E22" s="19">
        <f>SUM(E4:E21)</f>
        <v>3794</v>
      </c>
      <c r="F22" s="19">
        <f>SUM(F4:F21)</f>
        <v>3452.4192841490149</v>
      </c>
      <c r="G22" s="19">
        <f>SUM(G4:G21)</f>
        <v>3046.9999999999995</v>
      </c>
      <c r="H22" s="19">
        <v>3125</v>
      </c>
      <c r="I22" s="54">
        <v>2951</v>
      </c>
      <c r="J22" s="54">
        <v>2647.9999999999995</v>
      </c>
      <c r="K22" s="54">
        <v>3053.0000000000009</v>
      </c>
      <c r="L22" s="54">
        <f>SUM(L4:L21)</f>
        <v>4392</v>
      </c>
      <c r="M22" s="54">
        <v>4490</v>
      </c>
      <c r="N22" s="54">
        <f>SUM(N4:N21)</f>
        <v>4750</v>
      </c>
      <c r="O22" s="54">
        <f>SUM(O4:O21)</f>
        <v>2491</v>
      </c>
      <c r="P22" s="55">
        <v>2665</v>
      </c>
      <c r="Q22" s="55">
        <v>3064</v>
      </c>
      <c r="R22" s="55">
        <f>SUM(R4:R21)</f>
        <v>5159</v>
      </c>
      <c r="S22" s="55">
        <v>3853</v>
      </c>
    </row>
    <row r="23" spans="1:19" ht="18.75" customHeight="1" x14ac:dyDescent="0.2">
      <c r="A23" s="13" t="s">
        <v>62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23"/>
      <c r="M23" s="23"/>
      <c r="N23" s="23"/>
      <c r="O23" s="23"/>
      <c r="P23" s="16"/>
      <c r="Q23" s="16"/>
      <c r="R23" s="16"/>
      <c r="S23" s="16"/>
    </row>
    <row r="24" spans="1:19" ht="18.7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6"/>
      <c r="P24" s="16"/>
      <c r="Q24" s="16"/>
      <c r="R24" s="16"/>
      <c r="S24" s="13"/>
    </row>
    <row r="25" spans="1:19" ht="18.7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6"/>
      <c r="P25" s="16"/>
      <c r="Q25" s="16"/>
      <c r="R25" s="16"/>
      <c r="S25" s="13"/>
    </row>
    <row r="26" spans="1:19" ht="18.75" customHeight="1" x14ac:dyDescent="0.2">
      <c r="A26" s="11" t="s">
        <v>68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18.75" customHeight="1" x14ac:dyDescent="0.2">
      <c r="A27" s="26" t="s">
        <v>38</v>
      </c>
      <c r="B27" s="6" t="s">
        <v>45</v>
      </c>
      <c r="C27" s="6">
        <v>2021</v>
      </c>
      <c r="D27" s="6" t="s">
        <v>49</v>
      </c>
      <c r="E27" s="6" t="s">
        <v>50</v>
      </c>
      <c r="F27" s="6" t="s">
        <v>51</v>
      </c>
      <c r="G27" s="6" t="s">
        <v>52</v>
      </c>
      <c r="H27" s="6" t="s">
        <v>53</v>
      </c>
      <c r="I27" s="6" t="s">
        <v>54</v>
      </c>
      <c r="J27" s="6" t="s">
        <v>55</v>
      </c>
      <c r="K27" s="6" t="s">
        <v>40</v>
      </c>
      <c r="L27" s="6" t="s">
        <v>41</v>
      </c>
      <c r="M27" s="6" t="s">
        <v>56</v>
      </c>
      <c r="N27" s="6" t="s">
        <v>57</v>
      </c>
      <c r="O27" s="6" t="s">
        <v>58</v>
      </c>
      <c r="P27" s="6" t="s">
        <v>59</v>
      </c>
      <c r="Q27" s="6" t="s">
        <v>77</v>
      </c>
      <c r="R27" s="6" t="s">
        <v>78</v>
      </c>
      <c r="S27" s="6" t="s">
        <v>79</v>
      </c>
    </row>
    <row r="28" spans="1:19" ht="18.75" customHeight="1" x14ac:dyDescent="0.2">
      <c r="A28" s="14" t="s">
        <v>0</v>
      </c>
      <c r="B28" s="14">
        <v>11</v>
      </c>
      <c r="C28" s="14">
        <v>31</v>
      </c>
      <c r="D28" s="14">
        <v>25</v>
      </c>
      <c r="E28" s="14">
        <v>39</v>
      </c>
      <c r="F28" s="14">
        <v>45.798392987582176</v>
      </c>
      <c r="G28" s="14">
        <v>38</v>
      </c>
      <c r="H28" s="14">
        <v>34</v>
      </c>
      <c r="I28" s="14">
        <v>26</v>
      </c>
      <c r="J28" s="14">
        <v>35</v>
      </c>
      <c r="K28" s="14">
        <v>72</v>
      </c>
      <c r="L28" s="14">
        <v>65</v>
      </c>
      <c r="M28" s="14">
        <v>31</v>
      </c>
      <c r="N28" s="14">
        <v>31</v>
      </c>
      <c r="O28" s="14">
        <v>15</v>
      </c>
      <c r="P28" s="7">
        <v>19</v>
      </c>
      <c r="Q28" s="7">
        <v>32</v>
      </c>
      <c r="R28" s="53">
        <v>33</v>
      </c>
      <c r="S28" s="53">
        <v>15</v>
      </c>
    </row>
    <row r="29" spans="1:19" ht="18.75" customHeight="1" x14ac:dyDescent="0.2">
      <c r="A29" s="15" t="s">
        <v>10</v>
      </c>
      <c r="B29" s="15">
        <v>5</v>
      </c>
      <c r="C29" s="15">
        <v>2</v>
      </c>
      <c r="D29" s="15">
        <v>6</v>
      </c>
      <c r="E29" s="15">
        <v>7</v>
      </c>
      <c r="F29" s="15">
        <v>26.309715120525929</v>
      </c>
      <c r="G29" s="15">
        <v>20</v>
      </c>
      <c r="H29" s="15">
        <v>20</v>
      </c>
      <c r="I29" s="15">
        <v>19</v>
      </c>
      <c r="J29" s="15">
        <v>31</v>
      </c>
      <c r="K29" s="15">
        <v>16</v>
      </c>
      <c r="L29" s="15">
        <v>14</v>
      </c>
      <c r="M29" s="15">
        <v>12</v>
      </c>
      <c r="N29" s="15">
        <v>14</v>
      </c>
      <c r="O29" s="15">
        <v>14</v>
      </c>
      <c r="P29" s="7">
        <v>22</v>
      </c>
      <c r="Q29" s="7">
        <v>41</v>
      </c>
      <c r="R29" s="53">
        <v>104</v>
      </c>
      <c r="S29" s="53">
        <v>29</v>
      </c>
    </row>
    <row r="30" spans="1:19" ht="18.75" customHeight="1" x14ac:dyDescent="0.2">
      <c r="A30" s="15" t="s">
        <v>3</v>
      </c>
      <c r="B30" s="15">
        <v>9</v>
      </c>
      <c r="C30" s="15">
        <v>12</v>
      </c>
      <c r="D30" s="15">
        <v>24</v>
      </c>
      <c r="E30" s="15">
        <v>22</v>
      </c>
      <c r="F30" s="15">
        <v>22.411979547114679</v>
      </c>
      <c r="G30" s="15">
        <v>48</v>
      </c>
      <c r="H30" s="15">
        <v>41</v>
      </c>
      <c r="I30" s="15">
        <v>23</v>
      </c>
      <c r="J30" s="15">
        <v>37</v>
      </c>
      <c r="K30" s="15">
        <v>28</v>
      </c>
      <c r="L30" s="15">
        <v>62</v>
      </c>
      <c r="M30" s="15">
        <v>67</v>
      </c>
      <c r="N30" s="15">
        <v>71</v>
      </c>
      <c r="O30" s="15">
        <v>25</v>
      </c>
      <c r="P30" s="7">
        <v>36</v>
      </c>
      <c r="Q30" s="7">
        <v>18</v>
      </c>
      <c r="R30" s="53">
        <v>41</v>
      </c>
      <c r="S30" s="53">
        <v>39</v>
      </c>
    </row>
    <row r="31" spans="1:19" ht="18.75" customHeight="1" x14ac:dyDescent="0.2">
      <c r="A31" s="15" t="s">
        <v>23</v>
      </c>
      <c r="B31" s="15">
        <v>4</v>
      </c>
      <c r="C31" s="15">
        <v>13</v>
      </c>
      <c r="D31" s="15">
        <v>1</v>
      </c>
      <c r="E31" s="15">
        <v>1</v>
      </c>
      <c r="F31" s="15">
        <v>0</v>
      </c>
      <c r="G31" s="15"/>
      <c r="H31" s="15" t="s">
        <v>61</v>
      </c>
      <c r="I31" s="15" t="s">
        <v>61</v>
      </c>
      <c r="J31" s="15">
        <v>5</v>
      </c>
      <c r="K31" s="15">
        <v>2</v>
      </c>
      <c r="L31" s="15">
        <v>1</v>
      </c>
      <c r="M31" s="15">
        <v>0</v>
      </c>
      <c r="N31" s="15">
        <v>0</v>
      </c>
      <c r="O31" s="15"/>
      <c r="P31" s="7">
        <v>19</v>
      </c>
      <c r="Q31" s="7">
        <v>11</v>
      </c>
      <c r="R31" s="53">
        <v>8</v>
      </c>
      <c r="S31" s="53">
        <v>13</v>
      </c>
    </row>
    <row r="32" spans="1:19" ht="18.75" customHeight="1" x14ac:dyDescent="0.2">
      <c r="A32" s="15" t="s">
        <v>25</v>
      </c>
      <c r="B32" s="15">
        <v>1</v>
      </c>
      <c r="C32" s="15">
        <v>5</v>
      </c>
      <c r="D32" s="15">
        <v>2</v>
      </c>
      <c r="E32" s="15"/>
      <c r="F32" s="15">
        <v>0</v>
      </c>
      <c r="G32" s="15"/>
      <c r="H32" s="15" t="s">
        <v>61</v>
      </c>
      <c r="I32" s="15" t="s">
        <v>61</v>
      </c>
      <c r="J32" s="15"/>
      <c r="K32" s="15">
        <v>4</v>
      </c>
      <c r="L32" s="15">
        <v>4</v>
      </c>
      <c r="M32" s="15">
        <v>0</v>
      </c>
      <c r="N32" s="15">
        <v>0</v>
      </c>
      <c r="O32" s="15"/>
      <c r="P32" s="7">
        <v>22</v>
      </c>
      <c r="Q32" s="7">
        <v>9</v>
      </c>
      <c r="R32" s="53">
        <v>1</v>
      </c>
      <c r="S32" s="53">
        <v>22</v>
      </c>
    </row>
    <row r="33" spans="1:19" ht="18.75" customHeight="1" x14ac:dyDescent="0.2">
      <c r="A33" s="15" t="s">
        <v>26</v>
      </c>
      <c r="B33" s="15">
        <v>1</v>
      </c>
      <c r="C33" s="15">
        <v>1</v>
      </c>
      <c r="D33" s="15">
        <v>5</v>
      </c>
      <c r="E33" s="15"/>
      <c r="F33" s="15">
        <v>0</v>
      </c>
      <c r="G33" s="15">
        <v>1</v>
      </c>
      <c r="H33" s="15">
        <v>1</v>
      </c>
      <c r="I33" s="15">
        <v>1</v>
      </c>
      <c r="J33" s="15">
        <v>1</v>
      </c>
      <c r="K33" s="15">
        <v>0</v>
      </c>
      <c r="L33" s="15">
        <v>2</v>
      </c>
      <c r="M33" s="15">
        <v>2</v>
      </c>
      <c r="N33" s="15">
        <v>2</v>
      </c>
      <c r="O33" s="15">
        <v>2</v>
      </c>
      <c r="P33" s="7">
        <v>16</v>
      </c>
      <c r="Q33" s="7">
        <v>7</v>
      </c>
      <c r="R33" s="53">
        <v>10</v>
      </c>
      <c r="S33" s="53">
        <v>11</v>
      </c>
    </row>
    <row r="34" spans="1:19" ht="18.75" customHeight="1" x14ac:dyDescent="0.2">
      <c r="A34" s="15" t="s">
        <v>27</v>
      </c>
      <c r="B34" s="15">
        <v>10</v>
      </c>
      <c r="C34" s="15">
        <v>21</v>
      </c>
      <c r="D34" s="15">
        <v>36</v>
      </c>
      <c r="E34" s="15">
        <v>25</v>
      </c>
      <c r="F34" s="15">
        <v>27.284149013878743</v>
      </c>
      <c r="G34" s="15">
        <v>17</v>
      </c>
      <c r="H34" s="15">
        <v>24</v>
      </c>
      <c r="I34" s="15">
        <v>22</v>
      </c>
      <c r="J34" s="15">
        <v>28</v>
      </c>
      <c r="K34" s="15">
        <v>19</v>
      </c>
      <c r="L34" s="15">
        <v>42</v>
      </c>
      <c r="M34" s="15">
        <v>39</v>
      </c>
      <c r="N34" s="15">
        <v>49</v>
      </c>
      <c r="O34" s="15">
        <v>18</v>
      </c>
      <c r="P34" s="7">
        <v>26</v>
      </c>
      <c r="Q34" s="7">
        <v>23</v>
      </c>
      <c r="R34" s="53">
        <v>39</v>
      </c>
      <c r="S34" s="53">
        <v>25</v>
      </c>
    </row>
    <row r="35" spans="1:19" ht="18.75" customHeight="1" x14ac:dyDescent="0.2">
      <c r="A35" s="15" t="s">
        <v>11</v>
      </c>
      <c r="B35" s="15">
        <v>0</v>
      </c>
      <c r="C35" s="15">
        <v>7</v>
      </c>
      <c r="D35" s="15">
        <v>8</v>
      </c>
      <c r="E35" s="15">
        <v>5</v>
      </c>
      <c r="F35" s="15">
        <v>1.9488677867056245</v>
      </c>
      <c r="G35" s="15">
        <v>2</v>
      </c>
      <c r="H35" s="15">
        <v>2</v>
      </c>
      <c r="I35" s="15">
        <v>2</v>
      </c>
      <c r="J35" s="15">
        <v>1</v>
      </c>
      <c r="K35" s="15">
        <v>3</v>
      </c>
      <c r="L35" s="15">
        <v>7</v>
      </c>
      <c r="M35" s="15">
        <v>1</v>
      </c>
      <c r="N35" s="15">
        <v>1</v>
      </c>
      <c r="O35" s="15">
        <v>2</v>
      </c>
      <c r="P35" s="7">
        <v>14</v>
      </c>
      <c r="Q35" s="7">
        <v>4</v>
      </c>
      <c r="R35" s="53">
        <v>5</v>
      </c>
      <c r="S35" s="53">
        <v>6</v>
      </c>
    </row>
    <row r="36" spans="1:19" ht="18.75" customHeight="1" x14ac:dyDescent="0.2">
      <c r="A36" s="15" t="s">
        <v>7</v>
      </c>
      <c r="B36" s="15">
        <v>9</v>
      </c>
      <c r="C36" s="15">
        <v>14</v>
      </c>
      <c r="D36" s="15"/>
      <c r="E36" s="15">
        <v>1</v>
      </c>
      <c r="F36" s="15">
        <v>1.9488677867056245</v>
      </c>
      <c r="G36" s="15">
        <v>1</v>
      </c>
      <c r="H36" s="15">
        <v>1</v>
      </c>
      <c r="I36" s="15">
        <v>1</v>
      </c>
      <c r="J36" s="15">
        <v>1</v>
      </c>
      <c r="K36" s="15">
        <v>5</v>
      </c>
      <c r="L36" s="15">
        <v>3</v>
      </c>
      <c r="M36" s="15">
        <v>6</v>
      </c>
      <c r="N36" s="15">
        <v>6</v>
      </c>
      <c r="O36" s="15">
        <v>1</v>
      </c>
      <c r="P36" s="7">
        <v>15</v>
      </c>
      <c r="Q36" s="7">
        <v>2</v>
      </c>
      <c r="R36" s="53">
        <v>2</v>
      </c>
      <c r="S36" s="53">
        <v>8</v>
      </c>
    </row>
    <row r="37" spans="1:19" ht="18.75" customHeight="1" x14ac:dyDescent="0.2">
      <c r="A37" s="15" t="s">
        <v>28</v>
      </c>
      <c r="B37" s="15">
        <v>26</v>
      </c>
      <c r="C37" s="15">
        <v>24</v>
      </c>
      <c r="D37" s="15">
        <v>156</v>
      </c>
      <c r="E37" s="15">
        <v>107</v>
      </c>
      <c r="F37" s="15">
        <v>85.750182615047464</v>
      </c>
      <c r="G37" s="15">
        <v>82</v>
      </c>
      <c r="H37" s="15">
        <v>51</v>
      </c>
      <c r="I37" s="15">
        <v>47</v>
      </c>
      <c r="J37" s="15">
        <v>45</v>
      </c>
      <c r="K37" s="15">
        <v>31</v>
      </c>
      <c r="L37" s="15">
        <v>40</v>
      </c>
      <c r="M37" s="15">
        <v>27</v>
      </c>
      <c r="N37" s="15">
        <v>26</v>
      </c>
      <c r="O37" s="15">
        <v>37</v>
      </c>
      <c r="P37" s="7">
        <v>37</v>
      </c>
      <c r="Q37" s="7">
        <v>13</v>
      </c>
      <c r="R37" s="53">
        <v>4</v>
      </c>
      <c r="S37" s="53">
        <v>27</v>
      </c>
    </row>
    <row r="38" spans="1:19" ht="18.75" customHeight="1" x14ac:dyDescent="0.2">
      <c r="A38" s="15" t="s">
        <v>4</v>
      </c>
      <c r="B38" s="15">
        <v>28</v>
      </c>
      <c r="C38" s="15">
        <v>46</v>
      </c>
      <c r="D38" s="15">
        <v>37</v>
      </c>
      <c r="E38" s="15">
        <v>42</v>
      </c>
      <c r="F38" s="15">
        <v>42.875091307523732</v>
      </c>
      <c r="G38" s="15">
        <v>64</v>
      </c>
      <c r="H38" s="15">
        <v>38</v>
      </c>
      <c r="I38" s="15">
        <v>29</v>
      </c>
      <c r="J38" s="15">
        <v>29</v>
      </c>
      <c r="K38" s="15">
        <v>42</v>
      </c>
      <c r="L38" s="15">
        <v>34</v>
      </c>
      <c r="M38" s="15">
        <v>42</v>
      </c>
      <c r="N38" s="15">
        <v>47</v>
      </c>
      <c r="O38" s="15">
        <v>2</v>
      </c>
      <c r="P38" s="7">
        <v>16</v>
      </c>
      <c r="Q38" s="7">
        <v>6</v>
      </c>
      <c r="R38" s="53">
        <v>22</v>
      </c>
      <c r="S38" s="53">
        <v>17</v>
      </c>
    </row>
    <row r="39" spans="1:19" ht="18.75" customHeight="1" x14ac:dyDescent="0.2">
      <c r="A39" s="15" t="s">
        <v>1</v>
      </c>
      <c r="B39" s="15">
        <v>10</v>
      </c>
      <c r="C39" s="15">
        <v>8</v>
      </c>
      <c r="D39" s="15">
        <v>9</v>
      </c>
      <c r="E39" s="15">
        <v>5</v>
      </c>
      <c r="F39" s="15">
        <v>6.8210372534696857</v>
      </c>
      <c r="G39" s="15">
        <v>2</v>
      </c>
      <c r="H39" s="15">
        <v>2</v>
      </c>
      <c r="I39" s="15">
        <v>5</v>
      </c>
      <c r="J39" s="15">
        <v>1</v>
      </c>
      <c r="K39" s="15">
        <v>2</v>
      </c>
      <c r="L39" s="15">
        <v>1</v>
      </c>
      <c r="M39" s="15">
        <v>1</v>
      </c>
      <c r="N39" s="15">
        <v>1</v>
      </c>
      <c r="O39" s="15">
        <v>3</v>
      </c>
      <c r="P39" s="7">
        <v>10</v>
      </c>
      <c r="Q39" s="7">
        <v>3</v>
      </c>
      <c r="R39" s="53">
        <v>4</v>
      </c>
      <c r="S39" s="53">
        <v>6</v>
      </c>
    </row>
    <row r="40" spans="1:19" ht="18.75" customHeight="1" x14ac:dyDescent="0.2">
      <c r="A40" s="15" t="s">
        <v>24</v>
      </c>
      <c r="B40" s="15">
        <v>9</v>
      </c>
      <c r="C40" s="15">
        <v>59</v>
      </c>
      <c r="D40" s="15">
        <v>83</v>
      </c>
      <c r="E40" s="15">
        <v>49</v>
      </c>
      <c r="F40" s="15">
        <v>46.772826880934993</v>
      </c>
      <c r="G40" s="15">
        <v>97</v>
      </c>
      <c r="H40" s="15">
        <v>26</v>
      </c>
      <c r="I40" s="15">
        <v>26</v>
      </c>
      <c r="J40" s="15">
        <v>19</v>
      </c>
      <c r="K40" s="15">
        <v>15</v>
      </c>
      <c r="L40" s="15">
        <v>29</v>
      </c>
      <c r="M40" s="15">
        <v>37</v>
      </c>
      <c r="N40" s="15">
        <v>39</v>
      </c>
      <c r="O40" s="15">
        <v>11</v>
      </c>
      <c r="P40" s="7">
        <v>15</v>
      </c>
      <c r="Q40" s="7">
        <v>6</v>
      </c>
      <c r="R40" s="53">
        <v>15</v>
      </c>
      <c r="S40" s="53">
        <v>14</v>
      </c>
    </row>
    <row r="41" spans="1:19" ht="18.75" customHeight="1" x14ac:dyDescent="0.2">
      <c r="A41" s="15" t="s">
        <v>8</v>
      </c>
      <c r="B41" s="15">
        <v>4</v>
      </c>
      <c r="C41" s="15">
        <v>8</v>
      </c>
      <c r="D41" s="15">
        <v>17</v>
      </c>
      <c r="E41" s="15">
        <v>35</v>
      </c>
      <c r="F41" s="15">
        <v>28.258582907231556</v>
      </c>
      <c r="G41" s="15">
        <v>16</v>
      </c>
      <c r="H41" s="15">
        <v>34</v>
      </c>
      <c r="I41" s="15">
        <v>13</v>
      </c>
      <c r="J41" s="15">
        <v>11</v>
      </c>
      <c r="K41" s="15">
        <v>8</v>
      </c>
      <c r="L41" s="15">
        <v>9</v>
      </c>
      <c r="M41" s="15">
        <v>11</v>
      </c>
      <c r="N41" s="15">
        <v>16</v>
      </c>
      <c r="O41" s="15">
        <v>11</v>
      </c>
      <c r="P41" s="7">
        <v>12</v>
      </c>
      <c r="Q41" s="7">
        <v>2</v>
      </c>
      <c r="R41" s="53">
        <v>4</v>
      </c>
      <c r="S41" s="53">
        <v>6</v>
      </c>
    </row>
    <row r="42" spans="1:19" ht="18.75" customHeight="1" x14ac:dyDescent="0.2">
      <c r="A42" s="15" t="s">
        <v>5</v>
      </c>
      <c r="B42" s="15">
        <v>8</v>
      </c>
      <c r="C42" s="15">
        <v>8</v>
      </c>
      <c r="D42" s="15"/>
      <c r="E42" s="15"/>
      <c r="F42" s="15">
        <v>0</v>
      </c>
      <c r="G42" s="15"/>
      <c r="H42" s="15" t="s">
        <v>61</v>
      </c>
      <c r="I42" s="15">
        <v>1</v>
      </c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7">
        <v>10</v>
      </c>
      <c r="Q42" s="7">
        <v>9</v>
      </c>
      <c r="R42" s="53">
        <v>14</v>
      </c>
      <c r="S42" s="53">
        <v>11</v>
      </c>
    </row>
    <row r="43" spans="1:19" ht="18.75" customHeight="1" x14ac:dyDescent="0.2">
      <c r="A43" s="15" t="s">
        <v>9</v>
      </c>
      <c r="B43" s="15">
        <v>6</v>
      </c>
      <c r="C43" s="15">
        <v>4</v>
      </c>
      <c r="D43" s="15">
        <v>18</v>
      </c>
      <c r="E43" s="15">
        <v>7</v>
      </c>
      <c r="F43" s="15">
        <v>10.718772826880933</v>
      </c>
      <c r="G43" s="15">
        <v>7</v>
      </c>
      <c r="H43" s="15">
        <v>10</v>
      </c>
      <c r="I43" s="15">
        <v>8</v>
      </c>
      <c r="J43" s="15">
        <v>3</v>
      </c>
      <c r="K43" s="15">
        <v>5</v>
      </c>
      <c r="L43" s="15">
        <v>15</v>
      </c>
      <c r="M43" s="15">
        <v>13</v>
      </c>
      <c r="N43" s="15">
        <v>18</v>
      </c>
      <c r="O43" s="15">
        <v>23</v>
      </c>
      <c r="P43" s="7">
        <v>24</v>
      </c>
      <c r="Q43" s="7">
        <v>26</v>
      </c>
      <c r="R43" s="53">
        <v>51</v>
      </c>
      <c r="S43" s="53">
        <v>23</v>
      </c>
    </row>
    <row r="44" spans="1:19" ht="18.75" customHeight="1" x14ac:dyDescent="0.2">
      <c r="A44" s="15" t="s">
        <v>2</v>
      </c>
      <c r="B44" s="15">
        <v>22</v>
      </c>
      <c r="C44" s="15">
        <v>17</v>
      </c>
      <c r="D44" s="15">
        <v>100</v>
      </c>
      <c r="E44" s="15">
        <v>92</v>
      </c>
      <c r="F44" s="15">
        <v>92.571219868517176</v>
      </c>
      <c r="G44" s="15">
        <v>131</v>
      </c>
      <c r="H44" s="15">
        <v>130</v>
      </c>
      <c r="I44" s="15">
        <v>124</v>
      </c>
      <c r="J44" s="15">
        <v>79</v>
      </c>
      <c r="K44" s="15">
        <v>31</v>
      </c>
      <c r="L44" s="15">
        <v>128</v>
      </c>
      <c r="M44" s="15">
        <v>106</v>
      </c>
      <c r="N44" s="15">
        <v>104</v>
      </c>
      <c r="O44" s="15">
        <v>84</v>
      </c>
      <c r="P44" s="7">
        <v>90</v>
      </c>
      <c r="Q44" s="7">
        <v>119</v>
      </c>
      <c r="R44" s="53">
        <v>90</v>
      </c>
      <c r="S44" s="53">
        <v>90</v>
      </c>
    </row>
    <row r="45" spans="1:19" ht="18.75" customHeight="1" x14ac:dyDescent="0.2">
      <c r="A45" s="18" t="s">
        <v>6</v>
      </c>
      <c r="B45" s="18">
        <v>27</v>
      </c>
      <c r="C45" s="18">
        <v>7</v>
      </c>
      <c r="D45" s="18">
        <v>22</v>
      </c>
      <c r="E45" s="18">
        <v>17</v>
      </c>
      <c r="F45" s="18">
        <v>4.8721694667640607</v>
      </c>
      <c r="G45" s="18">
        <v>99</v>
      </c>
      <c r="H45" s="18">
        <v>161</v>
      </c>
      <c r="I45" s="18">
        <v>134</v>
      </c>
      <c r="J45" s="18">
        <v>33</v>
      </c>
      <c r="K45" s="18">
        <v>35</v>
      </c>
      <c r="L45" s="18">
        <v>50</v>
      </c>
      <c r="M45" s="18">
        <v>80</v>
      </c>
      <c r="N45" s="18">
        <v>79</v>
      </c>
      <c r="O45" s="18">
        <v>31</v>
      </c>
      <c r="P45" s="7">
        <v>33</v>
      </c>
      <c r="Q45" s="7">
        <v>26</v>
      </c>
      <c r="R45" s="53">
        <v>26</v>
      </c>
      <c r="S45" s="53">
        <v>41</v>
      </c>
    </row>
    <row r="46" spans="1:19" ht="18.75" customHeight="1" x14ac:dyDescent="0.2">
      <c r="A46" s="19" t="s">
        <v>31</v>
      </c>
      <c r="B46" s="19">
        <f t="shared" ref="B46:G46" si="0">SUM(B28:B45)</f>
        <v>190</v>
      </c>
      <c r="C46" s="19">
        <f t="shared" si="0"/>
        <v>287</v>
      </c>
      <c r="D46" s="19">
        <f t="shared" si="0"/>
        <v>549</v>
      </c>
      <c r="E46" s="19">
        <f t="shared" si="0"/>
        <v>454</v>
      </c>
      <c r="F46" s="19">
        <f t="shared" si="0"/>
        <v>444.34185536888236</v>
      </c>
      <c r="G46" s="19">
        <f t="shared" si="0"/>
        <v>625</v>
      </c>
      <c r="H46" s="54">
        <v>575</v>
      </c>
      <c r="I46" s="54">
        <v>481</v>
      </c>
      <c r="J46" s="54">
        <v>359</v>
      </c>
      <c r="K46" s="54">
        <v>318</v>
      </c>
      <c r="L46" s="54">
        <f>SUM(L28:L45)</f>
        <v>506</v>
      </c>
      <c r="M46" s="54">
        <f>SUM(M28:M45)</f>
        <v>475</v>
      </c>
      <c r="N46" s="54">
        <f>SUM(N28:N45)</f>
        <v>504</v>
      </c>
      <c r="O46" s="55">
        <f>SUM(O28:O45)</f>
        <v>279</v>
      </c>
      <c r="P46" s="55">
        <v>436</v>
      </c>
      <c r="Q46" s="55">
        <v>357</v>
      </c>
      <c r="R46" s="56">
        <f>SUM(R28:R45)</f>
        <v>473</v>
      </c>
      <c r="S46" s="56">
        <v>403</v>
      </c>
    </row>
    <row r="47" spans="1:19" ht="18.75" customHeight="1" x14ac:dyDescent="0.2">
      <c r="A47" s="13" t="s">
        <v>62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9" ht="18.7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29" ht="18.75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29" ht="18.75" customHeight="1" x14ac:dyDescent="0.2">
      <c r="A50" s="11" t="s">
        <v>69</v>
      </c>
    </row>
    <row r="51" spans="1:29" ht="18.75" customHeight="1" x14ac:dyDescent="0.2">
      <c r="A51" s="60" t="s">
        <v>38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</row>
    <row r="52" spans="1:29" ht="18.75" customHeight="1" x14ac:dyDescent="0.2">
      <c r="A52" s="61"/>
      <c r="B52" s="2" t="s">
        <v>45</v>
      </c>
      <c r="C52" s="3">
        <v>2021</v>
      </c>
      <c r="D52" s="2" t="s">
        <v>49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54</v>
      </c>
      <c r="J52" s="2" t="s">
        <v>55</v>
      </c>
      <c r="K52" s="2" t="s">
        <v>40</v>
      </c>
      <c r="L52" s="2" t="s">
        <v>41</v>
      </c>
      <c r="M52" s="2" t="s">
        <v>56</v>
      </c>
      <c r="N52" s="5" t="s">
        <v>57</v>
      </c>
      <c r="O52" s="5" t="s">
        <v>58</v>
      </c>
      <c r="P52" s="5" t="s">
        <v>59</v>
      </c>
      <c r="Q52" s="5" t="s">
        <v>77</v>
      </c>
      <c r="R52" s="5" t="s">
        <v>78</v>
      </c>
      <c r="S52" s="5" t="s">
        <v>79</v>
      </c>
    </row>
    <row r="53" spans="1:29" ht="18.75" customHeight="1" x14ac:dyDescent="0.2">
      <c r="A53" s="14" t="s">
        <v>0</v>
      </c>
      <c r="B53" s="14">
        <v>0</v>
      </c>
      <c r="C53" s="14">
        <v>6</v>
      </c>
      <c r="D53" s="14">
        <v>6</v>
      </c>
      <c r="E53" s="14">
        <v>2</v>
      </c>
      <c r="F53" s="14">
        <v>0.97443389335281205</v>
      </c>
      <c r="G53" s="14">
        <v>2</v>
      </c>
      <c r="H53" s="14" t="s">
        <v>61</v>
      </c>
      <c r="I53" s="14" t="s">
        <v>61</v>
      </c>
      <c r="J53" s="14">
        <v>0</v>
      </c>
      <c r="K53" s="14">
        <v>0</v>
      </c>
      <c r="L53" s="14">
        <v>1</v>
      </c>
      <c r="M53" s="14">
        <v>1</v>
      </c>
      <c r="N53" s="14">
        <v>1</v>
      </c>
      <c r="O53" s="14">
        <v>3</v>
      </c>
      <c r="P53" s="7">
        <v>3</v>
      </c>
      <c r="Q53" s="7">
        <v>2</v>
      </c>
      <c r="R53" s="53">
        <v>3</v>
      </c>
      <c r="S53" s="53">
        <v>16</v>
      </c>
    </row>
    <row r="54" spans="1:29" ht="18.75" customHeight="1" x14ac:dyDescent="0.2">
      <c r="A54" s="15" t="s">
        <v>10</v>
      </c>
      <c r="B54" s="15">
        <v>0</v>
      </c>
      <c r="C54" s="15">
        <v>0</v>
      </c>
      <c r="D54" s="15">
        <v>1</v>
      </c>
      <c r="E54" s="15">
        <v>0</v>
      </c>
      <c r="F54" s="15">
        <v>0</v>
      </c>
      <c r="G54" s="15">
        <v>0</v>
      </c>
      <c r="H54" s="15" t="s">
        <v>61</v>
      </c>
      <c r="I54" s="15">
        <v>1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7">
        <v>15</v>
      </c>
      <c r="Q54" s="7">
        <v>9</v>
      </c>
      <c r="R54" s="53">
        <v>2</v>
      </c>
      <c r="S54" s="53">
        <v>36</v>
      </c>
    </row>
    <row r="55" spans="1:29" ht="18.75" customHeight="1" x14ac:dyDescent="0.2">
      <c r="A55" s="15" t="s">
        <v>3</v>
      </c>
      <c r="B55" s="15">
        <v>0</v>
      </c>
      <c r="C55" s="15">
        <v>1</v>
      </c>
      <c r="D55" s="15">
        <v>0</v>
      </c>
      <c r="E55" s="15">
        <v>0</v>
      </c>
      <c r="F55" s="15">
        <v>0</v>
      </c>
      <c r="G55" s="15">
        <v>0</v>
      </c>
      <c r="H55" s="15" t="s">
        <v>61</v>
      </c>
      <c r="I55" s="15" t="s">
        <v>61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7">
        <v>19</v>
      </c>
      <c r="Q55" s="7">
        <v>1</v>
      </c>
      <c r="R55" s="53">
        <v>1</v>
      </c>
      <c r="S55" s="53">
        <v>59</v>
      </c>
    </row>
    <row r="56" spans="1:29" ht="18.75" customHeight="1" x14ac:dyDescent="0.2">
      <c r="A56" s="15" t="s">
        <v>23</v>
      </c>
      <c r="B56" s="15">
        <v>2</v>
      </c>
      <c r="C56" s="15">
        <v>7</v>
      </c>
      <c r="D56" s="15">
        <v>10</v>
      </c>
      <c r="E56" s="15">
        <v>9</v>
      </c>
      <c r="F56" s="15">
        <v>3.8977355734112482</v>
      </c>
      <c r="G56" s="15">
        <v>2</v>
      </c>
      <c r="H56" s="15">
        <v>11</v>
      </c>
      <c r="I56" s="15">
        <v>11</v>
      </c>
      <c r="J56" s="15">
        <v>10</v>
      </c>
      <c r="K56" s="15">
        <v>20</v>
      </c>
      <c r="L56" s="15">
        <v>16</v>
      </c>
      <c r="M56" s="15">
        <v>14</v>
      </c>
      <c r="N56" s="15">
        <v>15</v>
      </c>
      <c r="O56" s="15">
        <v>5</v>
      </c>
      <c r="P56" s="7">
        <v>16</v>
      </c>
      <c r="Q56" s="7">
        <v>2</v>
      </c>
      <c r="R56" s="53">
        <v>11</v>
      </c>
      <c r="S56" s="53">
        <v>18</v>
      </c>
    </row>
    <row r="57" spans="1:29" ht="18.75" customHeight="1" x14ac:dyDescent="0.2">
      <c r="A57" s="15" t="s">
        <v>25</v>
      </c>
      <c r="B57" s="15">
        <v>0</v>
      </c>
      <c r="C57" s="15">
        <v>4</v>
      </c>
      <c r="D57" s="15">
        <v>32</v>
      </c>
      <c r="E57" s="15">
        <v>18</v>
      </c>
      <c r="F57" s="15">
        <v>11.693206720233745</v>
      </c>
      <c r="G57" s="15">
        <v>7</v>
      </c>
      <c r="H57" s="15">
        <v>13</v>
      </c>
      <c r="I57" s="15">
        <v>3</v>
      </c>
      <c r="J57" s="15">
        <v>0</v>
      </c>
      <c r="K57" s="15">
        <v>9</v>
      </c>
      <c r="L57" s="15">
        <v>36</v>
      </c>
      <c r="M57" s="15">
        <v>39</v>
      </c>
      <c r="N57" s="15">
        <v>44</v>
      </c>
      <c r="O57" s="15">
        <v>7</v>
      </c>
      <c r="P57" s="7">
        <v>11</v>
      </c>
      <c r="Q57" s="7">
        <v>6</v>
      </c>
      <c r="R57" s="53">
        <v>3</v>
      </c>
      <c r="S57" s="53">
        <v>10</v>
      </c>
    </row>
    <row r="58" spans="1:29" ht="18.75" customHeight="1" x14ac:dyDescent="0.2">
      <c r="A58" s="15" t="s">
        <v>26</v>
      </c>
      <c r="B58" s="15">
        <v>0</v>
      </c>
      <c r="C58" s="15">
        <v>0</v>
      </c>
      <c r="D58" s="15">
        <v>1</v>
      </c>
      <c r="E58" s="15">
        <v>4</v>
      </c>
      <c r="F58" s="15">
        <v>0</v>
      </c>
      <c r="G58" s="15">
        <v>1</v>
      </c>
      <c r="H58" s="15">
        <v>2</v>
      </c>
      <c r="I58" s="15">
        <v>2</v>
      </c>
      <c r="J58" s="15">
        <v>1</v>
      </c>
      <c r="K58" s="15">
        <v>1</v>
      </c>
      <c r="L58" s="15">
        <v>0</v>
      </c>
      <c r="M58" s="15">
        <v>1</v>
      </c>
      <c r="N58" s="15">
        <v>1</v>
      </c>
      <c r="O58" s="15">
        <v>1</v>
      </c>
      <c r="P58" s="7">
        <v>14</v>
      </c>
      <c r="Q58" s="7">
        <v>3</v>
      </c>
      <c r="R58" s="53">
        <v>2</v>
      </c>
      <c r="S58" s="53">
        <v>14</v>
      </c>
    </row>
    <row r="59" spans="1:29" ht="18.75" customHeight="1" x14ac:dyDescent="0.2">
      <c r="A59" s="15" t="s">
        <v>27</v>
      </c>
      <c r="B59" s="15">
        <v>1</v>
      </c>
      <c r="C59" s="15">
        <v>1</v>
      </c>
      <c r="D59" s="15">
        <v>3</v>
      </c>
      <c r="E59" s="15">
        <v>1</v>
      </c>
      <c r="F59" s="15">
        <v>2.9233016800584362</v>
      </c>
      <c r="G59" s="15">
        <v>0</v>
      </c>
      <c r="H59" s="15" t="s">
        <v>61</v>
      </c>
      <c r="I59" s="15" t="s">
        <v>61</v>
      </c>
      <c r="J59" s="15">
        <v>2</v>
      </c>
      <c r="K59" s="15">
        <v>1</v>
      </c>
      <c r="L59" s="15">
        <v>2</v>
      </c>
      <c r="M59" s="15">
        <v>2</v>
      </c>
      <c r="N59" s="15">
        <v>2</v>
      </c>
      <c r="O59" s="15">
        <v>1</v>
      </c>
      <c r="P59" s="7">
        <v>18</v>
      </c>
      <c r="Q59" s="7">
        <v>2</v>
      </c>
      <c r="R59" s="53">
        <v>3</v>
      </c>
      <c r="S59" s="53">
        <v>9</v>
      </c>
    </row>
    <row r="60" spans="1:29" ht="18.75" customHeight="1" x14ac:dyDescent="0.2">
      <c r="A60" s="15" t="s">
        <v>11</v>
      </c>
      <c r="B60" s="15">
        <v>0</v>
      </c>
      <c r="C60" s="15">
        <v>0</v>
      </c>
      <c r="D60" s="15">
        <v>1</v>
      </c>
      <c r="E60" s="15">
        <v>2</v>
      </c>
      <c r="F60" s="15">
        <v>3.8977355734112482</v>
      </c>
      <c r="G60" s="15">
        <v>4</v>
      </c>
      <c r="H60" s="15">
        <v>4</v>
      </c>
      <c r="I60" s="15">
        <v>4</v>
      </c>
      <c r="J60" s="15">
        <v>7</v>
      </c>
      <c r="K60" s="15">
        <v>1</v>
      </c>
      <c r="L60" s="15">
        <v>3</v>
      </c>
      <c r="M60" s="15">
        <v>1</v>
      </c>
      <c r="N60" s="15">
        <v>1</v>
      </c>
      <c r="O60" s="15">
        <v>3</v>
      </c>
      <c r="P60" s="7">
        <v>11</v>
      </c>
      <c r="Q60" s="7">
        <v>2</v>
      </c>
      <c r="R60" s="53">
        <v>4</v>
      </c>
      <c r="S60" s="53">
        <v>6</v>
      </c>
    </row>
    <row r="61" spans="1:29" ht="18.75" customHeight="1" x14ac:dyDescent="0.2">
      <c r="A61" s="15" t="s">
        <v>7</v>
      </c>
      <c r="B61" s="15">
        <v>1</v>
      </c>
      <c r="C61" s="15">
        <v>1</v>
      </c>
      <c r="D61" s="15">
        <v>5</v>
      </c>
      <c r="E61" s="15">
        <v>7</v>
      </c>
      <c r="F61" s="15">
        <v>5.8466033601168723</v>
      </c>
      <c r="G61" s="15">
        <v>4</v>
      </c>
      <c r="H61" s="15">
        <v>11</v>
      </c>
      <c r="I61" s="15">
        <v>11</v>
      </c>
      <c r="J61" s="15">
        <v>4</v>
      </c>
      <c r="K61" s="15">
        <v>17</v>
      </c>
      <c r="L61" s="15">
        <v>9</v>
      </c>
      <c r="M61" s="15">
        <v>15</v>
      </c>
      <c r="N61" s="15">
        <v>15</v>
      </c>
      <c r="O61" s="15">
        <v>5</v>
      </c>
      <c r="P61" s="7">
        <v>16</v>
      </c>
      <c r="Q61" s="7">
        <v>11</v>
      </c>
      <c r="R61" s="53">
        <v>6</v>
      </c>
      <c r="S61" s="53">
        <v>10</v>
      </c>
    </row>
    <row r="62" spans="1:29" ht="18.75" customHeight="1" x14ac:dyDescent="0.2">
      <c r="A62" s="15" t="s">
        <v>28</v>
      </c>
      <c r="B62" s="15">
        <v>5</v>
      </c>
      <c r="C62" s="15">
        <v>0</v>
      </c>
      <c r="D62" s="15">
        <v>17</v>
      </c>
      <c r="E62" s="15">
        <v>17</v>
      </c>
      <c r="F62" s="15">
        <v>16.565376186997806</v>
      </c>
      <c r="G62" s="15">
        <v>21</v>
      </c>
      <c r="H62" s="15">
        <v>11</v>
      </c>
      <c r="I62" s="15">
        <v>7</v>
      </c>
      <c r="J62" s="15">
        <v>12</v>
      </c>
      <c r="K62" s="15">
        <v>24</v>
      </c>
      <c r="L62" s="15">
        <v>18</v>
      </c>
      <c r="M62" s="15">
        <v>19</v>
      </c>
      <c r="N62" s="15">
        <v>17</v>
      </c>
      <c r="O62" s="15">
        <v>11</v>
      </c>
      <c r="P62" s="7">
        <v>15</v>
      </c>
      <c r="Q62" s="7">
        <v>12</v>
      </c>
      <c r="R62" s="53">
        <v>2</v>
      </c>
      <c r="S62" s="53">
        <v>18</v>
      </c>
    </row>
    <row r="63" spans="1:29" ht="18.75" customHeight="1" x14ac:dyDescent="0.2">
      <c r="A63" s="15" t="s">
        <v>4</v>
      </c>
      <c r="B63" s="15">
        <v>6</v>
      </c>
      <c r="C63" s="15">
        <v>12</v>
      </c>
      <c r="D63" s="15">
        <v>16</v>
      </c>
      <c r="E63" s="15">
        <v>17</v>
      </c>
      <c r="F63" s="15">
        <v>16.565376186997806</v>
      </c>
      <c r="G63" s="15">
        <v>26</v>
      </c>
      <c r="H63" s="15">
        <v>16</v>
      </c>
      <c r="I63" s="15">
        <v>11</v>
      </c>
      <c r="J63" s="15">
        <v>11</v>
      </c>
      <c r="K63" s="15">
        <v>24</v>
      </c>
      <c r="L63" s="15">
        <v>26</v>
      </c>
      <c r="M63" s="15">
        <v>34</v>
      </c>
      <c r="N63" s="15">
        <v>38</v>
      </c>
      <c r="O63" s="15">
        <v>8</v>
      </c>
      <c r="P63" s="7">
        <v>15</v>
      </c>
      <c r="Q63" s="7">
        <v>5</v>
      </c>
      <c r="R63" s="53">
        <v>14</v>
      </c>
      <c r="S63" s="53">
        <v>19</v>
      </c>
    </row>
    <row r="64" spans="1:29" ht="18.75" customHeight="1" x14ac:dyDescent="0.2">
      <c r="A64" s="15" t="s">
        <v>1</v>
      </c>
      <c r="B64" s="15">
        <v>1</v>
      </c>
      <c r="C64" s="15">
        <v>3</v>
      </c>
      <c r="D64" s="15">
        <v>8</v>
      </c>
      <c r="E64" s="15">
        <v>8</v>
      </c>
      <c r="F64" s="15">
        <v>3.8977355734112482</v>
      </c>
      <c r="G64" s="15">
        <v>10</v>
      </c>
      <c r="H64" s="15">
        <v>1</v>
      </c>
      <c r="I64" s="15">
        <v>1</v>
      </c>
      <c r="J64" s="15">
        <v>2</v>
      </c>
      <c r="K64" s="15">
        <v>6</v>
      </c>
      <c r="L64" s="15">
        <v>0</v>
      </c>
      <c r="M64" s="15">
        <v>1</v>
      </c>
      <c r="N64" s="15">
        <v>1</v>
      </c>
      <c r="O64" s="15">
        <v>0</v>
      </c>
      <c r="P64" s="7">
        <v>12</v>
      </c>
      <c r="Q64" s="7">
        <v>11</v>
      </c>
      <c r="R64" s="53">
        <v>6</v>
      </c>
      <c r="S64" s="53">
        <v>19</v>
      </c>
    </row>
    <row r="65" spans="1:19" ht="18.75" customHeight="1" x14ac:dyDescent="0.2">
      <c r="A65" s="15" t="s">
        <v>24</v>
      </c>
      <c r="B65" s="15">
        <v>2</v>
      </c>
      <c r="C65" s="15">
        <v>8</v>
      </c>
      <c r="D65" s="15">
        <v>18</v>
      </c>
      <c r="E65" s="15">
        <v>15</v>
      </c>
      <c r="F65" s="15">
        <v>13.642074506939371</v>
      </c>
      <c r="G65" s="15">
        <v>22</v>
      </c>
      <c r="H65" s="15">
        <v>22</v>
      </c>
      <c r="I65" s="15">
        <v>19</v>
      </c>
      <c r="J65" s="15">
        <v>39</v>
      </c>
      <c r="K65" s="15">
        <v>34</v>
      </c>
      <c r="L65" s="15">
        <v>51</v>
      </c>
      <c r="M65" s="15">
        <v>43</v>
      </c>
      <c r="N65" s="15">
        <v>46</v>
      </c>
      <c r="O65" s="15">
        <v>8</v>
      </c>
      <c r="P65" s="7">
        <v>11</v>
      </c>
      <c r="Q65" s="7">
        <v>10</v>
      </c>
      <c r="R65" s="53">
        <v>21</v>
      </c>
      <c r="S65" s="53">
        <v>11</v>
      </c>
    </row>
    <row r="66" spans="1:19" ht="18.75" customHeight="1" x14ac:dyDescent="0.2">
      <c r="A66" s="15" t="s">
        <v>8</v>
      </c>
      <c r="B66" s="15">
        <v>0</v>
      </c>
      <c r="C66" s="15">
        <v>0</v>
      </c>
      <c r="D66" s="15">
        <v>0</v>
      </c>
      <c r="E66" s="15">
        <v>0</v>
      </c>
      <c r="F66" s="15">
        <v>0.97443389335281205</v>
      </c>
      <c r="G66" s="15">
        <v>1</v>
      </c>
      <c r="H66" s="15" t="s">
        <v>61</v>
      </c>
      <c r="I66" s="15" t="s">
        <v>61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7">
        <v>8</v>
      </c>
      <c r="Q66" s="7">
        <v>4</v>
      </c>
      <c r="R66" s="53">
        <v>6</v>
      </c>
      <c r="S66" s="53">
        <v>14</v>
      </c>
    </row>
    <row r="67" spans="1:19" ht="18.75" customHeight="1" x14ac:dyDescent="0.2">
      <c r="A67" s="15" t="s">
        <v>5</v>
      </c>
      <c r="B67" s="15">
        <v>1</v>
      </c>
      <c r="C67" s="15">
        <v>1</v>
      </c>
      <c r="D67" s="15">
        <v>11</v>
      </c>
      <c r="E67" s="15">
        <v>8</v>
      </c>
      <c r="F67" s="15">
        <v>3.8977355734112482</v>
      </c>
      <c r="G67" s="15">
        <v>6</v>
      </c>
      <c r="H67" s="15">
        <v>3</v>
      </c>
      <c r="I67" s="15">
        <v>4</v>
      </c>
      <c r="J67" s="15">
        <v>2</v>
      </c>
      <c r="K67" s="15">
        <v>1</v>
      </c>
      <c r="L67" s="15">
        <v>1</v>
      </c>
      <c r="M67" s="15">
        <v>2</v>
      </c>
      <c r="N67" s="15">
        <v>2</v>
      </c>
      <c r="O67" s="15">
        <v>0</v>
      </c>
      <c r="P67" s="7">
        <v>10</v>
      </c>
      <c r="Q67" s="7">
        <v>1</v>
      </c>
      <c r="R67" s="53">
        <v>2</v>
      </c>
      <c r="S67" s="53">
        <v>12</v>
      </c>
    </row>
    <row r="68" spans="1:19" ht="18.75" customHeight="1" x14ac:dyDescent="0.2">
      <c r="A68" s="15" t="s">
        <v>9</v>
      </c>
      <c r="B68" s="15">
        <v>0</v>
      </c>
      <c r="C68" s="15">
        <v>0</v>
      </c>
      <c r="D68" s="15">
        <v>1</v>
      </c>
      <c r="E68" s="15">
        <v>1</v>
      </c>
      <c r="F68" s="15">
        <v>0</v>
      </c>
      <c r="G68" s="15">
        <v>0</v>
      </c>
      <c r="H68" s="15" t="s">
        <v>61</v>
      </c>
      <c r="I68" s="15" t="s">
        <v>61</v>
      </c>
      <c r="J68" s="15">
        <v>0</v>
      </c>
      <c r="K68" s="15">
        <v>1</v>
      </c>
      <c r="L68" s="15">
        <v>1</v>
      </c>
      <c r="M68" s="15">
        <v>1</v>
      </c>
      <c r="N68" s="15">
        <v>1</v>
      </c>
      <c r="O68" s="15">
        <v>1</v>
      </c>
      <c r="P68" s="7">
        <v>12</v>
      </c>
      <c r="Q68" s="7">
        <v>1</v>
      </c>
      <c r="R68" s="53">
        <v>2</v>
      </c>
      <c r="S68" s="53">
        <v>16</v>
      </c>
    </row>
    <row r="69" spans="1:19" ht="18.75" customHeight="1" x14ac:dyDescent="0.2">
      <c r="A69" s="15" t="s">
        <v>2</v>
      </c>
      <c r="B69" s="15">
        <v>0</v>
      </c>
      <c r="C69" s="15">
        <v>0</v>
      </c>
      <c r="D69" s="15">
        <v>15</v>
      </c>
      <c r="E69" s="15">
        <v>16</v>
      </c>
      <c r="F69" s="15">
        <v>16.565376186997806</v>
      </c>
      <c r="G69" s="15">
        <v>22</v>
      </c>
      <c r="H69" s="15">
        <v>23</v>
      </c>
      <c r="I69" s="15">
        <v>21</v>
      </c>
      <c r="J69" s="15">
        <v>22</v>
      </c>
      <c r="K69" s="15">
        <v>9</v>
      </c>
      <c r="L69" s="15">
        <v>22</v>
      </c>
      <c r="M69" s="15">
        <v>15</v>
      </c>
      <c r="N69" s="15">
        <v>15</v>
      </c>
      <c r="O69" s="15">
        <v>15</v>
      </c>
      <c r="P69" s="7">
        <v>16</v>
      </c>
      <c r="Q69" s="7">
        <v>20</v>
      </c>
      <c r="R69" s="53">
        <v>17</v>
      </c>
      <c r="S69" s="53">
        <v>17</v>
      </c>
    </row>
    <row r="70" spans="1:19" ht="18.75" customHeight="1" x14ac:dyDescent="0.2">
      <c r="A70" s="18" t="s">
        <v>6</v>
      </c>
      <c r="B70" s="18">
        <v>1</v>
      </c>
      <c r="C70" s="18">
        <v>0</v>
      </c>
      <c r="D70" s="18">
        <v>4</v>
      </c>
      <c r="E70" s="18">
        <v>6</v>
      </c>
      <c r="F70" s="18">
        <v>3.8977355734112482</v>
      </c>
      <c r="G70" s="18">
        <v>4</v>
      </c>
      <c r="H70" s="18">
        <v>13</v>
      </c>
      <c r="I70" s="18">
        <v>8</v>
      </c>
      <c r="J70" s="18">
        <v>6</v>
      </c>
      <c r="K70" s="18">
        <v>4</v>
      </c>
      <c r="L70" s="18">
        <v>35</v>
      </c>
      <c r="M70" s="18">
        <v>39</v>
      </c>
      <c r="N70" s="18">
        <v>41</v>
      </c>
      <c r="O70" s="18">
        <v>8</v>
      </c>
      <c r="P70" s="7">
        <v>9</v>
      </c>
      <c r="Q70" s="7">
        <v>21</v>
      </c>
      <c r="R70" s="53">
        <v>21</v>
      </c>
      <c r="S70" s="53">
        <v>19</v>
      </c>
    </row>
    <row r="71" spans="1:19" ht="18.75" customHeight="1" x14ac:dyDescent="0.2">
      <c r="A71" s="19" t="s">
        <v>31</v>
      </c>
      <c r="B71" s="19">
        <f t="shared" ref="B71:G71" si="1">SUM(B53:B70)</f>
        <v>20</v>
      </c>
      <c r="C71" s="19">
        <f t="shared" si="1"/>
        <v>44</v>
      </c>
      <c r="D71" s="19">
        <f t="shared" si="1"/>
        <v>149</v>
      </c>
      <c r="E71" s="19">
        <f t="shared" si="1"/>
        <v>131</v>
      </c>
      <c r="F71" s="19">
        <f t="shared" si="1"/>
        <v>105.23886048210372</v>
      </c>
      <c r="G71" s="19">
        <f t="shared" si="1"/>
        <v>132</v>
      </c>
      <c r="H71" s="19">
        <v>130</v>
      </c>
      <c r="I71" s="19">
        <v>103</v>
      </c>
      <c r="J71" s="19">
        <v>118</v>
      </c>
      <c r="K71" s="19">
        <v>152</v>
      </c>
      <c r="L71" s="19">
        <f>SUM(L53:L70)</f>
        <v>221</v>
      </c>
      <c r="M71" s="19">
        <f>SUM(M53:M70)</f>
        <v>227</v>
      </c>
      <c r="N71" s="19">
        <f>SUM(N53:N70)</f>
        <v>240</v>
      </c>
      <c r="O71" s="19">
        <f>SUM(O53:O70)</f>
        <v>77</v>
      </c>
      <c r="P71" s="19">
        <v>231</v>
      </c>
      <c r="Q71" s="19">
        <v>123</v>
      </c>
      <c r="R71" s="19">
        <f>SUM(R53:R70)</f>
        <v>126</v>
      </c>
      <c r="S71" s="19">
        <v>323</v>
      </c>
    </row>
    <row r="72" spans="1:19" ht="18.75" customHeight="1" x14ac:dyDescent="0.2">
      <c r="A72" s="13" t="s">
        <v>62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9" ht="18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4"/>
      <c r="L73" s="4"/>
    </row>
    <row r="74" spans="1:19" ht="18.75" customHeight="1" x14ac:dyDescent="0.2">
      <c r="K74" s="4"/>
      <c r="L74" s="4"/>
    </row>
    <row r="75" spans="1:19" ht="18.75" customHeight="1" x14ac:dyDescent="0.2">
      <c r="K75" s="4"/>
      <c r="L75" s="4"/>
    </row>
    <row r="76" spans="1:19" ht="18.75" customHeight="1" x14ac:dyDescent="0.2">
      <c r="K76" s="4"/>
      <c r="L76" s="4"/>
    </row>
    <row r="77" spans="1:19" ht="18.75" customHeight="1" x14ac:dyDescent="0.2">
      <c r="K77" s="4"/>
      <c r="L77" s="4"/>
    </row>
    <row r="78" spans="1:19" ht="18.75" customHeight="1" x14ac:dyDescent="0.2">
      <c r="K78" s="4"/>
      <c r="L78" s="4"/>
    </row>
    <row r="79" spans="1:19" ht="18.75" customHeight="1" x14ac:dyDescent="0.2">
      <c r="K79" s="4"/>
      <c r="L79" s="4"/>
    </row>
    <row r="80" spans="1:19" ht="18.75" customHeight="1" x14ac:dyDescent="0.2">
      <c r="K80" s="4"/>
      <c r="L80" s="4"/>
    </row>
    <row r="81" spans="11:12" ht="18.75" customHeight="1" x14ac:dyDescent="0.2">
      <c r="K81" s="4"/>
      <c r="L81" s="4"/>
    </row>
    <row r="82" spans="11:12" ht="18.75" customHeight="1" x14ac:dyDescent="0.2">
      <c r="K82" s="4"/>
      <c r="L82" s="4"/>
    </row>
    <row r="83" spans="11:12" ht="18.75" customHeight="1" x14ac:dyDescent="0.2">
      <c r="K83" s="4"/>
      <c r="L83" s="4"/>
    </row>
    <row r="84" spans="11:12" ht="18.75" customHeight="1" x14ac:dyDescent="0.2">
      <c r="K84" s="4"/>
      <c r="L84" s="4"/>
    </row>
    <row r="85" spans="11:12" ht="18.75" customHeight="1" x14ac:dyDescent="0.2">
      <c r="K85" s="4"/>
      <c r="L85" s="4"/>
    </row>
    <row r="86" spans="11:12" ht="18.75" customHeight="1" x14ac:dyDescent="0.2">
      <c r="K86" s="4"/>
      <c r="L86" s="4"/>
    </row>
    <row r="87" spans="11:12" ht="18.75" customHeight="1" x14ac:dyDescent="0.2">
      <c r="K87" s="4"/>
      <c r="L87" s="4"/>
    </row>
    <row r="88" spans="11:12" ht="18.75" customHeight="1" x14ac:dyDescent="0.2">
      <c r="K88" s="4"/>
      <c r="L88" s="4"/>
    </row>
    <row r="89" spans="11:12" ht="18.75" customHeight="1" x14ac:dyDescent="0.2">
      <c r="K89" s="4"/>
      <c r="L89" s="4"/>
    </row>
    <row r="90" spans="11:12" ht="18.75" customHeight="1" x14ac:dyDescent="0.2">
      <c r="K90" s="4"/>
      <c r="L90" s="4"/>
    </row>
  </sheetData>
  <mergeCells count="3">
    <mergeCell ref="A51:A52"/>
    <mergeCell ref="B51:O51"/>
    <mergeCell ref="P51:AC51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Obras_Província</vt:lpstr>
      <vt:lpstr>Custo_Mão_Obra</vt:lpstr>
      <vt:lpstr>Área_Bruta</vt:lpstr>
      <vt:lpstr>Materiais de Construção</vt:lpstr>
      <vt:lpstr>Obra por Destino</vt:lpstr>
      <vt:lpstr>Obra por Proposito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Artur</dc:creator>
  <cp:lastModifiedBy>Adao Fernando</cp:lastModifiedBy>
  <cp:lastPrinted>2025-10-24T08:47:23Z</cp:lastPrinted>
  <dcterms:created xsi:type="dcterms:W3CDTF">2021-04-22T11:20:51Z</dcterms:created>
  <dcterms:modified xsi:type="dcterms:W3CDTF">2026-03-06T13:19:13Z</dcterms:modified>
</cp:coreProperties>
</file>