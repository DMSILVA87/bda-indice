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.Nicolau\Documents\"/>
    </mc:Choice>
  </mc:AlternateContent>
  <xr:revisionPtr revIDLastSave="0" documentId="8_{C76B700F-EEED-4F6A-8098-BEB27CC60CEA}" xr6:coauthVersionLast="47" xr6:coauthVersionMax="47" xr10:uidLastSave="{00000000-0000-0000-0000-000000000000}"/>
  <bookViews>
    <workbookView xWindow="3210" yWindow="8325" windowWidth="13875" windowHeight="11295" firstSheet="2" activeTab="3" xr2:uid="{00000000-000D-0000-FFFF-FFFF00000000}"/>
  </bookViews>
  <sheets>
    <sheet name="Índice" sheetId="1" r:id="rId1"/>
    <sheet name="Variação periodo anterior" sheetId="2" r:id="rId2"/>
    <sheet name="Variação Homóloga " sheetId="3" r:id="rId3"/>
    <sheet name="Contribuição Trimestral" sheetId="4" r:id="rId4"/>
  </sheets>
  <definedNames>
    <definedName name="_xlnm._FilterDatabase" localSheetId="0" hidden="1">Índice!$A$1:$AA$27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4" l="1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C3" i="4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C3" i="3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4" i="2"/>
  <c r="Y26" i="2"/>
  <c r="Y27" i="2"/>
  <c r="Y4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Z18" i="2"/>
  <c r="AA18" i="2"/>
  <c r="AB18" i="2"/>
  <c r="AC18" i="2"/>
  <c r="AD18" i="2"/>
  <c r="AE18" i="2"/>
  <c r="AF18" i="2"/>
  <c r="AG18" i="2"/>
  <c r="AH18" i="2"/>
  <c r="AI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Z19" i="2"/>
  <c r="AA19" i="2"/>
  <c r="AB19" i="2"/>
  <c r="AC19" i="2"/>
  <c r="AD19" i="2"/>
  <c r="AE19" i="2"/>
  <c r="AF19" i="2"/>
  <c r="AG19" i="2"/>
  <c r="AH19" i="2"/>
  <c r="AI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Z20" i="2"/>
  <c r="AA20" i="2"/>
  <c r="AB20" i="2"/>
  <c r="AC20" i="2"/>
  <c r="AD20" i="2"/>
  <c r="AE20" i="2"/>
  <c r="AF20" i="2"/>
  <c r="AG20" i="2"/>
  <c r="AH20" i="2"/>
  <c r="AI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Z21" i="2"/>
  <c r="AA21" i="2"/>
  <c r="AB21" i="2"/>
  <c r="AC21" i="2"/>
  <c r="AD21" i="2"/>
  <c r="AE21" i="2"/>
  <c r="AF21" i="2"/>
  <c r="AG21" i="2"/>
  <c r="AH21" i="2"/>
  <c r="AI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Z22" i="2"/>
  <c r="AA22" i="2"/>
  <c r="AB22" i="2"/>
  <c r="AC22" i="2"/>
  <c r="AD22" i="2"/>
  <c r="AE22" i="2"/>
  <c r="AF22" i="2"/>
  <c r="AG22" i="2"/>
  <c r="AH22" i="2"/>
  <c r="AI22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Z24" i="2"/>
  <c r="AA24" i="2"/>
  <c r="AB24" i="2"/>
  <c r="AC24" i="2"/>
  <c r="AD24" i="2"/>
  <c r="AE24" i="2"/>
  <c r="AF24" i="2"/>
  <c r="AG24" i="2"/>
  <c r="AH24" i="2"/>
  <c r="AI24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Z26" i="2"/>
  <c r="AA26" i="2"/>
  <c r="AB26" i="2"/>
  <c r="AC26" i="2"/>
  <c r="AD26" i="2"/>
  <c r="AE26" i="2"/>
  <c r="AF26" i="2"/>
  <c r="AG26" i="2"/>
  <c r="AH26" i="2"/>
  <c r="AI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Z27" i="2"/>
  <c r="AA27" i="2"/>
  <c r="AB27" i="2"/>
  <c r="AC27" i="2"/>
  <c r="AD27" i="2"/>
  <c r="AE27" i="2"/>
  <c r="AF27" i="2"/>
  <c r="AG27" i="2"/>
  <c r="AH27" i="2"/>
  <c r="AI27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Z6" i="2"/>
  <c r="AA6" i="2"/>
  <c r="AB6" i="2"/>
  <c r="AC6" i="2"/>
  <c r="AD6" i="2"/>
  <c r="AE6" i="2"/>
  <c r="AF6" i="2"/>
  <c r="AG6" i="2"/>
  <c r="AH6" i="2"/>
  <c r="AI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Z7" i="2"/>
  <c r="AA7" i="2"/>
  <c r="AB7" i="2"/>
  <c r="AC7" i="2"/>
  <c r="AD7" i="2"/>
  <c r="AE7" i="2"/>
  <c r="AF7" i="2"/>
  <c r="AG7" i="2"/>
  <c r="AH7" i="2"/>
  <c r="AI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Z8" i="2"/>
  <c r="AA8" i="2"/>
  <c r="AB8" i="2"/>
  <c r="AC8" i="2"/>
  <c r="AD8" i="2"/>
  <c r="AE8" i="2"/>
  <c r="AF8" i="2"/>
  <c r="AG8" i="2"/>
  <c r="AH8" i="2"/>
  <c r="AI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Z9" i="2"/>
  <c r="AA9" i="2"/>
  <c r="AB9" i="2"/>
  <c r="AC9" i="2"/>
  <c r="AD9" i="2"/>
  <c r="AE9" i="2"/>
  <c r="AF9" i="2"/>
  <c r="AG9" i="2"/>
  <c r="AH9" i="2"/>
  <c r="AI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0" i="2"/>
  <c r="AA10" i="2"/>
  <c r="AB10" i="2"/>
  <c r="AC10" i="2"/>
  <c r="AD10" i="2"/>
  <c r="AE10" i="2"/>
  <c r="AF10" i="2"/>
  <c r="AG10" i="2"/>
  <c r="AH10" i="2"/>
  <c r="AI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Z11" i="2"/>
  <c r="AA11" i="2"/>
  <c r="AB11" i="2"/>
  <c r="AC11" i="2"/>
  <c r="AD11" i="2"/>
  <c r="AE11" i="2"/>
  <c r="AF11" i="2"/>
  <c r="AG11" i="2"/>
  <c r="AH11" i="2"/>
  <c r="AI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Z12" i="2"/>
  <c r="AA12" i="2"/>
  <c r="AB12" i="2"/>
  <c r="AC12" i="2"/>
  <c r="AD12" i="2"/>
  <c r="AE12" i="2"/>
  <c r="AF12" i="2"/>
  <c r="AG12" i="2"/>
  <c r="AH12" i="2"/>
  <c r="AI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Z13" i="2"/>
  <c r="AA13" i="2"/>
  <c r="AB13" i="2"/>
  <c r="AC13" i="2"/>
  <c r="AD13" i="2"/>
  <c r="AE13" i="2"/>
  <c r="AF13" i="2"/>
  <c r="AG13" i="2"/>
  <c r="AH13" i="2"/>
  <c r="AI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Z14" i="2"/>
  <c r="AA14" i="2"/>
  <c r="AB14" i="2"/>
  <c r="AC14" i="2"/>
  <c r="AD14" i="2"/>
  <c r="AE14" i="2"/>
  <c r="AF14" i="2"/>
  <c r="AG14" i="2"/>
  <c r="AH14" i="2"/>
  <c r="AI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Z15" i="2"/>
  <c r="AA15" i="2"/>
  <c r="AB15" i="2"/>
  <c r="AC15" i="2"/>
  <c r="AD15" i="2"/>
  <c r="AE15" i="2"/>
  <c r="AF15" i="2"/>
  <c r="AG15" i="2"/>
  <c r="AH15" i="2"/>
  <c r="AI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Z16" i="2"/>
  <c r="AA16" i="2"/>
  <c r="AB16" i="2"/>
  <c r="AC16" i="2"/>
  <c r="AD16" i="2"/>
  <c r="AE16" i="2"/>
  <c r="AF16" i="2"/>
  <c r="AG16" i="2"/>
  <c r="AH16" i="2"/>
  <c r="AI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Z17" i="2"/>
  <c r="AA17" i="2"/>
  <c r="AB17" i="2"/>
  <c r="AC17" i="2"/>
  <c r="AD17" i="2"/>
  <c r="AE17" i="2"/>
  <c r="AF17" i="2"/>
  <c r="AG17" i="2"/>
  <c r="AH17" i="2"/>
  <c r="AI17" i="2"/>
  <c r="D18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D19" i="2"/>
  <c r="D20" i="2"/>
  <c r="D21" i="2"/>
  <c r="D22" i="2"/>
  <c r="D24" i="2"/>
  <c r="D26" i="2"/>
  <c r="D27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4" i="2"/>
  <c r="C26" i="2"/>
  <c r="C27" i="2"/>
  <c r="C3" i="2"/>
</calcChain>
</file>

<file path=xl/sharedStrings.xml><?xml version="1.0" encoding="utf-8"?>
<sst xmlns="http://schemas.openxmlformats.org/spreadsheetml/2006/main" count="630" uniqueCount="101">
  <si>
    <t>Designação</t>
  </si>
  <si>
    <t>Código CAE Rev-2</t>
  </si>
  <si>
    <t>Ponderadores 2010</t>
  </si>
  <si>
    <t>2016_T4</t>
  </si>
  <si>
    <t>2017_T1</t>
  </si>
  <si>
    <t>2017_T2</t>
  </si>
  <si>
    <t>2017_T3</t>
  </si>
  <si>
    <t>2017_T4</t>
  </si>
  <si>
    <t>2018_T1</t>
  </si>
  <si>
    <t>2018_T2</t>
  </si>
  <si>
    <t>2018_T3</t>
  </si>
  <si>
    <t>2018_T4</t>
  </si>
  <si>
    <t>2019_T1</t>
  </si>
  <si>
    <t>2019_T2</t>
  </si>
  <si>
    <t>2019_T3</t>
  </si>
  <si>
    <t>2019_T4</t>
  </si>
  <si>
    <t>2020_T1</t>
  </si>
  <si>
    <t>2020_T2</t>
  </si>
  <si>
    <t>2020_T3</t>
  </si>
  <si>
    <t>2020_T4</t>
  </si>
  <si>
    <t>2021T1</t>
  </si>
  <si>
    <t>2021T2</t>
  </si>
  <si>
    <t>2021T3</t>
  </si>
  <si>
    <t>2021T4</t>
  </si>
  <si>
    <t>2022T1</t>
  </si>
  <si>
    <t>2022T2</t>
  </si>
  <si>
    <t>2022T3</t>
  </si>
  <si>
    <t>2022_T4</t>
  </si>
  <si>
    <t>2023_T1</t>
  </si>
  <si>
    <t>2023_T2</t>
  </si>
  <si>
    <t>2023_T3</t>
  </si>
  <si>
    <t>2023_T4</t>
  </si>
  <si>
    <t>INDÚSTRIA TOTAL</t>
  </si>
  <si>
    <t>BCDE</t>
  </si>
  <si>
    <t>B</t>
  </si>
  <si>
    <t>061_062</t>
  </si>
  <si>
    <t>081_091</t>
  </si>
  <si>
    <t>C</t>
  </si>
  <si>
    <t>10_12</t>
  </si>
  <si>
    <t>101_108</t>
  </si>
  <si>
    <t>11_12</t>
  </si>
  <si>
    <t>13_15</t>
  </si>
  <si>
    <t>17_18</t>
  </si>
  <si>
    <t>19_23</t>
  </si>
  <si>
    <t>24_25</t>
  </si>
  <si>
    <t>26_30</t>
  </si>
  <si>
    <t>31_33</t>
  </si>
  <si>
    <t>D</t>
  </si>
  <si>
    <t>E</t>
  </si>
  <si>
    <t>36_37</t>
  </si>
  <si>
    <t>2024_T1</t>
  </si>
  <si>
    <t>2024_T2</t>
  </si>
  <si>
    <t>2024_T3</t>
  </si>
  <si>
    <t>2024_T4</t>
  </si>
  <si>
    <t>Fonte: INE/Departamento de Estatísticas Económicas e Financeira</t>
  </si>
  <si>
    <t>Variação Homóloga</t>
  </si>
  <si>
    <t>Jan-25</t>
  </si>
  <si>
    <t>Fev-25</t>
  </si>
  <si>
    <t>Mar-25</t>
  </si>
  <si>
    <t>Abr-25</t>
  </si>
  <si>
    <t>Mai-25</t>
  </si>
  <si>
    <t>Jun-25</t>
  </si>
  <si>
    <t>Jul-25</t>
  </si>
  <si>
    <t>Ago-25</t>
  </si>
  <si>
    <t>ND</t>
  </si>
  <si>
    <t>ND  (Não Disponível)</t>
  </si>
  <si>
    <t>Indústrias Extractivas</t>
  </si>
  <si>
    <t>Extracção de Petróleo</t>
  </si>
  <si>
    <t>Extracção de Diamantes</t>
  </si>
  <si>
    <t>Resto das Indústrias Extractivas</t>
  </si>
  <si>
    <t>Indústrias Transformadoras</t>
  </si>
  <si>
    <t>Indústrias alimentares, das bebidas e do Tabaco</t>
  </si>
  <si>
    <t>Indústrias Alimentares</t>
  </si>
  <si>
    <t>Indústrias das bebidas e do Tabaco</t>
  </si>
  <si>
    <t>Fabricação de  téxteis, Vestuários e Calçados</t>
  </si>
  <si>
    <t xml:space="preserve">Indústrias de Madeira </t>
  </si>
  <si>
    <t>Fabricação de Pastas de Papel, Edição e Impressão</t>
  </si>
  <si>
    <t>Fabricação de Produtos Petrolíferos, Químicos e Outros</t>
  </si>
  <si>
    <t>Indústrias Metalúrgicas</t>
  </si>
  <si>
    <t>Fabricação de Máquinas, Equipamentos,  Aparelhos  e Automóveis</t>
  </si>
  <si>
    <t xml:space="preserve">Fabricação de Mobiliário, Colchões e Outras </t>
  </si>
  <si>
    <t>Producão e Distribuição de Electricidade, Gás e Vapor</t>
  </si>
  <si>
    <t>Produçao e Distribuiçao de Electricidade</t>
  </si>
  <si>
    <t>Captação, Tratamento e Distribuição de Água e Saneamento</t>
  </si>
  <si>
    <t xml:space="preserve">Captação, Tratamento e Distribuição de Água </t>
  </si>
  <si>
    <t>Bens Intermédios         (A1)</t>
  </si>
  <si>
    <t>Bens de Investimentos (A2)</t>
  </si>
  <si>
    <t>Bens de Consumo       (A3)</t>
  </si>
  <si>
    <t>Produtos de Energia    (A4)</t>
  </si>
  <si>
    <t>Ponderadores 2019</t>
  </si>
  <si>
    <t xml:space="preserve"> IPP (Indice de Preços no Produtorl </t>
  </si>
  <si>
    <t>Variação em relação ao período anterior</t>
  </si>
  <si>
    <t>Cotribuição em relação ao período homólogo</t>
  </si>
  <si>
    <t>Set-25</t>
  </si>
  <si>
    <t>Out-25</t>
  </si>
  <si>
    <t>Nov-25</t>
  </si>
  <si>
    <t>Dez-25</t>
  </si>
  <si>
    <t>Jan-26</t>
  </si>
  <si>
    <t>TOTAL DE BENS</t>
  </si>
  <si>
    <t>Fev-26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</si>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</sst>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165" fontId="4" fillId="0" borderId="0" xfId="0" applyNumberFormat="1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2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3" xfId="2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2" fontId="7" fillId="0" borderId="3" xfId="1" applyNumberFormat="1" applyFont="1" applyFill="1" applyBorder="1" applyAlignment="1">
      <alignment horizontal="center" vertical="center"/>
    </xf>
    <xf numFmtId="2" fontId="7" fillId="0" borderId="0" xfId="1" applyNumberFormat="1" applyFont="1" applyFill="1" applyBorder="1" applyAlignment="1">
      <alignment horizontal="center" vertical="center"/>
    </xf>
    <xf numFmtId="2" fontId="8" fillId="0" borderId="0" xfId="1" applyNumberFormat="1" applyFont="1" applyFill="1" applyBorder="1" applyAlignment="1">
      <alignment horizontal="center" vertical="center"/>
    </xf>
    <xf numFmtId="2" fontId="8" fillId="0" borderId="2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7" fillId="0" borderId="3" xfId="1" applyFont="1" applyFill="1" applyBorder="1" applyAlignment="1">
      <alignment horizontal="center" vertical="center"/>
    </xf>
    <xf numFmtId="164" fontId="7" fillId="0" borderId="0" xfId="1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horizontal="center" vertical="center"/>
    </xf>
    <xf numFmtId="164" fontId="8" fillId="0" borderId="2" xfId="1" applyFont="1" applyFill="1" applyBorder="1" applyAlignment="1">
      <alignment horizontal="center" vertical="center"/>
    </xf>
    <xf numFmtId="165" fontId="7" fillId="0" borderId="4" xfId="1" applyNumberFormat="1" applyFont="1" applyFill="1" applyBorder="1" applyAlignment="1">
      <alignment horizontal="center" vertical="center"/>
    </xf>
    <xf numFmtId="164" fontId="6" fillId="0" borderId="3" xfId="1" applyFont="1" applyFill="1" applyBorder="1" applyAlignment="1">
      <alignment horizontal="center" vertical="center"/>
    </xf>
    <xf numFmtId="164" fontId="6" fillId="0" borderId="0" xfId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4" fontId="9" fillId="0" borderId="2" xfId="1" applyFont="1" applyFill="1" applyBorder="1" applyAlignment="1">
      <alignment horizontal="center" vertical="center"/>
    </xf>
    <xf numFmtId="2" fontId="7" fillId="0" borderId="4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4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3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2" fontId="7" fillId="0" borderId="2" xfId="1" applyNumberFormat="1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7" fontId="6" fillId="0" borderId="0" xfId="0" applyNumberFormat="1" applyFont="1"/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9"/>
  <sheetViews>
    <sheetView showGridLines="0" topLeftCell="A7" workbookViewId="0">
      <pane xSplit="1" topLeftCell="AW1" activePane="topRight" state="frozen"/>
      <selection pane="topRight" activeCell="BB20" sqref="BB20"/>
    </sheetView>
  </sheetViews>
  <sheetFormatPr defaultColWidth="8.85546875" defaultRowHeight="20.45" customHeight="1" x14ac:dyDescent="0.2"/>
  <cols>
    <col min="1" max="1" width="55.42578125" style="5" customWidth="1"/>
    <col min="2" max="2" width="8.85546875" style="5"/>
    <col min="3" max="3" width="10.85546875" style="5" customWidth="1"/>
    <col min="4" max="36" width="8.85546875" style="5"/>
    <col min="37" max="37" width="10.85546875" style="5" customWidth="1"/>
    <col min="38" max="16384" width="8.85546875" style="5"/>
  </cols>
  <sheetData>
    <row r="1" spans="1:52" ht="20.45" customHeight="1" x14ac:dyDescent="0.2">
      <c r="A1" s="6" t="s">
        <v>90</v>
      </c>
    </row>
    <row r="2" spans="1:52" ht="25.5" customHeight="1" thickBot="1" x14ac:dyDescent="0.25">
      <c r="A2" s="37" t="s">
        <v>0</v>
      </c>
      <c r="B2" s="44" t="s">
        <v>1</v>
      </c>
      <c r="C2" s="44" t="s">
        <v>2</v>
      </c>
      <c r="D2" s="38" t="s">
        <v>3</v>
      </c>
      <c r="E2" s="38" t="s">
        <v>4</v>
      </c>
      <c r="F2" s="38" t="s">
        <v>5</v>
      </c>
      <c r="G2" s="38" t="s">
        <v>6</v>
      </c>
      <c r="H2" s="38" t="s">
        <v>7</v>
      </c>
      <c r="I2" s="38" t="s">
        <v>8</v>
      </c>
      <c r="J2" s="38" t="s">
        <v>9</v>
      </c>
      <c r="K2" s="38" t="s">
        <v>10</v>
      </c>
      <c r="L2" s="38" t="s">
        <v>11</v>
      </c>
      <c r="M2" s="38" t="s">
        <v>12</v>
      </c>
      <c r="N2" s="38" t="s">
        <v>13</v>
      </c>
      <c r="O2" s="38" t="s">
        <v>14</v>
      </c>
      <c r="P2" s="38" t="s">
        <v>15</v>
      </c>
      <c r="Q2" s="38" t="s">
        <v>16</v>
      </c>
      <c r="R2" s="38" t="s">
        <v>17</v>
      </c>
      <c r="S2" s="38" t="s">
        <v>18</v>
      </c>
      <c r="T2" s="38" t="s">
        <v>19</v>
      </c>
      <c r="U2" s="38" t="s">
        <v>20</v>
      </c>
      <c r="V2" s="38" t="s">
        <v>21</v>
      </c>
      <c r="W2" s="38" t="s">
        <v>22</v>
      </c>
      <c r="X2" s="38" t="s">
        <v>23</v>
      </c>
      <c r="Y2" s="38" t="s">
        <v>24</v>
      </c>
      <c r="Z2" s="38" t="s">
        <v>25</v>
      </c>
      <c r="AA2" s="38" t="s">
        <v>26</v>
      </c>
      <c r="AB2" s="37" t="s">
        <v>27</v>
      </c>
      <c r="AC2" s="37" t="s">
        <v>28</v>
      </c>
      <c r="AD2" s="37" t="s">
        <v>29</v>
      </c>
      <c r="AE2" s="37" t="s">
        <v>30</v>
      </c>
      <c r="AF2" s="37" t="s">
        <v>31</v>
      </c>
      <c r="AG2" s="37" t="s">
        <v>50</v>
      </c>
      <c r="AH2" s="37" t="s">
        <v>51</v>
      </c>
      <c r="AI2" s="37" t="s">
        <v>52</v>
      </c>
      <c r="AJ2" s="37" t="s">
        <v>53</v>
      </c>
      <c r="AK2" s="44" t="s">
        <v>89</v>
      </c>
      <c r="AL2" s="45" t="s">
        <v>56</v>
      </c>
      <c r="AM2" s="45" t="s">
        <v>57</v>
      </c>
      <c r="AN2" s="45" t="s">
        <v>58</v>
      </c>
      <c r="AO2" s="45" t="s">
        <v>59</v>
      </c>
      <c r="AP2" s="45" t="s">
        <v>60</v>
      </c>
      <c r="AQ2" s="45" t="s">
        <v>61</v>
      </c>
      <c r="AR2" s="45" t="s">
        <v>62</v>
      </c>
      <c r="AS2" s="45" t="s">
        <v>63</v>
      </c>
      <c r="AT2" s="45" t="s">
        <v>93</v>
      </c>
      <c r="AU2" s="45" t="s">
        <v>94</v>
      </c>
      <c r="AV2" s="45" t="s">
        <v>95</v>
      </c>
      <c r="AW2" s="45" t="s">
        <v>96</v>
      </c>
      <c r="AX2" s="45" t="s">
        <v>97</v>
      </c>
      <c r="AY2" s="45" t="s">
        <v>99</v>
      </c>
      <c r="AZ2" s="45" t="s">
        <v>100</v>
      </c>
    </row>
    <row r="3" spans="1:52" s="6" customFormat="1" ht="20.45" customHeight="1" thickBot="1" x14ac:dyDescent="0.25">
      <c r="A3" s="11" t="s">
        <v>32</v>
      </c>
      <c r="B3" s="12" t="s">
        <v>33</v>
      </c>
      <c r="C3" s="13">
        <v>100</v>
      </c>
      <c r="D3" s="27">
        <v>122.60038784017321</v>
      </c>
      <c r="E3" s="13">
        <v>143.63387366808234</v>
      </c>
      <c r="F3" s="14">
        <v>137.4120616930949</v>
      </c>
      <c r="G3" s="13">
        <v>130.8731566966874</v>
      </c>
      <c r="H3" s="13">
        <v>157.66380914658043</v>
      </c>
      <c r="I3" s="13">
        <v>172.21867494240689</v>
      </c>
      <c r="J3" s="13">
        <v>176.27854044065381</v>
      </c>
      <c r="K3" s="13">
        <v>187.36554907242788</v>
      </c>
      <c r="L3" s="13">
        <v>148.16894647784702</v>
      </c>
      <c r="M3" s="13">
        <v>186.6</v>
      </c>
      <c r="N3" s="13">
        <v>173.6</v>
      </c>
      <c r="O3" s="13">
        <v>167.47452254999999</v>
      </c>
      <c r="P3" s="13">
        <v>173.30731652999998</v>
      </c>
      <c r="Q3" s="13">
        <v>174.48814880251723</v>
      </c>
      <c r="R3" s="13">
        <v>166.82459728227894</v>
      </c>
      <c r="S3" s="13">
        <v>202.14573341953084</v>
      </c>
      <c r="T3" s="13">
        <v>208.20436198644157</v>
      </c>
      <c r="U3" s="32">
        <v>269.79738655623959</v>
      </c>
      <c r="V3" s="14">
        <v>297.39999999999998</v>
      </c>
      <c r="W3" s="14">
        <v>316.89999999999998</v>
      </c>
      <c r="X3" s="14">
        <v>294.69912885207981</v>
      </c>
      <c r="Y3" s="14">
        <v>358.50124507080795</v>
      </c>
      <c r="Z3" s="14">
        <v>392.95323506641608</v>
      </c>
      <c r="AA3" s="14">
        <v>353.03614357250791</v>
      </c>
      <c r="AB3" s="14">
        <v>307.7</v>
      </c>
      <c r="AC3" s="15">
        <v>281.65209033620846</v>
      </c>
      <c r="AD3" s="15">
        <v>274.82084899860217</v>
      </c>
      <c r="AE3" s="15">
        <v>306.10000000000002</v>
      </c>
      <c r="AF3" s="15">
        <v>300.38895604728822</v>
      </c>
      <c r="AG3" s="15">
        <v>296.89786908082323</v>
      </c>
      <c r="AH3" s="15">
        <v>302.25028723920479</v>
      </c>
      <c r="AI3" s="15">
        <v>286.41895163188104</v>
      </c>
      <c r="AJ3" s="15">
        <v>270.16181557333516</v>
      </c>
      <c r="AK3" s="46">
        <v>99.999999999999986</v>
      </c>
      <c r="AL3" s="47">
        <v>181.05800054663592</v>
      </c>
      <c r="AM3" s="47">
        <v>183.27706426108546</v>
      </c>
      <c r="AN3" s="47">
        <v>191.33247160624916</v>
      </c>
      <c r="AO3" s="47">
        <v>184.97247222692727</v>
      </c>
      <c r="AP3" s="47">
        <v>177.48549352459096</v>
      </c>
      <c r="AQ3" s="47">
        <v>188.14228043054649</v>
      </c>
      <c r="AR3" s="47">
        <v>187.07852721259627</v>
      </c>
      <c r="AS3" s="47">
        <v>182.7347930492061</v>
      </c>
      <c r="AT3" s="47">
        <v>180.41360049087484</v>
      </c>
      <c r="AU3" s="47">
        <v>174.82788865250797</v>
      </c>
      <c r="AV3" s="47">
        <v>166.0468411165271</v>
      </c>
      <c r="AW3" s="47">
        <v>164.24609711048797</v>
      </c>
      <c r="AX3" s="47">
        <v>173.16006478306559</v>
      </c>
      <c r="AY3" s="47">
        <v>178.52645644218305</v>
      </c>
      <c r="AZ3" s="47">
        <v>254.60688945976747</v>
      </c>
    </row>
    <row r="4" spans="1:52" s="6" customFormat="1" ht="20.45" customHeight="1" x14ac:dyDescent="0.2">
      <c r="A4" s="39" t="s">
        <v>66</v>
      </c>
      <c r="B4" s="7" t="s">
        <v>34</v>
      </c>
      <c r="C4" s="7">
        <v>87.2</v>
      </c>
      <c r="D4" s="28">
        <v>124.64471671025602</v>
      </c>
      <c r="E4" s="10">
        <v>149.13961926796398</v>
      </c>
      <c r="F4" s="3">
        <v>141.51562508240909</v>
      </c>
      <c r="G4" s="10">
        <v>133.86461360167633</v>
      </c>
      <c r="H4" s="10">
        <v>165.38496578207156</v>
      </c>
      <c r="I4" s="10">
        <v>182.45602361971964</v>
      </c>
      <c r="J4" s="10">
        <v>185.90370015500309</v>
      </c>
      <c r="K4" s="10">
        <v>198.30494886154816</v>
      </c>
      <c r="L4" s="10">
        <v>153.11641845429696</v>
      </c>
      <c r="M4" s="10">
        <v>205.5</v>
      </c>
      <c r="N4" s="10">
        <v>183.5</v>
      </c>
      <c r="O4" s="10">
        <v>175.84987459000001</v>
      </c>
      <c r="P4" s="10">
        <v>181.68163194649611</v>
      </c>
      <c r="Q4" s="10">
        <v>183.69010740073151</v>
      </c>
      <c r="R4" s="10">
        <v>173.3330289977763</v>
      </c>
      <c r="S4" s="10">
        <v>211.39576431337991</v>
      </c>
      <c r="T4" s="10">
        <v>220.64343952296085</v>
      </c>
      <c r="U4" s="33">
        <v>287.95346796585409</v>
      </c>
      <c r="V4" s="3">
        <v>319.3</v>
      </c>
      <c r="W4" s="3">
        <v>341.3</v>
      </c>
      <c r="X4" s="3">
        <v>316.18448932195133</v>
      </c>
      <c r="Y4" s="3">
        <v>388.4631138780515</v>
      </c>
      <c r="Z4" s="3">
        <v>427.64436618982029</v>
      </c>
      <c r="AA4" s="3">
        <v>381.72799535322685</v>
      </c>
      <c r="AB4" s="3">
        <v>329</v>
      </c>
      <c r="AC4" s="4">
        <v>298.64327724624292</v>
      </c>
      <c r="AD4" s="4">
        <v>290.35967134934441</v>
      </c>
      <c r="AE4" s="4">
        <v>325.3</v>
      </c>
      <c r="AF4" s="4">
        <v>318.05701904864713</v>
      </c>
      <c r="AG4" s="4">
        <v>313.35697755541264</v>
      </c>
      <c r="AH4" s="4">
        <v>319.0544111026183</v>
      </c>
      <c r="AI4" s="4">
        <v>300.51995658668977</v>
      </c>
      <c r="AJ4" s="4">
        <v>281.78587960534492</v>
      </c>
      <c r="AK4" s="22">
        <v>78.300091350742292</v>
      </c>
      <c r="AL4" s="48">
        <v>199.28775474469109</v>
      </c>
      <c r="AM4" s="48">
        <v>201.96864486215722</v>
      </c>
      <c r="AN4" s="48">
        <v>212.13453275220752</v>
      </c>
      <c r="AO4" s="48">
        <v>203.91102708157408</v>
      </c>
      <c r="AP4" s="48">
        <v>194.2871413731263</v>
      </c>
      <c r="AQ4" s="48">
        <v>207.26246788004408</v>
      </c>
      <c r="AR4" s="48">
        <v>205.74556584085295</v>
      </c>
      <c r="AS4" s="48">
        <v>200.09678454668565</v>
      </c>
      <c r="AT4" s="48">
        <v>197.04872229449342</v>
      </c>
      <c r="AU4" s="48">
        <v>189.78366176419379</v>
      </c>
      <c r="AV4" s="48">
        <v>178.45331363487034</v>
      </c>
      <c r="AW4" s="48">
        <v>176.01876411235486</v>
      </c>
      <c r="AX4" s="48">
        <v>187.26581893092191</v>
      </c>
      <c r="AY4" s="48">
        <v>193.97876850906678</v>
      </c>
      <c r="AZ4" s="48">
        <v>291.00807424942491</v>
      </c>
    </row>
    <row r="5" spans="1:52" ht="20.45" customHeight="1" x14ac:dyDescent="0.2">
      <c r="A5" s="42" t="s">
        <v>67</v>
      </c>
      <c r="B5" s="9" t="s">
        <v>35</v>
      </c>
      <c r="C5" s="9">
        <v>85.3</v>
      </c>
      <c r="D5" s="29">
        <v>125.76818450184501</v>
      </c>
      <c r="E5" s="8">
        <v>148.90143029038984</v>
      </c>
      <c r="F5" s="1">
        <v>141.33143430129948</v>
      </c>
      <c r="G5" s="8">
        <v>133.35789908551257</v>
      </c>
      <c r="H5" s="8">
        <v>166.18999598909028</v>
      </c>
      <c r="I5" s="8">
        <v>182.65656453101056</v>
      </c>
      <c r="J5" s="8">
        <v>185.21101177637345</v>
      </c>
      <c r="K5" s="8">
        <v>199.05942052715443</v>
      </c>
      <c r="L5" s="8">
        <v>150.14097268195366</v>
      </c>
      <c r="M5" s="8">
        <v>183.6</v>
      </c>
      <c r="N5" s="8">
        <v>188.3</v>
      </c>
      <c r="O5" s="8">
        <v>179.24</v>
      </c>
      <c r="P5" s="8">
        <v>183.464</v>
      </c>
      <c r="Q5" s="8">
        <v>150.94776075881305</v>
      </c>
      <c r="R5" s="8">
        <v>143.01679936600817</v>
      </c>
      <c r="S5" s="8">
        <v>213.62034411545903</v>
      </c>
      <c r="T5" s="8">
        <v>220.2713473071872</v>
      </c>
      <c r="U5" s="34">
        <v>290.75817844548709</v>
      </c>
      <c r="V5" s="1">
        <v>323.5</v>
      </c>
      <c r="W5" s="1">
        <v>344.8</v>
      </c>
      <c r="X5" s="1">
        <v>319.68605948182903</v>
      </c>
      <c r="Y5" s="1">
        <v>390.35674555756327</v>
      </c>
      <c r="Z5" s="1">
        <v>432.20778466623278</v>
      </c>
      <c r="AA5" s="1">
        <v>386.3811111879009</v>
      </c>
      <c r="AB5" s="1">
        <v>331.9</v>
      </c>
      <c r="AC5" s="2">
        <v>300.38283619738951</v>
      </c>
      <c r="AD5" s="2">
        <v>291.72013834768882</v>
      </c>
      <c r="AE5" s="2">
        <v>327.60000000000002</v>
      </c>
      <c r="AF5" s="2">
        <v>320.32861354858125</v>
      </c>
      <c r="AG5" s="2">
        <v>313.55546445730829</v>
      </c>
      <c r="AH5" s="2">
        <v>319.29353517208693</v>
      </c>
      <c r="AI5" s="2">
        <v>302.54005508963706</v>
      </c>
      <c r="AJ5" s="2">
        <v>282.76906503487726</v>
      </c>
      <c r="AK5" s="23">
        <v>74.87915943706497</v>
      </c>
      <c r="AL5" s="49">
        <v>192.74823711267763</v>
      </c>
      <c r="AM5" s="49">
        <v>196.69871562449282</v>
      </c>
      <c r="AN5" s="49">
        <v>207.22807840608107</v>
      </c>
      <c r="AO5" s="49">
        <v>197.59514192006239</v>
      </c>
      <c r="AP5" s="49">
        <v>194.50582826928834</v>
      </c>
      <c r="AQ5" s="49">
        <v>208.14431383156307</v>
      </c>
      <c r="AR5" s="49">
        <v>205.27818897565422</v>
      </c>
      <c r="AS5" s="49">
        <v>199.55797225827359</v>
      </c>
      <c r="AT5" s="49">
        <v>196.33429433966143</v>
      </c>
      <c r="AU5" s="49">
        <v>188.32996658704269</v>
      </c>
      <c r="AV5" s="49">
        <v>177.19021091037914</v>
      </c>
      <c r="AW5" s="49">
        <v>174.71849024852142</v>
      </c>
      <c r="AX5" s="49">
        <v>187.95515273490318</v>
      </c>
      <c r="AY5" s="49">
        <v>196.25763167880959</v>
      </c>
      <c r="AZ5" s="49">
        <v>294.82221337330873</v>
      </c>
    </row>
    <row r="6" spans="1:52" ht="20.45" customHeight="1" x14ac:dyDescent="0.2">
      <c r="A6" s="42" t="s">
        <v>68</v>
      </c>
      <c r="B6" s="9">
        <v>8991</v>
      </c>
      <c r="C6" s="9">
        <v>1.9</v>
      </c>
      <c r="D6" s="29">
        <v>75.084504382167921</v>
      </c>
      <c r="E6" s="8">
        <v>131.74933457782856</v>
      </c>
      <c r="F6" s="1">
        <v>123.88387620851434</v>
      </c>
      <c r="G6" s="8">
        <v>125.94072617419191</v>
      </c>
      <c r="H6" s="8">
        <v>117.91539629649066</v>
      </c>
      <c r="I6" s="8">
        <v>148.06639216767542</v>
      </c>
      <c r="J6" s="8">
        <v>174.47960344930107</v>
      </c>
      <c r="K6" s="8">
        <v>200.65154396669624</v>
      </c>
      <c r="L6" s="8">
        <v>225.21826220868985</v>
      </c>
      <c r="M6" s="8">
        <v>150.652411</v>
      </c>
      <c r="N6" s="8">
        <v>104.9</v>
      </c>
      <c r="O6" s="8">
        <v>100.3293351924669</v>
      </c>
      <c r="P6" s="8">
        <v>142.92114000000001</v>
      </c>
      <c r="Q6" s="8">
        <v>140.813660838543</v>
      </c>
      <c r="R6" s="8">
        <v>103.63946547536926</v>
      </c>
      <c r="S6" s="8">
        <v>114.51270282993842</v>
      </c>
      <c r="T6" s="8">
        <v>117.42772239042435</v>
      </c>
      <c r="U6" s="34">
        <v>164.35577527932489</v>
      </c>
      <c r="V6" s="1">
        <v>133.1</v>
      </c>
      <c r="W6" s="1">
        <v>184.2</v>
      </c>
      <c r="X6" s="1">
        <v>160.55192509310828</v>
      </c>
      <c r="Y6" s="1">
        <v>305.79469922522844</v>
      </c>
      <c r="Z6" s="1">
        <v>227.11032506116152</v>
      </c>
      <c r="AA6" s="1">
        <v>176.89726680125142</v>
      </c>
      <c r="AB6" s="1">
        <v>199.2</v>
      </c>
      <c r="AC6" s="2">
        <v>222.278345922352</v>
      </c>
      <c r="AD6" s="2">
        <v>230.67240580279835</v>
      </c>
      <c r="AE6" s="2">
        <v>224.4</v>
      </c>
      <c r="AF6" s="2">
        <v>218.18193782096287</v>
      </c>
      <c r="AG6" s="2">
        <v>305.12061465060441</v>
      </c>
      <c r="AH6" s="2">
        <v>309.03943802441194</v>
      </c>
      <c r="AI6" s="2">
        <v>211.56512388813366</v>
      </c>
      <c r="AJ6" s="2">
        <v>238.56906835917422</v>
      </c>
      <c r="AK6" s="23">
        <v>3.0886927797330843</v>
      </c>
      <c r="AL6" s="49">
        <v>366.77916824170643</v>
      </c>
      <c r="AM6" s="49">
        <v>339.20799829276416</v>
      </c>
      <c r="AN6" s="49">
        <v>341.62971470706748</v>
      </c>
      <c r="AO6" s="49">
        <v>366.70463477935283</v>
      </c>
      <c r="AP6" s="49">
        <v>197.4577751400814</v>
      </c>
      <c r="AQ6" s="49">
        <v>196.23686785670267</v>
      </c>
      <c r="AR6" s="49">
        <v>226.27055344893617</v>
      </c>
      <c r="AS6" s="49">
        <v>222.2130325100232</v>
      </c>
      <c r="AT6" s="49">
        <v>223.094093824548</v>
      </c>
      <c r="AU6" s="49">
        <v>232.94009726782943</v>
      </c>
      <c r="AV6" s="49">
        <v>215.60017572243891</v>
      </c>
      <c r="AW6" s="49">
        <v>213.80581960614236</v>
      </c>
      <c r="AX6" s="49">
        <v>178.03200631841332</v>
      </c>
      <c r="AY6" s="49">
        <v>146.88529630816859</v>
      </c>
      <c r="AZ6" s="49">
        <v>217.08237289022287</v>
      </c>
    </row>
    <row r="7" spans="1:52" ht="20.45" customHeight="1" x14ac:dyDescent="0.2">
      <c r="A7" s="42" t="s">
        <v>69</v>
      </c>
      <c r="B7" s="9" t="s">
        <v>36</v>
      </c>
      <c r="C7" s="8">
        <v>0</v>
      </c>
      <c r="D7" s="29">
        <v>103.54333333333332</v>
      </c>
      <c r="E7" s="8">
        <v>101.3552898099374</v>
      </c>
      <c r="F7" s="1">
        <v>101.3552898099374</v>
      </c>
      <c r="G7" s="8">
        <v>101.3552898099374</v>
      </c>
      <c r="H7" s="8">
        <v>101.3552898099374</v>
      </c>
      <c r="I7" s="8">
        <v>148.2671781870705</v>
      </c>
      <c r="J7" s="8">
        <v>166.67619821564173</v>
      </c>
      <c r="K7" s="8">
        <v>166.67619821564173</v>
      </c>
      <c r="L7" s="8">
        <v>163.22602291214059</v>
      </c>
      <c r="M7" s="8">
        <v>178.9</v>
      </c>
      <c r="N7" s="8">
        <v>166.7</v>
      </c>
      <c r="O7" s="8">
        <v>172.53167042564172</v>
      </c>
      <c r="P7" s="8">
        <v>177.76281042564173</v>
      </c>
      <c r="Q7" s="8">
        <v>191.84132846596833</v>
      </c>
      <c r="R7" s="8">
        <v>199.23704093836713</v>
      </c>
      <c r="S7" s="8">
        <v>205.56602878868861</v>
      </c>
      <c r="T7" s="8">
        <v>208.96256339179953</v>
      </c>
      <c r="U7" s="34">
        <v>216.60750056600119</v>
      </c>
      <c r="V7" s="1">
        <v>220.4</v>
      </c>
      <c r="W7" s="1">
        <v>222.3</v>
      </c>
      <c r="X7" s="1">
        <v>219.76916685533374</v>
      </c>
      <c r="Y7" s="1">
        <v>226.71968627578195</v>
      </c>
      <c r="Z7" s="1">
        <v>229.11064250032729</v>
      </c>
      <c r="AA7" s="1">
        <v>230.99186998589747</v>
      </c>
      <c r="AB7" s="1">
        <v>233.8</v>
      </c>
      <c r="AC7" s="2">
        <v>211.61441471688681</v>
      </c>
      <c r="AD7" s="2">
        <v>217.06874631277489</v>
      </c>
      <c r="AE7" s="2">
        <v>219.8</v>
      </c>
      <c r="AF7" s="2">
        <v>226.8810010836776</v>
      </c>
      <c r="AG7" s="2">
        <v>233.96545336372589</v>
      </c>
      <c r="AH7" s="2">
        <v>236.85492671276791</v>
      </c>
      <c r="AI7" s="2">
        <v>239.42608769143877</v>
      </c>
      <c r="AJ7" s="2">
        <v>240.74293117374168</v>
      </c>
      <c r="AK7" s="23">
        <v>0.33223913394424814</v>
      </c>
      <c r="AL7" s="49">
        <v>117.53698186101889</v>
      </c>
      <c r="AM7" s="49">
        <v>115.05257281643834</v>
      </c>
      <c r="AN7" s="49">
        <v>115.22438535867072</v>
      </c>
      <c r="AO7" s="49">
        <v>115.38997105296585</v>
      </c>
      <c r="AP7" s="49">
        <v>115.54878114753299</v>
      </c>
      <c r="AQ7" s="49">
        <v>115.73740118000204</v>
      </c>
      <c r="AR7" s="49">
        <v>115.7312802556081</v>
      </c>
      <c r="AS7" s="49">
        <v>115.927036640995</v>
      </c>
      <c r="AT7" s="49">
        <v>115.93128758944206</v>
      </c>
      <c r="AU7" s="49">
        <v>116.20564130014823</v>
      </c>
      <c r="AV7" s="49">
        <v>117.78865264875949</v>
      </c>
      <c r="AW7" s="49">
        <v>117.78001517421723</v>
      </c>
      <c r="AX7" s="49">
        <v>117.74864558106719</v>
      </c>
      <c r="AY7" s="49">
        <v>118.18369053616973</v>
      </c>
      <c r="AZ7" s="49">
        <v>118.645020963882</v>
      </c>
    </row>
    <row r="8" spans="1:52" s="6" customFormat="1" ht="20.45" customHeight="1" x14ac:dyDescent="0.2">
      <c r="A8" s="40" t="s">
        <v>70</v>
      </c>
      <c r="B8" s="7" t="s">
        <v>37</v>
      </c>
      <c r="C8" s="7">
        <v>10.1</v>
      </c>
      <c r="D8" s="28">
        <v>106.0717797701286</v>
      </c>
      <c r="E8" s="10">
        <v>108.06695603013071</v>
      </c>
      <c r="F8" s="3">
        <v>108.79408730530891</v>
      </c>
      <c r="G8" s="10">
        <v>109.01128618356861</v>
      </c>
      <c r="H8" s="10">
        <v>106.85354850710829</v>
      </c>
      <c r="I8" s="10">
        <v>113.82165268779372</v>
      </c>
      <c r="J8" s="10">
        <v>115.46879387436697</v>
      </c>
      <c r="K8" s="10">
        <v>115.5266034456216</v>
      </c>
      <c r="L8" s="10">
        <v>107.54033458936907</v>
      </c>
      <c r="M8" s="10">
        <v>125.5</v>
      </c>
      <c r="N8" s="10">
        <v>116.7</v>
      </c>
      <c r="O8" s="10">
        <v>111.52089605565789</v>
      </c>
      <c r="P8" s="10">
        <v>126.90753852747947</v>
      </c>
      <c r="Q8" s="10">
        <v>131.91422234058487</v>
      </c>
      <c r="R8" s="10">
        <v>118.51438553869804</v>
      </c>
      <c r="S8" s="10">
        <v>136.82762020391331</v>
      </c>
      <c r="T8" s="10">
        <v>143.07198426973872</v>
      </c>
      <c r="U8" s="33">
        <v>145.339876196549</v>
      </c>
      <c r="V8" s="3">
        <v>148.1</v>
      </c>
      <c r="W8" s="3">
        <v>150.9</v>
      </c>
      <c r="X8" s="3">
        <v>148.11329206551633</v>
      </c>
      <c r="Y8" s="3">
        <v>155.50927329157321</v>
      </c>
      <c r="Z8" s="3">
        <v>158.21934401753634</v>
      </c>
      <c r="AA8" s="3">
        <v>159.54896014971169</v>
      </c>
      <c r="AB8" s="3">
        <v>161.69999999999999</v>
      </c>
      <c r="AC8" s="4">
        <v>166.35208267050587</v>
      </c>
      <c r="AD8" s="4">
        <v>170.23976069073692</v>
      </c>
      <c r="AE8" s="4">
        <v>177.7</v>
      </c>
      <c r="AF8" s="4">
        <v>184.12129766169204</v>
      </c>
      <c r="AG8" s="4">
        <v>190.12117494830261</v>
      </c>
      <c r="AH8" s="4">
        <v>193.89314484004441</v>
      </c>
      <c r="AI8" s="4">
        <v>197.20439551520735</v>
      </c>
      <c r="AJ8" s="4">
        <v>198.03480943303236</v>
      </c>
      <c r="AK8" s="22">
        <v>17.479131178715573</v>
      </c>
      <c r="AL8" s="48">
        <v>118.96889409171128</v>
      </c>
      <c r="AM8" s="48">
        <v>119.65499400271017</v>
      </c>
      <c r="AN8" s="48">
        <v>120.2014046890522</v>
      </c>
      <c r="AO8" s="48">
        <v>120.65344702576627</v>
      </c>
      <c r="AP8" s="48">
        <v>120.93110727313844</v>
      </c>
      <c r="AQ8" s="48">
        <v>121.60533045757457</v>
      </c>
      <c r="AR8" s="48">
        <v>122.14446466727469</v>
      </c>
      <c r="AS8" s="48">
        <v>122.7681411974566</v>
      </c>
      <c r="AT8" s="48">
        <v>123.14254750457597</v>
      </c>
      <c r="AU8" s="48">
        <v>123.73089021161842</v>
      </c>
      <c r="AV8" s="48">
        <v>124.24936792489827</v>
      </c>
      <c r="AW8" s="48">
        <v>124.85300487338677</v>
      </c>
      <c r="AX8" s="48">
        <v>125.46810109454496</v>
      </c>
      <c r="AY8" s="48">
        <v>126.09825831445799</v>
      </c>
      <c r="AZ8" s="48">
        <v>126.70697269965886</v>
      </c>
    </row>
    <row r="9" spans="1:52" ht="20.45" customHeight="1" x14ac:dyDescent="0.2">
      <c r="A9" s="42" t="s">
        <v>71</v>
      </c>
      <c r="B9" s="9" t="s">
        <v>38</v>
      </c>
      <c r="C9" s="9">
        <v>5.6</v>
      </c>
      <c r="D9" s="29">
        <v>105.38883407115674</v>
      </c>
      <c r="E9" s="8">
        <v>102.14406413954242</v>
      </c>
      <c r="F9" s="1">
        <v>103.30348787455483</v>
      </c>
      <c r="G9" s="8">
        <v>103.43996400251784</v>
      </c>
      <c r="H9" s="8">
        <v>101.36595523864577</v>
      </c>
      <c r="I9" s="8">
        <v>101.41382147415378</v>
      </c>
      <c r="J9" s="8">
        <v>104.52867927882602</v>
      </c>
      <c r="K9" s="8">
        <v>103.25030740579047</v>
      </c>
      <c r="L9" s="8">
        <v>97.534298721695052</v>
      </c>
      <c r="M9" s="8">
        <v>93.2</v>
      </c>
      <c r="N9" s="8">
        <v>107.3</v>
      </c>
      <c r="O9" s="8">
        <v>96.774457896092173</v>
      </c>
      <c r="P9" s="8">
        <v>113.68700811847653</v>
      </c>
      <c r="Q9" s="8">
        <v>102.17972189617063</v>
      </c>
      <c r="R9" s="8">
        <v>108.15192518339084</v>
      </c>
      <c r="S9" s="8">
        <v>117.9962430779072</v>
      </c>
      <c r="T9" s="8">
        <v>127.53627715744571</v>
      </c>
      <c r="U9" s="34">
        <v>129.67048248544094</v>
      </c>
      <c r="V9" s="1">
        <v>132.1</v>
      </c>
      <c r="W9" s="1">
        <v>135.4</v>
      </c>
      <c r="X9" s="1">
        <v>132.39016082848033</v>
      </c>
      <c r="Y9" s="1">
        <v>139.1857111772581</v>
      </c>
      <c r="Z9" s="1">
        <v>138.22999999999999</v>
      </c>
      <c r="AA9" s="1">
        <v>144.17291523127204</v>
      </c>
      <c r="AB9" s="1">
        <v>145.30000000000001</v>
      </c>
      <c r="AC9" s="2">
        <v>149.23486633212909</v>
      </c>
      <c r="AD9" s="2">
        <v>152.54897040004187</v>
      </c>
      <c r="AE9" s="2">
        <v>155.69999999999999</v>
      </c>
      <c r="AF9" s="2">
        <v>161.6626321193628</v>
      </c>
      <c r="AG9" s="2">
        <v>168.77863393044075</v>
      </c>
      <c r="AH9" s="2">
        <v>172.72326987600741</v>
      </c>
      <c r="AI9" s="2">
        <v>176.62304583285459</v>
      </c>
      <c r="AJ9" s="2">
        <v>178.7213826562386</v>
      </c>
      <c r="AK9" s="23">
        <v>10.820309972186138</v>
      </c>
      <c r="AL9" s="49">
        <v>116.87026708397924</v>
      </c>
      <c r="AM9" s="49">
        <v>117.38382653616114</v>
      </c>
      <c r="AN9" s="49">
        <v>117.94670856137932</v>
      </c>
      <c r="AO9" s="49">
        <v>118.18751962893241</v>
      </c>
      <c r="AP9" s="49">
        <v>118.54993968828359</v>
      </c>
      <c r="AQ9" s="49">
        <v>119.19754077143338</v>
      </c>
      <c r="AR9" s="49">
        <v>119.37723185568183</v>
      </c>
      <c r="AS9" s="49">
        <v>119.7313871099476</v>
      </c>
      <c r="AT9" s="49">
        <v>120.00789054625474</v>
      </c>
      <c r="AU9" s="49">
        <v>120.35366761941644</v>
      </c>
      <c r="AV9" s="49">
        <v>120.6634900896121</v>
      </c>
      <c r="AW9" s="49">
        <v>121.02161703743751</v>
      </c>
      <c r="AX9" s="49">
        <v>121.44137970575828</v>
      </c>
      <c r="AY9" s="49">
        <v>121.99846056902106</v>
      </c>
      <c r="AZ9" s="49">
        <v>122.38611914499789</v>
      </c>
    </row>
    <row r="10" spans="1:52" ht="20.45" customHeight="1" x14ac:dyDescent="0.2">
      <c r="A10" s="43" t="s">
        <v>72</v>
      </c>
      <c r="B10" s="9" t="s">
        <v>39</v>
      </c>
      <c r="C10" s="9">
        <v>4.3</v>
      </c>
      <c r="D10" s="29">
        <v>103.185</v>
      </c>
      <c r="E10" s="8">
        <v>97.076839195363519</v>
      </c>
      <c r="F10" s="1">
        <v>103.09763288221016</v>
      </c>
      <c r="G10" s="8">
        <v>104.82419008857337</v>
      </c>
      <c r="H10" s="8">
        <v>105.30873134835333</v>
      </c>
      <c r="I10" s="8">
        <v>104.04938670678047</v>
      </c>
      <c r="J10" s="8">
        <v>104.62641507818601</v>
      </c>
      <c r="K10" s="8">
        <v>104.58376547030556</v>
      </c>
      <c r="L10" s="8">
        <v>107.47387257871613</v>
      </c>
      <c r="M10" s="8">
        <v>107.6</v>
      </c>
      <c r="N10" s="8">
        <v>107.4</v>
      </c>
      <c r="O10" s="8">
        <v>97.514579999999995</v>
      </c>
      <c r="P10" s="8">
        <v>113.58407468237095</v>
      </c>
      <c r="Q10" s="8">
        <v>110.3265736773364</v>
      </c>
      <c r="R10" s="8">
        <v>114.25874604784252</v>
      </c>
      <c r="S10" s="8">
        <v>119.25519271024292</v>
      </c>
      <c r="T10" s="8">
        <v>129.27667378040289</v>
      </c>
      <c r="U10" s="34">
        <v>131.50726683643791</v>
      </c>
      <c r="V10" s="1">
        <v>133.9</v>
      </c>
      <c r="W10" s="1">
        <v>137.30000000000001</v>
      </c>
      <c r="X10" s="1">
        <v>134.23575561214597</v>
      </c>
      <c r="Y10" s="1">
        <v>141.447400795513</v>
      </c>
      <c r="Z10" s="1">
        <v>143.95931844996153</v>
      </c>
      <c r="AA10" s="1">
        <v>146.93475457968322</v>
      </c>
      <c r="AB10" s="1">
        <v>148.19999999999999</v>
      </c>
      <c r="AC10" s="2">
        <v>152.00010005650716</v>
      </c>
      <c r="AD10" s="2">
        <v>155.86831381882101</v>
      </c>
      <c r="AE10" s="2">
        <v>159</v>
      </c>
      <c r="AF10" s="2">
        <v>164.79968300478515</v>
      </c>
      <c r="AG10" s="2">
        <v>172.25252539806601</v>
      </c>
      <c r="AH10" s="2">
        <v>176.48748120184626</v>
      </c>
      <c r="AI10" s="2">
        <v>180.66181340616447</v>
      </c>
      <c r="AJ10" s="2">
        <v>183.12824461514811</v>
      </c>
      <c r="AK10" s="23">
        <v>8.3326044724495372</v>
      </c>
      <c r="AL10" s="49">
        <v>115.35384551301394</v>
      </c>
      <c r="AM10" s="49">
        <v>116.21804384123756</v>
      </c>
      <c r="AN10" s="49">
        <v>116.73056021304856</v>
      </c>
      <c r="AO10" s="49">
        <v>117.30921684418956</v>
      </c>
      <c r="AP10" s="49">
        <v>117.56510431363419</v>
      </c>
      <c r="AQ10" s="49">
        <v>118.06750801612878</v>
      </c>
      <c r="AR10" s="49">
        <v>118.66411114809894</v>
      </c>
      <c r="AS10" s="49">
        <v>119.00372755407432</v>
      </c>
      <c r="AT10" s="49">
        <v>119.23105149863034</v>
      </c>
      <c r="AU10" s="49">
        <v>119.58851780864705</v>
      </c>
      <c r="AV10" s="49">
        <v>119.97504152905445</v>
      </c>
      <c r="AW10" s="49">
        <v>120.3473377687</v>
      </c>
      <c r="AX10" s="49">
        <v>120.73752401848841</v>
      </c>
      <c r="AY10" s="49">
        <v>121.14739640329817</v>
      </c>
      <c r="AZ10" s="49">
        <v>121.60229240876691</v>
      </c>
    </row>
    <row r="11" spans="1:52" ht="20.45" customHeight="1" x14ac:dyDescent="0.2">
      <c r="A11" s="43" t="s">
        <v>73</v>
      </c>
      <c r="B11" s="9" t="s">
        <v>40</v>
      </c>
      <c r="C11" s="9">
        <v>1.3</v>
      </c>
      <c r="D11" s="29">
        <v>112.86556048798556</v>
      </c>
      <c r="E11" s="8">
        <v>120.26810074941696</v>
      </c>
      <c r="F11" s="1">
        <v>103.37982379133791</v>
      </c>
      <c r="G11" s="8">
        <v>97.614783878872117</v>
      </c>
      <c r="H11" s="8">
        <v>86.060094964808627</v>
      </c>
      <c r="I11" s="8">
        <v>90.9585515669296</v>
      </c>
      <c r="J11" s="8">
        <v>103.47027010619706</v>
      </c>
      <c r="K11" s="8">
        <v>97.614783878872117</v>
      </c>
      <c r="L11" s="8">
        <v>65.65133017045342</v>
      </c>
      <c r="M11" s="8">
        <v>90.3</v>
      </c>
      <c r="N11" s="8">
        <v>106.5</v>
      </c>
      <c r="O11" s="8">
        <v>94.26352</v>
      </c>
      <c r="P11" s="8">
        <v>112.25452093194939</v>
      </c>
      <c r="Q11" s="8">
        <v>93.568595038509542</v>
      </c>
      <c r="R11" s="8">
        <v>107.93231674109258</v>
      </c>
      <c r="S11" s="8">
        <v>113.72513115676293</v>
      </c>
      <c r="T11" s="8">
        <v>121.63180840595174</v>
      </c>
      <c r="U11" s="34">
        <v>123.43900877385218</v>
      </c>
      <c r="V11" s="1">
        <v>125.9</v>
      </c>
      <c r="W11" s="1">
        <v>129</v>
      </c>
      <c r="X11" s="1">
        <v>126.11300292461739</v>
      </c>
      <c r="Y11" s="1">
        <v>131.512704058987</v>
      </c>
      <c r="Z11" s="1">
        <v>132.74703870885338</v>
      </c>
      <c r="AA11" s="1">
        <v>134.80310037744113</v>
      </c>
      <c r="AB11" s="1">
        <v>135.69999999999999</v>
      </c>
      <c r="AC11" s="2">
        <v>139.85353572001469</v>
      </c>
      <c r="AD11" s="2">
        <v>141.28776750345233</v>
      </c>
      <c r="AE11" s="2">
        <v>144.69999999999999</v>
      </c>
      <c r="AF11" s="2">
        <v>151.01987478434134</v>
      </c>
      <c r="AG11" s="2">
        <v>156.99311139717793</v>
      </c>
      <c r="AH11" s="2">
        <v>159.95280833048207</v>
      </c>
      <c r="AI11" s="2">
        <v>162.92112489334019</v>
      </c>
      <c r="AJ11" s="2">
        <v>163.77066488001213</v>
      </c>
      <c r="AK11" s="23">
        <v>2.487705499736601</v>
      </c>
      <c r="AL11" s="49">
        <v>119.27406754354358</v>
      </c>
      <c r="AM11" s="49">
        <v>119.792083898168</v>
      </c>
      <c r="AN11" s="49">
        <v>120.30318424542571</v>
      </c>
      <c r="AO11" s="49">
        <v>120.49394829198235</v>
      </c>
      <c r="AP11" s="49">
        <v>120.94959683551959</v>
      </c>
      <c r="AQ11" s="49">
        <v>121.77220658887566</v>
      </c>
      <c r="AR11" s="49">
        <v>121.41788485873712</v>
      </c>
      <c r="AS11" s="49">
        <v>122.16869300099151</v>
      </c>
      <c r="AT11" s="49">
        <v>122.60992383487913</v>
      </c>
      <c r="AU11" s="49">
        <v>122.91654764520162</v>
      </c>
      <c r="AV11" s="49">
        <v>122.96945820173849</v>
      </c>
      <c r="AW11" s="49">
        <v>123.28012490782531</v>
      </c>
      <c r="AX11" s="49">
        <v>123.79895420496041</v>
      </c>
      <c r="AY11" s="49">
        <v>124.84911193205211</v>
      </c>
      <c r="AZ11" s="49">
        <v>125.0115577946432</v>
      </c>
    </row>
    <row r="12" spans="1:52" ht="20.45" customHeight="1" x14ac:dyDescent="0.2">
      <c r="A12" s="42" t="s">
        <v>74</v>
      </c>
      <c r="B12" s="9" t="s">
        <v>41</v>
      </c>
      <c r="C12" s="9">
        <v>0.5</v>
      </c>
      <c r="D12" s="29">
        <v>112.4353619244193</v>
      </c>
      <c r="E12" s="8">
        <v>119.8983998601832</v>
      </c>
      <c r="F12" s="1">
        <v>119.8983998601832</v>
      </c>
      <c r="G12" s="8">
        <v>129.92028822951613</v>
      </c>
      <c r="H12" s="8">
        <v>130.61092970929826</v>
      </c>
      <c r="I12" s="8">
        <v>129.04552688047363</v>
      </c>
      <c r="J12" s="8">
        <v>132.1565466272647</v>
      </c>
      <c r="K12" s="8">
        <v>129.92028822951613</v>
      </c>
      <c r="L12" s="8">
        <v>151.71194478389143</v>
      </c>
      <c r="M12" s="8">
        <v>156.30000000000001</v>
      </c>
      <c r="N12" s="8">
        <v>134.1</v>
      </c>
      <c r="O12" s="8">
        <v>131.25620000000001</v>
      </c>
      <c r="P12" s="8">
        <v>151.71194478389143</v>
      </c>
      <c r="Q12" s="8">
        <v>169.65693813606384</v>
      </c>
      <c r="R12" s="8">
        <v>173.68618077510007</v>
      </c>
      <c r="S12" s="8">
        <v>176.46322929004302</v>
      </c>
      <c r="T12" s="8">
        <v>182.00861183118138</v>
      </c>
      <c r="U12" s="34">
        <v>185.6958373527554</v>
      </c>
      <c r="V12" s="1">
        <v>189.6</v>
      </c>
      <c r="W12" s="1">
        <v>194.8</v>
      </c>
      <c r="X12" s="1">
        <v>190.03194578425177</v>
      </c>
      <c r="Y12" s="1">
        <v>200.21668878195277</v>
      </c>
      <c r="Z12" s="1">
        <v>203.61808372468954</v>
      </c>
      <c r="AA12" s="1">
        <v>205.85788264566114</v>
      </c>
      <c r="AB12" s="1">
        <v>208</v>
      </c>
      <c r="AC12" s="2">
        <v>213.81627344139122</v>
      </c>
      <c r="AD12" s="2">
        <v>218.06801003877328</v>
      </c>
      <c r="AE12" s="2">
        <v>221.9</v>
      </c>
      <c r="AF12" s="2">
        <v>228.28170895774937</v>
      </c>
      <c r="AG12" s="2">
        <v>235.0545205660498</v>
      </c>
      <c r="AH12" s="2">
        <v>243.07580309127036</v>
      </c>
      <c r="AI12" s="2">
        <v>248.28862445751344</v>
      </c>
      <c r="AJ12" s="2">
        <v>248.55062998566001</v>
      </c>
      <c r="AK12" s="23">
        <v>0.11581556108235612</v>
      </c>
      <c r="AL12" s="49">
        <v>100.77729326800473</v>
      </c>
      <c r="AM12" s="49">
        <v>100.4694463931509</v>
      </c>
      <c r="AN12" s="49">
        <v>100.51950288895493</v>
      </c>
      <c r="AO12" s="49">
        <v>100.87220186737241</v>
      </c>
      <c r="AP12" s="49">
        <v>101.01483476001977</v>
      </c>
      <c r="AQ12" s="49">
        <v>101.43343493922505</v>
      </c>
      <c r="AR12" s="49">
        <v>102.19862723909043</v>
      </c>
      <c r="AS12" s="49">
        <v>101.71829387215926</v>
      </c>
      <c r="AT12" s="49">
        <v>101.97485095979559</v>
      </c>
      <c r="AU12" s="49">
        <v>102.24097402192102</v>
      </c>
      <c r="AV12" s="49">
        <v>103.06886524543651</v>
      </c>
      <c r="AW12" s="49">
        <v>103.33819013054683</v>
      </c>
      <c r="AX12" s="49">
        <v>104.21390642074807</v>
      </c>
      <c r="AY12" s="49">
        <v>104.51094143697946</v>
      </c>
      <c r="AZ12" s="49">
        <v>104.54802858632361</v>
      </c>
    </row>
    <row r="13" spans="1:52" ht="20.45" customHeight="1" x14ac:dyDescent="0.2">
      <c r="A13" s="42" t="s">
        <v>75</v>
      </c>
      <c r="B13" s="9">
        <v>16</v>
      </c>
      <c r="C13" s="9">
        <v>0.1</v>
      </c>
      <c r="D13" s="29">
        <v>113.00398012538815</v>
      </c>
      <c r="E13" s="8">
        <v>113.00398012538815</v>
      </c>
      <c r="F13" s="1">
        <v>110.18267126389487</v>
      </c>
      <c r="G13" s="8">
        <v>110.00175242332145</v>
      </c>
      <c r="H13" s="8">
        <v>100.4277598391069</v>
      </c>
      <c r="I13" s="8">
        <v>98.022678130928284</v>
      </c>
      <c r="J13" s="8">
        <v>103.24528256754061</v>
      </c>
      <c r="K13" s="8">
        <v>110.00175242332145</v>
      </c>
      <c r="L13" s="8">
        <v>89.226477480336456</v>
      </c>
      <c r="M13" s="8">
        <v>90.7</v>
      </c>
      <c r="N13" s="8">
        <v>103.2</v>
      </c>
      <c r="O13" s="8">
        <v>105.85522109999999</v>
      </c>
      <c r="P13" s="8">
        <v>117.39300814984161</v>
      </c>
      <c r="Q13" s="8">
        <v>92.610914331089049</v>
      </c>
      <c r="R13" s="8">
        <v>97.545182413605986</v>
      </c>
      <c r="S13" s="8">
        <v>115.52862454300242</v>
      </c>
      <c r="T13" s="8">
        <v>128.85089620216428</v>
      </c>
      <c r="U13" s="34">
        <v>130.26640944182233</v>
      </c>
      <c r="V13" s="1">
        <v>132.9</v>
      </c>
      <c r="W13" s="1">
        <v>134.4</v>
      </c>
      <c r="X13" s="1">
        <v>132.52213648060743</v>
      </c>
      <c r="Y13" s="1">
        <v>139.34254027363005</v>
      </c>
      <c r="Z13" s="1">
        <v>142.59770126176147</v>
      </c>
      <c r="AA13" s="1">
        <v>149.44239092232601</v>
      </c>
      <c r="AB13" s="1">
        <v>150.4</v>
      </c>
      <c r="AC13" s="2">
        <v>156.40461128838649</v>
      </c>
      <c r="AD13" s="2">
        <v>159.19713272849665</v>
      </c>
      <c r="AE13" s="2">
        <v>164.2</v>
      </c>
      <c r="AF13" s="2">
        <v>170.17265041108567</v>
      </c>
      <c r="AG13" s="2">
        <v>178.88982707274121</v>
      </c>
      <c r="AH13" s="2">
        <v>187.03351811548714</v>
      </c>
      <c r="AI13" s="2">
        <v>190.29647731875204</v>
      </c>
      <c r="AJ13" s="2">
        <v>190.4594951766401</v>
      </c>
      <c r="AK13" s="23">
        <v>0.10460635191332937</v>
      </c>
      <c r="AL13" s="49">
        <v>115.36631305963247</v>
      </c>
      <c r="AM13" s="49">
        <v>115.86733062540362</v>
      </c>
      <c r="AN13" s="49">
        <v>116.37890289504841</v>
      </c>
      <c r="AO13" s="49">
        <v>117.22330971532504</v>
      </c>
      <c r="AP13" s="49">
        <v>117.00059701464804</v>
      </c>
      <c r="AQ13" s="49">
        <v>117.07908954371392</v>
      </c>
      <c r="AR13" s="49">
        <v>118.85377133091254</v>
      </c>
      <c r="AS13" s="49">
        <v>119.8212211129143</v>
      </c>
      <c r="AT13" s="49">
        <v>120.35469412876996</v>
      </c>
      <c r="AU13" s="49">
        <v>120.63022785266348</v>
      </c>
      <c r="AV13" s="49">
        <v>122.46228743466355</v>
      </c>
      <c r="AW13" s="49">
        <v>122.74273869477631</v>
      </c>
      <c r="AX13" s="49">
        <v>123.91175965277159</v>
      </c>
      <c r="AY13" s="49">
        <v>124.07152407989219</v>
      </c>
      <c r="AZ13" s="49">
        <v>125.9369722851366</v>
      </c>
    </row>
    <row r="14" spans="1:52" ht="20.45" customHeight="1" x14ac:dyDescent="0.2">
      <c r="A14" s="42" t="s">
        <v>76</v>
      </c>
      <c r="B14" s="9" t="s">
        <v>42</v>
      </c>
      <c r="C14" s="9">
        <v>0.2</v>
      </c>
      <c r="D14" s="29">
        <v>113.26666666666668</v>
      </c>
      <c r="E14" s="8">
        <v>113.26666666666668</v>
      </c>
      <c r="F14" s="1">
        <v>130.42507489063928</v>
      </c>
      <c r="G14" s="8">
        <v>132.35596120312357</v>
      </c>
      <c r="H14" s="8">
        <v>132.35596120312357</v>
      </c>
      <c r="I14" s="8">
        <v>111.45620930423831</v>
      </c>
      <c r="J14" s="8">
        <v>109.08950259445791</v>
      </c>
      <c r="K14" s="8">
        <v>132.35596120312357</v>
      </c>
      <c r="L14" s="8">
        <v>154.71391344873652</v>
      </c>
      <c r="M14" s="8">
        <v>145.30000000000001</v>
      </c>
      <c r="N14" s="8">
        <v>111.5</v>
      </c>
      <c r="O14" s="8">
        <v>124.10057127176532</v>
      </c>
      <c r="P14" s="8">
        <v>125.35468127176532</v>
      </c>
      <c r="Q14" s="8">
        <v>144.22113331342186</v>
      </c>
      <c r="R14" s="8">
        <v>144.24936345425155</v>
      </c>
      <c r="S14" s="8">
        <v>148.41823947743211</v>
      </c>
      <c r="T14" s="8">
        <v>154.13844545677907</v>
      </c>
      <c r="U14" s="34">
        <v>156.23866863622447</v>
      </c>
      <c r="V14" s="1">
        <v>159.5</v>
      </c>
      <c r="W14" s="1">
        <v>164</v>
      </c>
      <c r="X14" s="1">
        <v>159.91288954540815</v>
      </c>
      <c r="Y14" s="1">
        <v>169.03613170773014</v>
      </c>
      <c r="Z14" s="1">
        <v>170.67146938433734</v>
      </c>
      <c r="AA14" s="1">
        <v>176.47429934340482</v>
      </c>
      <c r="AB14" s="1">
        <v>179</v>
      </c>
      <c r="AC14" s="2">
        <v>182.60568623973055</v>
      </c>
      <c r="AD14" s="2">
        <v>184.72107304690175</v>
      </c>
      <c r="AE14" s="2">
        <v>186.4</v>
      </c>
      <c r="AF14" s="2">
        <v>190.06067885825533</v>
      </c>
      <c r="AG14" s="2">
        <v>194.15727571461969</v>
      </c>
      <c r="AH14" s="2">
        <v>199.05471825297283</v>
      </c>
      <c r="AI14" s="2">
        <v>204.14451858354033</v>
      </c>
      <c r="AJ14" s="2">
        <v>206.25241893451025</v>
      </c>
      <c r="AK14" s="23">
        <v>0.76312582907610893</v>
      </c>
      <c r="AL14" s="49">
        <v>107.57685805117674</v>
      </c>
      <c r="AM14" s="49">
        <v>108.04402545258262</v>
      </c>
      <c r="AN14" s="49">
        <v>108.59841895709397</v>
      </c>
      <c r="AO14" s="49">
        <v>108.959554119534</v>
      </c>
      <c r="AP14" s="49">
        <v>109.13684375231638</v>
      </c>
      <c r="AQ14" s="49">
        <v>109.63795876518009</v>
      </c>
      <c r="AR14" s="49">
        <v>109.75952204859865</v>
      </c>
      <c r="AS14" s="49">
        <v>109.99579358503381</v>
      </c>
      <c r="AT14" s="49">
        <v>110.52951688224181</v>
      </c>
      <c r="AU14" s="49">
        <v>110.67275869311969</v>
      </c>
      <c r="AV14" s="49">
        <v>110.81388691085006</v>
      </c>
      <c r="AW14" s="49">
        <v>110.95784468556488</v>
      </c>
      <c r="AX14" s="49">
        <v>111.56943785089156</v>
      </c>
      <c r="AY14" s="49">
        <v>112.03151589938571</v>
      </c>
      <c r="AZ14" s="49">
        <v>112.66969546866176</v>
      </c>
    </row>
    <row r="15" spans="1:52" ht="20.45" customHeight="1" x14ac:dyDescent="0.2">
      <c r="A15" s="42" t="s">
        <v>77</v>
      </c>
      <c r="B15" s="9" t="s">
        <v>43</v>
      </c>
      <c r="C15" s="9">
        <v>3.4</v>
      </c>
      <c r="D15" s="29">
        <v>104.85417240425861</v>
      </c>
      <c r="E15" s="8">
        <v>114.48849582433124</v>
      </c>
      <c r="F15" s="1">
        <v>113.9457605634224</v>
      </c>
      <c r="G15" s="8">
        <v>112.72092328445407</v>
      </c>
      <c r="H15" s="8">
        <v>109.98818465860275</v>
      </c>
      <c r="I15" s="8">
        <v>132.6280739826839</v>
      </c>
      <c r="J15" s="8">
        <v>132.04131442167341</v>
      </c>
      <c r="K15" s="8">
        <v>132.89933928145618</v>
      </c>
      <c r="L15" s="8">
        <v>115.38596924689398</v>
      </c>
      <c r="M15" s="8">
        <v>125.7</v>
      </c>
      <c r="N15" s="8">
        <v>130.5</v>
      </c>
      <c r="O15" s="8">
        <v>131.71437178229263</v>
      </c>
      <c r="P15" s="8">
        <v>131.75549758229263</v>
      </c>
      <c r="Q15" s="8">
        <v>135.23075642863759</v>
      </c>
      <c r="R15" s="8">
        <v>133.06071316076347</v>
      </c>
      <c r="S15" s="8">
        <v>162.49554123721228</v>
      </c>
      <c r="T15" s="8">
        <v>162.99293652842118</v>
      </c>
      <c r="U15" s="34">
        <v>165.1975249649683</v>
      </c>
      <c r="V15" s="1">
        <v>168.1</v>
      </c>
      <c r="W15" s="1">
        <v>169.8</v>
      </c>
      <c r="X15" s="1">
        <v>167.69917498832277</v>
      </c>
      <c r="Y15" s="1">
        <v>175.73771888350632</v>
      </c>
      <c r="Z15" s="1">
        <v>179.1396054593562</v>
      </c>
      <c r="AA15" s="1">
        <v>177.18976042373384</v>
      </c>
      <c r="AB15" s="1">
        <v>180.8</v>
      </c>
      <c r="AC15" s="2">
        <v>186.67594083353816</v>
      </c>
      <c r="AD15" s="2">
        <v>191.88152227645045</v>
      </c>
      <c r="AE15" s="2">
        <v>207.9</v>
      </c>
      <c r="AF15" s="2">
        <v>215.51313429304886</v>
      </c>
      <c r="AG15" s="2">
        <v>219.01638977203572</v>
      </c>
      <c r="AH15" s="2">
        <v>221.3215372743864</v>
      </c>
      <c r="AI15" s="2">
        <v>223.50946721480051</v>
      </c>
      <c r="AJ15" s="2">
        <v>221.97054776162193</v>
      </c>
      <c r="AK15" s="23">
        <v>3.3188207698888235</v>
      </c>
      <c r="AL15" s="49">
        <v>106.84699682813368</v>
      </c>
      <c r="AM15" s="49">
        <v>107.31317981133355</v>
      </c>
      <c r="AN15" s="49">
        <v>107.82397762742423</v>
      </c>
      <c r="AO15" s="49">
        <v>108.07132670969767</v>
      </c>
      <c r="AP15" s="49">
        <v>108.37755140140989</v>
      </c>
      <c r="AQ15" s="49">
        <v>108.97115052699714</v>
      </c>
      <c r="AR15" s="49">
        <v>109.94447977553575</v>
      </c>
      <c r="AS15" s="49">
        <v>110.53653767940955</v>
      </c>
      <c r="AT15" s="49">
        <v>110.91360589897897</v>
      </c>
      <c r="AU15" s="49">
        <v>111.46797577756976</v>
      </c>
      <c r="AV15" s="49">
        <v>112.47434407623638</v>
      </c>
      <c r="AW15" s="49">
        <v>113.04112021344493</v>
      </c>
      <c r="AX15" s="49">
        <v>113.24558844273015</v>
      </c>
      <c r="AY15" s="49">
        <v>114.44863093767033</v>
      </c>
      <c r="AZ15" s="49">
        <v>114.67632078611891</v>
      </c>
    </row>
    <row r="16" spans="1:52" ht="20.45" customHeight="1" x14ac:dyDescent="0.2">
      <c r="A16" s="42" t="s">
        <v>78</v>
      </c>
      <c r="B16" s="9" t="s">
        <v>44</v>
      </c>
      <c r="C16" s="9">
        <v>0.3</v>
      </c>
      <c r="D16" s="29">
        <v>112.94229659412598</v>
      </c>
      <c r="E16" s="8">
        <v>112.85153578422347</v>
      </c>
      <c r="F16" s="1">
        <v>112.78838031101974</v>
      </c>
      <c r="G16" s="8">
        <v>112.79705290348873</v>
      </c>
      <c r="H16" s="8">
        <v>112.79658926865295</v>
      </c>
      <c r="I16" s="8">
        <v>113.00695287488068</v>
      </c>
      <c r="J16" s="8">
        <v>113.01263293669284</v>
      </c>
      <c r="K16" s="8">
        <v>112.79705290348873</v>
      </c>
      <c r="L16" s="8">
        <v>112.6544762519535</v>
      </c>
      <c r="M16" s="8">
        <v>120.8</v>
      </c>
      <c r="N16" s="8">
        <v>113</v>
      </c>
      <c r="O16" s="8">
        <v>115.13586894809283</v>
      </c>
      <c r="P16" s="8">
        <v>120.09149694809284</v>
      </c>
      <c r="Q16" s="8">
        <v>123.32740254095897</v>
      </c>
      <c r="R16" s="8">
        <v>123.33360133892445</v>
      </c>
      <c r="S16" s="8">
        <v>128.45247742388014</v>
      </c>
      <c r="T16" s="8">
        <v>136.76805959678475</v>
      </c>
      <c r="U16" s="34">
        <v>140.15971096937093</v>
      </c>
      <c r="V16" s="1">
        <v>144.1</v>
      </c>
      <c r="W16" s="1">
        <v>145.5</v>
      </c>
      <c r="X16" s="1">
        <v>143.25323698979031</v>
      </c>
      <c r="Y16" s="1">
        <v>149.0808503563141</v>
      </c>
      <c r="Z16" s="1">
        <v>152.41075837891694</v>
      </c>
      <c r="AA16" s="1">
        <v>156.32748625311754</v>
      </c>
      <c r="AB16" s="1">
        <v>160.4</v>
      </c>
      <c r="AC16" s="2">
        <v>163.42225563430213</v>
      </c>
      <c r="AD16" s="2">
        <v>164.36106068422089</v>
      </c>
      <c r="AE16" s="2">
        <v>167.8</v>
      </c>
      <c r="AF16" s="2">
        <v>171.58329987071073</v>
      </c>
      <c r="AG16" s="2">
        <v>183.11801211841441</v>
      </c>
      <c r="AH16" s="2">
        <v>189.57539780111236</v>
      </c>
      <c r="AI16" s="2">
        <v>190.2140496681354</v>
      </c>
      <c r="AJ16" s="2">
        <v>194.11808176235482</v>
      </c>
      <c r="AK16" s="23">
        <v>1.9271249969906552</v>
      </c>
      <c r="AL16" s="49">
        <v>162.91848077356016</v>
      </c>
      <c r="AM16" s="49">
        <v>163.62790900251869</v>
      </c>
      <c r="AN16" s="49">
        <v>164.41884409252864</v>
      </c>
      <c r="AO16" s="49">
        <v>165.07987364460553</v>
      </c>
      <c r="AP16" s="49">
        <v>165.2590892217128</v>
      </c>
      <c r="AQ16" s="49">
        <v>166.74477708251484</v>
      </c>
      <c r="AR16" s="49">
        <v>167.58712491128233</v>
      </c>
      <c r="AS16" s="49">
        <v>169.52354208566169</v>
      </c>
      <c r="AT16" s="49">
        <v>170.49529365389611</v>
      </c>
      <c r="AU16" s="49">
        <v>172.79211636812903</v>
      </c>
      <c r="AV16" s="49">
        <v>173.71539700237963</v>
      </c>
      <c r="AW16" s="49">
        <v>176.05904734554201</v>
      </c>
      <c r="AX16" s="49">
        <v>178.40064472035016</v>
      </c>
      <c r="AY16" s="49">
        <v>178.68097664300902</v>
      </c>
      <c r="AZ16" s="49">
        <v>181.05908802144745</v>
      </c>
    </row>
    <row r="17" spans="1:52" ht="20.45" customHeight="1" x14ac:dyDescent="0.2">
      <c r="A17" s="42" t="s">
        <v>79</v>
      </c>
      <c r="B17" s="9" t="s">
        <v>45</v>
      </c>
      <c r="C17" s="8">
        <v>0</v>
      </c>
      <c r="D17" s="29">
        <v>103.99059635024197</v>
      </c>
      <c r="E17" s="8">
        <v>168.88637658239702</v>
      </c>
      <c r="F17" s="1">
        <v>168.88637658239702</v>
      </c>
      <c r="G17" s="8">
        <v>168.88637658239702</v>
      </c>
      <c r="H17" s="8">
        <v>168.88637658239702</v>
      </c>
      <c r="I17" s="8">
        <v>103.99059635024196</v>
      </c>
      <c r="J17" s="8">
        <v>103.99059635024196</v>
      </c>
      <c r="K17" s="8">
        <v>103.99059635024196</v>
      </c>
      <c r="L17" s="8">
        <v>168.89999999999998</v>
      </c>
      <c r="M17" s="8">
        <v>114</v>
      </c>
      <c r="N17" s="8">
        <v>104</v>
      </c>
      <c r="O17" s="8">
        <v>119.20206198224295</v>
      </c>
      <c r="P17" s="8">
        <v>120.63736778224295</v>
      </c>
      <c r="Q17" s="8">
        <v>121.45985744112099</v>
      </c>
      <c r="R17" s="8">
        <v>121.45985744112099</v>
      </c>
      <c r="S17" s="8">
        <v>131.11050750721401</v>
      </c>
      <c r="T17" s="8">
        <v>137.18764934685683</v>
      </c>
      <c r="U17" s="34">
        <v>138.91982522386962</v>
      </c>
      <c r="V17" s="1">
        <v>141.9</v>
      </c>
      <c r="W17" s="1">
        <v>147.1</v>
      </c>
      <c r="X17" s="1">
        <v>142.6399417412899</v>
      </c>
      <c r="Y17" s="1">
        <v>149.46654531130022</v>
      </c>
      <c r="Z17" s="1">
        <v>151.55692266716864</v>
      </c>
      <c r="AA17" s="1">
        <v>156.18306511927662</v>
      </c>
      <c r="AB17" s="1">
        <v>158.9</v>
      </c>
      <c r="AC17" s="2">
        <v>163.19787330550668</v>
      </c>
      <c r="AD17" s="2">
        <v>165.93059721432638</v>
      </c>
      <c r="AE17" s="2">
        <v>168.7</v>
      </c>
      <c r="AF17" s="2">
        <v>176.56074036172271</v>
      </c>
      <c r="AG17" s="2">
        <v>186.49125063901656</v>
      </c>
      <c r="AH17" s="2">
        <v>191.88554736200024</v>
      </c>
      <c r="AI17" s="2">
        <v>194.86454246950538</v>
      </c>
      <c r="AJ17" s="2">
        <v>198.03209288838315</v>
      </c>
      <c r="AK17" s="23">
        <v>5.0170660829153862E-2</v>
      </c>
      <c r="AL17" s="49">
        <v>103.93625111931873</v>
      </c>
      <c r="AM17" s="49">
        <v>104.38758196258682</v>
      </c>
      <c r="AN17" s="49">
        <v>105.33896465433119</v>
      </c>
      <c r="AO17" s="49">
        <v>105.33630028108635</v>
      </c>
      <c r="AP17" s="49">
        <v>105.65177282954393</v>
      </c>
      <c r="AQ17" s="49">
        <v>105.99571921759023</v>
      </c>
      <c r="AR17" s="49">
        <v>107.10940034005161</v>
      </c>
      <c r="AS17" s="49">
        <v>107.88211996477401</v>
      </c>
      <c r="AT17" s="49">
        <v>108.59689646119269</v>
      </c>
      <c r="AU17" s="49">
        <v>109.05436657966352</v>
      </c>
      <c r="AV17" s="49">
        <v>110.20018445116105</v>
      </c>
      <c r="AW17" s="49">
        <v>110.66440850432626</v>
      </c>
      <c r="AX17" s="49">
        <v>110.76749021633768</v>
      </c>
      <c r="AY17" s="49">
        <v>110.90692151731236</v>
      </c>
      <c r="AZ17" s="49">
        <v>112.91720678597923</v>
      </c>
    </row>
    <row r="18" spans="1:52" ht="20.45" customHeight="1" x14ac:dyDescent="0.2">
      <c r="A18" s="42" t="s">
        <v>80</v>
      </c>
      <c r="B18" s="9" t="s">
        <v>46</v>
      </c>
      <c r="C18" s="8">
        <v>0</v>
      </c>
      <c r="D18" s="29">
        <v>104.10075198162095</v>
      </c>
      <c r="E18" s="8">
        <v>129.63214132738094</v>
      </c>
      <c r="F18" s="1">
        <v>107.55241403943876</v>
      </c>
      <c r="G18" s="8">
        <v>121.36749833675758</v>
      </c>
      <c r="H18" s="8">
        <v>107.93100103906978</v>
      </c>
      <c r="I18" s="8">
        <v>111.39732295712092</v>
      </c>
      <c r="J18" s="8">
        <v>78.686466682264268</v>
      </c>
      <c r="K18" s="8">
        <v>121.36632734407924</v>
      </c>
      <c r="L18" s="8">
        <v>111.83866109501508</v>
      </c>
      <c r="M18" s="8">
        <v>113.3</v>
      </c>
      <c r="N18" s="8">
        <v>115.7</v>
      </c>
      <c r="O18" s="8">
        <v>127.62232734407924</v>
      </c>
      <c r="P18" s="8">
        <v>133.62780734407923</v>
      </c>
      <c r="Q18" s="8">
        <v>135.56162832091334</v>
      </c>
      <c r="R18" s="8">
        <v>136.18842059309182</v>
      </c>
      <c r="S18" s="8">
        <v>146.49917470709778</v>
      </c>
      <c r="T18" s="8">
        <v>149.09534544739489</v>
      </c>
      <c r="U18" s="34">
        <v>151.55921181923426</v>
      </c>
      <c r="V18" s="1">
        <v>153.9</v>
      </c>
      <c r="W18" s="1">
        <v>159.9</v>
      </c>
      <c r="X18" s="1">
        <v>155.11973727307807</v>
      </c>
      <c r="Y18" s="1">
        <v>163.71621780205285</v>
      </c>
      <c r="Z18" s="1">
        <v>166.26657032523502</v>
      </c>
      <c r="AA18" s="1">
        <v>169.35301891851788</v>
      </c>
      <c r="AB18" s="1">
        <v>174.2</v>
      </c>
      <c r="AC18" s="2">
        <v>180.40986566056287</v>
      </c>
      <c r="AD18" s="2">
        <v>186.030065959567</v>
      </c>
      <c r="AE18" s="2">
        <v>189.5</v>
      </c>
      <c r="AF18" s="2">
        <v>199.38244472516564</v>
      </c>
      <c r="AG18" s="2">
        <v>206.5932871824545</v>
      </c>
      <c r="AH18" s="2">
        <v>212.27158631797914</v>
      </c>
      <c r="AI18" s="2">
        <v>212.96261789347352</v>
      </c>
      <c r="AJ18" s="2">
        <v>216.03700089159145</v>
      </c>
      <c r="AK18" s="23">
        <v>0.39945447541925938</v>
      </c>
      <c r="AL18" s="49">
        <v>104.9857228117353</v>
      </c>
      <c r="AM18" s="49">
        <v>105.46761371411006</v>
      </c>
      <c r="AN18" s="49">
        <v>106.11632090826397</v>
      </c>
      <c r="AO18" s="49">
        <v>106.38067046159341</v>
      </c>
      <c r="AP18" s="49">
        <v>106.58472883801358</v>
      </c>
      <c r="AQ18" s="49">
        <v>107.24445028922992</v>
      </c>
      <c r="AR18" s="49">
        <v>107.56819211335842</v>
      </c>
      <c r="AS18" s="49">
        <v>107.74093374003003</v>
      </c>
      <c r="AT18" s="49">
        <v>107.74093374003003</v>
      </c>
      <c r="AU18" s="49">
        <v>107.9519180697459</v>
      </c>
      <c r="AV18" s="49">
        <v>108.29793701090908</v>
      </c>
      <c r="AW18" s="49">
        <v>108.5102063210591</v>
      </c>
      <c r="AX18" s="49">
        <v>109.31790362032606</v>
      </c>
      <c r="AY18" s="49">
        <v>109.4259592623567</v>
      </c>
      <c r="AZ18" s="49">
        <v>110.2253777659155</v>
      </c>
    </row>
    <row r="19" spans="1:52" ht="20.45" customHeight="1" x14ac:dyDescent="0.2">
      <c r="A19" s="40" t="s">
        <v>81</v>
      </c>
      <c r="B19" s="7" t="s">
        <v>47</v>
      </c>
      <c r="C19" s="9">
        <v>1.7</v>
      </c>
      <c r="D19" s="29">
        <v>101.99275362318841</v>
      </c>
      <c r="E19" s="8">
        <v>101.99275362318841</v>
      </c>
      <c r="F19" s="1">
        <v>101.99275362318841</v>
      </c>
      <c r="G19" s="8">
        <v>101.99275362318841</v>
      </c>
      <c r="H19" s="8">
        <v>101.99275362318841</v>
      </c>
      <c r="I19" s="8">
        <v>101.99275362318841</v>
      </c>
      <c r="J19" s="8">
        <v>101.99275362318841</v>
      </c>
      <c r="K19" s="8">
        <v>101.99275362318841</v>
      </c>
      <c r="L19" s="8">
        <v>102</v>
      </c>
      <c r="M19" s="8">
        <v>102</v>
      </c>
      <c r="N19" s="8">
        <v>102</v>
      </c>
      <c r="O19" s="8">
        <v>119.21789474859841</v>
      </c>
      <c r="P19" s="8">
        <v>119.21789474859841</v>
      </c>
      <c r="Q19" s="8">
        <v>119.21789474859841</v>
      </c>
      <c r="R19" s="8">
        <v>119.21789474859841</v>
      </c>
      <c r="S19" s="8">
        <v>119.21789474859841</v>
      </c>
      <c r="T19" s="8">
        <v>119.21789474859841</v>
      </c>
      <c r="U19" s="34">
        <v>119.21789474859841</v>
      </c>
      <c r="V19" s="1">
        <v>119.2</v>
      </c>
      <c r="W19" s="1">
        <v>119.2</v>
      </c>
      <c r="X19" s="1">
        <v>119.20596491619948</v>
      </c>
      <c r="Y19" s="1">
        <v>119.21789474859841</v>
      </c>
      <c r="Z19" s="1">
        <v>119.21789474859841</v>
      </c>
      <c r="AA19" s="1">
        <v>119.21789474859841</v>
      </c>
      <c r="AB19" s="1">
        <v>119.2</v>
      </c>
      <c r="AC19" s="2">
        <v>119.21733553770471</v>
      </c>
      <c r="AD19" s="2">
        <v>119.21719573498129</v>
      </c>
      <c r="AE19" s="2">
        <v>119.2</v>
      </c>
      <c r="AF19" s="2">
        <v>119.21702098157701</v>
      </c>
      <c r="AG19" s="2">
        <v>119.21702098157701</v>
      </c>
      <c r="AH19" s="2">
        <v>119.21702098157701</v>
      </c>
      <c r="AI19" s="2">
        <v>119.21702098157701</v>
      </c>
      <c r="AJ19" s="2">
        <v>119.21702098157701</v>
      </c>
      <c r="AK19" s="22">
        <v>3.2863608590723201</v>
      </c>
      <c r="AL19" s="48">
        <v>100</v>
      </c>
      <c r="AM19" s="48">
        <v>100</v>
      </c>
      <c r="AN19" s="48">
        <v>100</v>
      </c>
      <c r="AO19" s="48">
        <v>100</v>
      </c>
      <c r="AP19" s="48">
        <v>100</v>
      </c>
      <c r="AQ19" s="48">
        <v>111.54</v>
      </c>
      <c r="AR19" s="48">
        <v>111.54</v>
      </c>
      <c r="AS19" s="48">
        <v>111.54</v>
      </c>
      <c r="AT19" s="48">
        <v>111.54</v>
      </c>
      <c r="AU19" s="48">
        <v>111.54</v>
      </c>
      <c r="AV19" s="48">
        <v>111.54</v>
      </c>
      <c r="AW19" s="48">
        <v>111.54</v>
      </c>
      <c r="AX19" s="48">
        <v>111.54</v>
      </c>
      <c r="AY19" s="48">
        <v>111.54</v>
      </c>
      <c r="AZ19" s="48">
        <v>111.54</v>
      </c>
    </row>
    <row r="20" spans="1:52" ht="20.45" customHeight="1" x14ac:dyDescent="0.2">
      <c r="A20" s="42" t="s">
        <v>82</v>
      </c>
      <c r="B20" s="9">
        <v>35</v>
      </c>
      <c r="C20" s="9">
        <v>1.7</v>
      </c>
      <c r="D20" s="29">
        <v>101.99275362318841</v>
      </c>
      <c r="E20" s="8">
        <v>101.99275362318841</v>
      </c>
      <c r="F20" s="1">
        <v>101.99275362318841</v>
      </c>
      <c r="G20" s="8">
        <v>101.99275362318841</v>
      </c>
      <c r="H20" s="8">
        <v>101.99275362318841</v>
      </c>
      <c r="I20" s="8">
        <v>101.99275362318841</v>
      </c>
      <c r="J20" s="8">
        <v>101.99275362318841</v>
      </c>
      <c r="K20" s="8">
        <v>101.99275362318841</v>
      </c>
      <c r="L20" s="8">
        <v>102</v>
      </c>
      <c r="M20" s="8">
        <v>102</v>
      </c>
      <c r="N20" s="8">
        <v>102</v>
      </c>
      <c r="O20" s="8">
        <v>119.21789474859841</v>
      </c>
      <c r="P20" s="8">
        <v>119.21789474859841</v>
      </c>
      <c r="Q20" s="8">
        <v>119.21789474859841</v>
      </c>
      <c r="R20" s="8">
        <v>119.21789474859841</v>
      </c>
      <c r="S20" s="8">
        <v>119.21789474859841</v>
      </c>
      <c r="T20" s="8">
        <v>119.21789474859841</v>
      </c>
      <c r="U20" s="34">
        <v>119.21789474859841</v>
      </c>
      <c r="V20" s="1">
        <v>119.2</v>
      </c>
      <c r="W20" s="1">
        <v>119.2</v>
      </c>
      <c r="X20" s="1">
        <v>119.20596491619948</v>
      </c>
      <c r="Y20" s="1">
        <v>119.21789474859841</v>
      </c>
      <c r="Z20" s="1">
        <v>119.21789474859841</v>
      </c>
      <c r="AA20" s="1">
        <v>119.21789474859841</v>
      </c>
      <c r="AB20" s="1">
        <v>119.2</v>
      </c>
      <c r="AC20" s="2">
        <v>119.21733553770471</v>
      </c>
      <c r="AD20" s="2">
        <v>119.21719573498129</v>
      </c>
      <c r="AE20" s="2">
        <v>119.2</v>
      </c>
      <c r="AF20" s="2">
        <v>119.21702098157701</v>
      </c>
      <c r="AG20" s="2">
        <v>119.21702098157701</v>
      </c>
      <c r="AH20" s="2">
        <v>119.21702098157701</v>
      </c>
      <c r="AI20" s="2">
        <v>119.21702098157701</v>
      </c>
      <c r="AJ20" s="2">
        <v>119.21702098157701</v>
      </c>
      <c r="AK20" s="23">
        <v>3.2863608590723201</v>
      </c>
      <c r="AL20" s="49">
        <v>100</v>
      </c>
      <c r="AM20" s="49">
        <v>100</v>
      </c>
      <c r="AN20" s="49">
        <v>100</v>
      </c>
      <c r="AO20" s="49">
        <v>100</v>
      </c>
      <c r="AP20" s="49">
        <v>100</v>
      </c>
      <c r="AQ20" s="49">
        <v>111.54</v>
      </c>
      <c r="AR20" s="49">
        <v>111.54</v>
      </c>
      <c r="AS20" s="49">
        <v>111.54</v>
      </c>
      <c r="AT20" s="49">
        <v>111.54</v>
      </c>
      <c r="AU20" s="49">
        <v>111.54</v>
      </c>
      <c r="AV20" s="49">
        <v>111.54</v>
      </c>
      <c r="AW20" s="49">
        <v>111.54</v>
      </c>
      <c r="AX20" s="49">
        <v>111.54</v>
      </c>
      <c r="AY20" s="49">
        <v>111.54</v>
      </c>
      <c r="AZ20" s="49">
        <v>111.54</v>
      </c>
    </row>
    <row r="21" spans="1:52" ht="20.45" customHeight="1" x14ac:dyDescent="0.2">
      <c r="A21" s="42" t="s">
        <v>83</v>
      </c>
      <c r="B21" s="9" t="s">
        <v>48</v>
      </c>
      <c r="C21" s="9">
        <v>0.9</v>
      </c>
      <c r="D21" s="29">
        <v>148.68833761049331</v>
      </c>
      <c r="E21" s="8">
        <v>148.66457654534298</v>
      </c>
      <c r="F21" s="1">
        <v>148.68833761049328</v>
      </c>
      <c r="G21" s="8">
        <v>148.68833761049328</v>
      </c>
      <c r="H21" s="8">
        <v>148.68833761049328</v>
      </c>
      <c r="I21" s="8">
        <v>148.68833761049328</v>
      </c>
      <c r="J21" s="8">
        <v>148.68833761049328</v>
      </c>
      <c r="K21" s="8">
        <v>208.01729873586157</v>
      </c>
      <c r="L21" s="8">
        <v>208.0336146003132</v>
      </c>
      <c r="M21" s="8">
        <v>208</v>
      </c>
      <c r="N21" s="8">
        <v>148.69999999999999</v>
      </c>
      <c r="O21" s="8">
        <v>179.90974016189327</v>
      </c>
      <c r="P21" s="8">
        <v>179.90974016189327</v>
      </c>
      <c r="Q21" s="8">
        <v>199.12987008094697</v>
      </c>
      <c r="R21" s="8">
        <v>199.12987008094697</v>
      </c>
      <c r="S21" s="8">
        <v>199.12987008094697</v>
      </c>
      <c r="T21" s="8">
        <v>200.04996048231087</v>
      </c>
      <c r="U21" s="34">
        <v>200.04996048231087</v>
      </c>
      <c r="V21" s="1">
        <v>200</v>
      </c>
      <c r="W21" s="1">
        <v>200</v>
      </c>
      <c r="X21" s="1">
        <v>200.01665349410362</v>
      </c>
      <c r="Y21" s="1">
        <v>200</v>
      </c>
      <c r="Z21" s="1">
        <v>200</v>
      </c>
      <c r="AA21" s="1">
        <v>200</v>
      </c>
      <c r="AB21" s="1">
        <v>200</v>
      </c>
      <c r="AC21" s="2">
        <v>200</v>
      </c>
      <c r="AD21" s="2">
        <v>200</v>
      </c>
      <c r="AE21" s="2">
        <v>200</v>
      </c>
      <c r="AF21" s="2">
        <v>200</v>
      </c>
      <c r="AG21" s="2">
        <v>200</v>
      </c>
      <c r="AH21" s="2">
        <v>200</v>
      </c>
      <c r="AI21" s="2">
        <v>200</v>
      </c>
      <c r="AJ21" s="2">
        <v>200</v>
      </c>
      <c r="AK21" s="22">
        <v>0.93441661146980037</v>
      </c>
      <c r="AL21" s="48">
        <v>100</v>
      </c>
      <c r="AM21" s="48">
        <v>100</v>
      </c>
      <c r="AN21" s="48">
        <v>100</v>
      </c>
      <c r="AO21" s="48">
        <v>100</v>
      </c>
      <c r="AP21" s="48">
        <v>100</v>
      </c>
      <c r="AQ21" s="48">
        <v>100</v>
      </c>
      <c r="AR21" s="48">
        <v>100</v>
      </c>
      <c r="AS21" s="48">
        <v>100</v>
      </c>
      <c r="AT21" s="48">
        <v>100</v>
      </c>
      <c r="AU21" s="48">
        <v>100</v>
      </c>
      <c r="AV21" s="48">
        <v>100</v>
      </c>
      <c r="AW21" s="48">
        <v>100</v>
      </c>
      <c r="AX21" s="48">
        <v>100</v>
      </c>
      <c r="AY21" s="48">
        <v>100</v>
      </c>
      <c r="AZ21" s="48">
        <v>100</v>
      </c>
    </row>
    <row r="22" spans="1:52" ht="20.45" customHeight="1" x14ac:dyDescent="0.2">
      <c r="A22" s="40" t="s">
        <v>84</v>
      </c>
      <c r="B22" s="7" t="s">
        <v>49</v>
      </c>
      <c r="C22" s="9">
        <v>0.9</v>
      </c>
      <c r="D22" s="29">
        <v>148.68833761049331</v>
      </c>
      <c r="E22" s="8">
        <v>148.66457654534298</v>
      </c>
      <c r="F22" s="1">
        <v>148.68833761049328</v>
      </c>
      <c r="G22" s="8">
        <v>148.68833761049328</v>
      </c>
      <c r="H22" s="8">
        <v>148.68833761049328</v>
      </c>
      <c r="I22" s="8">
        <v>148.68833761049328</v>
      </c>
      <c r="J22" s="8">
        <v>148.68833761049328</v>
      </c>
      <c r="K22" s="8">
        <v>208.01729873586157</v>
      </c>
      <c r="L22" s="8">
        <v>208.0336146003132</v>
      </c>
      <c r="M22" s="8">
        <v>208</v>
      </c>
      <c r="N22" s="8">
        <v>148.69999999999999</v>
      </c>
      <c r="O22" s="8">
        <v>179.90974016189327</v>
      </c>
      <c r="P22" s="8">
        <v>179.90974016189327</v>
      </c>
      <c r="Q22" s="8">
        <v>199.12987008094697</v>
      </c>
      <c r="R22" s="8">
        <v>199.12987008094697</v>
      </c>
      <c r="S22" s="8">
        <v>199.12987008094697</v>
      </c>
      <c r="T22" s="8">
        <v>200.04996048231087</v>
      </c>
      <c r="U22" s="34">
        <v>200.04996048231087</v>
      </c>
      <c r="V22" s="1">
        <v>200</v>
      </c>
      <c r="W22" s="1">
        <v>200</v>
      </c>
      <c r="X22" s="1">
        <v>200.01665349410362</v>
      </c>
      <c r="Y22" s="1">
        <v>200</v>
      </c>
      <c r="Z22" s="1">
        <v>200</v>
      </c>
      <c r="AA22" s="1">
        <v>200</v>
      </c>
      <c r="AB22" s="1">
        <v>200</v>
      </c>
      <c r="AC22" s="2">
        <v>200</v>
      </c>
      <c r="AD22" s="2">
        <v>200</v>
      </c>
      <c r="AE22" s="2">
        <v>200</v>
      </c>
      <c r="AF22" s="2">
        <v>200</v>
      </c>
      <c r="AG22" s="2">
        <v>200</v>
      </c>
      <c r="AH22" s="2">
        <v>200</v>
      </c>
      <c r="AI22" s="2">
        <v>200</v>
      </c>
      <c r="AJ22" s="2">
        <v>200</v>
      </c>
      <c r="AK22" s="23">
        <v>0.93441661146980037</v>
      </c>
      <c r="AL22" s="49">
        <v>100</v>
      </c>
      <c r="AM22" s="49">
        <v>100</v>
      </c>
      <c r="AN22" s="49">
        <v>100</v>
      </c>
      <c r="AO22" s="49">
        <v>100</v>
      </c>
      <c r="AP22" s="49">
        <v>100</v>
      </c>
      <c r="AQ22" s="49">
        <v>100</v>
      </c>
      <c r="AR22" s="49">
        <v>100</v>
      </c>
      <c r="AS22" s="49">
        <v>100</v>
      </c>
      <c r="AT22" s="49">
        <v>100</v>
      </c>
      <c r="AU22" s="49">
        <v>100</v>
      </c>
      <c r="AV22" s="49">
        <v>100</v>
      </c>
      <c r="AW22" s="49">
        <v>100</v>
      </c>
      <c r="AX22" s="49">
        <v>100</v>
      </c>
      <c r="AY22" s="49">
        <v>100</v>
      </c>
      <c r="AZ22" s="49">
        <v>100</v>
      </c>
    </row>
    <row r="23" spans="1:52" ht="20.45" customHeight="1" x14ac:dyDescent="0.2">
      <c r="A23" s="40" t="s">
        <v>98</v>
      </c>
      <c r="B23" s="7"/>
      <c r="C23" s="9" t="s">
        <v>64</v>
      </c>
      <c r="D23" s="9" t="s">
        <v>64</v>
      </c>
      <c r="E23" s="9" t="s">
        <v>64</v>
      </c>
      <c r="F23" s="9" t="s">
        <v>64</v>
      </c>
      <c r="G23" s="9" t="s">
        <v>64</v>
      </c>
      <c r="H23" s="9" t="s">
        <v>64</v>
      </c>
      <c r="I23" s="9" t="s">
        <v>64</v>
      </c>
      <c r="J23" s="9" t="s">
        <v>64</v>
      </c>
      <c r="K23" s="9" t="s">
        <v>64</v>
      </c>
      <c r="L23" s="9" t="s">
        <v>64</v>
      </c>
      <c r="M23" s="9" t="s">
        <v>64</v>
      </c>
      <c r="N23" s="9" t="s">
        <v>64</v>
      </c>
      <c r="O23" s="9" t="s">
        <v>64</v>
      </c>
      <c r="P23" s="9" t="s">
        <v>64</v>
      </c>
      <c r="Q23" s="9" t="s">
        <v>64</v>
      </c>
      <c r="R23" s="9" t="s">
        <v>64</v>
      </c>
      <c r="S23" s="9" t="s">
        <v>64</v>
      </c>
      <c r="T23" s="9" t="s">
        <v>64</v>
      </c>
      <c r="U23" s="9" t="s">
        <v>64</v>
      </c>
      <c r="V23" s="9" t="s">
        <v>64</v>
      </c>
      <c r="W23" s="9" t="s">
        <v>64</v>
      </c>
      <c r="X23" s="9" t="s">
        <v>64</v>
      </c>
      <c r="Y23" s="9" t="s">
        <v>64</v>
      </c>
      <c r="Z23" s="9" t="s">
        <v>64</v>
      </c>
      <c r="AA23" s="9" t="s">
        <v>64</v>
      </c>
      <c r="AB23" s="9" t="s">
        <v>64</v>
      </c>
      <c r="AC23" s="9" t="s">
        <v>64</v>
      </c>
      <c r="AD23" s="9" t="s">
        <v>64</v>
      </c>
      <c r="AE23" s="9" t="s">
        <v>64</v>
      </c>
      <c r="AF23" s="9" t="s">
        <v>64</v>
      </c>
      <c r="AG23" s="9" t="s">
        <v>64</v>
      </c>
      <c r="AH23" s="9" t="s">
        <v>64</v>
      </c>
      <c r="AI23" s="9" t="s">
        <v>64</v>
      </c>
      <c r="AJ23" s="9" t="s">
        <v>64</v>
      </c>
      <c r="AK23" s="23">
        <v>100</v>
      </c>
      <c r="AL23" s="49">
        <v>179.85903961137788</v>
      </c>
      <c r="AM23" s="49">
        <v>182.23252515576874</v>
      </c>
      <c r="AN23" s="49">
        <v>190.34050680927282</v>
      </c>
      <c r="AO23" s="49">
        <v>183.74962044251905</v>
      </c>
      <c r="AP23" s="49">
        <v>177.24106794219568</v>
      </c>
      <c r="AQ23" s="49">
        <v>187.59216320726284</v>
      </c>
      <c r="AR23" s="49">
        <v>186.29064666917205</v>
      </c>
      <c r="AS23" s="49">
        <v>182.34835748683116</v>
      </c>
      <c r="AT23" s="49">
        <v>180.00552473786848</v>
      </c>
      <c r="AU23" s="49">
        <v>174.31153228446587</v>
      </c>
      <c r="AV23" s="49">
        <v>165.56648452332627</v>
      </c>
      <c r="AW23" s="49">
        <v>163.75515255438557</v>
      </c>
      <c r="AX23" s="49">
        <v>172.94484336559756</v>
      </c>
      <c r="AY23" s="49">
        <v>178.53089519773479</v>
      </c>
      <c r="AZ23" s="49">
        <v>254.55050620978818</v>
      </c>
    </row>
    <row r="24" spans="1:52" ht="20.45" customHeight="1" x14ac:dyDescent="0.2">
      <c r="A24" s="40" t="s">
        <v>85</v>
      </c>
      <c r="B24" s="9"/>
      <c r="C24" s="9">
        <v>4.2</v>
      </c>
      <c r="D24" s="29">
        <v>103.81357664440276</v>
      </c>
      <c r="E24" s="8">
        <v>104.85750427196903</v>
      </c>
      <c r="F24" s="1">
        <v>104.70501689527076</v>
      </c>
      <c r="G24" s="8">
        <v>104.75555219128027</v>
      </c>
      <c r="H24" s="8">
        <v>104.4425502087814</v>
      </c>
      <c r="I24" s="8">
        <v>144.90361545559745</v>
      </c>
      <c r="J24" s="8">
        <v>160.89846789064316</v>
      </c>
      <c r="K24" s="8">
        <v>161.42616072187002</v>
      </c>
      <c r="L24" s="8">
        <v>160.87613290988949</v>
      </c>
      <c r="M24" s="8">
        <v>163.1</v>
      </c>
      <c r="N24" s="8">
        <v>161.1</v>
      </c>
      <c r="O24" s="8">
        <v>164.74764149632466</v>
      </c>
      <c r="P24" s="8">
        <v>171.75646222670639</v>
      </c>
      <c r="Q24" s="8">
        <v>174.75771628848656</v>
      </c>
      <c r="R24" s="8">
        <v>180.74445468726623</v>
      </c>
      <c r="S24" s="8">
        <v>198.66146341579903</v>
      </c>
      <c r="T24" s="8">
        <v>204.83928554045428</v>
      </c>
      <c r="U24" s="34">
        <v>209.07821080635148</v>
      </c>
      <c r="V24" s="1">
        <v>212.8</v>
      </c>
      <c r="W24" s="1">
        <v>214.8</v>
      </c>
      <c r="X24" s="1">
        <v>212.22607026878381</v>
      </c>
      <c r="Y24" s="1">
        <v>219.24327221179283</v>
      </c>
      <c r="Z24" s="1">
        <v>221.69198413665271</v>
      </c>
      <c r="AA24" s="1">
        <v>223.52143134134957</v>
      </c>
      <c r="AB24" s="1">
        <v>226.4</v>
      </c>
      <c r="AC24" s="2">
        <v>207.43110549075473</v>
      </c>
      <c r="AD24" s="2">
        <v>212.71143219335588</v>
      </c>
      <c r="AE24" s="2">
        <v>216.2</v>
      </c>
      <c r="AF24" s="2">
        <v>218.85951081224522</v>
      </c>
      <c r="AG24" s="2">
        <v>230.34487501242333</v>
      </c>
      <c r="AH24" s="2">
        <v>233.37797836457239</v>
      </c>
      <c r="AI24" s="2">
        <v>235.92553704823445</v>
      </c>
      <c r="AJ24" s="2">
        <v>237.17587072326231</v>
      </c>
      <c r="AK24" s="22">
        <v>7.7242462583703499</v>
      </c>
      <c r="AL24" s="48">
        <v>202.90831182759425</v>
      </c>
      <c r="AM24" s="48">
        <v>194.23873426871793</v>
      </c>
      <c r="AN24" s="48">
        <v>195.41687201243394</v>
      </c>
      <c r="AO24" s="48">
        <v>203.80341907843155</v>
      </c>
      <c r="AP24" s="48">
        <v>149.13677564148176</v>
      </c>
      <c r="AQ24" s="48">
        <v>149.29571653317831</v>
      </c>
      <c r="AR24" s="48">
        <v>159.56302915534243</v>
      </c>
      <c r="AS24" s="48">
        <v>158.88243084290625</v>
      </c>
      <c r="AT24" s="48">
        <v>159.54422523410071</v>
      </c>
      <c r="AU24" s="48">
        <v>163.41503737602898</v>
      </c>
      <c r="AV24" s="48">
        <v>158.42131702548477</v>
      </c>
      <c r="AW24" s="48">
        <v>158.52532190692341</v>
      </c>
      <c r="AX24" s="48">
        <v>147.54169607079328</v>
      </c>
      <c r="AY24" s="48">
        <v>137.98117628623527</v>
      </c>
      <c r="AZ24" s="48">
        <v>161.36873042664573</v>
      </c>
    </row>
    <row r="25" spans="1:52" ht="20.45" customHeight="1" x14ac:dyDescent="0.2">
      <c r="A25" s="40" t="s">
        <v>86</v>
      </c>
      <c r="B25" s="9"/>
      <c r="C25" s="9" t="s">
        <v>64</v>
      </c>
      <c r="D25" s="9" t="s">
        <v>64</v>
      </c>
      <c r="E25" s="9" t="s">
        <v>64</v>
      </c>
      <c r="F25" s="9" t="s">
        <v>64</v>
      </c>
      <c r="G25" s="9" t="s">
        <v>64</v>
      </c>
      <c r="H25" s="9" t="s">
        <v>64</v>
      </c>
      <c r="I25" s="9" t="s">
        <v>64</v>
      </c>
      <c r="J25" s="9" t="s">
        <v>64</v>
      </c>
      <c r="K25" s="9" t="s">
        <v>64</v>
      </c>
      <c r="L25" s="9" t="s">
        <v>64</v>
      </c>
      <c r="M25" s="9" t="s">
        <v>64</v>
      </c>
      <c r="N25" s="9" t="s">
        <v>64</v>
      </c>
      <c r="O25" s="9" t="s">
        <v>64</v>
      </c>
      <c r="P25" s="9" t="s">
        <v>64</v>
      </c>
      <c r="Q25" s="9" t="s">
        <v>64</v>
      </c>
      <c r="R25" s="9" t="s">
        <v>64</v>
      </c>
      <c r="S25" s="9" t="s">
        <v>64</v>
      </c>
      <c r="T25" s="9" t="s">
        <v>64</v>
      </c>
      <c r="U25" s="9" t="s">
        <v>64</v>
      </c>
      <c r="V25" s="9" t="s">
        <v>64</v>
      </c>
      <c r="W25" s="9" t="s">
        <v>64</v>
      </c>
      <c r="X25" s="9" t="s">
        <v>64</v>
      </c>
      <c r="Y25" s="9" t="s">
        <v>64</v>
      </c>
      <c r="Z25" s="9" t="s">
        <v>64</v>
      </c>
      <c r="AA25" s="9" t="s">
        <v>64</v>
      </c>
      <c r="AB25" s="9" t="s">
        <v>64</v>
      </c>
      <c r="AC25" s="9" t="s">
        <v>64</v>
      </c>
      <c r="AD25" s="9" t="s">
        <v>64</v>
      </c>
      <c r="AE25" s="9" t="s">
        <v>64</v>
      </c>
      <c r="AF25" s="9" t="s">
        <v>64</v>
      </c>
      <c r="AG25" s="9" t="s">
        <v>64</v>
      </c>
      <c r="AH25" s="9" t="s">
        <v>64</v>
      </c>
      <c r="AI25" s="9" t="s">
        <v>64</v>
      </c>
      <c r="AJ25" s="9" t="s">
        <v>64</v>
      </c>
      <c r="AK25" s="22">
        <v>0.83951658179019539</v>
      </c>
      <c r="AL25" s="48">
        <v>103.93625111931873</v>
      </c>
      <c r="AM25" s="48">
        <v>104.38758196258682</v>
      </c>
      <c r="AN25" s="48">
        <v>105.33896465433119</v>
      </c>
      <c r="AO25" s="48">
        <v>105.33630028108635</v>
      </c>
      <c r="AP25" s="48">
        <v>105.65177282954393</v>
      </c>
      <c r="AQ25" s="48">
        <v>105.99571921759023</v>
      </c>
      <c r="AR25" s="48">
        <v>107.10940034005161</v>
      </c>
      <c r="AS25" s="48">
        <v>107.88211996477401</v>
      </c>
      <c r="AT25" s="48">
        <v>108.59689646119269</v>
      </c>
      <c r="AU25" s="48">
        <v>109.05436657966352</v>
      </c>
      <c r="AV25" s="48">
        <v>110.20018445116105</v>
      </c>
      <c r="AW25" s="48">
        <v>110.66440850432626</v>
      </c>
      <c r="AX25" s="48">
        <v>110.76749021633768</v>
      </c>
      <c r="AY25" s="48">
        <v>110.90692151731236</v>
      </c>
      <c r="AZ25" s="48">
        <v>112.91720678597923</v>
      </c>
    </row>
    <row r="26" spans="1:52" ht="20.45" customHeight="1" x14ac:dyDescent="0.2">
      <c r="A26" s="40" t="s">
        <v>87</v>
      </c>
      <c r="B26" s="9"/>
      <c r="C26" s="9">
        <v>6.3</v>
      </c>
      <c r="D26" s="29">
        <v>106.01560027485745</v>
      </c>
      <c r="E26" s="8">
        <v>105.30546540236948</v>
      </c>
      <c r="F26" s="1">
        <v>106.415519691597</v>
      </c>
      <c r="G26" s="8">
        <v>107.38326818240442</v>
      </c>
      <c r="H26" s="8">
        <v>105.56924631012849</v>
      </c>
      <c r="I26" s="8">
        <v>103.8204330363149</v>
      </c>
      <c r="J26" s="8">
        <v>106.74449994562846</v>
      </c>
      <c r="K26" s="8">
        <v>105.69882265761919</v>
      </c>
      <c r="L26" s="8">
        <v>103.64962357676768</v>
      </c>
      <c r="M26" s="8">
        <v>94.8</v>
      </c>
      <c r="N26" s="8">
        <v>109.5</v>
      </c>
      <c r="O26" s="8">
        <v>114.82329751985664</v>
      </c>
      <c r="P26" s="8">
        <v>117.21054277771842</v>
      </c>
      <c r="Q26" s="8">
        <v>100.12106566607834</v>
      </c>
      <c r="R26" s="8">
        <v>109.91756192757255</v>
      </c>
      <c r="S26" s="8">
        <v>123.56543751326568</v>
      </c>
      <c r="T26" s="8">
        <v>133.88331873361074</v>
      </c>
      <c r="U26" s="34">
        <v>134.89876938980169</v>
      </c>
      <c r="V26" s="1">
        <v>137.5</v>
      </c>
      <c r="W26" s="1">
        <v>141</v>
      </c>
      <c r="X26" s="1">
        <v>137.79958979660057</v>
      </c>
      <c r="Y26" s="1">
        <v>144.89458874835745</v>
      </c>
      <c r="Z26" s="1">
        <v>147.20885221017221</v>
      </c>
      <c r="AA26" s="1">
        <v>149.99803472222186</v>
      </c>
      <c r="AB26" s="1">
        <v>151.30000000000001</v>
      </c>
      <c r="AC26" s="2">
        <v>155.37197437760659</v>
      </c>
      <c r="AD26" s="2">
        <v>158.74761669778223</v>
      </c>
      <c r="AE26" s="2">
        <v>162</v>
      </c>
      <c r="AF26" s="2">
        <v>165.4515974554802</v>
      </c>
      <c r="AG26" s="2">
        <v>175.09536467615891</v>
      </c>
      <c r="AH26" s="2">
        <v>179.43064644813808</v>
      </c>
      <c r="AI26" s="2">
        <v>183.42353389348366</v>
      </c>
      <c r="AJ26" s="2">
        <v>185.39263695661504</v>
      </c>
      <c r="AK26" s="22">
        <v>11.74587286370207</v>
      </c>
      <c r="AL26" s="48">
        <v>116.2577268286162</v>
      </c>
      <c r="AM26" s="48">
        <v>116.76165587088248</v>
      </c>
      <c r="AN26" s="48">
        <v>117.32221950692212</v>
      </c>
      <c r="AO26" s="48">
        <v>117.56265236992533</v>
      </c>
      <c r="AP26" s="48">
        <v>117.91940889471131</v>
      </c>
      <c r="AQ26" s="48">
        <v>118.32226466780109</v>
      </c>
      <c r="AR26" s="48">
        <v>118.81785167901397</v>
      </c>
      <c r="AS26" s="48">
        <v>119.13234251986454</v>
      </c>
      <c r="AT26" s="48">
        <v>119.40417190152841</v>
      </c>
      <c r="AU26" s="48">
        <v>119.75737891994537</v>
      </c>
      <c r="AV26" s="48">
        <v>120.05261573366465</v>
      </c>
      <c r="AW26" s="48">
        <v>120.40470407903396</v>
      </c>
      <c r="AX26" s="48">
        <v>120.84522889951906</v>
      </c>
      <c r="AY26" s="48">
        <v>121.35714092581898</v>
      </c>
      <c r="AZ26" s="48">
        <v>121.78808576819323</v>
      </c>
    </row>
    <row r="27" spans="1:52" ht="20.45" customHeight="1" thickBot="1" x14ac:dyDescent="0.25">
      <c r="A27" s="41" t="s">
        <v>88</v>
      </c>
      <c r="B27" s="16"/>
      <c r="C27" s="16">
        <v>89.5</v>
      </c>
      <c r="D27" s="30">
        <v>124.68733451852086</v>
      </c>
      <c r="E27" s="17">
        <v>146.52478498300593</v>
      </c>
      <c r="F27" s="17">
        <v>139.37313297606073</v>
      </c>
      <c r="G27" s="17">
        <v>131.84021909524449</v>
      </c>
      <c r="H27" s="17">
        <v>162.85799876361409</v>
      </c>
      <c r="I27" s="17">
        <v>178.41461692380636</v>
      </c>
      <c r="J27" s="17">
        <v>180.82790420374567</v>
      </c>
      <c r="K27" s="17">
        <v>193.96701402757699</v>
      </c>
      <c r="L27" s="17">
        <v>147.9511066756385</v>
      </c>
      <c r="M27" s="17">
        <v>198.4</v>
      </c>
      <c r="N27" s="17">
        <v>202.7</v>
      </c>
      <c r="O27" s="17">
        <v>193.49804472118691</v>
      </c>
      <c r="P27" s="17">
        <v>196.76462472118692</v>
      </c>
      <c r="Q27" s="17">
        <v>197.75852197225456</v>
      </c>
      <c r="R27" s="17">
        <v>187.70796237792862</v>
      </c>
      <c r="S27" s="17">
        <v>209.24997038105317</v>
      </c>
      <c r="T27" s="17">
        <v>221.47211590411951</v>
      </c>
      <c r="U27" s="35">
        <v>282.75788358169632</v>
      </c>
      <c r="V27" s="18">
        <v>313.89999999999998</v>
      </c>
      <c r="W27" s="18">
        <v>334.3</v>
      </c>
      <c r="X27" s="18">
        <v>310.3192945272321</v>
      </c>
      <c r="Y27" s="18">
        <v>377.66818875843433</v>
      </c>
      <c r="Z27" s="18">
        <v>417.54925694224431</v>
      </c>
      <c r="AA27" s="18">
        <v>373.87969153716563</v>
      </c>
      <c r="AB27" s="18">
        <v>322</v>
      </c>
      <c r="AC27" s="19">
        <v>291.92941709566151</v>
      </c>
      <c r="AD27" s="19">
        <v>283.67447482982334</v>
      </c>
      <c r="AE27" s="19">
        <v>317.89999999999998</v>
      </c>
      <c r="AF27" s="19">
        <v>312.97489301913868</v>
      </c>
      <c r="AG27" s="19">
        <v>304.48198195342525</v>
      </c>
      <c r="AH27" s="19">
        <v>309.94995585069</v>
      </c>
      <c r="AI27" s="19">
        <v>293.98507909459823</v>
      </c>
      <c r="AJ27" s="19">
        <v>275.14472962590446</v>
      </c>
      <c r="AK27" s="46">
        <v>79.690364296137375</v>
      </c>
      <c r="AL27" s="46">
        <v>187.79918550856644</v>
      </c>
      <c r="AM27" s="46">
        <v>191.53886624540988</v>
      </c>
      <c r="AN27" s="46">
        <v>201.50638158507661</v>
      </c>
      <c r="AO27" s="46">
        <v>192.38745917902921</v>
      </c>
      <c r="AP27" s="46">
        <v>189.46299149357947</v>
      </c>
      <c r="AQ27" s="46">
        <v>202.37372663222487</v>
      </c>
      <c r="AR27" s="46">
        <v>199.66053837389777</v>
      </c>
      <c r="AS27" s="46">
        <v>194.72500453475425</v>
      </c>
      <c r="AT27" s="46">
        <v>191.6733422670149</v>
      </c>
      <c r="AU27" s="46">
        <v>184.09612593275989</v>
      </c>
      <c r="AV27" s="46">
        <v>173.55078830022606</v>
      </c>
      <c r="AW27" s="46">
        <v>171.21095880403678</v>
      </c>
      <c r="AX27" s="46">
        <v>183.74131217069132</v>
      </c>
      <c r="AY27" s="46">
        <v>191.60077033043424</v>
      </c>
      <c r="AZ27" s="46">
        <v>284.90593991825267</v>
      </c>
    </row>
    <row r="28" spans="1:52" ht="20.45" customHeight="1" x14ac:dyDescent="0.2">
      <c r="A28" s="20" t="s">
        <v>54</v>
      </c>
    </row>
    <row r="29" spans="1:52" ht="16.5" customHeight="1" x14ac:dyDescent="0.2">
      <c r="A29" s="20" t="s">
        <v>65</v>
      </c>
    </row>
  </sheetData>
  <phoneticPr fontId="10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9"/>
  <sheetViews>
    <sheetView showGridLines="0" topLeftCell="A4" workbookViewId="0">
      <pane xSplit="1" topLeftCell="AS1" activePane="topRight" state="frozen"/>
      <selection pane="topRight" activeCell="AY6" sqref="AY6"/>
    </sheetView>
  </sheetViews>
  <sheetFormatPr defaultColWidth="8.85546875" defaultRowHeight="12" x14ac:dyDescent="0.2"/>
  <cols>
    <col min="1" max="1" width="57" style="5" customWidth="1"/>
    <col min="2" max="2" width="11" style="5" customWidth="1"/>
    <col min="3" max="16384" width="8.85546875" style="5"/>
  </cols>
  <sheetData>
    <row r="1" spans="1:50" ht="20.45" customHeight="1" x14ac:dyDescent="0.2">
      <c r="A1" s="6" t="s">
        <v>91</v>
      </c>
    </row>
    <row r="2" spans="1:50" ht="23.25" customHeight="1" thickBot="1" x14ac:dyDescent="0.25">
      <c r="A2" s="37" t="s">
        <v>0</v>
      </c>
      <c r="B2" s="26" t="s">
        <v>1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  <c r="K2" s="38" t="s">
        <v>11</v>
      </c>
      <c r="L2" s="38" t="s">
        <v>12</v>
      </c>
      <c r="M2" s="38" t="s">
        <v>13</v>
      </c>
      <c r="N2" s="38" t="s">
        <v>14</v>
      </c>
      <c r="O2" s="38" t="s">
        <v>15</v>
      </c>
      <c r="P2" s="38" t="s">
        <v>16</v>
      </c>
      <c r="Q2" s="38" t="s">
        <v>17</v>
      </c>
      <c r="R2" s="38" t="s">
        <v>18</v>
      </c>
      <c r="S2" s="38" t="s">
        <v>19</v>
      </c>
      <c r="T2" s="38" t="s">
        <v>20</v>
      </c>
      <c r="U2" s="38" t="s">
        <v>21</v>
      </c>
      <c r="V2" s="38" t="s">
        <v>22</v>
      </c>
      <c r="W2" s="38" t="s">
        <v>23</v>
      </c>
      <c r="X2" s="38" t="s">
        <v>24</v>
      </c>
      <c r="Y2" s="38" t="s">
        <v>25</v>
      </c>
      <c r="Z2" s="38" t="s">
        <v>26</v>
      </c>
      <c r="AA2" s="37" t="s">
        <v>27</v>
      </c>
      <c r="AB2" s="37" t="s">
        <v>28</v>
      </c>
      <c r="AC2" s="37" t="s">
        <v>29</v>
      </c>
      <c r="AD2" s="37" t="s">
        <v>30</v>
      </c>
      <c r="AE2" s="37" t="s">
        <v>31</v>
      </c>
      <c r="AF2" s="37" t="s">
        <v>50</v>
      </c>
      <c r="AG2" s="37" t="s">
        <v>51</v>
      </c>
      <c r="AH2" s="37" t="s">
        <v>52</v>
      </c>
      <c r="AI2" s="37" t="s">
        <v>53</v>
      </c>
      <c r="AJ2" s="45" t="s">
        <v>56</v>
      </c>
      <c r="AK2" s="45" t="s">
        <v>57</v>
      </c>
      <c r="AL2" s="45" t="s">
        <v>58</v>
      </c>
      <c r="AM2" s="45" t="s">
        <v>59</v>
      </c>
      <c r="AN2" s="45" t="s">
        <v>60</v>
      </c>
      <c r="AO2" s="45" t="s">
        <v>61</v>
      </c>
      <c r="AP2" s="45" t="s">
        <v>62</v>
      </c>
      <c r="AQ2" s="45" t="s">
        <v>63</v>
      </c>
      <c r="AR2" s="45" t="s">
        <v>93</v>
      </c>
      <c r="AS2" s="45" t="s">
        <v>94</v>
      </c>
      <c r="AT2" s="45" t="s">
        <v>95</v>
      </c>
      <c r="AU2" s="45" t="s">
        <v>96</v>
      </c>
      <c r="AV2" s="45" t="s">
        <v>97</v>
      </c>
      <c r="AW2" s="45" t="s">
        <v>99</v>
      </c>
      <c r="AX2" s="45" t="s">
        <v>100</v>
      </c>
    </row>
    <row r="3" spans="1:50" s="6" customFormat="1" ht="20.45" customHeight="1" thickBot="1" x14ac:dyDescent="0.25">
      <c r="A3" s="11" t="s">
        <v>32</v>
      </c>
      <c r="B3" s="12" t="s">
        <v>33</v>
      </c>
      <c r="C3" s="21">
        <f>+Índice!D3/100*100-100</f>
        <v>22.600387840173227</v>
      </c>
      <c r="D3" s="21">
        <f>+Índice!E3/Índice!D3*100-100</f>
        <v>17.156133188851925</v>
      </c>
      <c r="E3" s="21">
        <f>+Índice!F3/Índice!E3*100-100</f>
        <v>-4.331716339674287</v>
      </c>
      <c r="F3" s="21">
        <f>+Índice!G3/Índice!F3*100-100</f>
        <v>-4.7586106458484778</v>
      </c>
      <c r="G3" s="21">
        <f>+Índice!H3/Índice!G3*100-100</f>
        <v>20.470700887870578</v>
      </c>
      <c r="H3" s="21">
        <f>+Índice!I3/Índice!H3*100-100</f>
        <v>9.231583249580595</v>
      </c>
      <c r="I3" s="21">
        <f>+Índice!J3/Índice!I3*100-100</f>
        <v>2.3573898124605819</v>
      </c>
      <c r="J3" s="21">
        <f>+Índice!K3/Índice!J3*100-100</f>
        <v>6.2894828854715996</v>
      </c>
      <c r="K3" s="21">
        <f>+Índice!L3/Índice!K3*100-100</f>
        <v>-20.9198557518325</v>
      </c>
      <c r="L3" s="21">
        <f>+Índice!M3/Índice!L3*100-100</f>
        <v>25.937319820181656</v>
      </c>
      <c r="M3" s="21">
        <f>+Índice!N3/Índice!M3*100-100</f>
        <v>-6.9667738478027843</v>
      </c>
      <c r="N3" s="21">
        <f>+Índice!O3/Índice!N3*100-100</f>
        <v>-3.5285008352534533</v>
      </c>
      <c r="O3" s="21">
        <f>+Índice!P3/Índice!O3*100-100</f>
        <v>3.4827948103321802</v>
      </c>
      <c r="P3" s="21">
        <f>+Índice!Q3/Índice!P3*100-100</f>
        <v>0.68135165679103693</v>
      </c>
      <c r="Q3" s="21">
        <f>+Índice!R3/Índice!Q3*100-100</f>
        <v>-4.3920183535855983</v>
      </c>
      <c r="R3" s="21">
        <f>+Índice!S3/Índice!R3*100-100</f>
        <v>21.17261885397275</v>
      </c>
      <c r="S3" s="21">
        <f>+Índice!T3/Índice!S3*100-100</f>
        <v>2.9971587648286828</v>
      </c>
      <c r="T3" s="21">
        <f>+Índice!U3/Índice!T3*100-100</f>
        <v>29.582965497048036</v>
      </c>
      <c r="U3" s="21">
        <f>+Índice!V3/Índice!U3*100-100</f>
        <v>10.230867613688545</v>
      </c>
      <c r="V3" s="21">
        <f>+Índice!W3/Índice!V3*100-100</f>
        <v>6.5568258238063208</v>
      </c>
      <c r="W3" s="21">
        <f>+Índice!X3/Índice!W3*100-100</f>
        <v>-7.0056393650742166</v>
      </c>
      <c r="X3" s="21">
        <f>+Índice!Y3/Índice!X3*100-100</f>
        <v>21.649916804047535</v>
      </c>
      <c r="Y3" s="21">
        <f>+Índice!Z3/Índice!Y3*100-100</f>
        <v>9.6100056748208686</v>
      </c>
      <c r="Z3" s="21">
        <f>+Índice!AA3/Índice!Z3*100-100</f>
        <v>-10.158229512262821</v>
      </c>
      <c r="AA3" s="21">
        <f>+Índice!AB3/Índice!AA3*100-100</f>
        <v>-12.841785295333821</v>
      </c>
      <c r="AB3" s="21">
        <f>+Índice!AC3/Índice!AB3*100-100</f>
        <v>-8.4653590067570832</v>
      </c>
      <c r="AC3" s="21">
        <f>+Índice!AD3/Índice!AC3*100-100</f>
        <v>-2.425418298671886</v>
      </c>
      <c r="AD3" s="21">
        <f>+Índice!AE3/Índice!AD3*100-100</f>
        <v>11.381651397764571</v>
      </c>
      <c r="AE3" s="21">
        <f>+Índice!AF3/Índice!AE3*100-100</f>
        <v>-1.8657445124834311</v>
      </c>
      <c r="AF3" s="21">
        <f>+Índice!AG3/Índice!AF3*100-100</f>
        <v>-1.1621888542118768</v>
      </c>
      <c r="AG3" s="21">
        <f>+Índice!AH3/Índice!AG3*100-100</f>
        <v>1.8027809276477171</v>
      </c>
      <c r="AH3" s="21">
        <f>+Índice!AI3/Índice!AH3*100-100</f>
        <v>-5.2378231802289861</v>
      </c>
      <c r="AI3" s="21">
        <f>+Índice!AJ3/Índice!AI3*100-100</f>
        <v>-5.6759987305031103</v>
      </c>
      <c r="AJ3" s="47">
        <v>1.6430308148929811</v>
      </c>
      <c r="AK3" s="47">
        <v>1.2256093117950684</v>
      </c>
      <c r="AL3" s="47">
        <v>4.3952075387285987</v>
      </c>
      <c r="AM3" s="47">
        <v>-3.3240564583362442</v>
      </c>
      <c r="AN3" s="47">
        <v>-4.0476177953393773</v>
      </c>
      <c r="AO3" s="47">
        <v>6.0043143213160732</v>
      </c>
      <c r="AP3" s="47">
        <v>-0.5653982802355273</v>
      </c>
      <c r="AQ3" s="47">
        <v>-2.3218774640308908</v>
      </c>
      <c r="AR3" s="47">
        <v>-1.2702521066725581</v>
      </c>
      <c r="AS3" s="47">
        <v>-3.0960591791134959</v>
      </c>
      <c r="AT3" s="47">
        <v>-5.0226812230366136</v>
      </c>
      <c r="AU3" s="47">
        <v>-1.0844795323600493</v>
      </c>
      <c r="AV3" s="47">
        <v>5.4272021249803117</v>
      </c>
      <c r="AW3" s="47">
        <v>3.0990931227939029</v>
      </c>
      <c r="AX3" s="47">
        <v>42.615775013841471</v>
      </c>
    </row>
    <row r="4" spans="1:50" s="6" customFormat="1" ht="20.45" customHeight="1" x14ac:dyDescent="0.2">
      <c r="A4" s="39" t="s">
        <v>66</v>
      </c>
      <c r="B4" s="7" t="s">
        <v>34</v>
      </c>
      <c r="C4" s="22">
        <f>+Índice!D4/100*100-100</f>
        <v>24.644716710256006</v>
      </c>
      <c r="D4" s="22">
        <f>+Índice!E4/Índice!D4*100-100</f>
        <v>19.651777631817154</v>
      </c>
      <c r="E4" s="22">
        <f>+Índice!F4/Índice!E4*100-100</f>
        <v>-5.1119844766779323</v>
      </c>
      <c r="F4" s="22">
        <f>+Índice!G4/Índice!F4*100-100</f>
        <v>-5.406478243146168</v>
      </c>
      <c r="G4" s="22">
        <f>+Índice!H4/Índice!G4*100-100</f>
        <v>23.546440939340613</v>
      </c>
      <c r="H4" s="22">
        <f>+Índice!I4/Índice!H4*100-100</f>
        <v>10.322013102534783</v>
      </c>
      <c r="I4" s="22">
        <f>+Índice!J4/Índice!I4*100-100</f>
        <v>1.8895931561400374</v>
      </c>
      <c r="J4" s="22">
        <f>+Índice!K4/Índice!J4*100-100</f>
        <v>6.6707917573480984</v>
      </c>
      <c r="K4" s="22">
        <f>+Índice!L4/Índice!K4*100-100</f>
        <v>-22.787394195996981</v>
      </c>
      <c r="L4" s="22">
        <f>+Índice!M4/Índice!L4*100-100</f>
        <v>34.211603219636942</v>
      </c>
      <c r="M4" s="22">
        <f>+Índice!N4/Índice!M4*100-100</f>
        <v>-10.705596107055953</v>
      </c>
      <c r="N4" s="22">
        <f>+Índice!O4/Índice!N4*100-100</f>
        <v>-4.1690056730245146</v>
      </c>
      <c r="O4" s="22">
        <f>+Índice!P4/Índice!O4*100-100</f>
        <v>3.3163272763731158</v>
      </c>
      <c r="P4" s="22">
        <f>+Índice!Q4/Índice!P4*100-100</f>
        <v>1.1054917509915754</v>
      </c>
      <c r="Q4" s="22">
        <f>+Índice!R4/Índice!Q4*100-100</f>
        <v>-5.6383430493404774</v>
      </c>
      <c r="R4" s="22">
        <f>+Índice!S4/Índice!R4*100-100</f>
        <v>21.959308930147373</v>
      </c>
      <c r="S4" s="22">
        <f>+Índice!T4/Índice!S4*100-100</f>
        <v>4.3745792351221695</v>
      </c>
      <c r="T4" s="22">
        <f>+Índice!U4/Índice!T4*100-100</f>
        <v>30.506245093178393</v>
      </c>
      <c r="U4" s="22">
        <f>+Índice!V4/Índice!U4*100-100</f>
        <v>10.885971353490717</v>
      </c>
      <c r="V4" s="22">
        <f>+Índice!W4/Índice!V4*100-100</f>
        <v>6.8900720325712541</v>
      </c>
      <c r="W4" s="22">
        <f>+Índice!X4/Índice!W4*100-100</f>
        <v>-7.3587783996626683</v>
      </c>
      <c r="X4" s="22">
        <f>+Índice!Y4/Índice!X4*100-100</f>
        <v>22.859636382258856</v>
      </c>
      <c r="Y4" s="22">
        <f>+Índice!Z4/Índice!Y4*100-100</f>
        <v>10.086222066393873</v>
      </c>
      <c r="Z4" s="22">
        <f>+Índice!AA4/Índice!Z4*100-100</f>
        <v>-10.737045654475509</v>
      </c>
      <c r="AA4" s="22">
        <f>+Índice!AB4/Índice!AA4*100-100</f>
        <v>-13.812975730123142</v>
      </c>
      <c r="AB4" s="22">
        <f>+Índice!AC4/Índice!AB4*100-100</f>
        <v>-9.2269674023577721</v>
      </c>
      <c r="AC4" s="22">
        <f>+Índice!AD4/Índice!AC4*100-100</f>
        <v>-2.7737459799131301</v>
      </c>
      <c r="AD4" s="22">
        <f>+Índice!AE4/Índice!AD4*100-100</f>
        <v>12.033464732992272</v>
      </c>
      <c r="AE4" s="22">
        <f>+Índice!AF4/Índice!AE4*100-100</f>
        <v>-2.226554242653819</v>
      </c>
      <c r="AF4" s="22">
        <f>+Índice!AG4/Índice!AF4*100-100</f>
        <v>-1.4777355039335305</v>
      </c>
      <c r="AG4" s="22">
        <f>+Índice!AH4/Índice!AG4*100-100</f>
        <v>1.8181926541585227</v>
      </c>
      <c r="AH4" s="22">
        <f>+Índice!AI4/Índice!AH4*100-100</f>
        <v>-5.8091829703514861</v>
      </c>
      <c r="AI4" s="22">
        <f>+Índice!AJ4/Índice!AI4*100-100</f>
        <v>-6.2338878236662794</v>
      </c>
      <c r="AJ4" s="48">
        <v>1.7947486636278285</v>
      </c>
      <c r="AK4" s="48">
        <v>1.3452357476256651</v>
      </c>
      <c r="AL4" s="48">
        <v>5.0333990689438508</v>
      </c>
      <c r="AM4" s="48">
        <v>-3.8765520935901776</v>
      </c>
      <c r="AN4" s="48">
        <v>-4.7196494697649598</v>
      </c>
      <c r="AO4" s="48">
        <v>6.6784278234856629</v>
      </c>
      <c r="AP4" s="48">
        <v>-0.73187492878308547</v>
      </c>
      <c r="AQ4" s="48">
        <v>-2.7455178783958303</v>
      </c>
      <c r="AR4" s="48">
        <v>-1.5232939695145689</v>
      </c>
      <c r="AS4" s="48">
        <v>-3.686936127117761</v>
      </c>
      <c r="AT4" s="48">
        <v>-5.9701388538921805</v>
      </c>
      <c r="AU4" s="48">
        <v>-1.3642501071718698</v>
      </c>
      <c r="AV4" s="48">
        <v>6.3896908237510104</v>
      </c>
      <c r="AW4" s="48">
        <v>3.5847169635485585</v>
      </c>
      <c r="AX4" s="48">
        <v>50.020580337802727</v>
      </c>
    </row>
    <row r="5" spans="1:50" ht="20.45" customHeight="1" x14ac:dyDescent="0.2">
      <c r="A5" s="42" t="s">
        <v>67</v>
      </c>
      <c r="B5" s="9" t="s">
        <v>35</v>
      </c>
      <c r="C5" s="23">
        <f>+Índice!D5/100*100-100</f>
        <v>25.768184501845013</v>
      </c>
      <c r="D5" s="23">
        <f>+Índice!E5/Índice!D5*100-100</f>
        <v>18.39355945239511</v>
      </c>
      <c r="E5" s="23">
        <f>+Índice!F5/Índice!E5*100-100</f>
        <v>-5.0838974308891665</v>
      </c>
      <c r="F5" s="23">
        <f>+Índice!G5/Índice!F5*100-100</f>
        <v>-5.6417280806677468</v>
      </c>
      <c r="G5" s="23">
        <f>+Índice!H5/Índice!G5*100-100</f>
        <v>24.619536696903793</v>
      </c>
      <c r="H5" s="23">
        <f>+Índice!I5/Índice!H5*100-100</f>
        <v>9.908279041658588</v>
      </c>
      <c r="I5" s="23">
        <f>+Índice!J5/Índice!I5*100-100</f>
        <v>1.3984973668598855</v>
      </c>
      <c r="J5" s="23">
        <f>+Índice!K5/Índice!J5*100-100</f>
        <v>7.4770979424818194</v>
      </c>
      <c r="K5" s="23">
        <f>+Índice!L5/Índice!K5*100-100</f>
        <v>-24.574796669081849</v>
      </c>
      <c r="L5" s="23">
        <f>+Índice!M5/Índice!L5*100-100</f>
        <v>22.285074300752797</v>
      </c>
      <c r="M5" s="23">
        <f>+Índice!N5/Índice!M5*100-100</f>
        <v>2.5599128540305003</v>
      </c>
      <c r="N5" s="23">
        <f>+Índice!O5/Índice!N5*100-100</f>
        <v>-4.8114710568242174</v>
      </c>
      <c r="O5" s="23">
        <f>+Índice!P5/Índice!O5*100-100</f>
        <v>2.3566168266011971</v>
      </c>
      <c r="P5" s="23">
        <f>+Índice!Q5/Índice!P5*100-100</f>
        <v>-17.723498474461991</v>
      </c>
      <c r="Q5" s="23">
        <f>+Índice!R5/Índice!Q5*100-100</f>
        <v>-5.2541099999999972</v>
      </c>
      <c r="R5" s="23">
        <f>+Índice!S5/Índice!R5*100-100</f>
        <v>49.367308639569302</v>
      </c>
      <c r="S5" s="23">
        <f>+Índice!T5/Índice!S5*100-100</f>
        <v>3.1134690000000091</v>
      </c>
      <c r="T5" s="23">
        <f>+Índice!U5/Índice!T5*100-100</f>
        <v>31.999999999999972</v>
      </c>
      <c r="U5" s="23">
        <f>+Índice!V5/Índice!U5*100-100</f>
        <v>11.260842852147505</v>
      </c>
      <c r="V5" s="23">
        <f>+Índice!W5/Índice!V5*100-100</f>
        <v>6.5842349304482184</v>
      </c>
      <c r="W5" s="23">
        <f>+Índice!X5/Índice!W5*100-100</f>
        <v>-7.2836254403048031</v>
      </c>
      <c r="X5" s="23">
        <f>+Índice!Y5/Índice!X5*100-100</f>
        <v>22.106277073915123</v>
      </c>
      <c r="Y5" s="23">
        <f>+Índice!Z5/Índice!Y5*100-100</f>
        <v>10.721228615863126</v>
      </c>
      <c r="Z5" s="23">
        <f>+Índice!AA5/Índice!Z5*100-100</f>
        <v>-10.602926440513087</v>
      </c>
      <c r="AA5" s="23">
        <f>+Índice!AB5/Índice!AA5*100-100</f>
        <v>-14.100355739544995</v>
      </c>
      <c r="AB5" s="23">
        <f>+Índice!AC5/Índice!AB5*100-100</f>
        <v>-9.4959818627931583</v>
      </c>
      <c r="AC5" s="23">
        <f>+Índice!AD5/Índice!AC5*100-100</f>
        <v>-2.8838857637019544</v>
      </c>
      <c r="AD5" s="23">
        <f>+Índice!AE5/Índice!AD5*100-100</f>
        <v>12.299411982846209</v>
      </c>
      <c r="AE5" s="23">
        <f>+Índice!AF5/Índice!AE5*100-100</f>
        <v>-2.2195929338885207</v>
      </c>
      <c r="AF5" s="23">
        <f>+Índice!AG5/Índice!AF5*100-100</f>
        <v>-2.1144377382464938</v>
      </c>
      <c r="AG5" s="23">
        <f>+Índice!AH5/Índice!AG5*100-100</f>
        <v>1.8300018227109831</v>
      </c>
      <c r="AH5" s="23">
        <f>+Índice!AI5/Índice!AH5*100-100</f>
        <v>-5.2470464437748205</v>
      </c>
      <c r="AI5" s="23">
        <f>+Índice!AJ5/Índice!AI5*100-100</f>
        <v>-6.5349991586740543</v>
      </c>
      <c r="AJ5" s="49">
        <v>2.9119752365163833</v>
      </c>
      <c r="AK5" s="49">
        <v>2.0495536410565478</v>
      </c>
      <c r="AL5" s="49">
        <v>5.353040942925773</v>
      </c>
      <c r="AM5" s="49">
        <v>-4.6484706899333048</v>
      </c>
      <c r="AN5" s="49">
        <v>-1.56345627769727</v>
      </c>
      <c r="AO5" s="49">
        <v>7.011864725921015</v>
      </c>
      <c r="AP5" s="49">
        <v>-1.3769892643948083</v>
      </c>
      <c r="AQ5" s="49">
        <v>-2.7865681911579259</v>
      </c>
      <c r="AR5" s="49">
        <v>-1.6154092377928038</v>
      </c>
      <c r="AS5" s="49">
        <v>-4.0768872190872258</v>
      </c>
      <c r="AT5" s="49">
        <v>-5.9150202586134668</v>
      </c>
      <c r="AU5" s="49">
        <v>-1.3949532816504728</v>
      </c>
      <c r="AV5" s="49">
        <v>7.5759940848583369</v>
      </c>
      <c r="AW5" s="49">
        <v>4.4172659398257821</v>
      </c>
      <c r="AX5" s="49">
        <v>50.222037661092088</v>
      </c>
    </row>
    <row r="6" spans="1:50" ht="20.45" customHeight="1" x14ac:dyDescent="0.2">
      <c r="A6" s="42" t="s">
        <v>68</v>
      </c>
      <c r="B6" s="9">
        <v>8991</v>
      </c>
      <c r="C6" s="23">
        <f>+Índice!D6/100*100-100</f>
        <v>-24.915495617832079</v>
      </c>
      <c r="D6" s="23">
        <f>+Índice!E6/Índice!D6*100-100</f>
        <v>75.468075153357688</v>
      </c>
      <c r="E6" s="23">
        <f>+Índice!F6/Índice!E6*100-100</f>
        <v>-5.9700175295138536</v>
      </c>
      <c r="F6" s="23">
        <f>+Índice!G6/Índice!F6*100-100</f>
        <v>1.6603048182118414</v>
      </c>
      <c r="G6" s="23">
        <f>+Índice!H6/Índice!G6*100-100</f>
        <v>-6.3723071332788805</v>
      </c>
      <c r="H6" s="23">
        <f>+Índice!I6/Índice!H6*100-100</f>
        <v>25.570024626276975</v>
      </c>
      <c r="I6" s="23">
        <f>+Índice!J6/Índice!I6*100-100</f>
        <v>17.838761987064842</v>
      </c>
      <c r="J6" s="23">
        <f>+Índice!K6/Índice!J6*100-100</f>
        <v>15.000000000000014</v>
      </c>
      <c r="K6" s="23">
        <f>+Índice!L6/Índice!K6*100-100</f>
        <v>12.243473315147341</v>
      </c>
      <c r="L6" s="23">
        <f>+Índice!M6/Índice!L6*100-100</f>
        <v>-33.108261504831376</v>
      </c>
      <c r="M6" s="23">
        <f>+Índice!N6/Índice!M6*100-100</f>
        <v>-30.36951794950032</v>
      </c>
      <c r="N6" s="23">
        <f>+Índice!O6/Índice!N6*100-100</f>
        <v>-4.3571637822050491</v>
      </c>
      <c r="O6" s="23">
        <f>+Índice!P6/Índice!O6*100-100</f>
        <v>42.451995446622931</v>
      </c>
      <c r="P6" s="23">
        <f>+Índice!Q6/Índice!P6*100-100</f>
        <v>-1.4745748329862209</v>
      </c>
      <c r="Q6" s="23">
        <f>+Índice!R6/Índice!Q6*100-100</f>
        <v>-26.399566023496604</v>
      </c>
      <c r="R6" s="23">
        <f>+Índice!S6/Índice!R6*100-100</f>
        <v>10.491406246352426</v>
      </c>
      <c r="S6" s="23">
        <f>+Índice!T6/Índice!S6*100-100</f>
        <v>2.5455862000000025</v>
      </c>
      <c r="T6" s="23">
        <f>+Índice!U6/Índice!T6*100-100</f>
        <v>39.963351015932915</v>
      </c>
      <c r="U6" s="23">
        <f>+Índice!V6/Índice!U6*100-100</f>
        <v>-19.017144500219288</v>
      </c>
      <c r="V6" s="23">
        <f>+Índice!W6/Índice!V6*100-100</f>
        <v>38.392186326070629</v>
      </c>
      <c r="W6" s="23">
        <f>+Índice!X6/Índice!W6*100-100</f>
        <v>-12.838259992883664</v>
      </c>
      <c r="X6" s="23">
        <f>+Índice!Y6/Índice!X6*100-100</f>
        <v>90.464673063178822</v>
      </c>
      <c r="Y6" s="23">
        <f>+Índice!Z6/Índice!Y6*100-100</f>
        <v>-25.731111220509788</v>
      </c>
      <c r="Z6" s="23">
        <f>+Índice!AA6/Índice!Z6*100-100</f>
        <v>-22.109544445585001</v>
      </c>
      <c r="AA6" s="23">
        <f>+Índice!AB6/Índice!AA6*100-100</f>
        <v>12.607731935059377</v>
      </c>
      <c r="AB6" s="23">
        <f>+Índice!AC6/Índice!AB6*100-100</f>
        <v>11.58551502126106</v>
      </c>
      <c r="AC6" s="23">
        <f>+Índice!AD6/Índice!AC6*100-100</f>
        <v>3.7763731980346051</v>
      </c>
      <c r="AD6" s="23">
        <f>+Índice!AE6/Índice!AD6*100-100</f>
        <v>-2.7191834155319867</v>
      </c>
      <c r="AE6" s="23">
        <f>+Índice!AF6/Índice!AE6*100-100</f>
        <v>-2.7709724505513122</v>
      </c>
      <c r="AF6" s="23">
        <f>+Índice!AG6/Índice!AF6*100-100</f>
        <v>39.846871697043156</v>
      </c>
      <c r="AG6" s="23">
        <f>+Índice!AH6/Índice!AG6*100-100</f>
        <v>1.2843522153673632</v>
      </c>
      <c r="AH6" s="23">
        <f>+Índice!AI6/Índice!AH6*100-100</f>
        <v>-31.5410598593499</v>
      </c>
      <c r="AI6" s="23">
        <f>+Índice!AJ6/Índice!AI6*100-100</f>
        <v>12.763892259160386</v>
      </c>
      <c r="AJ6" s="49">
        <v>-10.535405872193422</v>
      </c>
      <c r="AK6" s="49">
        <v>-7.5171035697351698</v>
      </c>
      <c r="AL6" s="49">
        <v>0.71393258015490346</v>
      </c>
      <c r="AM6" s="49">
        <v>7.3397948108190718</v>
      </c>
      <c r="AN6" s="49">
        <v>-46.153455284552848</v>
      </c>
      <c r="AO6" s="49">
        <v>-0.61831309631266151</v>
      </c>
      <c r="AP6" s="49">
        <v>15.304812964180044</v>
      </c>
      <c r="AQ6" s="49">
        <v>-1.7932165176007544</v>
      </c>
      <c r="AR6" s="49">
        <v>0.39649398803153701</v>
      </c>
      <c r="AS6" s="49">
        <v>4.4133859729271023</v>
      </c>
      <c r="AT6" s="49">
        <v>-7.4439402012670541</v>
      </c>
      <c r="AU6" s="49">
        <v>-0.83226097116292408</v>
      </c>
      <c r="AV6" s="49">
        <v>-16.731917472419127</v>
      </c>
      <c r="AW6" s="49">
        <v>-17.495005900533585</v>
      </c>
      <c r="AX6" s="49">
        <v>47.790404040700764</v>
      </c>
    </row>
    <row r="7" spans="1:50" ht="20.45" customHeight="1" x14ac:dyDescent="0.2">
      <c r="A7" s="42" t="s">
        <v>69</v>
      </c>
      <c r="B7" s="9" t="s">
        <v>36</v>
      </c>
      <c r="C7" s="23">
        <f>+Índice!D7/100*100-100</f>
        <v>3.5433333333333223</v>
      </c>
      <c r="D7" s="23">
        <f>+Índice!E7/Índice!D7*100-100</f>
        <v>-2.1131669736302854</v>
      </c>
      <c r="E7" s="23">
        <f>+Índice!F7/Índice!E7*100-100</f>
        <v>0</v>
      </c>
      <c r="F7" s="23">
        <f>+Índice!G7/Índice!F7*100-100</f>
        <v>0</v>
      </c>
      <c r="G7" s="23">
        <f>+Índice!H7/Índice!G7*100-100</f>
        <v>0</v>
      </c>
      <c r="H7" s="23">
        <f>+Índice!I7/Índice!H7*100-100</f>
        <v>46.284597937712789</v>
      </c>
      <c r="I7" s="23">
        <f>+Índice!J7/Índice!I7*100-100</f>
        <v>12.416112759186902</v>
      </c>
      <c r="J7" s="23">
        <f>+Índice!K7/Índice!J7*100-100</f>
        <v>0</v>
      </c>
      <c r="K7" s="23">
        <f>+Índice!L7/Índice!K7*100-100</f>
        <v>-2.0699868010172509</v>
      </c>
      <c r="L7" s="23">
        <f>+Índice!M7/Índice!L7*100-100</f>
        <v>9.6026214498261737</v>
      </c>
      <c r="M7" s="23">
        <f>+Índice!N7/Índice!M7*100-100</f>
        <v>-6.8194522079374025</v>
      </c>
      <c r="N7" s="23">
        <f>+Índice!O7/Índice!N7*100-100</f>
        <v>3.4983025948660753</v>
      </c>
      <c r="O7" s="23">
        <f>+Índice!P7/Índice!O7*100-100</f>
        <v>3.031988264586218</v>
      </c>
      <c r="P7" s="23">
        <f>+Índice!Q7/Índice!P7*100-100</f>
        <v>7.9198331791765071</v>
      </c>
      <c r="Q7" s="23">
        <f>+Índice!R7/Índice!Q7*100-100</f>
        <v>3.8551195050292648</v>
      </c>
      <c r="R7" s="23">
        <f>+Índice!S7/Índice!R7*100-100</f>
        <v>3.1766120499045769</v>
      </c>
      <c r="S7" s="23">
        <f>+Índice!T7/Índice!S7*100-100</f>
        <v>1.6522840000000087</v>
      </c>
      <c r="T7" s="23">
        <f>+Índice!U7/Índice!T7*100-100</f>
        <v>3.6585199999999958</v>
      </c>
      <c r="U7" s="23">
        <f>+Índice!V7/Índice!U7*100-100</f>
        <v>1.7508624697154573</v>
      </c>
      <c r="V7" s="23">
        <f>+Índice!W7/Índice!V7*100-100</f>
        <v>0.86206896551723844</v>
      </c>
      <c r="W7" s="23">
        <f>+Índice!X7/Índice!W7*100-100</f>
        <v>-1.1384764483429137</v>
      </c>
      <c r="X7" s="23">
        <f>+Índice!Y7/Índice!X7*100-100</f>
        <v>3.1626453882966672</v>
      </c>
      <c r="Y7" s="23">
        <f>+Índice!Z7/Índice!Y7*100-100</f>
        <v>1.0545869500000009</v>
      </c>
      <c r="Z7" s="23">
        <f>+Índice!AA7/Índice!Z7*100-100</f>
        <v>0.82110000000000127</v>
      </c>
      <c r="AA7" s="23">
        <f>+Índice!AB7/Índice!AA7*100-100</f>
        <v>1.2156834845633284</v>
      </c>
      <c r="AB7" s="23">
        <f>+Índice!AC7/Índice!AB7*100-100</f>
        <v>-9.4891297190389992</v>
      </c>
      <c r="AC7" s="23">
        <f>+Índice!AD7/Índice!AC7*100-100</f>
        <v>2.577485849999988</v>
      </c>
      <c r="AD7" s="23">
        <f>+Índice!AE7/Índice!AD7*100-100</f>
        <v>1.2582436364605201</v>
      </c>
      <c r="AE7" s="23">
        <f>+Índice!AF7/Índice!AE7*100-100</f>
        <v>3.2215655521736153</v>
      </c>
      <c r="AF7" s="23">
        <f>+Índice!AG7/Índice!AF7*100-100</f>
        <v>3.1225409999999982</v>
      </c>
      <c r="AG7" s="23">
        <f>+Índice!AH7/Índice!AG7*100-100</f>
        <v>1.2350000000000136</v>
      </c>
      <c r="AH7" s="23">
        <f>+Índice!AI7/Índice!AH7*100-100</f>
        <v>1.0855425362499886</v>
      </c>
      <c r="AI7" s="23">
        <f>+Índice!AJ7/Índice!AI7*100-100</f>
        <v>0.55000000000001137</v>
      </c>
      <c r="AJ7" s="49">
        <v>0</v>
      </c>
      <c r="AK7" s="49">
        <v>-2.113725403905832</v>
      </c>
      <c r="AL7" s="49">
        <v>0.14933394188976479</v>
      </c>
      <c r="AM7" s="49">
        <v>0.14370716214253321</v>
      </c>
      <c r="AN7" s="49">
        <v>0.13762902713116887</v>
      </c>
      <c r="AO7" s="49">
        <v>0.16323844405438592</v>
      </c>
      <c r="AP7" s="49">
        <v>-5.2886312735012098E-3</v>
      </c>
      <c r="AQ7" s="49">
        <v>0.16914734283986377</v>
      </c>
      <c r="AR7" s="49">
        <v>3.6669172008885198E-3</v>
      </c>
      <c r="AS7" s="49">
        <v>0.23665200000000652</v>
      </c>
      <c r="AT7" s="49">
        <v>1.3622499999999889</v>
      </c>
      <c r="AU7" s="49">
        <v>-7.3330277136562927E-3</v>
      </c>
      <c r="AV7" s="49">
        <v>-2.6634054260938456E-2</v>
      </c>
      <c r="AW7" s="49">
        <v>0.36946917984124639</v>
      </c>
      <c r="AX7" s="49">
        <v>0.3903503314368777</v>
      </c>
    </row>
    <row r="8" spans="1:50" s="6" customFormat="1" ht="20.45" customHeight="1" x14ac:dyDescent="0.2">
      <c r="A8" s="40" t="s">
        <v>70</v>
      </c>
      <c r="B8" s="7" t="s">
        <v>37</v>
      </c>
      <c r="C8" s="22">
        <f>+Índice!D8/100*100-100</f>
        <v>6.0717797701286003</v>
      </c>
      <c r="D8" s="22">
        <f>+Índice!E8/Índice!D8*100-100</f>
        <v>1.8809680240360933</v>
      </c>
      <c r="E8" s="22">
        <f>+Índice!F8/Índice!E8*100-100</f>
        <v>0.67285255538746469</v>
      </c>
      <c r="F8" s="22">
        <f>+Índice!G8/Índice!F8*100-100</f>
        <v>0.19964217140788776</v>
      </c>
      <c r="G8" s="22">
        <f>+Índice!H8/Índice!G8*100-100</f>
        <v>-1.9793709000248185</v>
      </c>
      <c r="H8" s="22">
        <f>+Índice!I8/Índice!H8*100-100</f>
        <v>6.5211724627206848</v>
      </c>
      <c r="I8" s="22">
        <f>+Índice!J8/Índice!I8*100-100</f>
        <v>1.4471246442812316</v>
      </c>
      <c r="J8" s="22">
        <f>+Índice!K8/Índice!J8*100-100</f>
        <v>5.0065103579015613E-2</v>
      </c>
      <c r="K8" s="22">
        <f>+Índice!L8/Índice!K8*100-100</f>
        <v>-6.9129262161781355</v>
      </c>
      <c r="L8" s="22">
        <f>+Índice!M8/Índice!L8*100-100</f>
        <v>16.700399416840142</v>
      </c>
      <c r="M8" s="22">
        <f>+Índice!N8/Índice!M8*100-100</f>
        <v>-7.0119521912350535</v>
      </c>
      <c r="N8" s="22">
        <f>+Índice!O8/Índice!N8*100-100</f>
        <v>-4.4379639625896345</v>
      </c>
      <c r="O8" s="22">
        <f>+Índice!P8/Índice!O8*100-100</f>
        <v>13.797093653320729</v>
      </c>
      <c r="P8" s="22">
        <f>+Índice!Q8/Índice!P8*100-100</f>
        <v>3.9451429530494693</v>
      </c>
      <c r="Q8" s="22">
        <f>+Índice!R8/Índice!Q8*100-100</f>
        <v>-10.157992492492767</v>
      </c>
      <c r="R8" s="22">
        <f>+Índice!S8/Índice!R8*100-100</f>
        <v>15.452330602714497</v>
      </c>
      <c r="S8" s="22">
        <f>+Índice!T8/Índice!S8*100-100</f>
        <v>4.5636722004807666</v>
      </c>
      <c r="T8" s="22">
        <f>+Índice!U8/Índice!T8*100-100</f>
        <v>1.5851404720399671</v>
      </c>
      <c r="U8" s="22">
        <f>+Índice!V8/Índice!U8*100-100</f>
        <v>1.8990822585526246</v>
      </c>
      <c r="V8" s="22">
        <f>+Índice!W8/Índice!V8*100-100</f>
        <v>1.8906144496961588</v>
      </c>
      <c r="W8" s="22">
        <f>+Índice!X8/Índice!W8*100-100</f>
        <v>-1.8467249400156902</v>
      </c>
      <c r="X8" s="22">
        <f>+Índice!Y8/Índice!X8*100-100</f>
        <v>4.9934621821688694</v>
      </c>
      <c r="Y8" s="23">
        <f>+Índice!Z8/Índice!Y8*100-100</f>
        <v>1.7427068293746544</v>
      </c>
      <c r="Z8" s="22">
        <f>+Índice!AA8/Índice!Z8*100-100</f>
        <v>0.84036256150068311</v>
      </c>
      <c r="AA8" s="22">
        <f>+Índice!AB8/Índice!AA8*100-100</f>
        <v>1.3482004823283518</v>
      </c>
      <c r="AB8" s="22">
        <f>+Índice!AC8/Índice!AB8*100-100</f>
        <v>2.8769837170722781</v>
      </c>
      <c r="AC8" s="22">
        <f>+Índice!AD8/Índice!AC8*100-100</f>
        <v>2.3370179427999034</v>
      </c>
      <c r="AD8" s="22">
        <f>+Índice!AE8/Índice!AD8*100-100</f>
        <v>4.3821956040079186</v>
      </c>
      <c r="AE8" s="22">
        <f>+Índice!AF8/Índice!AE8*100-100</f>
        <v>3.6135608675813558</v>
      </c>
      <c r="AF8" s="22">
        <f>+Índice!AG8/Índice!AF8*100-100</f>
        <v>3.2586546818906612</v>
      </c>
      <c r="AG8" s="22">
        <f>+Índice!AH8/Índice!AG8*100-100</f>
        <v>1.9839820013564946</v>
      </c>
      <c r="AH8" s="22">
        <f>+Índice!AI8/Índice!AH8*100-100</f>
        <v>1.7077708847801745</v>
      </c>
      <c r="AI8" s="22">
        <f>+Índice!AJ8/Índice!AI8*100-100</f>
        <v>0.42109300639852165</v>
      </c>
      <c r="AJ8" s="48">
        <v>0.85142970536264784</v>
      </c>
      <c r="AK8" s="48">
        <v>0.57670529446964736</v>
      </c>
      <c r="AL8" s="48">
        <v>0.45665514498263349</v>
      </c>
      <c r="AM8" s="48">
        <v>0.37607076047360977</v>
      </c>
      <c r="AN8" s="48">
        <v>0.23013038932313634</v>
      </c>
      <c r="AO8" s="48">
        <v>0.55752667749358409</v>
      </c>
      <c r="AP8" s="48">
        <v>0.44334751418500673</v>
      </c>
      <c r="AQ8" s="48">
        <v>0.51060564380122742</v>
      </c>
      <c r="AR8" s="48">
        <v>0.30497024999114331</v>
      </c>
      <c r="AS8" s="48">
        <v>0.47777370126323149</v>
      </c>
      <c r="AT8" s="48">
        <v>0.41903659821171857</v>
      </c>
      <c r="AU8" s="48">
        <v>0.48582697728760138</v>
      </c>
      <c r="AV8" s="48">
        <v>0.4926563215534685</v>
      </c>
      <c r="AW8" s="48">
        <v>0.50224496458919532</v>
      </c>
      <c r="AX8" s="48">
        <v>0.48273020844023051</v>
      </c>
    </row>
    <row r="9" spans="1:50" ht="20.45" customHeight="1" x14ac:dyDescent="0.2">
      <c r="A9" s="42" t="s">
        <v>71</v>
      </c>
      <c r="B9" s="9" t="s">
        <v>38</v>
      </c>
      <c r="C9" s="23">
        <f>+Índice!D9/100*100-100</f>
        <v>5.3888340711567366</v>
      </c>
      <c r="D9" s="23">
        <f>+Índice!E9/Índice!D9*100-100</f>
        <v>-3.0788555165374589</v>
      </c>
      <c r="E9" s="23">
        <f>+Índice!F9/Índice!E9*100-100</f>
        <v>1.1350867471148263</v>
      </c>
      <c r="F9" s="23">
        <f>+Índice!G9/Índice!F9*100-100</f>
        <v>0.13211182968839807</v>
      </c>
      <c r="G9" s="23">
        <f>+Índice!H9/Índice!G9*100-100</f>
        <v>-2.0050362390125969</v>
      </c>
      <c r="H9" s="23">
        <f>+Índice!I9/Índice!H9*100-100</f>
        <v>4.7221214850011961E-2</v>
      </c>
      <c r="I9" s="23">
        <f>+Índice!J9/Índice!I9*100-100</f>
        <v>3.0714332222123062</v>
      </c>
      <c r="J9" s="23">
        <f>+Índice!K9/Índice!J9*100-100</f>
        <v>-1.2229867265667309</v>
      </c>
      <c r="K9" s="23">
        <f>+Índice!L9/Índice!K9*100-100</f>
        <v>-5.5360694100701977</v>
      </c>
      <c r="L9" s="23">
        <f>+Índice!M9/Índice!L9*100-100</f>
        <v>-4.4438713134777004</v>
      </c>
      <c r="M9" s="23">
        <f>+Índice!N9/Índice!M9*100-100</f>
        <v>15.128755364806864</v>
      </c>
      <c r="N9" s="23">
        <f>+Índice!O9/Índice!N9*100-100</f>
        <v>-9.8094521005664745</v>
      </c>
      <c r="O9" s="23">
        <f>+Índice!P9/Índice!O9*100-100</f>
        <v>17.476254158451127</v>
      </c>
      <c r="P9" s="23">
        <f>+Índice!Q9/Índice!P9*100-100</f>
        <v>-10.12190083348294</v>
      </c>
      <c r="Q9" s="23">
        <f>+Índice!R9/Índice!Q9*100-100</f>
        <v>5.844802839930253</v>
      </c>
      <c r="R9" s="23">
        <f>+Índice!S9/Índice!R9*100-100</f>
        <v>9.1023048159554918</v>
      </c>
      <c r="S9" s="23">
        <f>+Índice!T9/Índice!S9*100-100</f>
        <v>8.0850320575373615</v>
      </c>
      <c r="T9" s="23">
        <f>+Índice!U9/Índice!T9*100-100</f>
        <v>1.6734104017796625</v>
      </c>
      <c r="U9" s="23">
        <f>+Índice!V9/Índice!U9*100-100</f>
        <v>1.8736087565894906</v>
      </c>
      <c r="V9" s="23">
        <f>+Índice!W9/Índice!V9*100-100</f>
        <v>2.4981074943224826</v>
      </c>
      <c r="W9" s="23">
        <f>+Índice!X9/Índice!W9*100-100</f>
        <v>-2.2229240557752377</v>
      </c>
      <c r="X9" s="23">
        <f>+Índice!Y9/Índice!X9*100-100</f>
        <v>5.1329723494949206</v>
      </c>
      <c r="Y9" s="23">
        <f>+Índice!Z9/Índice!Y9*100-100</f>
        <v>-0.68664460537976879</v>
      </c>
      <c r="Z9" s="23">
        <f>+Índice!AA9/Índice!Z9*100-100</f>
        <v>4.2992948211473987</v>
      </c>
      <c r="AA9" s="23">
        <f>+Índice!AB9/Índice!AA9*100-100</f>
        <v>0.78175901966051242</v>
      </c>
      <c r="AB9" s="23">
        <f>+Índice!AC9/Índice!AB9*100-100</f>
        <v>2.708097957418488</v>
      </c>
      <c r="AC9" s="23">
        <f>+Índice!AD9/Índice!AC9*100-100</f>
        <v>2.2207304159988155</v>
      </c>
      <c r="AD9" s="23">
        <f>+Índice!AE9/Índice!AD9*100-100</f>
        <v>2.0655856225675819</v>
      </c>
      <c r="AE9" s="23">
        <f>+Índice!AF9/Índice!AE9*100-100</f>
        <v>3.8295646238682082</v>
      </c>
      <c r="AF9" s="23">
        <f>+Índice!AG9/Índice!AF9*100-100</f>
        <v>4.4017604549602396</v>
      </c>
      <c r="AG9" s="23">
        <f>+Índice!AH9/Índice!AG9*100-100</f>
        <v>2.3371654656195346</v>
      </c>
      <c r="AH9" s="23">
        <f>+Índice!AI9/Índice!AH9*100-100</f>
        <v>2.2578173512154365</v>
      </c>
      <c r="AI9" s="23">
        <f>+Índice!AJ9/Índice!AI9*100-100</f>
        <v>1.1880311617826749</v>
      </c>
      <c r="AJ9" s="49">
        <v>0.74762335333696228</v>
      </c>
      <c r="AK9" s="49">
        <v>0.43942695177796054</v>
      </c>
      <c r="AL9" s="49">
        <v>0.47952264108957365</v>
      </c>
      <c r="AM9" s="49">
        <v>0.20416938335144152</v>
      </c>
      <c r="AN9" s="49">
        <v>0.30664833350344622</v>
      </c>
      <c r="AO9" s="49">
        <v>0.54626858929881905</v>
      </c>
      <c r="AP9" s="49">
        <v>0.15075066405356097</v>
      </c>
      <c r="AQ9" s="49">
        <v>0.29666901197199991</v>
      </c>
      <c r="AR9" s="49">
        <v>0.23093646785636679</v>
      </c>
      <c r="AS9" s="49">
        <v>0.28812861520005129</v>
      </c>
      <c r="AT9" s="49">
        <v>0.25742669610649216</v>
      </c>
      <c r="AU9" s="49">
        <v>0.29679810152967434</v>
      </c>
      <c r="AV9" s="49">
        <v>0.34684933038940358</v>
      </c>
      <c r="AW9" s="49">
        <v>0.4587240894434359</v>
      </c>
      <c r="AX9" s="49">
        <v>0.31775694067673044</v>
      </c>
    </row>
    <row r="10" spans="1:50" ht="20.45" customHeight="1" x14ac:dyDescent="0.2">
      <c r="A10" s="43" t="s">
        <v>72</v>
      </c>
      <c r="B10" s="9" t="s">
        <v>39</v>
      </c>
      <c r="C10" s="23">
        <f>+Índice!D10/100*100-100</f>
        <v>3.1849999999999881</v>
      </c>
      <c r="D10" s="23">
        <f>+Índice!E10/Índice!D10*100-100</f>
        <v>-5.9196208796205667</v>
      </c>
      <c r="E10" s="23">
        <f>+Índice!F10/Índice!E10*100-100</f>
        <v>6.2020907734027304</v>
      </c>
      <c r="F10" s="23">
        <f>+Índice!G10/Índice!F10*100-100</f>
        <v>1.6746817148903972</v>
      </c>
      <c r="G10" s="23">
        <f>+Índice!H10/Índice!G10*100-100</f>
        <v>0.46224183499109017</v>
      </c>
      <c r="H10" s="23">
        <f>+Índice!I10/Índice!H10*100-100</f>
        <v>-1.1958596646720991</v>
      </c>
      <c r="I10" s="23">
        <f>+Índice!J10/Índice!I10*100-100</f>
        <v>0.5545716218699539</v>
      </c>
      <c r="J10" s="23">
        <f>+Índice!K10/Índice!J10*100-100</f>
        <v>-4.0763709478696342E-2</v>
      </c>
      <c r="K10" s="23">
        <f>+Índice!L10/Índice!K10*100-100</f>
        <v>2.7634376094740674</v>
      </c>
      <c r="L10" s="23">
        <f>+Índice!M10/Índice!L10*100-100</f>
        <v>0.1173563567196112</v>
      </c>
      <c r="M10" s="23">
        <f>+Índice!N10/Índice!M10*100-100</f>
        <v>-0.18587360594793267</v>
      </c>
      <c r="N10" s="23">
        <f>+Índice!O10/Índice!N10*100-100</f>
        <v>-9.2043016759776606</v>
      </c>
      <c r="O10" s="23">
        <f>+Índice!P10/Índice!O10*100-100</f>
        <v>16.479068752971045</v>
      </c>
      <c r="P10" s="23">
        <f>+Índice!Q10/Índice!P10*100-100</f>
        <v>-2.8679205374027106</v>
      </c>
      <c r="Q10" s="23">
        <f>+Índice!R10/Índice!Q10*100-100</f>
        <v>3.5641208091953018</v>
      </c>
      <c r="R10" s="23">
        <f>+Índice!S10/Índice!R10*100-100</f>
        <v>4.3729227172756566</v>
      </c>
      <c r="S10" s="23">
        <f>+Índice!T10/Índice!S10*100-100</f>
        <v>8.4033917873156128</v>
      </c>
      <c r="T10" s="23">
        <f>+Índice!U10/Índice!T10*100-100</f>
        <v>1.7254412500000029</v>
      </c>
      <c r="U10" s="23">
        <f>+Índice!V10/Índice!U10*100-100</f>
        <v>1.8194683998246717</v>
      </c>
      <c r="V10" s="23">
        <f>+Índice!W10/Índice!V10*100-100</f>
        <v>2.539208364451099</v>
      </c>
      <c r="W10" s="23">
        <f>+Índice!X10/Índice!W10*100-100</f>
        <v>-2.2317876095076912</v>
      </c>
      <c r="X10" s="23">
        <f>+Índice!Y10/Índice!X10*100-100</f>
        <v>5.3723727709359395</v>
      </c>
      <c r="Y10" s="23">
        <f>+Índice!Z10/Índice!Y10*100-100</f>
        <v>1.7758669585452083</v>
      </c>
      <c r="Z10" s="23">
        <f>+Índice!AA10/Índice!Z10*100-100</f>
        <v>2.0668589999999938</v>
      </c>
      <c r="AA10" s="23">
        <f>+Índice!AB10/Índice!AA10*100-100</f>
        <v>0.86109336347013254</v>
      </c>
      <c r="AB10" s="23">
        <f>+Índice!AC10/Índice!AB10*100-100</f>
        <v>2.564170078614822</v>
      </c>
      <c r="AC10" s="23">
        <f>+Índice!AD10/Índice!AC10*100-100</f>
        <v>2.5448757999999998</v>
      </c>
      <c r="AD10" s="23">
        <f>+Índice!AE10/Índice!AD10*100-100</f>
        <v>2.0091871814429396</v>
      </c>
      <c r="AE10" s="23">
        <f>+Índice!AF10/Índice!AE10*100-100</f>
        <v>3.6475993740787089</v>
      </c>
      <c r="AF10" s="23">
        <f>+Índice!AG10/Índice!AF10*100-100</f>
        <v>4.5223645199999822</v>
      </c>
      <c r="AG10" s="23">
        <f>+Índice!AH10/Índice!AG10*100-100</f>
        <v>2.4585739999999987</v>
      </c>
      <c r="AH10" s="23">
        <f>+Índice!AI10/Índice!AH10*100-100</f>
        <v>2.3652285000000006</v>
      </c>
      <c r="AI10" s="23">
        <f>+Índice!AJ10/Índice!AI10*100-100</f>
        <v>1.3652199999999937</v>
      </c>
      <c r="AJ10" s="49">
        <v>0.98828665136856841</v>
      </c>
      <c r="AK10" s="49">
        <v>0.74917166773266786</v>
      </c>
      <c r="AL10" s="49">
        <v>0.44099552433624467</v>
      </c>
      <c r="AM10" s="49">
        <v>0.49571991266456905</v>
      </c>
      <c r="AN10" s="49">
        <v>0.21813074567236868</v>
      </c>
      <c r="AO10" s="49">
        <v>0.4273408384466677</v>
      </c>
      <c r="AP10" s="49">
        <v>0.50530678761226966</v>
      </c>
      <c r="AQ10" s="49">
        <v>0.28619976392990054</v>
      </c>
      <c r="AR10" s="49">
        <v>0.19102254125000684</v>
      </c>
      <c r="AS10" s="49">
        <v>0.29980974379046188</v>
      </c>
      <c r="AT10" s="49">
        <v>0.32321139812592037</v>
      </c>
      <c r="AU10" s="49">
        <v>0.31031140718995687</v>
      </c>
      <c r="AV10" s="49">
        <v>0.3242167687484141</v>
      </c>
      <c r="AW10" s="49">
        <v>0.33947390270070343</v>
      </c>
      <c r="AX10" s="49">
        <v>0.37548970838332707</v>
      </c>
    </row>
    <row r="11" spans="1:50" ht="20.45" customHeight="1" x14ac:dyDescent="0.2">
      <c r="A11" s="43" t="s">
        <v>73</v>
      </c>
      <c r="B11" s="9" t="s">
        <v>40</v>
      </c>
      <c r="C11" s="23">
        <f>+Índice!D11/100*100-100</f>
        <v>12.865560487985576</v>
      </c>
      <c r="D11" s="23">
        <f>+Índice!E11/Índice!D11*100-100</f>
        <v>6.5587236969592624</v>
      </c>
      <c r="E11" s="23">
        <f>+Índice!F11/Índice!E11*100-100</f>
        <v>-14.042191447977046</v>
      </c>
      <c r="F11" s="23">
        <f>+Índice!G11/Índice!F11*100-100</f>
        <v>-5.5765619451063912</v>
      </c>
      <c r="G11" s="23">
        <f>+Índice!H11/Índice!G11*100-100</f>
        <v>-11.837027604754439</v>
      </c>
      <c r="H11" s="23">
        <f>+Índice!I11/Índice!H11*100-100</f>
        <v>5.6919023899799583</v>
      </c>
      <c r="I11" s="23">
        <f>+Índice!J11/Índice!I11*100-100</f>
        <v>13.755406527181819</v>
      </c>
      <c r="J11" s="23">
        <f>+Índice!K11/Índice!J11*100-100</f>
        <v>-5.6591001659850235</v>
      </c>
      <c r="K11" s="23">
        <f>+Índice!L11/Índice!K11*100-100</f>
        <v>-32.744480332078993</v>
      </c>
      <c r="L11" s="23">
        <f>+Índice!M11/Índice!L11*100-100</f>
        <v>37.544814043447644</v>
      </c>
      <c r="M11" s="23">
        <f>+Índice!N11/Índice!M11*100-100</f>
        <v>17.940199335548186</v>
      </c>
      <c r="N11" s="23">
        <f>+Índice!O11/Índice!N11*100-100</f>
        <v>-11.489652582159621</v>
      </c>
      <c r="O11" s="23">
        <f>+Índice!P11/Índice!O11*100-100</f>
        <v>19.085857319936068</v>
      </c>
      <c r="P11" s="23">
        <f>+Índice!Q11/Índice!P11*100-100</f>
        <v>-16.646034153731392</v>
      </c>
      <c r="Q11" s="23">
        <f>+Índice!R11/Índice!Q11*100-100</f>
        <v>15.351007137246668</v>
      </c>
      <c r="R11" s="23">
        <f>+Índice!S11/Índice!R11*100-100</f>
        <v>5.3670805839979465</v>
      </c>
      <c r="S11" s="23">
        <f>+Índice!T11/Índice!S11*100-100</f>
        <v>6.9524450477792499</v>
      </c>
      <c r="T11" s="23">
        <f>+Índice!U11/Índice!T11*100-100</f>
        <v>1.4857958551999957</v>
      </c>
      <c r="U11" s="23">
        <f>+Índice!V11/Índice!U11*100-100</f>
        <v>1.9936900422268451</v>
      </c>
      <c r="V11" s="23">
        <f>+Índice!W11/Índice!V11*100-100</f>
        <v>2.462271644162044</v>
      </c>
      <c r="W11" s="23">
        <f>+Índice!X11/Índice!W11*100-100</f>
        <v>-2.2379822289787654</v>
      </c>
      <c r="X11" s="23">
        <f>+Índice!Y11/Índice!X11*100-100</f>
        <v>4.2816371104866988</v>
      </c>
      <c r="Y11" s="23">
        <f>+Índice!Z11/Índice!Y11*100-100</f>
        <v>0.93856685458520417</v>
      </c>
      <c r="Z11" s="23">
        <f>+Índice!AA11/Índice!Z11*100-100</f>
        <v>1.5488568999999899</v>
      </c>
      <c r="AA11" s="23">
        <f>+Índice!AB11/Índice!AA11*100-100</f>
        <v>0.66534050036504766</v>
      </c>
      <c r="AB11" s="23">
        <f>+Índice!AC11/Índice!AB11*100-100</f>
        <v>3.0608221960314808</v>
      </c>
      <c r="AC11" s="23">
        <f>+Índice!AD11/Índice!AC11*100-100</f>
        <v>1.0255241500000096</v>
      </c>
      <c r="AD11" s="23">
        <f>+Índice!AE11/Índice!AD11*100-100</f>
        <v>2.4150940713705324</v>
      </c>
      <c r="AE11" s="23">
        <f>+Índice!AF11/Índice!AE11*100-100</f>
        <v>4.3675706871743927</v>
      </c>
      <c r="AF11" s="23">
        <f>+Índice!AG11/Índice!AF11*100-100</f>
        <v>3.9552652400000028</v>
      </c>
      <c r="AG11" s="23">
        <f>+Índice!AH11/Índice!AG11*100-100</f>
        <v>1.8852399999999818</v>
      </c>
      <c r="AH11" s="23">
        <f>+Índice!AI11/Índice!AH11*100-100</f>
        <v>1.8557452000000012</v>
      </c>
      <c r="AI11" s="23">
        <f>+Índice!AJ11/Índice!AI11*100-100</f>
        <v>0.52144249999999204</v>
      </c>
      <c r="AJ11" s="49">
        <v>0.74257046119861059</v>
      </c>
      <c r="AK11" s="49">
        <v>0.43430761211804736</v>
      </c>
      <c r="AL11" s="49">
        <v>0.4266561951557577</v>
      </c>
      <c r="AM11" s="49">
        <v>0.15856940757899451</v>
      </c>
      <c r="AN11" s="49">
        <v>0.37815056274286007</v>
      </c>
      <c r="AO11" s="49">
        <v>0.68012608134175423</v>
      </c>
      <c r="AP11" s="49">
        <v>-0.29097093668902119</v>
      </c>
      <c r="AQ11" s="49">
        <v>0.61836700839246816</v>
      </c>
      <c r="AR11" s="49">
        <v>0.36116522412498853</v>
      </c>
      <c r="AS11" s="49">
        <v>0.25008074447173101</v>
      </c>
      <c r="AT11" s="49">
        <v>4.3045918186379595E-2</v>
      </c>
      <c r="AU11" s="49">
        <v>0.25263728947813036</v>
      </c>
      <c r="AV11" s="49">
        <v>0.42085396776083428</v>
      </c>
      <c r="AW11" s="49">
        <v>0.84827673532126369</v>
      </c>
      <c r="AX11" s="49">
        <v>0.13011375097285338</v>
      </c>
    </row>
    <row r="12" spans="1:50" ht="20.45" customHeight="1" x14ac:dyDescent="0.2">
      <c r="A12" s="42" t="s">
        <v>74</v>
      </c>
      <c r="B12" s="9" t="s">
        <v>41</v>
      </c>
      <c r="C12" s="23">
        <f>+Índice!D12/100*100-100</f>
        <v>12.435361924419297</v>
      </c>
      <c r="D12" s="23">
        <f>+Índice!E12/Índice!D12*100-100</f>
        <v>6.637625216860755</v>
      </c>
      <c r="E12" s="23">
        <f>+Índice!F12/Índice!E12*100-100</f>
        <v>0</v>
      </c>
      <c r="F12" s="23">
        <f>+Índice!G12/Índice!F12*100-100</f>
        <v>8.3586506417264275</v>
      </c>
      <c r="G12" s="23">
        <f>+Índice!H12/Índice!G12*100-100</f>
        <v>0.5315886296080663</v>
      </c>
      <c r="H12" s="23">
        <f>+Índice!I12/Índice!H12*100-100</f>
        <v>-1.1985236092482978</v>
      </c>
      <c r="I12" s="23">
        <f>+Índice!J12/Índice!I12*100-100</f>
        <v>2.410792393968535</v>
      </c>
      <c r="J12" s="23">
        <f>+Índice!K12/Índice!J12*100-100</f>
        <v>-1.6921283544550647</v>
      </c>
      <c r="K12" s="23">
        <f>+Índice!L12/Índice!K12*100-100</f>
        <v>16.773097451783926</v>
      </c>
      <c r="L12" s="23">
        <f>+Índice!M12/Índice!L12*100-100</f>
        <v>3.0241885190016546</v>
      </c>
      <c r="M12" s="23">
        <f>+Índice!N12/Índice!M12*100-100</f>
        <v>-14.20345489443379</v>
      </c>
      <c r="N12" s="23">
        <f>+Índice!O12/Índice!N12*100-100</f>
        <v>-2.1206562266964823</v>
      </c>
      <c r="O12" s="23">
        <f>+Índice!P12/Índice!O12*100-100</f>
        <v>15.584593172658828</v>
      </c>
      <c r="P12" s="23">
        <f>+Índice!Q12/Índice!P12*100-100</f>
        <v>11.828332553336168</v>
      </c>
      <c r="Q12" s="23">
        <f>+Índice!R12/Índice!Q12*100-100</f>
        <v>2.3749353744700841</v>
      </c>
      <c r="R12" s="23">
        <f>+Índice!S12/Índice!R12*100-100</f>
        <v>1.598888583161866</v>
      </c>
      <c r="S12" s="23">
        <f>+Índice!T12/Índice!S12*100-100</f>
        <v>3.1425144850000066</v>
      </c>
      <c r="T12" s="23">
        <f>+Índice!U12/Índice!T12*100-100</f>
        <v>2.0258522299999981</v>
      </c>
      <c r="U12" s="23">
        <f>+Índice!V12/Índice!U12*100-100</f>
        <v>2.1024502772391713</v>
      </c>
      <c r="V12" s="23">
        <f>+Índice!W12/Índice!V12*100-100</f>
        <v>2.7426160337552687</v>
      </c>
      <c r="W12" s="23">
        <f>+Índice!X12/Índice!W12*100-100</f>
        <v>-2.4476664351890349</v>
      </c>
      <c r="X12" s="23">
        <f>+Índice!Y12/Índice!X12*100-100</f>
        <v>5.3594899297952736</v>
      </c>
      <c r="Y12" s="23">
        <f>+Índice!Z12/Índice!Y12*100-100</f>
        <v>1.6988568552549879</v>
      </c>
      <c r="Z12" s="23">
        <f>+Índice!AA12/Índice!Z12*100-100</f>
        <v>1.1000000000000085</v>
      </c>
      <c r="AA12" s="23">
        <f>+Índice!AB12/Índice!AA12*100-100</f>
        <v>1.040580679645899</v>
      </c>
      <c r="AB12" s="23">
        <f>+Índice!AC12/Índice!AB12*100-100</f>
        <v>2.7962853083611634</v>
      </c>
      <c r="AC12" s="23">
        <f>+Índice!AD12/Índice!AC12*100-100</f>
        <v>1.9884999999999877</v>
      </c>
      <c r="AD12" s="23">
        <f>+Índice!AE12/Índice!AD12*100-100</f>
        <v>1.757245347699282</v>
      </c>
      <c r="AE12" s="23">
        <f>+Índice!AF12/Índice!AE12*100-100</f>
        <v>2.8759391427442011</v>
      </c>
      <c r="AF12" s="23">
        <f>+Índice!AG12/Índice!AF12*100-100</f>
        <v>2.9668656499999884</v>
      </c>
      <c r="AG12" s="23">
        <f>+Índice!AH12/Índice!AG12*100-100</f>
        <v>3.4125200000000007</v>
      </c>
      <c r="AH12" s="23">
        <f>+Índice!AI12/Índice!AH12*100-100</f>
        <v>2.1445250000000016</v>
      </c>
      <c r="AI12" s="23">
        <f>+Índice!AJ12/Índice!AI12*100-100</f>
        <v>0.10552457999999376</v>
      </c>
      <c r="AJ12" s="49">
        <v>-0.23679670995957736</v>
      </c>
      <c r="AK12" s="49">
        <v>-0.30547245800217127</v>
      </c>
      <c r="AL12" s="49">
        <v>4.9822605380086316E-2</v>
      </c>
      <c r="AM12" s="49">
        <v>0.35087616659536991</v>
      </c>
      <c r="AN12" s="49">
        <v>0.1413996026723936</v>
      </c>
      <c r="AO12" s="49">
        <v>0.41439475716586571</v>
      </c>
      <c r="AP12" s="49">
        <v>0.75437877098794104</v>
      </c>
      <c r="AQ12" s="49">
        <v>-0.46999982280333086</v>
      </c>
      <c r="AR12" s="49">
        <v>0.25222315266000805</v>
      </c>
      <c r="AS12" s="49">
        <v>0.2609693072563033</v>
      </c>
      <c r="AT12" s="49">
        <v>0.80974504736035158</v>
      </c>
      <c r="AU12" s="49">
        <v>0.26130576335441447</v>
      </c>
      <c r="AV12" s="49">
        <v>0.84742754744877402</v>
      </c>
      <c r="AW12" s="49">
        <v>0.28502435656922387</v>
      </c>
      <c r="AX12" s="49">
        <v>3.5486379544778401E-2</v>
      </c>
    </row>
    <row r="13" spans="1:50" ht="20.45" customHeight="1" x14ac:dyDescent="0.2">
      <c r="A13" s="42" t="s">
        <v>75</v>
      </c>
      <c r="B13" s="9">
        <v>16</v>
      </c>
      <c r="C13" s="23">
        <f>+Índice!D13/100*100-100</f>
        <v>13.003980125388154</v>
      </c>
      <c r="D13" s="23">
        <f>+Índice!E13/Índice!D13*100-100</f>
        <v>0</v>
      </c>
      <c r="E13" s="23">
        <f>+Índice!F13/Índice!E13*100-100</f>
        <v>-2.4966455680258122</v>
      </c>
      <c r="F13" s="23">
        <f>+Índice!G13/Índice!F13*100-100</f>
        <v>-0.16419899653740799</v>
      </c>
      <c r="G13" s="23">
        <f>+Índice!H13/Índice!G13*100-100</f>
        <v>-8.7034909656446189</v>
      </c>
      <c r="H13" s="23">
        <f>+Índice!I13/Índice!H13*100-100</f>
        <v>-2.3948375549068714</v>
      </c>
      <c r="I13" s="23">
        <f>+Índice!J13/Índice!I13*100-100</f>
        <v>5.3279552611657124</v>
      </c>
      <c r="J13" s="23">
        <f>+Índice!K13/Índice!J13*100-100</f>
        <v>6.5440954664063327</v>
      </c>
      <c r="K13" s="23">
        <f>+Índice!L13/Índice!K13*100-100</f>
        <v>-18.886312704396914</v>
      </c>
      <c r="L13" s="23">
        <f>+Índice!M13/Índice!L13*100-100</f>
        <v>1.6514408741377054</v>
      </c>
      <c r="M13" s="23">
        <f>+Índice!N13/Índice!M13*100-100</f>
        <v>13.781697905181915</v>
      </c>
      <c r="N13" s="23">
        <f>+Índice!O13/Índice!N13*100-100</f>
        <v>2.5728886627906888</v>
      </c>
      <c r="O13" s="23">
        <f>+Índice!P13/Índice!O13*100-100</f>
        <v>10.899591848135685</v>
      </c>
      <c r="P13" s="23">
        <f>+Índice!Q13/Índice!P13*100-100</f>
        <v>-21.110366119181862</v>
      </c>
      <c r="Q13" s="23">
        <f>+Índice!R13/Índice!Q13*100-100</f>
        <v>5.3279552611657124</v>
      </c>
      <c r="R13" s="23">
        <f>+Índice!S13/Índice!R13*100-100</f>
        <v>18.43601260915581</v>
      </c>
      <c r="S13" s="23">
        <f>+Índice!T13/Índice!S13*100-100</f>
        <v>11.53157644857356</v>
      </c>
      <c r="T13" s="23">
        <f>+Índice!U13/Índice!T13*100-100</f>
        <v>1.0985668562499882</v>
      </c>
      <c r="U13" s="23">
        <f>+Índice!V13/Índice!U13*100-100</f>
        <v>2.0216958227852615</v>
      </c>
      <c r="V13" s="23">
        <f>+Índice!W13/Índice!V13*100-100</f>
        <v>1.1286681715575639</v>
      </c>
      <c r="W13" s="23">
        <f>+Índice!X13/Índice!W13*100-100</f>
        <v>-1.3972198805004297</v>
      </c>
      <c r="X13" s="23">
        <f>+Índice!Y13/Índice!X13*100-100</f>
        <v>5.1466147272842164</v>
      </c>
      <c r="Y13" s="23">
        <f>+Índice!Z13/Índice!Y13*100-100</f>
        <v>2.3360855785600023</v>
      </c>
      <c r="Z13" s="23">
        <f>+Índice!AA13/Índice!Z13*100-100</f>
        <v>4.7999999999999829</v>
      </c>
      <c r="AA13" s="23">
        <f>+Índice!AB13/Índice!AA13*100-100</f>
        <v>0.64078811357597942</v>
      </c>
      <c r="AB13" s="23">
        <f>+Índice!AC13/Índice!AB13*100-100</f>
        <v>3.9924277183420713</v>
      </c>
      <c r="AC13" s="23">
        <f>+Índice!AD13/Índice!AC13*100-100</f>
        <v>1.7854470000000049</v>
      </c>
      <c r="AD13" s="23">
        <f>+Índice!AE13/Índice!AD13*100-100</f>
        <v>3.1425611666231958</v>
      </c>
      <c r="AE13" s="23">
        <f>+Índice!AF13/Índice!AE13*100-100</f>
        <v>3.6374241236819103</v>
      </c>
      <c r="AF13" s="23">
        <f>+Índice!AG13/Índice!AF13*100-100</f>
        <v>5.1225485650000024</v>
      </c>
      <c r="AG13" s="23">
        <f>+Índice!AH13/Índice!AG13*100-100</f>
        <v>4.5523500000000041</v>
      </c>
      <c r="AH13" s="23">
        <f>+Índice!AI13/Índice!AH13*100-100</f>
        <v>1.7445852680000087</v>
      </c>
      <c r="AI13" s="23">
        <f>+Índice!AJ13/Índice!AI13*100-100</f>
        <v>8.5665199999994002E-2</v>
      </c>
      <c r="AJ13" s="49">
        <v>0.74254723961122693</v>
      </c>
      <c r="AK13" s="49">
        <v>0.43428410987891652</v>
      </c>
      <c r="AL13" s="49">
        <v>0.44151553926678844</v>
      </c>
      <c r="AM13" s="49">
        <v>0.72556691915039551</v>
      </c>
      <c r="AN13" s="49">
        <v>-0.18999011477995964</v>
      </c>
      <c r="AO13" s="49">
        <v>6.7087289354645918E-2</v>
      </c>
      <c r="AP13" s="49">
        <v>1.5157973931254389</v>
      </c>
      <c r="AQ13" s="49">
        <v>0.81398324274304912</v>
      </c>
      <c r="AR13" s="49">
        <v>0.44522415220001221</v>
      </c>
      <c r="AS13" s="49">
        <v>0.22893475479961012</v>
      </c>
      <c r="AT13" s="49">
        <v>1.5187400493330188</v>
      </c>
      <c r="AU13" s="49">
        <v>0.22901030675454592</v>
      </c>
      <c r="AV13" s="49">
        <v>0.95241557295074131</v>
      </c>
      <c r="AW13" s="49">
        <v>0.12893403141742965</v>
      </c>
      <c r="AX13" s="49">
        <v>1.5035264691704953</v>
      </c>
    </row>
    <row r="14" spans="1:50" ht="20.45" customHeight="1" x14ac:dyDescent="0.2">
      <c r="A14" s="42" t="s">
        <v>76</v>
      </c>
      <c r="B14" s="9" t="s">
        <v>42</v>
      </c>
      <c r="C14" s="23">
        <f>+Índice!D14/100*100-100</f>
        <v>13.266666666666666</v>
      </c>
      <c r="D14" s="23">
        <f>+Índice!E14/Índice!D14*100-100</f>
        <v>0</v>
      </c>
      <c r="E14" s="23">
        <f>+Índice!F14/Índice!E14*100-100</f>
        <v>15.148682952300703</v>
      </c>
      <c r="F14" s="23">
        <f>+Índice!G14/Índice!F14*100-100</f>
        <v>1.4804563571102705</v>
      </c>
      <c r="G14" s="23">
        <f>+Índice!H14/Índice!G14*100-100</f>
        <v>0</v>
      </c>
      <c r="H14" s="23">
        <f>+Índice!I14/Índice!H14*100-100</f>
        <v>-15.79056334819019</v>
      </c>
      <c r="I14" s="23">
        <f>+Índice!J14/Índice!I14*100-100</f>
        <v>-2.1234408783095091</v>
      </c>
      <c r="J14" s="23">
        <f>+Índice!K14/Índice!J14*100-100</f>
        <v>21.327862035597605</v>
      </c>
      <c r="K14" s="23">
        <f>+Índice!L14/Índice!K14*100-100</f>
        <v>16.892289582107082</v>
      </c>
      <c r="L14" s="23">
        <f>+Índice!M14/Índice!L14*100-100</f>
        <v>-6.0847232410391854</v>
      </c>
      <c r="M14" s="23">
        <f>+Índice!N14/Índice!M14*100-100</f>
        <v>-23.262216104611156</v>
      </c>
      <c r="N14" s="23">
        <f>+Índice!O14/Índice!N14*100-100</f>
        <v>11.300960781852297</v>
      </c>
      <c r="O14" s="23">
        <f>+Índice!P14/Índice!O14*100-100</f>
        <v>1.0105594093146095</v>
      </c>
      <c r="P14" s="23">
        <f>+Índice!Q14/Índice!P14*100-100</f>
        <v>15.050456712306271</v>
      </c>
      <c r="Q14" s="23">
        <f>+Índice!R14/Índice!Q14*100-100</f>
        <v>1.9574205375533893E-2</v>
      </c>
      <c r="R14" s="23">
        <f>+Índice!S14/Índice!R14*100-100</f>
        <v>2.8900481245469791</v>
      </c>
      <c r="S14" s="23">
        <f>+Índice!T14/Índice!S14*100-100</f>
        <v>3.8541125400000169</v>
      </c>
      <c r="T14" s="23">
        <f>+Índice!U14/Índice!T14*100-100</f>
        <v>1.3625563519999986</v>
      </c>
      <c r="U14" s="23">
        <f>+Índice!V14/Índice!U14*100-100</f>
        <v>2.0874034528347067</v>
      </c>
      <c r="V14" s="23">
        <f>+Índice!W14/Índice!V14*100-100</f>
        <v>2.8213166144200699</v>
      </c>
      <c r="W14" s="23">
        <f>+Índice!X14/Índice!W14*100-100</f>
        <v>-2.492140521092594</v>
      </c>
      <c r="X14" s="23">
        <f>+Índice!Y14/Índice!X14*100-100</f>
        <v>5.7051324557120324</v>
      </c>
      <c r="Y14" s="23">
        <f>+Índice!Z14/Índice!Y14*100-100</f>
        <v>0.96744859225408675</v>
      </c>
      <c r="Z14" s="23">
        <f>+Índice!AA14/Índice!Z14*100-100</f>
        <v>3.4000000000000057</v>
      </c>
      <c r="AA14" s="23">
        <f>+Índice!AB14/Índice!AA14*100-100</f>
        <v>1.4312002744832455</v>
      </c>
      <c r="AB14" s="23">
        <f>+Índice!AC14/Índice!AB14*100-100</f>
        <v>2.0143498545980805</v>
      </c>
      <c r="AC14" s="23">
        <f>+Índice!AD14/Índice!AC14*100-100</f>
        <v>1.1584451999999885</v>
      </c>
      <c r="AD14" s="23">
        <f>+Índice!AE14/Índice!AD14*100-100</f>
        <v>0.90889844098727224</v>
      </c>
      <c r="AE14" s="23">
        <f>+Índice!AF14/Índice!AE14*100-100</f>
        <v>1.9638835076477079</v>
      </c>
      <c r="AF14" s="23">
        <f>+Índice!AG14/Índice!AF14*100-100</f>
        <v>2.1554152500000043</v>
      </c>
      <c r="AG14" s="23">
        <f>+Índice!AH14/Índice!AG14*100-100</f>
        <v>2.5224099999999936</v>
      </c>
      <c r="AH14" s="23">
        <f>+Índice!AI14/Índice!AH14*100-100</f>
        <v>2.5569855239999839</v>
      </c>
      <c r="AI14" s="23">
        <f>+Índice!AJ14/Índice!AI14*100-100</f>
        <v>1.0325530000000072</v>
      </c>
      <c r="AJ14" s="49">
        <v>0.74252721563887292</v>
      </c>
      <c r="AK14" s="49">
        <v>0.43426384621089653</v>
      </c>
      <c r="AL14" s="49">
        <v>0.51311814992922677</v>
      </c>
      <c r="AM14" s="49">
        <v>0.3325418232678885</v>
      </c>
      <c r="AN14" s="49">
        <v>0.16271141545594503</v>
      </c>
      <c r="AO14" s="49">
        <v>0.45916209011960518</v>
      </c>
      <c r="AP14" s="49">
        <v>0.11087700353755281</v>
      </c>
      <c r="AQ14" s="49">
        <v>0.21526290569171636</v>
      </c>
      <c r="AR14" s="49">
        <v>0.48522155240000586</v>
      </c>
      <c r="AS14" s="49">
        <v>0.12959598025791763</v>
      </c>
      <c r="AT14" s="49">
        <v>0.12751847825687435</v>
      </c>
      <c r="AU14" s="49">
        <v>0.12990950748856278</v>
      </c>
      <c r="AV14" s="49">
        <v>0.55119416482884276</v>
      </c>
      <c r="AW14" s="49">
        <v>0.4141618505882434</v>
      </c>
      <c r="AX14" s="49">
        <v>0.56964289392387002</v>
      </c>
    </row>
    <row r="15" spans="1:50" ht="20.45" customHeight="1" x14ac:dyDescent="0.2">
      <c r="A15" s="42" t="s">
        <v>77</v>
      </c>
      <c r="B15" s="9" t="s">
        <v>43</v>
      </c>
      <c r="C15" s="23">
        <f>+Índice!D15/100*100-100</f>
        <v>4.8541724042586054</v>
      </c>
      <c r="D15" s="23">
        <f>+Índice!E15/Índice!D15*100-100</f>
        <v>9.1883071499798064</v>
      </c>
      <c r="E15" s="23">
        <f>+Índice!F15/Índice!E15*100-100</f>
        <v>-0.47405222420042037</v>
      </c>
      <c r="F15" s="23">
        <f>+Índice!G15/Índice!F15*100-100</f>
        <v>-1.0749301008760028</v>
      </c>
      <c r="G15" s="23">
        <f>+Índice!H15/Índice!G15*100-100</f>
        <v>-2.4243401723699378</v>
      </c>
      <c r="H15" s="23">
        <f>+Índice!I15/Índice!H15*100-100</f>
        <v>20.583928532282016</v>
      </c>
      <c r="I15" s="23">
        <f>+Índice!J15/Índice!I15*100-100</f>
        <v>-0.44240977297694428</v>
      </c>
      <c r="J15" s="23">
        <f>+Índice!K15/Índice!J15*100-100</f>
        <v>0.64981544870317975</v>
      </c>
      <c r="K15" s="23">
        <f>+Índice!L15/Índice!K15*100-100</f>
        <v>-13.177921071128978</v>
      </c>
      <c r="L15" s="23">
        <f>+Índice!M15/Índice!L15*100-100</f>
        <v>8.9387217704406225</v>
      </c>
      <c r="M15" s="23">
        <f>+Índice!N15/Índice!M15*100-100</f>
        <v>3.818615751789963</v>
      </c>
      <c r="N15" s="23">
        <f>+Índice!O15/Índice!N15*100-100</f>
        <v>0.93055308987941032</v>
      </c>
      <c r="O15" s="23">
        <f>+Índice!P15/Índice!O15*100-100</f>
        <v>3.1223472004995756E-2</v>
      </c>
      <c r="P15" s="23">
        <f>+Índice!Q15/Índice!P15*100-100</f>
        <v>2.6376575627702721</v>
      </c>
      <c r="Q15" s="23">
        <f>+Índice!R15/Índice!Q15*100-100</f>
        <v>-1.6046965388522949</v>
      </c>
      <c r="R15" s="23">
        <f>+Índice!S15/Índice!R15*100-100</f>
        <v>22.121351507327148</v>
      </c>
      <c r="S15" s="23">
        <f>+Índice!T15/Índice!S15*100-100</f>
        <v>0.30609780885176008</v>
      </c>
      <c r="T15" s="23">
        <f>+Índice!U15/Índice!T15*100-100</f>
        <v>1.3525668556580115</v>
      </c>
      <c r="U15" s="23">
        <f>+Índice!V15/Índice!U15*100-100</f>
        <v>1.7569724701669713</v>
      </c>
      <c r="V15" s="23">
        <f>+Índice!W15/Índice!V15*100-100</f>
        <v>1.0113027959548049</v>
      </c>
      <c r="W15" s="23">
        <f>+Índice!X15/Índice!W15*100-100</f>
        <v>-1.2372349892092132</v>
      </c>
      <c r="X15" s="23">
        <f>+Índice!Y15/Índice!X15*100-100</f>
        <v>4.7934307940055589</v>
      </c>
      <c r="Y15" s="23">
        <f>+Índice!Z15/Índice!Y15*100-100</f>
        <v>1.9357748566799984</v>
      </c>
      <c r="Z15" s="23">
        <f>+Índice!AA15/Índice!Z15*100-100</f>
        <v>-1.0884499999999946</v>
      </c>
      <c r="AA15" s="23">
        <f>+Índice!AB15/Índice!AA15*100-100</f>
        <v>2.0374989884475099</v>
      </c>
      <c r="AB15" s="23">
        <f>+Índice!AC15/Índice!AB15*100-100</f>
        <v>3.2499672751870321</v>
      </c>
      <c r="AC15" s="23">
        <f>+Índice!AD15/Índice!AC15*100-100</f>
        <v>2.7885658000000006</v>
      </c>
      <c r="AD15" s="23">
        <f>+Índice!AE15/Índice!AD15*100-100</f>
        <v>8.34810852733969</v>
      </c>
      <c r="AE15" s="23">
        <f>+Índice!AF15/Índice!AE15*100-100</f>
        <v>3.6619212568777613</v>
      </c>
      <c r="AF15" s="23">
        <f>+Índice!AG15/Índice!AF15*100-100</f>
        <v>1.625541520000013</v>
      </c>
      <c r="AG15" s="23">
        <f>+Índice!AH15/Índice!AG15*100-100</f>
        <v>1.0525000000000091</v>
      </c>
      <c r="AH15" s="23">
        <f>+Índice!AI15/Índice!AH15*100-100</f>
        <v>0.98857524999999669</v>
      </c>
      <c r="AI15" s="23">
        <f>+Índice!AJ15/Índice!AI15*100-100</f>
        <v>-0.68852540000000317</v>
      </c>
      <c r="AJ15" s="49">
        <v>0.74454754725799432</v>
      </c>
      <c r="AK15" s="49">
        <v>0.4363089249478378</v>
      </c>
      <c r="AL15" s="49">
        <v>0.47598796064818316</v>
      </c>
      <c r="AM15" s="49">
        <v>0.22940081391556078</v>
      </c>
      <c r="AN15" s="49">
        <v>0.28335424486350291</v>
      </c>
      <c r="AO15" s="49">
        <v>0.54771409568819251</v>
      </c>
      <c r="AP15" s="49">
        <v>0.89319901995297357</v>
      </c>
      <c r="AQ15" s="49">
        <v>0.5385062579608757</v>
      </c>
      <c r="AR15" s="49">
        <v>0.34112541199999669</v>
      </c>
      <c r="AS15" s="49">
        <v>0.49982134662154465</v>
      </c>
      <c r="AT15" s="49">
        <v>0.90283176997381531</v>
      </c>
      <c r="AU15" s="49">
        <v>0.50391593021817016</v>
      </c>
      <c r="AV15" s="49">
        <v>0.18087951437419747</v>
      </c>
      <c r="AW15" s="49">
        <v>1.0623305609370988</v>
      </c>
      <c r="AX15" s="49">
        <v>0.19894501715147328</v>
      </c>
    </row>
    <row r="16" spans="1:50" ht="20.45" customHeight="1" x14ac:dyDescent="0.2">
      <c r="A16" s="42" t="s">
        <v>78</v>
      </c>
      <c r="B16" s="9" t="s">
        <v>44</v>
      </c>
      <c r="C16" s="23">
        <f>+Índice!D16/100*100-100</f>
        <v>12.942296594125978</v>
      </c>
      <c r="D16" s="23">
        <f>+Índice!E16/Índice!D16*100-100</f>
        <v>-8.0360336773267704E-2</v>
      </c>
      <c r="E16" s="23">
        <f>+Índice!F16/Índice!E16*100-100</f>
        <v>-5.5963326298453353E-2</v>
      </c>
      <c r="F16" s="23">
        <f>+Índice!G16/Índice!F16*100-100</f>
        <v>7.6892605825946703E-3</v>
      </c>
      <c r="G16" s="23">
        <f>+Índice!H16/Índice!G16*100-100</f>
        <v>-4.1103452957713671E-4</v>
      </c>
      <c r="H16" s="23">
        <f>+Índice!I16/Índice!H16*100-100</f>
        <v>0.18649819785481725</v>
      </c>
      <c r="I16" s="23">
        <f>+Índice!J16/Índice!I16*100-100</f>
        <v>5.0262941063863309E-3</v>
      </c>
      <c r="J16" s="23">
        <f>+Índice!K16/Índice!J16*100-100</f>
        <v>-0.1907574645436938</v>
      </c>
      <c r="K16" s="23">
        <f>+Índice!L16/Índice!K16*100-100</f>
        <v>-0.12640104317019052</v>
      </c>
      <c r="L16" s="23">
        <f>+Índice!M16/Índice!L16*100-100</f>
        <v>7.230537142464641</v>
      </c>
      <c r="M16" s="23">
        <f>+Índice!N16/Índice!M16*100-100</f>
        <v>-6.456953642384093</v>
      </c>
      <c r="N16" s="23">
        <f>+Índice!O16/Índice!N16*100-100</f>
        <v>1.8901495115865714</v>
      </c>
      <c r="O16" s="23">
        <f>+Índice!P16/Índice!O16*100-100</f>
        <v>4.3041565111513194</v>
      </c>
      <c r="P16" s="23">
        <f>+Índice!Q16/Índice!P16*100-100</f>
        <v>2.6945334808048784</v>
      </c>
      <c r="Q16" s="23">
        <f>+Índice!R16/Índice!Q16*100-100</f>
        <v>5.0262941063863309E-3</v>
      </c>
      <c r="R16" s="23">
        <f>+Índice!S16/Índice!R16*100-100</f>
        <v>4.1504310499203427</v>
      </c>
      <c r="S16" s="23">
        <f>+Índice!T16/Índice!S16*100-100</f>
        <v>6.473664299571297</v>
      </c>
      <c r="T16" s="23">
        <f>+Índice!U16/Índice!T16*100-100</f>
        <v>2.4798563221451957</v>
      </c>
      <c r="U16" s="23">
        <f>+Índice!V16/Índice!U16*100-100</f>
        <v>2.8112850714212385</v>
      </c>
      <c r="V16" s="23">
        <f>+Índice!W16/Índice!V16*100-100</f>
        <v>0.97154753643302172</v>
      </c>
      <c r="W16" s="23">
        <f>+Índice!X16/Índice!W16*100-100</f>
        <v>-1.5441670173262452</v>
      </c>
      <c r="X16" s="23">
        <f>+Índice!Y16/Índice!X16*100-100</f>
        <v>4.068050041297937</v>
      </c>
      <c r="Y16" s="23">
        <f>+Índice!Z16/Índice!Y16*100-100</f>
        <v>2.2336255894999937</v>
      </c>
      <c r="Z16" s="23">
        <f>+Índice!AA16/Índice!Z16*100-100</f>
        <v>2.5698500000000024</v>
      </c>
      <c r="AA16" s="23">
        <f>+Índice!AB16/Índice!AA16*100-100</f>
        <v>2.605116889226025</v>
      </c>
      <c r="AB16" s="23">
        <f>+Índice!AC16/Índice!AB16*100-100</f>
        <v>1.8841992732556889</v>
      </c>
      <c r="AC16" s="23">
        <f>+Índice!AD16/Índice!AC16*100-100</f>
        <v>0.57446584999998151</v>
      </c>
      <c r="AD16" s="23">
        <f>+Índice!AE16/Índice!AD16*100-100</f>
        <v>2.0923078139451832</v>
      </c>
      <c r="AE16" s="23">
        <f>+Índice!AF16/Índice!AE16*100-100</f>
        <v>2.2546483138919768</v>
      </c>
      <c r="AF16" s="23">
        <f>+Índice!AG16/Índice!AF16*100-100</f>
        <v>6.7225145200000043</v>
      </c>
      <c r="AG16" s="23">
        <f>+Índice!AH16/Índice!AG16*100-100</f>
        <v>3.5263520000000028</v>
      </c>
      <c r="AH16" s="23">
        <f>+Índice!AI16/Índice!AH16*100-100</f>
        <v>0.33688541573999942</v>
      </c>
      <c r="AI16" s="23">
        <f>+Índice!AJ16/Índice!AI16*100-100</f>
        <v>2.0524414999999863</v>
      </c>
      <c r="AJ16" s="49">
        <v>0.74369913693934109</v>
      </c>
      <c r="AK16" s="49">
        <v>0.43544981857802156</v>
      </c>
      <c r="AL16" s="49">
        <v>0.48337419626732014</v>
      </c>
      <c r="AM16" s="49">
        <v>0.40204001902901609</v>
      </c>
      <c r="AN16" s="49">
        <v>0.10856294783280873</v>
      </c>
      <c r="AO16" s="49">
        <v>0.89900523341795235</v>
      </c>
      <c r="AP16" s="49">
        <v>0.5051719421176557</v>
      </c>
      <c r="AQ16" s="49">
        <v>1.1554689391589363</v>
      </c>
      <c r="AR16" s="49">
        <v>0.57322514400000557</v>
      </c>
      <c r="AS16" s="49">
        <v>1.3471472819041281</v>
      </c>
      <c r="AT16" s="49">
        <v>0.53433030028035944</v>
      </c>
      <c r="AU16" s="49">
        <v>1.3491321918518651</v>
      </c>
      <c r="AV16" s="49">
        <v>1.330006841518582</v>
      </c>
      <c r="AW16" s="49">
        <v>0.15713616007290909</v>
      </c>
      <c r="AX16" s="49">
        <v>1.3309258898834599</v>
      </c>
    </row>
    <row r="17" spans="1:50" ht="20.45" customHeight="1" x14ac:dyDescent="0.2">
      <c r="A17" s="42" t="s">
        <v>79</v>
      </c>
      <c r="B17" s="9" t="s">
        <v>45</v>
      </c>
      <c r="C17" s="23">
        <f>+Índice!D17/100*100-100</f>
        <v>3.9905963502419723</v>
      </c>
      <c r="D17" s="23">
        <f>+Índice!E17/Índice!D17*100-100</f>
        <v>62.405431365721796</v>
      </c>
      <c r="E17" s="23">
        <f>+Índice!F17/Índice!E17*100-100</f>
        <v>0</v>
      </c>
      <c r="F17" s="23">
        <f>+Índice!G17/Índice!F17*100-100</f>
        <v>0</v>
      </c>
      <c r="G17" s="23">
        <f>+Índice!H17/Índice!G17*100-100</f>
        <v>0</v>
      </c>
      <c r="H17" s="23">
        <f>+Índice!I17/Índice!H17*100-100</f>
        <v>-38.425704633726589</v>
      </c>
      <c r="I17" s="23">
        <f>+Índice!J17/Índice!I17*100-100</f>
        <v>0</v>
      </c>
      <c r="J17" s="23">
        <f>+Índice!K17/Índice!J17*100-100</f>
        <v>0</v>
      </c>
      <c r="K17" s="23">
        <f>+Índice!L17/Índice!K17*100-100</f>
        <v>62.41853199027932</v>
      </c>
      <c r="L17" s="23">
        <f>+Índice!M17/Índice!L17*100-100</f>
        <v>-32.504440497335693</v>
      </c>
      <c r="M17" s="23">
        <f>+Índice!N17/Índice!M17*100-100</f>
        <v>-8.7719298245614112</v>
      </c>
      <c r="N17" s="23">
        <f>+Índice!O17/Índice!N17*100-100</f>
        <v>14.617367290618219</v>
      </c>
      <c r="O17" s="23">
        <f>+Índice!P17/Índice!O17*100-100</f>
        <v>1.204094774982849</v>
      </c>
      <c r="P17" s="23">
        <f>+Índice!Q17/Índice!P17*100-100</f>
        <v>0.68178680785099743</v>
      </c>
      <c r="Q17" s="23">
        <f>+Índice!R17/Índice!Q17*100-100</f>
        <v>0</v>
      </c>
      <c r="R17" s="23">
        <f>+Índice!S17/Índice!R17*100-100</f>
        <v>7.9455470057432649</v>
      </c>
      <c r="S17" s="23">
        <f>+Índice!T17/Índice!S17*100-100</f>
        <v>4.6351295217955197</v>
      </c>
      <c r="T17" s="23">
        <f>+Índice!U17/Índice!T17*100-100</f>
        <v>1.2626325221400094</v>
      </c>
      <c r="U17" s="23">
        <f>+Índice!V17/Índice!U17*100-100</f>
        <v>2.145248002815876</v>
      </c>
      <c r="V17" s="23">
        <f>+Índice!W17/Índice!V17*100-100</f>
        <v>3.6645525017617899</v>
      </c>
      <c r="W17" s="23">
        <f>+Índice!X17/Índice!W17*100-100</f>
        <v>-3.0319906585384757</v>
      </c>
      <c r="X17" s="23">
        <f>+Índice!Y17/Índice!X17*100-100</f>
        <v>4.7858990172555735</v>
      </c>
      <c r="Y17" s="23">
        <f>+Índice!Z17/Índice!Y17*100-100</f>
        <v>1.3985586885110024</v>
      </c>
      <c r="Z17" s="23">
        <f>+Índice!AA17/Índice!Z17*100-100</f>
        <v>3.0524124999999884</v>
      </c>
      <c r="AA17" s="23">
        <f>+Índice!AB17/Índice!AA17*100-100</f>
        <v>1.7395835320868258</v>
      </c>
      <c r="AB17" s="23">
        <f>+Índice!AC17/Índice!AB17*100-100</f>
        <v>2.7047660827606421</v>
      </c>
      <c r="AC17" s="23">
        <f>+Índice!AD17/Índice!AC17*100-100</f>
        <v>1.6744850000000042</v>
      </c>
      <c r="AD17" s="23">
        <f>+Índice!AE17/Índice!AD17*100-100</f>
        <v>1.669012727108111</v>
      </c>
      <c r="AE17" s="23">
        <f>+Índice!AF17/Índice!AE17*100-100</f>
        <v>4.6595971320229523</v>
      </c>
      <c r="AF17" s="23">
        <f>+Índice!AG17/Índice!AF17*100-100</f>
        <v>5.6244158565200024</v>
      </c>
      <c r="AG17" s="23">
        <f>+Índice!AH17/Índice!AG17*100-100</f>
        <v>2.8925200000000046</v>
      </c>
      <c r="AH17" s="23">
        <f>+Índice!AI17/Índice!AH17*100-100</f>
        <v>1.5524853999999948</v>
      </c>
      <c r="AI17" s="23">
        <f>+Índice!AJ17/Índice!AI17*100-100</f>
        <v>1.6255139999999955</v>
      </c>
      <c r="AJ17" s="49">
        <v>0.7425018135823791</v>
      </c>
      <c r="AK17" s="49">
        <v>0.43423813963616453</v>
      </c>
      <c r="AL17" s="49">
        <v>0.91139451058973009</v>
      </c>
      <c r="AM17" s="49">
        <v>-2.52933304744829E-3</v>
      </c>
      <c r="AN17" s="49">
        <v>0.29949081903934882</v>
      </c>
      <c r="AO17" s="49">
        <v>0.32554719985742508</v>
      </c>
      <c r="AP17" s="49">
        <v>1.0506850000000298</v>
      </c>
      <c r="AQ17" s="49">
        <v>0.72143025940690109</v>
      </c>
      <c r="AR17" s="49">
        <v>0.6625532541000041</v>
      </c>
      <c r="AS17" s="49">
        <v>0.42125524152001503</v>
      </c>
      <c r="AT17" s="49">
        <v>1.0506849999999872</v>
      </c>
      <c r="AU17" s="49">
        <v>0.42125524151998661</v>
      </c>
      <c r="AV17" s="49">
        <v>9.3148026004570283E-2</v>
      </c>
      <c r="AW17" s="49">
        <v>0.12587745799996242</v>
      </c>
      <c r="AX17" s="49">
        <v>1.8125877458000446</v>
      </c>
    </row>
    <row r="18" spans="1:50" ht="20.45" customHeight="1" x14ac:dyDescent="0.2">
      <c r="A18" s="42" t="s">
        <v>80</v>
      </c>
      <c r="B18" s="9" t="s">
        <v>46</v>
      </c>
      <c r="C18" s="23">
        <f>+Índice!D18/100*100-100</f>
        <v>4.1007519816209452</v>
      </c>
      <c r="D18" s="23">
        <f>+Índice!E18/Índice!D18*100-100</f>
        <v>24.525653138670478</v>
      </c>
      <c r="E18" s="23">
        <f>+Índice!F18/Índice!E18*100-100</f>
        <v>-17.032602456346595</v>
      </c>
      <c r="F18" s="23">
        <f>+Índice!G18/Índice!F18*100-100</f>
        <v>12.844978349117213</v>
      </c>
      <c r="G18" s="23">
        <f>+Índice!H18/Índice!G18*100-100</f>
        <v>-11.070918888354797</v>
      </c>
      <c r="H18" s="23">
        <f>+Índice!I18/Índice!H18*100-100</f>
        <v>3.2116091620389682</v>
      </c>
      <c r="I18" s="23">
        <f>+Índice!J18/Índice!I18*100-100</f>
        <v>-29.364131387113972</v>
      </c>
      <c r="J18" s="23">
        <f>+Índice!K18/Índice!J18*100-100</f>
        <v>54.240408117645103</v>
      </c>
      <c r="K18" s="23">
        <f>+Índice!L18/Índice!K18*100-100</f>
        <v>-7.8503374515509421</v>
      </c>
      <c r="L18" s="23">
        <f>+Índice!M18/Índice!L18*100-100</f>
        <v>1.3066491414300856</v>
      </c>
      <c r="M18" s="23">
        <f>+Índice!N18/Índice!M18*100-100</f>
        <v>2.1182700794351206</v>
      </c>
      <c r="N18" s="23">
        <f>+Índice!O18/Índice!N18*100-100</f>
        <v>10.304518015625945</v>
      </c>
      <c r="O18" s="23">
        <f>+Índice!P18/Índice!O18*100-100</f>
        <v>4.7056656346728261</v>
      </c>
      <c r="P18" s="23">
        <f>+Índice!Q18/Índice!P18*100-100</f>
        <v>1.4471695788996328</v>
      </c>
      <c r="Q18" s="23">
        <f>+Índice!R18/Índice!Q18*100-100</f>
        <v>0.46236702814950092</v>
      </c>
      <c r="R18" s="23">
        <f>+Índice!S18/Índice!R18*100-100</f>
        <v>7.5709477128108773</v>
      </c>
      <c r="S18" s="23">
        <f>+Índice!T18/Índice!S18*100-100</f>
        <v>1.7721401813271171</v>
      </c>
      <c r="T18" s="23">
        <f>+Índice!U18/Índice!T18*100-100</f>
        <v>1.6525441250000057</v>
      </c>
      <c r="U18" s="23">
        <f>+Índice!V18/Índice!U18*100-100</f>
        <v>1.5444710701963942</v>
      </c>
      <c r="V18" s="23">
        <f>+Índice!W18/Índice!V18*100-100</f>
        <v>3.8986354775828431</v>
      </c>
      <c r="W18" s="23">
        <f>+Índice!X18/Índice!W18*100-100</f>
        <v>-2.9895326622401086</v>
      </c>
      <c r="X18" s="23">
        <f>+Índice!Y18/Índice!X18*100-100</f>
        <v>5.5418354105649712</v>
      </c>
      <c r="Y18" s="23">
        <f>+Índice!Z18/Índice!Y18*100-100</f>
        <v>1.5577885669614915</v>
      </c>
      <c r="Z18" s="23">
        <f>+Índice!AA18/Índice!Z18*100-100</f>
        <v>1.8563254100000108</v>
      </c>
      <c r="AA18" s="23">
        <f>+Índice!AB18/Índice!AA18*100-100</f>
        <v>2.8620576783542191</v>
      </c>
      <c r="AB18" s="23">
        <f>+Índice!AC18/Índice!AB18*100-100</f>
        <v>3.5647908499212946</v>
      </c>
      <c r="AC18" s="23">
        <f>+Índice!AD18/Índice!AC18*100-100</f>
        <v>3.1152400000000142</v>
      </c>
      <c r="AD18" s="23">
        <f>+Índice!AE18/Índice!AD18*100-100</f>
        <v>1.8652544267694822</v>
      </c>
      <c r="AE18" s="23">
        <f>+Índice!AF18/Índice!AE18*100-100</f>
        <v>5.2150104090583795</v>
      </c>
      <c r="AF18" s="23">
        <f>+Índice!AG18/Índice!AF18*100-100</f>
        <v>3.6165884450000192</v>
      </c>
      <c r="AG18" s="23">
        <f>+Índice!AH18/Índice!AG18*100-100</f>
        <v>2.7485400000000055</v>
      </c>
      <c r="AH18" s="23">
        <f>+Índice!AI18/Índice!AH18*100-100</f>
        <v>0.32554125000000056</v>
      </c>
      <c r="AI18" s="23">
        <f>+Índice!AJ18/Índice!AI18*100-100</f>
        <v>1.4436256600000092</v>
      </c>
      <c r="AJ18" s="49">
        <v>0.76665974649800717</v>
      </c>
      <c r="AK18" s="49">
        <v>0.45900612908948801</v>
      </c>
      <c r="AL18" s="49">
        <v>0.61507715146788655</v>
      </c>
      <c r="AM18" s="49">
        <v>0.24911300266239778</v>
      </c>
      <c r="AN18" s="49">
        <v>0.19181903585936766</v>
      </c>
      <c r="AO18" s="49">
        <v>0.61896432857560058</v>
      </c>
      <c r="AP18" s="49">
        <v>0.30187279925011978</v>
      </c>
      <c r="AQ18" s="49">
        <v>0.16058801703162828</v>
      </c>
      <c r="AR18" s="49">
        <v>0</v>
      </c>
      <c r="AS18" s="49">
        <v>0.19582559979009773</v>
      </c>
      <c r="AT18" s="49">
        <v>0.32053060969201397</v>
      </c>
      <c r="AU18" s="49">
        <v>0.19600494340777175</v>
      </c>
      <c r="AV18" s="49">
        <v>0.74435145471676378</v>
      </c>
      <c r="AW18" s="49">
        <v>9.8845329495091505E-2</v>
      </c>
      <c r="AX18" s="49">
        <v>0.73055654156262051</v>
      </c>
    </row>
    <row r="19" spans="1:50" s="6" customFormat="1" ht="20.45" customHeight="1" x14ac:dyDescent="0.2">
      <c r="A19" s="40" t="s">
        <v>81</v>
      </c>
      <c r="B19" s="7" t="s">
        <v>47</v>
      </c>
      <c r="C19" s="22">
        <f>+Índice!D19/100*100-100</f>
        <v>1.9927536231884062</v>
      </c>
      <c r="D19" s="22">
        <f>+Índice!E19/Índice!D19*100-100</f>
        <v>0</v>
      </c>
      <c r="E19" s="22">
        <f>+Índice!F19/Índice!E19*100-100</f>
        <v>0</v>
      </c>
      <c r="F19" s="22">
        <f>+Índice!G19/Índice!F19*100-100</f>
        <v>0</v>
      </c>
      <c r="G19" s="22">
        <f>+Índice!H19/Índice!G19*100-100</f>
        <v>0</v>
      </c>
      <c r="H19" s="22">
        <f>+Índice!I19/Índice!H19*100-100</f>
        <v>0</v>
      </c>
      <c r="I19" s="22">
        <f>+Índice!J19/Índice!I19*100-100</f>
        <v>0</v>
      </c>
      <c r="J19" s="22">
        <f>+Índice!K19/Índice!J19*100-100</f>
        <v>0</v>
      </c>
      <c r="K19" s="22">
        <f>+Índice!L19/Índice!K19*100-100</f>
        <v>7.1047957371064285E-3</v>
      </c>
      <c r="L19" s="22">
        <f>+Índice!M19/Índice!L19*100-100</f>
        <v>0</v>
      </c>
      <c r="M19" s="22">
        <f>+Índice!N19/Índice!M19*100-100</f>
        <v>0</v>
      </c>
      <c r="N19" s="22">
        <f>+Índice!O19/Índice!N19*100-100</f>
        <v>16.880288969214121</v>
      </c>
      <c r="O19" s="22">
        <f>+Índice!P19/Índice!O19*100-100</f>
        <v>0</v>
      </c>
      <c r="P19" s="22">
        <f>+Índice!Q19/Índice!P19*100-100</f>
        <v>0</v>
      </c>
      <c r="Q19" s="22">
        <f>+Índice!R19/Índice!Q19*100-100</f>
        <v>0</v>
      </c>
      <c r="R19" s="22">
        <f>+Índice!S19/Índice!R19*100-100</f>
        <v>0</v>
      </c>
      <c r="S19" s="22">
        <f>+Índice!T19/Índice!S19*100-100</f>
        <v>0</v>
      </c>
      <c r="T19" s="22">
        <f>+Índice!U19/Índice!T19*100-100</f>
        <v>0</v>
      </c>
      <c r="U19" s="22">
        <f>+Índice!V19/Índice!U19*100-100</f>
        <v>-1.5010119610110451E-2</v>
      </c>
      <c r="V19" s="22">
        <f>+Índice!W19/Índice!V19*100-100</f>
        <v>0</v>
      </c>
      <c r="W19" s="22">
        <f>+Índice!X19/Índice!W19*100-100</f>
        <v>5.0041243284226766E-3</v>
      </c>
      <c r="X19" s="22">
        <f>+Índice!Y19/Índice!X19*100-100</f>
        <v>1.000774785669023E-2</v>
      </c>
      <c r="Y19" s="22">
        <f>+Índice!Z19/Índice!Y19*100-100</f>
        <v>0</v>
      </c>
      <c r="Z19" s="22">
        <f>+Índice!AA19/Índice!Z19*100-100</f>
        <v>0</v>
      </c>
      <c r="AA19" s="22">
        <f>+Índice!AB19/Índice!AA19*100-100</f>
        <v>-1.5010119610110451E-2</v>
      </c>
      <c r="AB19" s="22">
        <f>+Índice!AC19/Índice!AB19*100-100</f>
        <v>1.4543236329458864E-2</v>
      </c>
      <c r="AC19" s="22">
        <f>+Índice!AD19/Índice!AC19*100-100</f>
        <v>-1.1726710951620589E-4</v>
      </c>
      <c r="AD19" s="22">
        <f>+Índice!AE19/Índice!AD19*100-100</f>
        <v>-1.4423871384721565E-2</v>
      </c>
      <c r="AE19" s="22">
        <f>+Índice!AF19/Índice!AE19*100-100</f>
        <v>1.4279346960563544E-2</v>
      </c>
      <c r="AF19" s="22">
        <f>+Índice!AG19/Índice!AF19*100-100</f>
        <v>0</v>
      </c>
      <c r="AG19" s="22">
        <f>+Índice!AH19/Índice!AG19*100-100</f>
        <v>0</v>
      </c>
      <c r="AH19" s="22">
        <f>+Índice!AI19/Índice!AH19*100-100</f>
        <v>0</v>
      </c>
      <c r="AI19" s="22">
        <f>+Índice!AJ19/Índice!AI19*100-100</f>
        <v>0</v>
      </c>
      <c r="AJ19" s="48">
        <v>0</v>
      </c>
      <c r="AK19" s="48">
        <v>0</v>
      </c>
      <c r="AL19" s="48">
        <v>0</v>
      </c>
      <c r="AM19" s="48">
        <v>0</v>
      </c>
      <c r="AN19" s="48">
        <v>0</v>
      </c>
      <c r="AO19" s="48">
        <v>11.54000000000002</v>
      </c>
      <c r="AP19" s="48">
        <v>0</v>
      </c>
      <c r="AQ19" s="48">
        <v>0</v>
      </c>
      <c r="AR19" s="48">
        <v>0</v>
      </c>
      <c r="AS19" s="48">
        <v>0</v>
      </c>
      <c r="AT19" s="48">
        <v>0</v>
      </c>
      <c r="AU19" s="48">
        <v>0</v>
      </c>
      <c r="AV19" s="48">
        <v>0</v>
      </c>
      <c r="AW19" s="48">
        <v>0</v>
      </c>
      <c r="AX19" s="48">
        <v>0</v>
      </c>
    </row>
    <row r="20" spans="1:50" ht="20.45" customHeight="1" x14ac:dyDescent="0.2">
      <c r="A20" s="42" t="s">
        <v>82</v>
      </c>
      <c r="B20" s="9">
        <v>35</v>
      </c>
      <c r="C20" s="23">
        <f>+Índice!D20/100*100-100</f>
        <v>1.9927536231884062</v>
      </c>
      <c r="D20" s="23">
        <f>+Índice!E20/Índice!D20*100-100</f>
        <v>0</v>
      </c>
      <c r="E20" s="23">
        <f>+Índice!F20/Índice!E20*100-100</f>
        <v>0</v>
      </c>
      <c r="F20" s="23">
        <f>+Índice!G20/Índice!F20*100-100</f>
        <v>0</v>
      </c>
      <c r="G20" s="23">
        <f>+Índice!H20/Índice!G20*100-100</f>
        <v>0</v>
      </c>
      <c r="H20" s="23">
        <f>+Índice!I20/Índice!H20*100-100</f>
        <v>0</v>
      </c>
      <c r="I20" s="23">
        <f>+Índice!J20/Índice!I20*100-100</f>
        <v>0</v>
      </c>
      <c r="J20" s="23">
        <f>+Índice!K20/Índice!J20*100-100</f>
        <v>0</v>
      </c>
      <c r="K20" s="23">
        <f>+Índice!L20/Índice!K20*100-100</f>
        <v>7.1047957371064285E-3</v>
      </c>
      <c r="L20" s="23">
        <f>+Índice!M20/Índice!L20*100-100</f>
        <v>0</v>
      </c>
      <c r="M20" s="23">
        <f>+Índice!N20/Índice!M20*100-100</f>
        <v>0</v>
      </c>
      <c r="N20" s="23">
        <f>+Índice!O20/Índice!N20*100-100</f>
        <v>16.880288969214121</v>
      </c>
      <c r="O20" s="23">
        <f>+Índice!P20/Índice!O20*100-100</f>
        <v>0</v>
      </c>
      <c r="P20" s="23">
        <f>+Índice!Q20/Índice!P20*100-100</f>
        <v>0</v>
      </c>
      <c r="Q20" s="23">
        <f>+Índice!R20/Índice!Q20*100-100</f>
        <v>0</v>
      </c>
      <c r="R20" s="23">
        <f>+Índice!S20/Índice!R20*100-100</f>
        <v>0</v>
      </c>
      <c r="S20" s="23">
        <f>+Índice!T20/Índice!S20*100-100</f>
        <v>0</v>
      </c>
      <c r="T20" s="23">
        <f>+Índice!U20/Índice!T20*100-100</f>
        <v>0</v>
      </c>
      <c r="U20" s="23">
        <f>+Índice!V20/Índice!U20*100-100</f>
        <v>-1.5010119610110451E-2</v>
      </c>
      <c r="V20" s="23">
        <f>+Índice!W20/Índice!V20*100-100</f>
        <v>0</v>
      </c>
      <c r="W20" s="23">
        <f>+Índice!X20/Índice!W20*100-100</f>
        <v>5.0041243284226766E-3</v>
      </c>
      <c r="X20" s="23">
        <f>+Índice!Y20/Índice!X20*100-100</f>
        <v>1.000774785669023E-2</v>
      </c>
      <c r="Y20" s="23">
        <f>+Índice!Z20/Índice!Y20*100-100</f>
        <v>0</v>
      </c>
      <c r="Z20" s="23">
        <f>+Índice!AA20/Índice!Z20*100-100</f>
        <v>0</v>
      </c>
      <c r="AA20" s="23">
        <f>+Índice!AB20/Índice!AA20*100-100</f>
        <v>-1.5010119610110451E-2</v>
      </c>
      <c r="AB20" s="23">
        <f>+Índice!AC20/Índice!AB20*100-100</f>
        <v>1.4543236329458864E-2</v>
      </c>
      <c r="AC20" s="23">
        <f>+Índice!AD20/Índice!AC20*100-100</f>
        <v>-1.1726710951620589E-4</v>
      </c>
      <c r="AD20" s="23">
        <f>+Índice!AE20/Índice!AD20*100-100</f>
        <v>-1.4423871384721565E-2</v>
      </c>
      <c r="AE20" s="23">
        <f>+Índice!AF20/Índice!AE20*100-100</f>
        <v>1.4279346960563544E-2</v>
      </c>
      <c r="AF20" s="23">
        <f>+Índice!AG20/Índice!AF20*100-100</f>
        <v>0</v>
      </c>
      <c r="AG20" s="23">
        <f>+Índice!AH20/Índice!AG20*100-100</f>
        <v>0</v>
      </c>
      <c r="AH20" s="23">
        <f>+Índice!AI20/Índice!AH20*100-100</f>
        <v>0</v>
      </c>
      <c r="AI20" s="23">
        <f>+Índice!AJ20/Índice!AI20*100-100</f>
        <v>0</v>
      </c>
      <c r="AJ20" s="49">
        <v>0</v>
      </c>
      <c r="AK20" s="49">
        <v>0</v>
      </c>
      <c r="AL20" s="49">
        <v>0</v>
      </c>
      <c r="AM20" s="49">
        <v>0</v>
      </c>
      <c r="AN20" s="49">
        <v>0</v>
      </c>
      <c r="AO20" s="49">
        <v>11.54000000000002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0</v>
      </c>
      <c r="AX20" s="49">
        <v>0</v>
      </c>
    </row>
    <row r="21" spans="1:50" ht="20.45" customHeight="1" x14ac:dyDescent="0.2">
      <c r="A21" s="42" t="s">
        <v>83</v>
      </c>
      <c r="B21" s="9" t="s">
        <v>48</v>
      </c>
      <c r="C21" s="23">
        <f>+Índice!D21/100*100-100</f>
        <v>48.688337610493306</v>
      </c>
      <c r="D21" s="23">
        <f>+Índice!E21/Índice!D21*100-100</f>
        <v>-1.5980449800011343E-2</v>
      </c>
      <c r="E21" s="23">
        <f>+Índice!F21/Índice!E21*100-100</f>
        <v>1.598300395590968E-2</v>
      </c>
      <c r="F21" s="23">
        <f>+Índice!G21/Índice!F21*100-100</f>
        <v>0</v>
      </c>
      <c r="G21" s="23">
        <f>+Índice!H21/Índice!G21*100-100</f>
        <v>0</v>
      </c>
      <c r="H21" s="23">
        <f>+Índice!I21/Índice!H21*100-100</f>
        <v>0</v>
      </c>
      <c r="I21" s="23">
        <f>+Índice!J21/Índice!I21*100-100</f>
        <v>0</v>
      </c>
      <c r="J21" s="23">
        <f>+Índice!K21/Índice!J21*100-100</f>
        <v>39.901556557036457</v>
      </c>
      <c r="K21" s="23">
        <f>+Índice!L21/Índice!K21*100-100</f>
        <v>7.8435132802638918E-3</v>
      </c>
      <c r="L21" s="23">
        <f>+Índice!M21/Índice!L21*100-100</f>
        <v>-1.6158254221451784E-2</v>
      </c>
      <c r="M21" s="23">
        <f>+Índice!N21/Índice!M21*100-100</f>
        <v>-28.509615384615401</v>
      </c>
      <c r="N21" s="23">
        <f>+Índice!O21/Índice!N21*100-100</f>
        <v>20.988392845926882</v>
      </c>
      <c r="O21" s="23">
        <f>+Índice!P21/Índice!O21*100-100</f>
        <v>0</v>
      </c>
      <c r="P21" s="23">
        <f>+Índice!Q21/Índice!P21*100-100</f>
        <v>10.683206980210372</v>
      </c>
      <c r="Q21" s="23">
        <f>+Índice!R21/Índice!Q21*100-100</f>
        <v>0</v>
      </c>
      <c r="R21" s="23">
        <f>+Índice!S21/Índice!R21*100-100</f>
        <v>0</v>
      </c>
      <c r="S21" s="23">
        <f>+Índice!T21/Índice!S21*100-100</f>
        <v>0.4620554420036882</v>
      </c>
      <c r="T21" s="23">
        <f>+Índice!U21/Índice!T21*100-100</f>
        <v>0</v>
      </c>
      <c r="U21" s="23">
        <f>+Índice!V21/Índice!U21*100-100</f>
        <v>-2.4974002589360111E-2</v>
      </c>
      <c r="V21" s="23">
        <f>+Índice!W21/Índice!V21*100-100</f>
        <v>0</v>
      </c>
      <c r="W21" s="23">
        <f>+Índice!X21/Índice!W21*100-100</f>
        <v>8.3267470517967013E-3</v>
      </c>
      <c r="X21" s="23">
        <f>+Índice!Y21/Índice!X21*100-100</f>
        <v>-8.3260537623743858E-3</v>
      </c>
      <c r="Y21" s="23">
        <f>+Índice!Z21/Índice!Y21*100-100</f>
        <v>0</v>
      </c>
      <c r="Z21" s="23">
        <f>+Índice!AA21/Índice!Z21*100-100</f>
        <v>0</v>
      </c>
      <c r="AA21" s="23">
        <f>+Índice!AB21/Índice!AA21*100-100</f>
        <v>0</v>
      </c>
      <c r="AB21" s="23">
        <f>+Índice!AC21/Índice!AB21*100-100</f>
        <v>0</v>
      </c>
      <c r="AC21" s="23">
        <f>+Índice!AD21/Índice!AC21*100-100</f>
        <v>0</v>
      </c>
      <c r="AD21" s="23">
        <f>+Índice!AE21/Índice!AD21*100-100</f>
        <v>0</v>
      </c>
      <c r="AE21" s="23">
        <f>+Índice!AF21/Índice!AE21*100-100</f>
        <v>0</v>
      </c>
      <c r="AF21" s="23">
        <f>+Índice!AG21/Índice!AF21*100-100</f>
        <v>0</v>
      </c>
      <c r="AG21" s="23">
        <f>+Índice!AH21/Índice!AG21*100-100</f>
        <v>0</v>
      </c>
      <c r="AH21" s="23">
        <f>+Índice!AI21/Índice!AH21*100-100</f>
        <v>0</v>
      </c>
      <c r="AI21" s="23">
        <f>+Índice!AJ21/Índice!AI21*100-100</f>
        <v>0</v>
      </c>
      <c r="AJ21" s="48">
        <v>0</v>
      </c>
      <c r="AK21" s="48">
        <v>0</v>
      </c>
      <c r="AL21" s="48">
        <v>0</v>
      </c>
      <c r="AM21" s="48">
        <v>0</v>
      </c>
      <c r="AN21" s="48">
        <v>0</v>
      </c>
      <c r="AO21" s="48">
        <v>0</v>
      </c>
      <c r="AP21" s="48">
        <v>0</v>
      </c>
      <c r="AQ21" s="48">
        <v>0</v>
      </c>
      <c r="AR21" s="48">
        <v>0</v>
      </c>
      <c r="AS21" s="48">
        <v>0</v>
      </c>
      <c r="AT21" s="48">
        <v>0</v>
      </c>
      <c r="AU21" s="48">
        <v>0</v>
      </c>
      <c r="AV21" s="48">
        <v>0</v>
      </c>
      <c r="AW21" s="48">
        <v>0</v>
      </c>
      <c r="AX21" s="48">
        <v>0</v>
      </c>
    </row>
    <row r="22" spans="1:50" s="6" customFormat="1" ht="20.45" customHeight="1" x14ac:dyDescent="0.2">
      <c r="A22" s="40" t="s">
        <v>84</v>
      </c>
      <c r="B22" s="7" t="s">
        <v>49</v>
      </c>
      <c r="C22" s="22">
        <f>+Índice!D22/100*100-100</f>
        <v>48.688337610493306</v>
      </c>
      <c r="D22" s="22">
        <f>+Índice!E22/Índice!D22*100-100</f>
        <v>-1.5980449800011343E-2</v>
      </c>
      <c r="E22" s="22">
        <f>+Índice!F22/Índice!E22*100-100</f>
        <v>1.598300395590968E-2</v>
      </c>
      <c r="F22" s="22">
        <f>+Índice!G22/Índice!F22*100-100</f>
        <v>0</v>
      </c>
      <c r="G22" s="22">
        <f>+Índice!H22/Índice!G22*100-100</f>
        <v>0</v>
      </c>
      <c r="H22" s="22">
        <f>+Índice!I22/Índice!H22*100-100</f>
        <v>0</v>
      </c>
      <c r="I22" s="22">
        <f>+Índice!J22/Índice!I22*100-100</f>
        <v>0</v>
      </c>
      <c r="J22" s="22">
        <f>+Índice!K22/Índice!J22*100-100</f>
        <v>39.901556557036457</v>
      </c>
      <c r="K22" s="22">
        <f>+Índice!L22/Índice!K22*100-100</f>
        <v>7.8435132802638918E-3</v>
      </c>
      <c r="L22" s="22">
        <f>+Índice!M22/Índice!L22*100-100</f>
        <v>-1.6158254221451784E-2</v>
      </c>
      <c r="M22" s="22">
        <f>+Índice!N22/Índice!M22*100-100</f>
        <v>-28.509615384615401</v>
      </c>
      <c r="N22" s="22">
        <f>+Índice!O22/Índice!N22*100-100</f>
        <v>20.988392845926882</v>
      </c>
      <c r="O22" s="22">
        <f>+Índice!P22/Índice!O22*100-100</f>
        <v>0</v>
      </c>
      <c r="P22" s="22">
        <f>+Índice!Q22/Índice!P22*100-100</f>
        <v>10.683206980210372</v>
      </c>
      <c r="Q22" s="22">
        <f>+Índice!R22/Índice!Q22*100-100</f>
        <v>0</v>
      </c>
      <c r="R22" s="22">
        <f>+Índice!S22/Índice!R22*100-100</f>
        <v>0</v>
      </c>
      <c r="S22" s="22">
        <f>+Índice!T22/Índice!S22*100-100</f>
        <v>0.4620554420036882</v>
      </c>
      <c r="T22" s="22">
        <f>+Índice!U22/Índice!T22*100-100</f>
        <v>0</v>
      </c>
      <c r="U22" s="22">
        <f>+Índice!V22/Índice!U22*100-100</f>
        <v>-2.4974002589360111E-2</v>
      </c>
      <c r="V22" s="22">
        <f>+Índice!W22/Índice!V22*100-100</f>
        <v>0</v>
      </c>
      <c r="W22" s="22">
        <f>+Índice!X22/Índice!W22*100-100</f>
        <v>8.3267470517967013E-3</v>
      </c>
      <c r="X22" s="22">
        <f>+Índice!Y22/Índice!X22*100-100</f>
        <v>-8.3260537623743858E-3</v>
      </c>
      <c r="Y22" s="22">
        <f>+Índice!Z22/Índice!Y22*100-100</f>
        <v>0</v>
      </c>
      <c r="Z22" s="22">
        <f>+Índice!AA22/Índice!Z22*100-100</f>
        <v>0</v>
      </c>
      <c r="AA22" s="22">
        <f>+Índice!AB22/Índice!AA22*100-100</f>
        <v>0</v>
      </c>
      <c r="AB22" s="22">
        <f>+Índice!AC22/Índice!AB22*100-100</f>
        <v>0</v>
      </c>
      <c r="AC22" s="22">
        <f>+Índice!AD22/Índice!AC22*100-100</f>
        <v>0</v>
      </c>
      <c r="AD22" s="22">
        <f>+Índice!AE22/Índice!AD22*100-100</f>
        <v>0</v>
      </c>
      <c r="AE22" s="22">
        <f>+Índice!AF22/Índice!AE22*100-100</f>
        <v>0</v>
      </c>
      <c r="AF22" s="22">
        <f>+Índice!AG22/Índice!AF22*100-100</f>
        <v>0</v>
      </c>
      <c r="AG22" s="22">
        <f>+Índice!AH22/Índice!AG22*100-100</f>
        <v>0</v>
      </c>
      <c r="AH22" s="22">
        <f>+Índice!AI22/Índice!AH22*100-100</f>
        <v>0</v>
      </c>
      <c r="AI22" s="22">
        <f>+Índice!AJ22/Índice!AI22*100-100</f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0</v>
      </c>
      <c r="AO22" s="48">
        <v>0</v>
      </c>
      <c r="AP22" s="48">
        <v>0</v>
      </c>
      <c r="AQ22" s="48">
        <v>0</v>
      </c>
      <c r="AR22" s="48">
        <v>0</v>
      </c>
      <c r="AS22" s="48">
        <v>0</v>
      </c>
      <c r="AT22" s="48">
        <v>0</v>
      </c>
      <c r="AU22" s="48">
        <v>0</v>
      </c>
      <c r="AV22" s="48">
        <v>0</v>
      </c>
      <c r="AW22" s="49">
        <v>0</v>
      </c>
      <c r="AX22" s="49">
        <v>0</v>
      </c>
    </row>
    <row r="23" spans="1:50" s="6" customFormat="1" ht="20.45" customHeight="1" x14ac:dyDescent="0.2">
      <c r="A23" s="40" t="s">
        <v>98</v>
      </c>
      <c r="B23" s="7"/>
      <c r="C23" s="22" t="s">
        <v>64</v>
      </c>
      <c r="D23" s="22" t="s">
        <v>64</v>
      </c>
      <c r="E23" s="22" t="s">
        <v>64</v>
      </c>
      <c r="F23" s="22" t="s">
        <v>64</v>
      </c>
      <c r="G23" s="22" t="s">
        <v>64</v>
      </c>
      <c r="H23" s="22" t="s">
        <v>64</v>
      </c>
      <c r="I23" s="22" t="s">
        <v>64</v>
      </c>
      <c r="J23" s="22" t="s">
        <v>64</v>
      </c>
      <c r="K23" s="22" t="s">
        <v>64</v>
      </c>
      <c r="L23" s="22" t="s">
        <v>64</v>
      </c>
      <c r="M23" s="22" t="s">
        <v>64</v>
      </c>
      <c r="N23" s="22" t="s">
        <v>64</v>
      </c>
      <c r="O23" s="22" t="s">
        <v>64</v>
      </c>
      <c r="P23" s="22" t="s">
        <v>64</v>
      </c>
      <c r="Q23" s="22" t="s">
        <v>64</v>
      </c>
      <c r="R23" s="22" t="s">
        <v>64</v>
      </c>
      <c r="S23" s="22" t="s">
        <v>64</v>
      </c>
      <c r="T23" s="22" t="s">
        <v>64</v>
      </c>
      <c r="U23" s="22" t="s">
        <v>64</v>
      </c>
      <c r="V23" s="22" t="s">
        <v>64</v>
      </c>
      <c r="W23" s="22" t="s">
        <v>64</v>
      </c>
      <c r="X23" s="22" t="s">
        <v>64</v>
      </c>
      <c r="Y23" s="22" t="s">
        <v>64</v>
      </c>
      <c r="Z23" s="22" t="s">
        <v>64</v>
      </c>
      <c r="AA23" s="22" t="s">
        <v>64</v>
      </c>
      <c r="AB23" s="22" t="s">
        <v>64</v>
      </c>
      <c r="AC23" s="22" t="s">
        <v>64</v>
      </c>
      <c r="AD23" s="22" t="s">
        <v>64</v>
      </c>
      <c r="AE23" s="22" t="s">
        <v>64</v>
      </c>
      <c r="AF23" s="22" t="s">
        <v>64</v>
      </c>
      <c r="AG23" s="22" t="s">
        <v>64</v>
      </c>
      <c r="AH23" s="22" t="s">
        <v>64</v>
      </c>
      <c r="AI23" s="22" t="s">
        <v>64</v>
      </c>
      <c r="AJ23" s="48">
        <v>1.8032673796619463</v>
      </c>
      <c r="AK23" s="48">
        <v>1.3196365050759766</v>
      </c>
      <c r="AL23" s="48">
        <v>4.44925056412049</v>
      </c>
      <c r="AM23" s="48">
        <v>-3.4626819468112586</v>
      </c>
      <c r="AN23" s="48">
        <v>-3.542076704511814</v>
      </c>
      <c r="AO23" s="48">
        <v>5.840122374145821</v>
      </c>
      <c r="AP23" s="48">
        <v>-0.69380112465186983</v>
      </c>
      <c r="AQ23" s="48">
        <v>-2.1162034985803047</v>
      </c>
      <c r="AR23" s="48">
        <v>-1.2848115449199469</v>
      </c>
      <c r="AS23" s="48">
        <v>-3.1632320517353207</v>
      </c>
      <c r="AT23" s="48">
        <v>-5.0169071698986727</v>
      </c>
      <c r="AU23" s="48">
        <v>-1.094020915015264</v>
      </c>
      <c r="AV23" s="48">
        <v>5.6118483405644071</v>
      </c>
      <c r="AW23" s="49">
        <v>3.2299614856561902</v>
      </c>
      <c r="AX23" s="49">
        <v>42.58064741559528</v>
      </c>
    </row>
    <row r="24" spans="1:50" ht="20.45" customHeight="1" x14ac:dyDescent="0.2">
      <c r="A24" s="40" t="s">
        <v>85</v>
      </c>
      <c r="B24" s="9"/>
      <c r="C24" s="23">
        <f>+Índice!D24/100*100-100</f>
        <v>3.8135766444027581</v>
      </c>
      <c r="D24" s="23">
        <f>+Índice!E24/Índice!D24*100-100</f>
        <v>1.0055790979460113</v>
      </c>
      <c r="E24" s="23">
        <f>+Índice!F24/Índice!E24*100-100</f>
        <v>-0.14542342749524551</v>
      </c>
      <c r="F24" s="23">
        <f>+Índice!G24/Índice!F24*100-100</f>
        <v>4.8264445685603619E-2</v>
      </c>
      <c r="G24" s="23">
        <f>+Índice!H24/Índice!G24*100-100</f>
        <v>-0.29879273790407979</v>
      </c>
      <c r="H24" s="23">
        <f>+Índice!I24/Índice!H24*100-100</f>
        <v>38.740020390093974</v>
      </c>
      <c r="I24" s="23">
        <f>+Índice!J24/Índice!I24*100-100</f>
        <v>11.038270083707459</v>
      </c>
      <c r="J24" s="23">
        <f>+Índice!K24/Índice!J24*100-100</f>
        <v>0.32796634930389246</v>
      </c>
      <c r="K24" s="23">
        <f>+Índice!L24/Índice!K24*100-100</f>
        <v>-0.34073028158564966</v>
      </c>
      <c r="L24" s="23">
        <f>+Índice!M24/Índice!L24*100-100</f>
        <v>1.3823474308374557</v>
      </c>
      <c r="M24" s="23">
        <f>+Índice!N24/Índice!M24*100-100</f>
        <v>-1.2262415695892059</v>
      </c>
      <c r="N24" s="23">
        <f>+Índice!O24/Índice!N24*100-100</f>
        <v>2.2642094949252964</v>
      </c>
      <c r="O24" s="23">
        <f>+Índice!P24/Índice!O24*100-100</f>
        <v>4.2542768240709989</v>
      </c>
      <c r="P24" s="23">
        <f>+Índice!Q24/Índice!P24*100-100</f>
        <v>1.7473893109295204</v>
      </c>
      <c r="Q24" s="23">
        <f>+Índice!R24/Índice!Q24*100-100</f>
        <v>3.4257362283773887</v>
      </c>
      <c r="R24" s="23">
        <f>+Índice!S24/Índice!R24*100-100</f>
        <v>9.9128953967267108</v>
      </c>
      <c r="S24" s="23">
        <f>+Índice!T24/Índice!S24*100-100</f>
        <v>3.1097234553865434</v>
      </c>
      <c r="T24" s="23">
        <f>+Índice!U24/Índice!T24*100-100</f>
        <v>2.0693907688230269</v>
      </c>
      <c r="U24" s="23">
        <f>+Índice!V24/Índice!U24*100-100</f>
        <v>1.780094242864763</v>
      </c>
      <c r="V24" s="23">
        <f>+Índice!W24/Índice!V24*100-100</f>
        <v>0.93984962406014461</v>
      </c>
      <c r="W24" s="23">
        <f>+Índice!X24/Índice!W24*100-100</f>
        <v>-1.1982913087598632</v>
      </c>
      <c r="X24" s="23">
        <f>+Índice!Y24/Índice!X24*100-100</f>
        <v>3.3064749934453204</v>
      </c>
      <c r="Y24" s="23">
        <f>+Índice!Z24/Índice!Y24*100-100</f>
        <v>1.1168926189417476</v>
      </c>
      <c r="Z24" s="23">
        <f>+Índice!AA24/Índice!Z24*100-100</f>
        <v>0.82522027660196784</v>
      </c>
      <c r="AA24" s="23">
        <f>+Índice!AB24/Índice!AA24*100-100</f>
        <v>1.2878266935640852</v>
      </c>
      <c r="AB24" s="23">
        <f>+Índice!AC24/Índice!AB24*100-100</f>
        <v>-8.3784869740482577</v>
      </c>
      <c r="AC24" s="23">
        <f>+Índice!AD24/Índice!AC24*100-100</f>
        <v>2.5455809484833765</v>
      </c>
      <c r="AD24" s="23">
        <f>+Índice!AE24/Índice!AD24*100-100</f>
        <v>1.640047161862455</v>
      </c>
      <c r="AE24" s="23">
        <f>+Índice!AF24/Índice!AE24*100-100</f>
        <v>1.2301160093641101</v>
      </c>
      <c r="AF24" s="23">
        <f>+Índice!AG24/Índice!AF24*100-100</f>
        <v>5.2478250351345963</v>
      </c>
      <c r="AG24" s="23">
        <f>+Índice!AH24/Índice!AG24*100-100</f>
        <v>1.316766154222222</v>
      </c>
      <c r="AH24" s="23">
        <f>+Índice!AI24/Índice!AH24*100-100</f>
        <v>1.091602001831717</v>
      </c>
      <c r="AI24" s="23">
        <f>+Índice!AJ24/Índice!AI24*100-100</f>
        <v>0.52996962120816704</v>
      </c>
      <c r="AJ24" s="48">
        <v>-6.1953634495237679</v>
      </c>
      <c r="AK24" s="48">
        <v>-4.2726576751782517</v>
      </c>
      <c r="AL24" s="48">
        <v>0.60654109395406408</v>
      </c>
      <c r="AM24" s="48">
        <v>4.2916187223915898</v>
      </c>
      <c r="AN24" s="48">
        <v>-26.823221947965408</v>
      </c>
      <c r="AO24" s="48">
        <v>0.10657390909310038</v>
      </c>
      <c r="AP24" s="48">
        <v>6.8771649050509751</v>
      </c>
      <c r="AQ24" s="48">
        <v>-0.4265388517872708</v>
      </c>
      <c r="AR24" s="48">
        <v>0.41653088241633895</v>
      </c>
      <c r="AS24" s="48">
        <v>2.4261687543053228</v>
      </c>
      <c r="AT24" s="48">
        <v>-3.0558511815857656</v>
      </c>
      <c r="AU24" s="48">
        <v>6.5650812271627501E-2</v>
      </c>
      <c r="AV24" s="48">
        <v>-6.9286254738401141</v>
      </c>
      <c r="AW24" s="49">
        <v>-6.4798765631450408</v>
      </c>
      <c r="AX24" s="49">
        <v>16.949815018168948</v>
      </c>
    </row>
    <row r="25" spans="1:50" ht="20.45" customHeight="1" x14ac:dyDescent="0.2">
      <c r="A25" s="40" t="s">
        <v>86</v>
      </c>
      <c r="B25" s="9"/>
      <c r="C25" s="9" t="s">
        <v>64</v>
      </c>
      <c r="D25" s="9" t="s">
        <v>64</v>
      </c>
      <c r="E25" s="9" t="s">
        <v>64</v>
      </c>
      <c r="F25" s="9" t="s">
        <v>64</v>
      </c>
      <c r="G25" s="9" t="s">
        <v>64</v>
      </c>
      <c r="H25" s="9" t="s">
        <v>64</v>
      </c>
      <c r="I25" s="9" t="s">
        <v>64</v>
      </c>
      <c r="J25" s="9" t="s">
        <v>64</v>
      </c>
      <c r="K25" s="9" t="s">
        <v>64</v>
      </c>
      <c r="L25" s="9" t="s">
        <v>64</v>
      </c>
      <c r="M25" s="9" t="s">
        <v>64</v>
      </c>
      <c r="N25" s="9" t="s">
        <v>64</v>
      </c>
      <c r="O25" s="9" t="s">
        <v>64</v>
      </c>
      <c r="P25" s="9" t="s">
        <v>64</v>
      </c>
      <c r="Q25" s="9" t="s">
        <v>64</v>
      </c>
      <c r="R25" s="9" t="s">
        <v>64</v>
      </c>
      <c r="S25" s="9" t="s">
        <v>64</v>
      </c>
      <c r="T25" s="9" t="s">
        <v>64</v>
      </c>
      <c r="U25" s="9" t="s">
        <v>64</v>
      </c>
      <c r="V25" s="9" t="s">
        <v>64</v>
      </c>
      <c r="W25" s="9" t="s">
        <v>64</v>
      </c>
      <c r="X25" s="9" t="s">
        <v>64</v>
      </c>
      <c r="Y25" s="9" t="s">
        <v>64</v>
      </c>
      <c r="Z25" s="9" t="s">
        <v>64</v>
      </c>
      <c r="AA25" s="9" t="s">
        <v>64</v>
      </c>
      <c r="AB25" s="9" t="s">
        <v>64</v>
      </c>
      <c r="AC25" s="9" t="s">
        <v>64</v>
      </c>
      <c r="AD25" s="9" t="s">
        <v>64</v>
      </c>
      <c r="AE25" s="9" t="s">
        <v>64</v>
      </c>
      <c r="AF25" s="9" t="s">
        <v>64</v>
      </c>
      <c r="AG25" s="9" t="s">
        <v>64</v>
      </c>
      <c r="AH25" s="9" t="s">
        <v>64</v>
      </c>
      <c r="AI25" s="9" t="s">
        <v>64</v>
      </c>
      <c r="AJ25" s="48">
        <v>0.7425018135823791</v>
      </c>
      <c r="AK25" s="48">
        <v>0.43423813963616453</v>
      </c>
      <c r="AL25" s="48">
        <v>0.91139451058973009</v>
      </c>
      <c r="AM25" s="48">
        <v>-2.52933304744829E-3</v>
      </c>
      <c r="AN25" s="48">
        <v>0.29949081903934882</v>
      </c>
      <c r="AO25" s="48">
        <v>0.32554719985742508</v>
      </c>
      <c r="AP25" s="48">
        <v>1.0506850000000298</v>
      </c>
      <c r="AQ25" s="48">
        <v>0.72143025940690109</v>
      </c>
      <c r="AR25" s="48">
        <v>0.6625532541000041</v>
      </c>
      <c r="AS25" s="48">
        <v>0.42125524152001503</v>
      </c>
      <c r="AT25" s="48">
        <v>1.0506849999999872</v>
      </c>
      <c r="AU25" s="48">
        <v>0.42125524151998661</v>
      </c>
      <c r="AV25" s="48">
        <v>9.3148026004570283E-2</v>
      </c>
      <c r="AW25" s="48">
        <v>0.12587745799996242</v>
      </c>
      <c r="AX25" s="48">
        <v>1.8125877458000446</v>
      </c>
    </row>
    <row r="26" spans="1:50" ht="20.45" customHeight="1" x14ac:dyDescent="0.2">
      <c r="A26" s="40" t="s">
        <v>87</v>
      </c>
      <c r="B26" s="9"/>
      <c r="C26" s="23">
        <f>+Índice!D26/100*100-100</f>
        <v>6.0156002748574622</v>
      </c>
      <c r="D26" s="23">
        <f>+Índice!E26/Índice!D26*100-100</f>
        <v>-0.66983997699099973</v>
      </c>
      <c r="E26" s="23">
        <f>+Índice!F26/Índice!E26*100-100</f>
        <v>1.0541278982871631</v>
      </c>
      <c r="F26" s="23">
        <f>+Índice!G26/Índice!F26*100-100</f>
        <v>0.90940540779396883</v>
      </c>
      <c r="G26" s="23">
        <f>+Índice!H26/Índice!G26*100-100</f>
        <v>-1.6892965756961047</v>
      </c>
      <c r="H26" s="23">
        <f>+Índice!I26/Índice!H26*100-100</f>
        <v>-1.6565556115425295</v>
      </c>
      <c r="I26" s="23">
        <f>+Índice!J26/Índice!I26*100-100</f>
        <v>2.8164657223985756</v>
      </c>
      <c r="J26" s="23">
        <f>+Índice!K26/Índice!J26*100-100</f>
        <v>-0.97960765055051979</v>
      </c>
      <c r="K26" s="23">
        <f>+Índice!L26/Índice!K26*100-100</f>
        <v>-1.9387151430146901</v>
      </c>
      <c r="L26" s="23">
        <f>+Índice!M26/Índice!L26*100-100</f>
        <v>-8.5380180567788102</v>
      </c>
      <c r="M26" s="23">
        <f>+Índice!N26/Índice!M26*100-100</f>
        <v>15.506329113924039</v>
      </c>
      <c r="N26" s="23">
        <f>+Índice!O26/Índice!N26*100-100</f>
        <v>4.8614589222435001</v>
      </c>
      <c r="O26" s="23">
        <f>+Índice!P26/Índice!O26*100-100</f>
        <v>2.0790600073551673</v>
      </c>
      <c r="P26" s="23">
        <f>+Índice!Q26/Índice!P26*100-100</f>
        <v>-14.580153548174479</v>
      </c>
      <c r="Q26" s="23">
        <f>+Índice!R26/Índice!Q26*100-100</f>
        <v>9.7846504093027704</v>
      </c>
      <c r="R26" s="23">
        <f>+Índice!S26/Índice!R26*100-100</f>
        <v>12.416464981898031</v>
      </c>
      <c r="S26" s="23">
        <f>+Índice!T26/Índice!S26*100-100</f>
        <v>8.3501353031970211</v>
      </c>
      <c r="T26" s="23">
        <f>+Índice!U26/Índice!T26*100-100</f>
        <v>0.75845943004399885</v>
      </c>
      <c r="U26" s="23">
        <f>+Índice!V26/Índice!U26*100-100</f>
        <v>1.9282834246484839</v>
      </c>
      <c r="V26" s="23">
        <f>+Índice!W26/Índice!V26*100-100</f>
        <v>2.5454545454545325</v>
      </c>
      <c r="W26" s="23">
        <f>+Índice!X26/Índice!W26*100-100</f>
        <v>-2.2697944704960378</v>
      </c>
      <c r="X26" s="23">
        <f>+Índice!Y26/Índice!X26*100-100</f>
        <v>5.148780894217083</v>
      </c>
      <c r="Y26" s="23">
        <f>+Índice!Z26/Índice!Y26*100-100</f>
        <v>1.597204893437393</v>
      </c>
      <c r="Z26" s="23">
        <f>+Índice!AA26/Índice!Z26*100-100</f>
        <v>1.8947111333138338</v>
      </c>
      <c r="AA26" s="23">
        <f>+Índice!AB26/Índice!AA26*100-100</f>
        <v>0.86798822410523258</v>
      </c>
      <c r="AB26" s="23">
        <f>+Índice!AC26/Índice!AB26*100-100</f>
        <v>2.6913247703943171</v>
      </c>
      <c r="AC26" s="23">
        <f>+Índice!AD26/Índice!AC26*100-100</f>
        <v>2.1726198265149748</v>
      </c>
      <c r="AD26" s="23">
        <f>+Índice!AE26/Índice!AD26*100-100</f>
        <v>2.0487761453512405</v>
      </c>
      <c r="AE26" s="23">
        <f>+Índice!AF26/Índice!AE26*100-100</f>
        <v>2.1306157132593881</v>
      </c>
      <c r="AF26" s="23">
        <f>+Índice!AG26/Índice!AF26*100-100</f>
        <v>5.8287543722711348</v>
      </c>
      <c r="AG26" s="23">
        <f>+Índice!AH26/Índice!AG26*100-100</f>
        <v>2.4759546204991381</v>
      </c>
      <c r="AH26" s="23">
        <f>+Índice!AI26/Índice!AH26*100-100</f>
        <v>2.2253096248525708</v>
      </c>
      <c r="AI26" s="23">
        <f>+Índice!AJ26/Índice!AI26*100-100</f>
        <v>1.0735280371791731</v>
      </c>
      <c r="AJ26" s="48">
        <v>0.73943075865481944</v>
      </c>
      <c r="AK26" s="48">
        <v>0.43345853734879825</v>
      </c>
      <c r="AL26" s="48">
        <v>0.4800922287874414</v>
      </c>
      <c r="AM26" s="48">
        <v>0.20493378322852607</v>
      </c>
      <c r="AN26" s="48">
        <v>0.30346076546776146</v>
      </c>
      <c r="AO26" s="48">
        <v>0.34163652690075708</v>
      </c>
      <c r="AP26" s="48">
        <v>0.41884510290964272</v>
      </c>
      <c r="AQ26" s="48">
        <v>0.26468315695538536</v>
      </c>
      <c r="AR26" s="48">
        <v>0.22817429416244295</v>
      </c>
      <c r="AS26" s="48">
        <v>0.29580793768934655</v>
      </c>
      <c r="AT26" s="48">
        <v>0.24652912111298519</v>
      </c>
      <c r="AU26" s="48">
        <v>0.29327836233940729</v>
      </c>
      <c r="AV26" s="48">
        <v>0.3658701076960682</v>
      </c>
      <c r="AW26" s="48">
        <v>0.42360962940917091</v>
      </c>
      <c r="AX26" s="48">
        <v>0.35510464327572322</v>
      </c>
    </row>
    <row r="27" spans="1:50" ht="20.45" customHeight="1" thickBot="1" x14ac:dyDescent="0.25">
      <c r="A27" s="41" t="s">
        <v>88</v>
      </c>
      <c r="B27" s="16"/>
      <c r="C27" s="24">
        <f>+Índice!D27/100*100-100</f>
        <v>24.687334518520856</v>
      </c>
      <c r="D27" s="24">
        <f>+Índice!E27/Índice!D27*100-100</f>
        <v>17.513767977164818</v>
      </c>
      <c r="E27" s="24">
        <f>+Índice!F27/Índice!E27*100-100</f>
        <v>-4.8808479792511861</v>
      </c>
      <c r="F27" s="24">
        <f>+Índice!G27/Índice!F27*100-100</f>
        <v>-5.4048536615088665</v>
      </c>
      <c r="G27" s="24">
        <f>+Índice!H27/Índice!G27*100-100</f>
        <v>23.526796209252069</v>
      </c>
      <c r="H27" s="24">
        <f>+Índice!I27/Índice!H27*100-100</f>
        <v>9.5522591940801647</v>
      </c>
      <c r="I27" s="24">
        <f>+Índice!J27/Índice!I27*100-100</f>
        <v>1.3526286811858625</v>
      </c>
      <c r="J27" s="24">
        <f>+Índice!K27/Índice!J27*100-100</f>
        <v>7.2660853321769423</v>
      </c>
      <c r="K27" s="24">
        <f>+Índice!L27/Índice!K27*100-100</f>
        <v>-23.723573609993423</v>
      </c>
      <c r="L27" s="24">
        <f>+Índice!M27/Índice!L27*100-100</f>
        <v>34.098354826749244</v>
      </c>
      <c r="M27" s="24">
        <f>+Índice!N27/Índice!M27*100-100</f>
        <v>2.1673387096774093</v>
      </c>
      <c r="N27" s="24">
        <f>+Índice!O27/Índice!N27*100-100</f>
        <v>-4.5396918001051176</v>
      </c>
      <c r="O27" s="24">
        <f>+Índice!P27/Índice!O27*100-100</f>
        <v>1.6881720974012211</v>
      </c>
      <c r="P27" s="24">
        <f>+Índice!Q27/Índice!P27*100-100</f>
        <v>0.50511988751837578</v>
      </c>
      <c r="Q27" s="24">
        <f>+Índice!R27/Índice!Q27*100-100</f>
        <v>-5.082238425980961</v>
      </c>
      <c r="R27" s="24">
        <f>+Índice!S27/Índice!R27*100-100</f>
        <v>11.476342148849383</v>
      </c>
      <c r="S27" s="24">
        <f>+Índice!T27/Índice!S27*100-100</f>
        <v>5.8409305869001003</v>
      </c>
      <c r="T27" s="24">
        <f>+Índice!U27/Índice!T27*100-100</f>
        <v>27.672001699802635</v>
      </c>
      <c r="U27" s="24">
        <f>+Índice!V27/Índice!U27*100-100</f>
        <v>11.013704029690089</v>
      </c>
      <c r="V27" s="24">
        <f>+Índice!W27/Índice!V27*100-100</f>
        <v>6.4988849952214167</v>
      </c>
      <c r="W27" s="24">
        <f>+Índice!X27/Índice!W27*100-100</f>
        <v>-7.1734087564367002</v>
      </c>
      <c r="X27" s="24">
        <f>+Índice!Y27/Índice!X27*100-100</f>
        <v>21.703095946324396</v>
      </c>
      <c r="Y27" s="24">
        <f>+Índice!Z27/Índice!Y27*100-100</f>
        <v>10.559816624989523</v>
      </c>
      <c r="Z27" s="24">
        <f>+Índice!AA27/Índice!Z27*100-100</f>
        <v>-10.458542238794848</v>
      </c>
      <c r="AA27" s="24">
        <f>+Índice!AB27/Índice!AA27*100-100</f>
        <v>-13.876038926818396</v>
      </c>
      <c r="AB27" s="24">
        <f>+Índice!AC27/Índice!AB27*100-100</f>
        <v>-9.3386903429622663</v>
      </c>
      <c r="AC27" s="24">
        <f>+Índice!AD27/Índice!AC27*100-100</f>
        <v>-2.8277185451074729</v>
      </c>
      <c r="AD27" s="24">
        <f>+Índice!AE27/Índice!AD27*100-100</f>
        <v>12.065070426483942</v>
      </c>
      <c r="AE27" s="24">
        <f>+Índice!AF27/Índice!AE27*100-100</f>
        <v>-1.549262969758189</v>
      </c>
      <c r="AF27" s="24">
        <f>+Índice!AG27/Índice!AF27*100-100</f>
        <v>-2.7136077861664347</v>
      </c>
      <c r="AG27" s="24">
        <f>+Índice!AH27/Índice!AG27*100-100</f>
        <v>1.7958283975244171</v>
      </c>
      <c r="AH27" s="24">
        <f>+Índice!AI27/Índice!AH27*100-100</f>
        <v>-5.1507917503245011</v>
      </c>
      <c r="AI27" s="24">
        <f>+Índice!AJ27/Índice!AI27*100-100</f>
        <v>-6.4086073778701405</v>
      </c>
      <c r="AJ27" s="46">
        <v>2.8268972852644225</v>
      </c>
      <c r="AK27" s="46">
        <v>1.9913189328890155</v>
      </c>
      <c r="AL27" s="46">
        <v>5.2039126758199643</v>
      </c>
      <c r="AM27" s="46">
        <v>-4.5253764840183806</v>
      </c>
      <c r="AN27" s="46">
        <v>-1.5200926806400332</v>
      </c>
      <c r="AO27" s="46">
        <v>6.8143836624066552</v>
      </c>
      <c r="AP27" s="46">
        <v>-1.3406820655419409</v>
      </c>
      <c r="AQ27" s="46">
        <v>-2.4719626017941039</v>
      </c>
      <c r="AR27" s="46">
        <v>-1.5671650772485606</v>
      </c>
      <c r="AS27" s="46">
        <v>-3.9531925747396883</v>
      </c>
      <c r="AT27" s="46">
        <v>-5.7281692263233595</v>
      </c>
      <c r="AU27" s="46">
        <v>-1.348210238112884</v>
      </c>
      <c r="AV27" s="46">
        <v>7.3186631592878371</v>
      </c>
      <c r="AW27" s="46">
        <v>4.2774583825991641</v>
      </c>
      <c r="AX27" s="46">
        <v>48.697700654806624</v>
      </c>
    </row>
    <row r="28" spans="1:50" ht="20.45" customHeight="1" x14ac:dyDescent="0.2">
      <c r="A28" s="20" t="s">
        <v>54</v>
      </c>
      <c r="C28" s="31"/>
      <c r="D28" s="31"/>
      <c r="AI28" s="25"/>
      <c r="AW28" s="22"/>
    </row>
    <row r="29" spans="1:50" ht="20.45" customHeight="1" x14ac:dyDescent="0.2">
      <c r="A29" s="20" t="s">
        <v>65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9"/>
  <sheetViews>
    <sheetView showGridLines="0" workbookViewId="0">
      <pane xSplit="1" topLeftCell="AM1" activePane="topRight" state="frozen"/>
      <selection pane="topRight" activeCell="AT6" sqref="AT6"/>
    </sheetView>
  </sheetViews>
  <sheetFormatPr defaultColWidth="8.85546875" defaultRowHeight="12" x14ac:dyDescent="0.2"/>
  <cols>
    <col min="1" max="1" width="55" style="5" customWidth="1"/>
    <col min="2" max="2" width="8.85546875" style="5"/>
    <col min="3" max="30" width="10" style="5" customWidth="1"/>
    <col min="31" max="16384" width="8.85546875" style="5"/>
  </cols>
  <sheetData>
    <row r="1" spans="1:46" ht="20.45" customHeight="1" x14ac:dyDescent="0.2">
      <c r="A1" s="6" t="s">
        <v>55</v>
      </c>
    </row>
    <row r="2" spans="1:46" ht="26.25" customHeight="1" thickBot="1" x14ac:dyDescent="0.25">
      <c r="A2" s="37" t="s">
        <v>0</v>
      </c>
      <c r="B2" s="44" t="s">
        <v>1</v>
      </c>
      <c r="C2" s="38" t="s">
        <v>8</v>
      </c>
      <c r="D2" s="38" t="s">
        <v>9</v>
      </c>
      <c r="E2" s="38" t="s">
        <v>10</v>
      </c>
      <c r="F2" s="38" t="s">
        <v>11</v>
      </c>
      <c r="G2" s="38" t="s">
        <v>12</v>
      </c>
      <c r="H2" s="38" t="s">
        <v>13</v>
      </c>
      <c r="I2" s="38" t="s">
        <v>14</v>
      </c>
      <c r="J2" s="38" t="s">
        <v>15</v>
      </c>
      <c r="K2" s="38" t="s">
        <v>16</v>
      </c>
      <c r="L2" s="38" t="s">
        <v>17</v>
      </c>
      <c r="M2" s="38" t="s">
        <v>18</v>
      </c>
      <c r="N2" s="38" t="s">
        <v>19</v>
      </c>
      <c r="O2" s="38" t="s">
        <v>20</v>
      </c>
      <c r="P2" s="38" t="s">
        <v>21</v>
      </c>
      <c r="Q2" s="38" t="s">
        <v>22</v>
      </c>
      <c r="R2" s="38" t="s">
        <v>23</v>
      </c>
      <c r="S2" s="38" t="s">
        <v>24</v>
      </c>
      <c r="T2" s="38" t="s">
        <v>25</v>
      </c>
      <c r="U2" s="38" t="s">
        <v>26</v>
      </c>
      <c r="V2" s="38" t="s">
        <v>27</v>
      </c>
      <c r="W2" s="38" t="s">
        <v>28</v>
      </c>
      <c r="X2" s="38" t="s">
        <v>29</v>
      </c>
      <c r="Y2" s="38" t="s">
        <v>30</v>
      </c>
      <c r="Z2" s="38" t="s">
        <v>31</v>
      </c>
      <c r="AA2" s="38" t="s">
        <v>50</v>
      </c>
      <c r="AB2" s="38" t="s">
        <v>51</v>
      </c>
      <c r="AC2" s="38" t="s">
        <v>52</v>
      </c>
      <c r="AD2" s="38" t="s">
        <v>53</v>
      </c>
      <c r="AE2" s="45" t="s">
        <v>56</v>
      </c>
      <c r="AF2" s="45" t="s">
        <v>57</v>
      </c>
      <c r="AG2" s="45" t="s">
        <v>58</v>
      </c>
      <c r="AH2" s="45" t="s">
        <v>59</v>
      </c>
      <c r="AI2" s="45" t="s">
        <v>60</v>
      </c>
      <c r="AJ2" s="45" t="s">
        <v>61</v>
      </c>
      <c r="AK2" s="45" t="s">
        <v>62</v>
      </c>
      <c r="AL2" s="45" t="s">
        <v>63</v>
      </c>
      <c r="AM2" s="45" t="s">
        <v>93</v>
      </c>
      <c r="AN2" s="45" t="s">
        <v>94</v>
      </c>
      <c r="AO2" s="45" t="s">
        <v>95</v>
      </c>
      <c r="AP2" s="45" t="s">
        <v>96</v>
      </c>
      <c r="AQ2" s="45" t="s">
        <v>97</v>
      </c>
      <c r="AR2" s="45" t="s">
        <v>99</v>
      </c>
      <c r="AS2" s="45" t="s">
        <v>100</v>
      </c>
    </row>
    <row r="3" spans="1:46" s="6" customFormat="1" ht="20.45" customHeight="1" thickBot="1" x14ac:dyDescent="0.25">
      <c r="A3" s="11" t="s">
        <v>32</v>
      </c>
      <c r="B3" s="12" t="s">
        <v>33</v>
      </c>
      <c r="C3" s="21">
        <f>+Índice!I3/Índice!E3*100-100</f>
        <v>19.90115600473186</v>
      </c>
      <c r="D3" s="21">
        <f>+Índice!J3/Índice!F3*100-100</f>
        <v>28.284619464021915</v>
      </c>
      <c r="E3" s="21">
        <f>+Índice!K3/Índice!G3*100-100</f>
        <v>43.165759733806738</v>
      </c>
      <c r="F3" s="21">
        <f>+Índice!L3/Índice!H3*100-100</f>
        <v>-6.0222207747790861</v>
      </c>
      <c r="G3" s="21">
        <f>+Índice!M3/Índice!I3*100-100</f>
        <v>8.3506188062371791</v>
      </c>
      <c r="H3" s="21">
        <f>+Índice!N3/Índice!J3*100-100</f>
        <v>-1.5194932031761255</v>
      </c>
      <c r="I3" s="21">
        <f>+Índice!O3/Índice!K3*100-100</f>
        <v>-10.61616002562927</v>
      </c>
      <c r="J3" s="21">
        <f>+Índice!P3/Índice!L3*100-100</f>
        <v>16.966017947567337</v>
      </c>
      <c r="K3" s="21">
        <f>+Índice!Q3/Índice!M3*100-100</f>
        <v>-6.490809859315533</v>
      </c>
      <c r="L3" s="21">
        <f>+Índice!R3/Índice!N3*100-100</f>
        <v>-3.9028817498393096</v>
      </c>
      <c r="M3" s="21">
        <f>+Índice!S3/Índice!O3*100-100</f>
        <v>20.702379288276319</v>
      </c>
      <c r="N3" s="21">
        <f>+Índice!T3/Índice!P3*100-100</f>
        <v>20.135933182255926</v>
      </c>
      <c r="O3" s="21">
        <f>+Índice!U3/Índice!Q3*100-100</f>
        <v>54.622184032447819</v>
      </c>
      <c r="P3" s="21">
        <f>+Índice!V3/Índice!R3*100-100</f>
        <v>78.271073237945984</v>
      </c>
      <c r="Q3" s="21">
        <f>+Índice!W3/Índice!S3*100-100</f>
        <v>56.768087378974997</v>
      </c>
      <c r="R3" s="21">
        <f>+Índice!X3/Índice!T3*100-100</f>
        <v>41.543205934979795</v>
      </c>
      <c r="S3" s="21">
        <f>+Índice!Y3/Índice!U3*100-100</f>
        <v>32.877953210298415</v>
      </c>
      <c r="T3" s="21">
        <f>+Índice!Z3/Índice!V3*100-100</f>
        <v>32.129534319575015</v>
      </c>
      <c r="U3" s="21">
        <f>+Índice!AA3/Índice!W3*100-100</f>
        <v>11.403011540709358</v>
      </c>
      <c r="V3" s="21">
        <f>+Índice!AB3/Índice!X3*100-100</f>
        <v>4.4115743397550915</v>
      </c>
      <c r="W3" s="21">
        <f>+Índice!AC3/Índice!Y3*100-100</f>
        <v>-21.436230917251336</v>
      </c>
      <c r="X3" s="21">
        <f>+Índice!AD3/Índice!Z3*100-100</f>
        <v>-30.062708619219649</v>
      </c>
      <c r="Y3" s="21">
        <f>+Índice!AE3/Índice!AA3*100-100</f>
        <v>-13.294996681513425</v>
      </c>
      <c r="Z3" s="21">
        <f>+Índice!AF3/Índice!AB3*100-100</f>
        <v>-2.3760298838842289</v>
      </c>
      <c r="AA3" s="21">
        <f>+Índice!AG3/Índice!AC3*100-100</f>
        <v>5.4129826362786275</v>
      </c>
      <c r="AB3" s="21">
        <f>+Índice!AH3/Índice!AD3*100-100</f>
        <v>9.9808432804681928</v>
      </c>
      <c r="AC3" s="21">
        <f>+Índice!AI3/Índice!AE3*100-100</f>
        <v>-6.4296139719434677</v>
      </c>
      <c r="AD3" s="21">
        <f>+Índice!AJ3/Índice!AF3*100-100</f>
        <v>-10.062667040659974</v>
      </c>
      <c r="AE3" s="47">
        <v>23.652932502846056</v>
      </c>
      <c r="AF3" s="47">
        <v>5.0078533858197005</v>
      </c>
      <c r="AG3" s="47">
        <v>5.157208026031654</v>
      </c>
      <c r="AH3" s="47">
        <v>-0.88752221924160324</v>
      </c>
      <c r="AI3" s="47">
        <v>-5.8988891626513151</v>
      </c>
      <c r="AJ3" s="47">
        <v>3.4482509733219757</v>
      </c>
      <c r="AK3" s="47">
        <v>54.940479429278895</v>
      </c>
      <c r="AL3" s="47">
        <v>-3.440961813073244</v>
      </c>
      <c r="AM3" s="47">
        <v>-2.2799999999999998</v>
      </c>
      <c r="AN3" s="47">
        <v>-0.35361536982935604</v>
      </c>
      <c r="AO3" s="47">
        <v>-6.3173769910506081</v>
      </c>
      <c r="AP3" s="47">
        <v>-7.7948996485954041</v>
      </c>
      <c r="AQ3" s="47">
        <v>-4.3621026078524636</v>
      </c>
      <c r="AR3" s="47">
        <v>-2.5920361819714515</v>
      </c>
      <c r="AS3" s="47">
        <v>33.070402176026505</v>
      </c>
    </row>
    <row r="4" spans="1:46" s="6" customFormat="1" ht="20.45" customHeight="1" x14ac:dyDescent="0.2">
      <c r="A4" s="39" t="s">
        <v>66</v>
      </c>
      <c r="B4" s="7" t="s">
        <v>34</v>
      </c>
      <c r="C4" s="22">
        <f>+Índice!I4/Índice!E4*100-100</f>
        <v>22.339070272061662</v>
      </c>
      <c r="D4" s="22">
        <f>+Índice!J4/Índice!F4*100-100</f>
        <v>31.366200761750093</v>
      </c>
      <c r="E4" s="22">
        <f>+Índice!K4/Índice!G4*100-100</f>
        <v>48.13843892428406</v>
      </c>
      <c r="F4" s="22">
        <f>+Índice!L4/Índice!H4*100-100</f>
        <v>-7.418175690734131</v>
      </c>
      <c r="G4" s="22">
        <f>+Índice!M4/Índice!I4*100-100</f>
        <v>12.629879750262063</v>
      </c>
      <c r="H4" s="22">
        <f>+Índice!N4/Índice!J4*100-100</f>
        <v>-1.2929813408764517</v>
      </c>
      <c r="I4" s="22">
        <f>+Índice!O4/Índice!K4*100-100</f>
        <v>-11.3235067508203</v>
      </c>
      <c r="J4" s="22">
        <f>+Índice!P4/Índice!L4*100-100</f>
        <v>18.655878827733588</v>
      </c>
      <c r="K4" s="22">
        <f>+Índice!Q4/Índice!M4*100-100</f>
        <v>-10.613086423001704</v>
      </c>
      <c r="L4" s="22">
        <f>+Índice!R4/Índice!N4*100-100</f>
        <v>-5.5405836524379737</v>
      </c>
      <c r="M4" s="22">
        <f>+Índice!S4/Índice!O4*100-100</f>
        <v>20.213770300522739</v>
      </c>
      <c r="N4" s="22">
        <f>+Índice!T4/Índice!P4*100-100</f>
        <v>21.445099958117225</v>
      </c>
      <c r="O4" s="22">
        <f>+Índice!U4/Índice!Q4*100-100</f>
        <v>56.760465786905712</v>
      </c>
      <c r="P4" s="22">
        <f>+Índice!V4/Índice!R4*100-100</f>
        <v>84.211861897420818</v>
      </c>
      <c r="Q4" s="22">
        <f>+Índice!W4/Índice!S4*100-100</f>
        <v>61.450727789439441</v>
      </c>
      <c r="R4" s="22">
        <f>+Índice!X4/Índice!T4*100-100</f>
        <v>43.301106076642782</v>
      </c>
      <c r="S4" s="22">
        <f>+Índice!Y4/Índice!U4*100-100</f>
        <v>34.904822165265927</v>
      </c>
      <c r="T4" s="22">
        <f>+Índice!Z4/Índice!V4*100-100</f>
        <v>33.93184033505176</v>
      </c>
      <c r="U4" s="22">
        <f>+Índice!AA4/Índice!W4*100-100</f>
        <v>11.845296030831179</v>
      </c>
      <c r="V4" s="22">
        <f>+Índice!AB4/Índice!X4*100-100</f>
        <v>4.0531750009404846</v>
      </c>
      <c r="W4" s="22">
        <f>+Índice!AC4/Índice!Y4*100-100</f>
        <v>-23.121844371562474</v>
      </c>
      <c r="X4" s="22">
        <f>+Índice!AD4/Índice!Z4*100-100</f>
        <v>-32.102537925061498</v>
      </c>
      <c r="Y4" s="22">
        <f>+Índice!AE4/Índice!AA4*100-100</f>
        <v>-14.782252294860371</v>
      </c>
      <c r="Z4" s="22">
        <f>+Índice!AF4/Índice!AB4*100-100</f>
        <v>-3.3261340277668268</v>
      </c>
      <c r="AA4" s="22">
        <f>+Índice!AG4/Índice!AC4*100-100</f>
        <v>4.9268479923081401</v>
      </c>
      <c r="AB4" s="22">
        <f>+Índice!AH4/Índice!AD4*100-100</f>
        <v>9.8824811379366793</v>
      </c>
      <c r="AC4" s="22">
        <f>+Índice!AI4/Índice!AE4*100-100</f>
        <v>-7.6175971144513426</v>
      </c>
      <c r="AD4" s="22">
        <f>+Índice!AJ4/Índice!AF4*100-100</f>
        <v>-11.403973901218805</v>
      </c>
      <c r="AE4" s="49">
        <v>27.491411936581628</v>
      </c>
      <c r="AF4" s="49">
        <v>5.0895118541458402</v>
      </c>
      <c r="AG4" s="49">
        <v>5.2224602558573707</v>
      </c>
      <c r="AH4" s="49">
        <v>-1.7489413277493639</v>
      </c>
      <c r="AI4" s="49">
        <v>-7.4945399956298644</v>
      </c>
      <c r="AJ4" s="49">
        <v>2.9233512705634013</v>
      </c>
      <c r="AK4" s="48">
        <v>67.9701533735699</v>
      </c>
      <c r="AL4" s="48">
        <v>-4.9648354535009958</v>
      </c>
      <c r="AM4" s="48">
        <v>-3.66</v>
      </c>
      <c r="AN4" s="48">
        <v>-1.5002810658347698</v>
      </c>
      <c r="AO4" s="48">
        <v>-8.4103320483457225</v>
      </c>
      <c r="AP4" s="48">
        <v>-10.090884029206123</v>
      </c>
      <c r="AQ4" s="48">
        <v>-6.0324508292898145</v>
      </c>
      <c r="AR4" s="48">
        <v>-3.9559983969509176</v>
      </c>
      <c r="AS4" s="48">
        <v>37.18090613250078</v>
      </c>
      <c r="AT4" s="50"/>
    </row>
    <row r="5" spans="1:46" ht="20.45" customHeight="1" x14ac:dyDescent="0.2">
      <c r="A5" s="42" t="s">
        <v>67</v>
      </c>
      <c r="B5" s="9" t="s">
        <v>35</v>
      </c>
      <c r="C5" s="23">
        <f>+Índice!I5/Índice!E5*100-100</f>
        <v>22.669449295947629</v>
      </c>
      <c r="D5" s="23">
        <f>+Índice!J5/Índice!F5*100-100</f>
        <v>31.047288023362626</v>
      </c>
      <c r="E5" s="23">
        <f>+Índice!K5/Índice!G5*100-100</f>
        <v>49.267063962602123</v>
      </c>
      <c r="F5" s="23">
        <f>+Índice!L5/Índice!H5*100-100</f>
        <v>-9.6570333320124604</v>
      </c>
      <c r="G5" s="23">
        <f>+Índice!M5/Índice!I5*100-100</f>
        <v>0.51650783611955831</v>
      </c>
      <c r="H5" s="23">
        <f>+Índice!N5/Índice!J5*100-100</f>
        <v>1.6678210404445366</v>
      </c>
      <c r="I5" s="23">
        <f>+Índice!O5/Índice!K5*100-100</f>
        <v>-9.9565348249623753</v>
      </c>
      <c r="J5" s="23">
        <f>+Índice!P5/Índice!L5*100-100</f>
        <v>22.194492764233729</v>
      </c>
      <c r="K5" s="23">
        <f>+Índice!Q5/Índice!M5*100-100</f>
        <v>-17.784444031147572</v>
      </c>
      <c r="L5" s="23">
        <f>+Índice!R5/Índice!N5*100-100</f>
        <v>-24.048433687728007</v>
      </c>
      <c r="M5" s="23">
        <f>+Índice!S5/Índice!O5*100-100</f>
        <v>19.18117837282918</v>
      </c>
      <c r="N5" s="23">
        <f>+Índice!T5/Índice!P5*100-100</f>
        <v>20.062435849642</v>
      </c>
      <c r="O5" s="23">
        <f>+Índice!U5/Índice!Q5*100-100</f>
        <v>92.621723557771446</v>
      </c>
      <c r="P5" s="23">
        <f>+Índice!V5/Índice!R5*100-100</f>
        <v>126.19720300976653</v>
      </c>
      <c r="Q5" s="23">
        <f>+Índice!W5/Índice!S5*100-100</f>
        <v>61.407847846944804</v>
      </c>
      <c r="R5" s="23">
        <f>+Índice!X5/Índice!T5*100-100</f>
        <v>45.132838832641966</v>
      </c>
      <c r="S5" s="23">
        <f>+Índice!Y5/Índice!U5*100-100</f>
        <v>34.254777507745814</v>
      </c>
      <c r="T5" s="23">
        <f>+Índice!Z5/Índice!V5*100-100</f>
        <v>33.603642864368709</v>
      </c>
      <c r="U5" s="23">
        <f>+Índice!AA5/Índice!W5*100-100</f>
        <v>12.059487003451537</v>
      </c>
      <c r="V5" s="23">
        <f>+Índice!AB5/Índice!X5*100-100</f>
        <v>3.820604670084208</v>
      </c>
      <c r="W5" s="23">
        <f>+Índice!AC5/Índice!Y5*100-100</f>
        <v>-23.04914937018961</v>
      </c>
      <c r="X5" s="23">
        <f>+Índice!AD5/Índice!Z5*100-100</f>
        <v>-32.504654312747704</v>
      </c>
      <c r="Y5" s="23">
        <f>+Índice!AE5/Índice!AA5*100-100</f>
        <v>-15.213246581123641</v>
      </c>
      <c r="Z5" s="23">
        <f>+Índice!AF5/Índice!AB5*100-100</f>
        <v>-3.4864074876224009</v>
      </c>
      <c r="AA5" s="23">
        <f>+Índice!AG5/Índice!AC5*100-100</f>
        <v>4.3852799403167921</v>
      </c>
      <c r="AB5" s="23">
        <f>+Índice!AH5/Índice!AD5*100-100</f>
        <v>9.4520032043638196</v>
      </c>
      <c r="AC5" s="23">
        <f>+Índice!AI5/Índice!AE5*100-100</f>
        <v>-7.6495558334441256</v>
      </c>
      <c r="AD5" s="23">
        <f>+Índice!AJ5/Índice!AF5*100-100</f>
        <v>-11.725317978191697</v>
      </c>
      <c r="AE5" s="49">
        <v>26.858827838779192</v>
      </c>
      <c r="AF5" s="49">
        <v>5.168325738119691</v>
      </c>
      <c r="AG5" s="49">
        <v>6.0324746024520266</v>
      </c>
      <c r="AH5" s="49">
        <v>-2.7349707867763584</v>
      </c>
      <c r="AI5" s="49">
        <v>-6.1814454412396032</v>
      </c>
      <c r="AJ5" s="49">
        <v>6.135029220786393</v>
      </c>
      <c r="AK5" s="49">
        <v>72.333927501975211</v>
      </c>
      <c r="AL5" s="49">
        <v>-3.6370512955002994</v>
      </c>
      <c r="AM5" s="49">
        <v>-1.58</v>
      </c>
      <c r="AN5" s="49">
        <v>-0.32232253655438114</v>
      </c>
      <c r="AO5" s="49">
        <v>-6.1336331787455975</v>
      </c>
      <c r="AP5" s="49">
        <v>-6.7144519132168625</v>
      </c>
      <c r="AQ5" s="49">
        <v>-2.48670724545849</v>
      </c>
      <c r="AR5" s="49">
        <v>-0.22424342949207698</v>
      </c>
      <c r="AS5" s="49">
        <v>42.269433583020287</v>
      </c>
    </row>
    <row r="6" spans="1:46" ht="20.45" customHeight="1" x14ac:dyDescent="0.2">
      <c r="A6" s="42" t="s">
        <v>68</v>
      </c>
      <c r="B6" s="9">
        <v>8991</v>
      </c>
      <c r="C6" s="23">
        <f>+Índice!I6/Índice!E6*100-100</f>
        <v>12.384925997639741</v>
      </c>
      <c r="D6" s="23">
        <f>+Índice!J6/Índice!F6*100-100</f>
        <v>40.841252945320235</v>
      </c>
      <c r="E6" s="23">
        <f>+Índice!K6/Índice!G6*100-100</f>
        <v>59.322206614220931</v>
      </c>
      <c r="F6" s="23">
        <f>+Índice!L6/Índice!H6*100-100</f>
        <v>90.999877269964855</v>
      </c>
      <c r="G6" s="23">
        <f>+Índice!M6/Índice!I6*100-100</f>
        <v>1.746526537498184</v>
      </c>
      <c r="H6" s="23">
        <f>+Índice!N6/Índice!J6*100-100</f>
        <v>-39.878359460805953</v>
      </c>
      <c r="I6" s="23">
        <f>+Índice!O6/Índice!K6*100-100</f>
        <v>-49.998224180562815</v>
      </c>
      <c r="J6" s="23">
        <f>+Índice!P6/Índice!L6*100-100</f>
        <v>-36.541051956271808</v>
      </c>
      <c r="K6" s="23">
        <f>+Índice!Q6/Índice!M6*100-100</f>
        <v>-6.5307618352400567</v>
      </c>
      <c r="L6" s="23">
        <f>+Índice!R6/Índice!N6*100-100</f>
        <v>-1.2016535029844988</v>
      </c>
      <c r="M6" s="23">
        <f>+Índice!S6/Índice!O6*100-100</f>
        <v>14.136810146566646</v>
      </c>
      <c r="N6" s="23">
        <f>+Índice!T6/Índice!P6*100-100</f>
        <v>-17.837401527566641</v>
      </c>
      <c r="O6" s="23">
        <f>+Índice!U6/Índice!Q6*100-100</f>
        <v>16.718629641889152</v>
      </c>
      <c r="P6" s="23">
        <f>+Índice!V6/Índice!R6*100-100</f>
        <v>28.425980768525164</v>
      </c>
      <c r="Q6" s="23">
        <f>+Índice!W6/Índice!S6*100-100</f>
        <v>60.855516853491281</v>
      </c>
      <c r="R6" s="23">
        <f>+Índice!X6/Índice!T6*100-100</f>
        <v>36.72403911514553</v>
      </c>
      <c r="S6" s="23">
        <f>+Índice!Y6/Índice!U6*100-100</f>
        <v>86.056558527089294</v>
      </c>
      <c r="T6" s="23">
        <f>+Índice!Z6/Índice!V6*100-100</f>
        <v>70.631348656019185</v>
      </c>
      <c r="U6" s="23">
        <f>+Índice!AA6/Índice!W6*100-100</f>
        <v>-3.9645674260307118</v>
      </c>
      <c r="V6" s="23">
        <f>+Índice!AB6/Índice!X6*100-100</f>
        <v>24.072009653249978</v>
      </c>
      <c r="W6" s="23">
        <f>+Índice!AC6/Índice!Y6*100-100</f>
        <v>-27.311249512982485</v>
      </c>
      <c r="X6" s="23">
        <f>+Índice!AD6/Índice!Z6*100-100</f>
        <v>1.5684362834131633</v>
      </c>
      <c r="Y6" s="23">
        <f>+Índice!AE6/Índice!AA6*100-100</f>
        <v>26.853288384675338</v>
      </c>
      <c r="Z6" s="23">
        <f>+Índice!AF6/Índice!AB6*100-100</f>
        <v>9.5290852514873876</v>
      </c>
      <c r="AA6" s="23">
        <f>+Índice!AG6/Índice!AC6*100-100</f>
        <v>37.269608240287852</v>
      </c>
      <c r="AB6" s="23">
        <f>+Índice!AH6/Índice!AD6*100-100</f>
        <v>33.973301639126049</v>
      </c>
      <c r="AC6" s="23">
        <f>+Índice!AI6/Índice!AE6*100-100</f>
        <v>-5.7196417610812631</v>
      </c>
      <c r="AD6" s="23">
        <f>+Índice!AJ6/Índice!AF6*100-100</f>
        <v>9.3440963728815802</v>
      </c>
      <c r="AE6" s="49">
        <v>37.191816854254114</v>
      </c>
      <c r="AF6" s="49">
        <v>4.1080483434366357</v>
      </c>
      <c r="AG6" s="49">
        <v>-5.312709807364584</v>
      </c>
      <c r="AH6" s="49">
        <v>13.109948847634897</v>
      </c>
      <c r="AI6" s="49">
        <v>-30.986649299902325</v>
      </c>
      <c r="AJ6" s="49">
        <v>-42.036009900469239</v>
      </c>
      <c r="AK6" s="49">
        <v>27.435324177579062</v>
      </c>
      <c r="AL6" s="49">
        <v>-27.136649310268012</v>
      </c>
      <c r="AM6" s="49">
        <v>-33.68</v>
      </c>
      <c r="AN6" s="49">
        <v>-20.063713689540123</v>
      </c>
      <c r="AO6" s="49">
        <v>-38.486702299183975</v>
      </c>
      <c r="AP6" s="49">
        <v>-47.84858975245502</v>
      </c>
      <c r="AQ6" s="49">
        <v>-51.460709404005534</v>
      </c>
      <c r="AR6" s="49">
        <v>-56.697572861653278</v>
      </c>
      <c r="AS6" s="49">
        <v>-36.456823412927797</v>
      </c>
    </row>
    <row r="7" spans="1:46" ht="20.45" customHeight="1" x14ac:dyDescent="0.2">
      <c r="A7" s="42" t="s">
        <v>69</v>
      </c>
      <c r="B7" s="9" t="s">
        <v>36</v>
      </c>
      <c r="C7" s="23">
        <f>+Índice!I7/Índice!E7*100-100</f>
        <v>46.284597937712789</v>
      </c>
      <c r="D7" s="23">
        <f>+Índice!J7/Índice!F7*100-100</f>
        <v>64.447458566982391</v>
      </c>
      <c r="E7" s="23">
        <f>+Índice!K7/Índice!G7*100-100</f>
        <v>64.447458566982391</v>
      </c>
      <c r="F7" s="23">
        <f>+Índice!L7/Índice!H7*100-100</f>
        <v>61.043417880037538</v>
      </c>
      <c r="G7" s="23">
        <f>+Índice!M7/Índice!I7*100-100</f>
        <v>20.660554943778379</v>
      </c>
      <c r="H7" s="23">
        <f>+Índice!N7/Índice!J7*100-100</f>
        <v>1.4280253937300813E-2</v>
      </c>
      <c r="I7" s="23">
        <f>+Índice!O7/Índice!K7*100-100</f>
        <v>3.5130824152974185</v>
      </c>
      <c r="J7" s="23">
        <f>+Índice!P7/Índice!L7*100-100</f>
        <v>8.9059252036826564</v>
      </c>
      <c r="K7" s="23">
        <f>+Índice!Q7/Índice!M7*100-100</f>
        <v>7.2338336869582633</v>
      </c>
      <c r="L7" s="23">
        <f>+Índice!R7/Índice!N7*100-100</f>
        <v>19.518320898840514</v>
      </c>
      <c r="M7" s="23">
        <f>+Índice!S7/Índice!O7*100-100</f>
        <v>19.146837378638935</v>
      </c>
      <c r="N7" s="23">
        <f>+Índice!T7/Índice!P7*100-100</f>
        <v>17.551338714465629</v>
      </c>
      <c r="O7" s="23">
        <f>+Índice!U7/Índice!Q7*100-100</f>
        <v>12.909716742514249</v>
      </c>
      <c r="P7" s="23">
        <f>+Índice!V7/Índice!R7*100-100</f>
        <v>10.622000287677196</v>
      </c>
      <c r="Q7" s="23">
        <f>+Índice!W7/Índice!S7*100-100</f>
        <v>8.1404360973052974</v>
      </c>
      <c r="R7" s="23">
        <f>+Índice!X7/Índice!T7*100-100</f>
        <v>5.1715500078701098</v>
      </c>
      <c r="S7" s="23">
        <f>+Índice!Y7/Índice!U7*100-100</f>
        <v>4.6684374656267096</v>
      </c>
      <c r="T7" s="23">
        <f>+Índice!Z7/Índice!V7*100-100</f>
        <v>3.9521971417092914</v>
      </c>
      <c r="U7" s="23">
        <f>+Índice!AA7/Índice!W7*100-100</f>
        <v>3.9099730031027633</v>
      </c>
      <c r="V7" s="23">
        <f>+Índice!AB7/Índice!X7*100-100</f>
        <v>6.3843501549524859</v>
      </c>
      <c r="W7" s="23">
        <f>+Índice!AC7/Índice!Y7*100-100</f>
        <v>-6.6625319605114015</v>
      </c>
      <c r="X7" s="23">
        <f>+Índice!AD7/Índice!Z7*100-100</f>
        <v>-5.2559305216627763</v>
      </c>
      <c r="Y7" s="23">
        <f>+Índice!AE7/Índice!AA7*100-100</f>
        <v>-4.8451358857698068</v>
      </c>
      <c r="Z7" s="23">
        <f>+Índice!AF7/Índice!AB7*100-100</f>
        <v>-2.9593665168188181</v>
      </c>
      <c r="AA7" s="23">
        <f>+Índice!AG7/Índice!AC7*100-100</f>
        <v>10.562153186370566</v>
      </c>
      <c r="AB7" s="23">
        <f>+Índice!AH7/Índice!AD7*100-100</f>
        <v>9.1151677687782069</v>
      </c>
      <c r="AC7" s="23">
        <f>+Índice!AI7/Índice!AE7*100-100</f>
        <v>8.9290662836391022</v>
      </c>
      <c r="AD7" s="23">
        <f>+Índice!AJ7/Índice!AF7*100-100</f>
        <v>6.1097800273507801</v>
      </c>
      <c r="AE7" s="49">
        <v>5.6893176464494672</v>
      </c>
      <c r="AF7" s="49">
        <v>1.9680645641483068</v>
      </c>
      <c r="AG7" s="49">
        <v>1.8979268294886111</v>
      </c>
      <c r="AH7" s="49">
        <v>1.8222774161825299</v>
      </c>
      <c r="AI7" s="49">
        <v>1.9624144259932308</v>
      </c>
      <c r="AJ7" s="49">
        <v>2.005429943879605</v>
      </c>
      <c r="AK7" s="49">
        <v>1.8968716888198429</v>
      </c>
      <c r="AL7" s="49">
        <v>2.1725638383581298</v>
      </c>
      <c r="AM7" s="49">
        <v>-1.37</v>
      </c>
      <c r="AN7" s="49">
        <v>-1.1326984677938583</v>
      </c>
      <c r="AO7" s="49">
        <v>0.21412134732861432</v>
      </c>
      <c r="AP7" s="49">
        <v>0.20677178310202748</v>
      </c>
      <c r="AQ7" s="49">
        <v>0.18008265713218918</v>
      </c>
      <c r="AR7" s="49">
        <v>2.7214669286248494</v>
      </c>
      <c r="AS7" s="49">
        <v>2.9686733364326727</v>
      </c>
    </row>
    <row r="8" spans="1:46" s="6" customFormat="1" ht="20.45" customHeight="1" x14ac:dyDescent="0.2">
      <c r="A8" s="40" t="s">
        <v>70</v>
      </c>
      <c r="B8" s="7" t="s">
        <v>37</v>
      </c>
      <c r="C8" s="22">
        <f>+Índice!I8/Índice!E8*100-100</f>
        <v>5.3251214516105279</v>
      </c>
      <c r="D8" s="22">
        <f>+Índice!J8/Índice!F8*100-100</f>
        <v>6.1351740102629151</v>
      </c>
      <c r="E8" s="22">
        <f>+Índice!K8/Índice!G8*100-100</f>
        <v>5.9767364372543881</v>
      </c>
      <c r="F8" s="22">
        <f>+Índice!L8/Índice!H8*100-100</f>
        <v>0.64273586778926983</v>
      </c>
      <c r="G8" s="22">
        <f>+Índice!M8/Índice!I8*100-100</f>
        <v>10.260215904823781</v>
      </c>
      <c r="H8" s="22">
        <f>+Índice!N8/Índice!J8*100-100</f>
        <v>1.0662674167815567</v>
      </c>
      <c r="I8" s="22">
        <f>+Índice!O8/Índice!K8*100-100</f>
        <v>-3.4673462825808912</v>
      </c>
      <c r="J8" s="22">
        <f>+Índice!P8/Índice!L8*100-100</f>
        <v>18.00924649533772</v>
      </c>
      <c r="K8" s="22">
        <f>+Índice!Q8/Índice!M8*100-100</f>
        <v>5.1109341359242109</v>
      </c>
      <c r="L8" s="22">
        <f>+Índice!R8/Índice!N8*100-100</f>
        <v>1.5547433922005354</v>
      </c>
      <c r="M8" s="22">
        <f>+Índice!S8/Índice!O8*100-100</f>
        <v>22.69236084296287</v>
      </c>
      <c r="N8" s="22">
        <f>+Índice!T8/Índice!P8*100-100</f>
        <v>12.737183251536408</v>
      </c>
      <c r="O8" s="22">
        <f>+Índice!U8/Índice!Q8*100-100</f>
        <v>10.177563584691327</v>
      </c>
      <c r="P8" s="22">
        <f>+Índice!V8/Índice!R8*100-100</f>
        <v>24.963732737441816</v>
      </c>
      <c r="Q8" s="22">
        <f>+Índice!W8/Índice!S8*100-100</f>
        <v>10.284750823784478</v>
      </c>
      <c r="R8" s="22">
        <f>+Índice!X8/Índice!T8*100-100</f>
        <v>3.5236163260817364</v>
      </c>
      <c r="S8" s="22">
        <f>+Índice!Y8/Índice!U8*100-100</f>
        <v>6.9969765773515036</v>
      </c>
      <c r="T8" s="22">
        <f>+Índice!Z8/Índice!V8*100-100</f>
        <v>6.8327778646430488</v>
      </c>
      <c r="U8" s="22">
        <f>+Índice!AA8/Índice!W8*100-100</f>
        <v>5.7315839295637403</v>
      </c>
      <c r="V8" s="22">
        <f>+Índice!AB8/Índice!X8*100-100</f>
        <v>9.1731861097744911</v>
      </c>
      <c r="W8" s="22">
        <f>+Índice!AC8/Índice!Y8*100-100</f>
        <v>6.9724519634291227</v>
      </c>
      <c r="X8" s="22">
        <f>+Índice!AD8/Índice!Z8*100-100</f>
        <v>7.5973116611255165</v>
      </c>
      <c r="Y8" s="22">
        <f>+Índice!AE8/Índice!AA8*100-100</f>
        <v>11.376470165180891</v>
      </c>
      <c r="Z8" s="22">
        <f>+Índice!AF8/Índice!AB8*100-100</f>
        <v>13.86598494847992</v>
      </c>
      <c r="AA8" s="22">
        <f>+Índice!AG8/Índice!AC8*100-100</f>
        <v>14.28842482536048</v>
      </c>
      <c r="AB8" s="22">
        <f>+Índice!AH8/Índice!AD8*100-100</f>
        <v>13.894159656554621</v>
      </c>
      <c r="AC8" s="22">
        <f>+Índice!AI8/Índice!AE8*100-100</f>
        <v>10.976024488017643</v>
      </c>
      <c r="AD8" s="22">
        <f>+Índice!AJ8/Índice!AF8*100-100</f>
        <v>7.5567095974444385</v>
      </c>
      <c r="AE8" s="49">
        <v>4.9758665803822453</v>
      </c>
      <c r="AF8" s="49">
        <v>5.4540218120067436</v>
      </c>
      <c r="AG8" s="49">
        <v>5.7342820014097811</v>
      </c>
      <c r="AH8" s="49">
        <v>5.9574547027492173</v>
      </c>
      <c r="AI8" s="49">
        <v>6.0130748112809016</v>
      </c>
      <c r="AJ8" s="49">
        <v>6.4220027586677162</v>
      </c>
      <c r="AK8" s="48">
        <v>1.2649045352000883</v>
      </c>
      <c r="AL8" s="48">
        <v>6.4167356263195501</v>
      </c>
      <c r="AM8" s="48">
        <v>6.23</v>
      </c>
      <c r="AN8" s="48">
        <v>6.2058941343048275</v>
      </c>
      <c r="AO8" s="48">
        <v>6.1298697862409028</v>
      </c>
      <c r="AP8" s="48">
        <v>5.8394645140182035</v>
      </c>
      <c r="AQ8" s="48">
        <v>5.4629464722295751</v>
      </c>
      <c r="AR8" s="48">
        <v>5.3848686930709135</v>
      </c>
      <c r="AS8" s="48">
        <v>5.4122229498364476</v>
      </c>
    </row>
    <row r="9" spans="1:46" ht="20.45" customHeight="1" x14ac:dyDescent="0.2">
      <c r="A9" s="42" t="s">
        <v>71</v>
      </c>
      <c r="B9" s="9" t="s">
        <v>38</v>
      </c>
      <c r="C9" s="23">
        <f>+Índice!I9/Índice!E9*100-100</f>
        <v>-0.71491444122591474</v>
      </c>
      <c r="D9" s="23">
        <f>+Índice!J9/Índice!F9*100-100</f>
        <v>1.1860116531195786</v>
      </c>
      <c r="E9" s="23">
        <f>+Índice!K9/Índice!G9*100-100</f>
        <v>-0.18334944192629621</v>
      </c>
      <c r="F9" s="23">
        <f>+Índice!L9/Índice!H9*100-100</f>
        <v>-3.7800230934832655</v>
      </c>
      <c r="G9" s="23">
        <f>+Índice!M9/Índice!I9*100-100</f>
        <v>-8.0993116665534046</v>
      </c>
      <c r="H9" s="23">
        <f>+Índice!N9/Índice!J9*100-100</f>
        <v>2.6512539336516454</v>
      </c>
      <c r="I9" s="23">
        <f>+Índice!O9/Índice!K9*100-100</f>
        <v>-6.2719905367905113</v>
      </c>
      <c r="J9" s="23">
        <f>+Índice!P9/Índice!L9*100-100</f>
        <v>16.561055555309537</v>
      </c>
      <c r="K9" s="23">
        <f>+Índice!Q9/Índice!M9*100-100</f>
        <v>9.6348947383805097</v>
      </c>
      <c r="L9" s="23">
        <f>+Índice!R9/Índice!N9*100-100</f>
        <v>0.7939656881555095</v>
      </c>
      <c r="M9" s="23">
        <f>+Índice!S9/Índice!O9*100-100</f>
        <v>21.929118119784349</v>
      </c>
      <c r="N9" s="23">
        <f>+Índice!T9/Índice!P9*100-100</f>
        <v>12.181927617038227</v>
      </c>
      <c r="O9" s="23">
        <f>+Índice!U9/Índice!Q9*100-100</f>
        <v>26.904321208864616</v>
      </c>
      <c r="P9" s="23">
        <f>+Índice!V9/Índice!R9*100-100</f>
        <v>22.142994473746924</v>
      </c>
      <c r="Q9" s="23">
        <f>+Índice!W9/Índice!S9*100-100</f>
        <v>14.749416140818951</v>
      </c>
      <c r="R9" s="23">
        <f>+Índice!X9/Índice!T9*100-100</f>
        <v>3.8058847092129042</v>
      </c>
      <c r="S9" s="23">
        <f>+Índice!Y9/Índice!U9*100-100</f>
        <v>7.3380066993160966</v>
      </c>
      <c r="T9" s="23">
        <f>+Índice!Z9/Índice!V9*100-100</f>
        <v>4.6404239212717471</v>
      </c>
      <c r="U9" s="23">
        <f>+Índice!AA9/Índice!W9*100-100</f>
        <v>6.4792579256071008</v>
      </c>
      <c r="V9" s="23">
        <f>+Índice!AB9/Índice!X9*100-100</f>
        <v>9.7513584776478694</v>
      </c>
      <c r="W9" s="23">
        <f>+Índice!AC9/Índice!Y9*100-100</f>
        <v>7.2199617833421144</v>
      </c>
      <c r="X9" s="23">
        <f>+Índice!AD9/Índice!Z9*100-100</f>
        <v>10.358800839211369</v>
      </c>
      <c r="Y9" s="23">
        <f>+Índice!AE9/Índice!AA9*100-100</f>
        <v>7.9953191972549149</v>
      </c>
      <c r="Z9" s="23">
        <f>+Índice!AF9/Índice!AB9*100-100</f>
        <v>11.261274686416229</v>
      </c>
      <c r="AA9" s="23">
        <f>+Índice!AG9/Índice!AC9*100-100</f>
        <v>13.095979564732602</v>
      </c>
      <c r="AB9" s="23">
        <f>+Índice!AH9/Índice!AD9*100-100</f>
        <v>13.224802122925382</v>
      </c>
      <c r="AC9" s="23">
        <f>+Índice!AI9/Índice!AE9*100-100</f>
        <v>13.4380512735097</v>
      </c>
      <c r="AD9" s="23">
        <f>+Índice!AJ9/Índice!AF9*100-100</f>
        <v>10.552067792809751</v>
      </c>
      <c r="AE9" s="49">
        <v>5.3981324794647918</v>
      </c>
      <c r="AF9" s="49">
        <v>5.5837238133315026</v>
      </c>
      <c r="AG9" s="49">
        <v>5.9507581501736695</v>
      </c>
      <c r="AH9" s="49">
        <v>5.9581775952570553</v>
      </c>
      <c r="AI9" s="49">
        <v>6.1087275819281928</v>
      </c>
      <c r="AJ9" s="49">
        <v>6.4958796029439156</v>
      </c>
      <c r="AK9" s="49">
        <v>1.6034741275480826</v>
      </c>
      <c r="AL9" s="49">
        <v>5.8306093161128558</v>
      </c>
      <c r="AM9" s="49">
        <v>5.51</v>
      </c>
      <c r="AN9" s="49">
        <v>5.3070003673819457</v>
      </c>
      <c r="AO9" s="49">
        <v>5.043941168134495</v>
      </c>
      <c r="AP9" s="49">
        <v>4.3262807137960806</v>
      </c>
      <c r="AQ9" s="49">
        <v>3.9112707926767882</v>
      </c>
      <c r="AR9" s="49">
        <v>3.9312349656946566</v>
      </c>
      <c r="AS9" s="49">
        <v>3.7639122259255799</v>
      </c>
    </row>
    <row r="10" spans="1:46" ht="20.45" customHeight="1" x14ac:dyDescent="0.2">
      <c r="A10" s="43" t="s">
        <v>72</v>
      </c>
      <c r="B10" s="9" t="s">
        <v>39</v>
      </c>
      <c r="C10" s="23">
        <f>+Índice!I10/Índice!E10*100-100</f>
        <v>7.1825036426916995</v>
      </c>
      <c r="D10" s="23">
        <f>+Índice!J10/Índice!F10*100-100</f>
        <v>1.4828489784265884</v>
      </c>
      <c r="E10" s="23">
        <f>+Índice!K10/Índice!G10*100-100</f>
        <v>-0.22935986251327733</v>
      </c>
      <c r="F10" s="23">
        <f>+Índice!L10/Índice!H10*100-100</f>
        <v>2.0559940307330038</v>
      </c>
      <c r="G10" s="23">
        <f>+Índice!M10/Índice!I10*100-100</f>
        <v>3.4124307750370804</v>
      </c>
      <c r="H10" s="23">
        <f>+Índice!N10/Índice!J10*100-100</f>
        <v>2.6509413705337437</v>
      </c>
      <c r="I10" s="23">
        <f>+Índice!O10/Índice!K10*100-100</f>
        <v>-6.7593525998188682</v>
      </c>
      <c r="J10" s="23">
        <f>+Índice!P10/Índice!L10*100-100</f>
        <v>5.6852907195463587</v>
      </c>
      <c r="K10" s="23">
        <f>+Índice!Q10/Índice!M10*100-100</f>
        <v>2.5339904064464633</v>
      </c>
      <c r="L10" s="23">
        <f>+Índice!R10/Índice!N10*100-100</f>
        <v>6.3861695045088567</v>
      </c>
      <c r="M10" s="23">
        <f>+Índice!S10/Índice!O10*100-100</f>
        <v>22.294730398513664</v>
      </c>
      <c r="N10" s="23">
        <f>+Índice!T10/Índice!P10*100-100</f>
        <v>13.815844467558563</v>
      </c>
      <c r="O10" s="23">
        <f>+Índice!U10/Índice!Q10*100-100</f>
        <v>19.198179054347349</v>
      </c>
      <c r="P10" s="23">
        <f>+Índice!V10/Índice!R10*100-100</f>
        <v>17.190153604463049</v>
      </c>
      <c r="Q10" s="23">
        <f>+Índice!W10/Índice!S10*100-100</f>
        <v>15.131254983253399</v>
      </c>
      <c r="R10" s="23">
        <f>+Índice!X10/Índice!T10*100-100</f>
        <v>3.8360221428398518</v>
      </c>
      <c r="S10" s="23">
        <f>+Índice!Y10/Índice!U10*100-100</f>
        <v>7.5586195335031476</v>
      </c>
      <c r="T10" s="23">
        <f>+Índice!Z10/Índice!V10*100-100</f>
        <v>7.5125604555351231</v>
      </c>
      <c r="U10" s="23">
        <f>+Índice!AA10/Índice!W10*100-100</f>
        <v>7.0173012233672409</v>
      </c>
      <c r="V10" s="23">
        <f>+Índice!AB10/Índice!X10*100-100</f>
        <v>10.402775567637576</v>
      </c>
      <c r="W10" s="23">
        <f>+Índice!AC10/Índice!Y10*100-100</f>
        <v>7.4605112583510333</v>
      </c>
      <c r="X10" s="23">
        <f>+Índice!AD10/Índice!Z10*100-100</f>
        <v>8.2724727354130323</v>
      </c>
      <c r="Y10" s="23">
        <f>+Índice!AE10/Índice!AA10*100-100</f>
        <v>8.2112944992695844</v>
      </c>
      <c r="Z10" s="23">
        <f>+Índice!AF10/Índice!AB10*100-100</f>
        <v>11.200865725226166</v>
      </c>
      <c r="AA10" s="23">
        <f>+Índice!AG10/Índice!AC10*100-100</f>
        <v>13.323955269785912</v>
      </c>
      <c r="AB10" s="23">
        <f>+Índice!AH10/Índice!AD10*100-100</f>
        <v>13.228581793085084</v>
      </c>
      <c r="AC10" s="23">
        <f>+Índice!AI10/Índice!AE10*100-100</f>
        <v>13.62378201645565</v>
      </c>
      <c r="AD10" s="23">
        <f>+Índice!AJ10/Índice!AF10*100-100</f>
        <v>11.121721399082276</v>
      </c>
      <c r="AE10" s="49">
        <v>4.6336877391911884</v>
      </c>
      <c r="AF10" s="49">
        <v>5.4178278896952747</v>
      </c>
      <c r="AG10" s="49">
        <v>5.6027545420843836</v>
      </c>
      <c r="AH10" s="49">
        <v>5.9857564842811257</v>
      </c>
      <c r="AI10" s="49">
        <v>6.0061791015309183</v>
      </c>
      <c r="AJ10" s="49">
        <v>6.2830401353572114</v>
      </c>
      <c r="AK10" s="49">
        <v>0.94751153423975154</v>
      </c>
      <c r="AL10" s="49">
        <v>6.2308482834333887</v>
      </c>
      <c r="AM10" s="49">
        <v>5.99</v>
      </c>
      <c r="AN10" s="49">
        <v>5.7349291444718631</v>
      </c>
      <c r="AO10" s="49">
        <v>5.5697057493138971</v>
      </c>
      <c r="AP10" s="49">
        <v>5.3599157467481433</v>
      </c>
      <c r="AQ10" s="49">
        <v>4.6670992904758464</v>
      </c>
      <c r="AR10" s="49">
        <v>4.2414692238276359</v>
      </c>
      <c r="AS10" s="49">
        <v>4.1734848070863535</v>
      </c>
    </row>
    <row r="11" spans="1:46" ht="20.45" customHeight="1" x14ac:dyDescent="0.2">
      <c r="A11" s="43" t="s">
        <v>73</v>
      </c>
      <c r="B11" s="9" t="s">
        <v>40</v>
      </c>
      <c r="C11" s="23">
        <f>+Índice!I11/Índice!E11*100-100</f>
        <v>-24.370177129141581</v>
      </c>
      <c r="D11" s="23">
        <f>+Índice!J11/Índice!F11*100-100</f>
        <v>8.748932967974099E-2</v>
      </c>
      <c r="E11" s="23">
        <f>+Índice!K11/Índice!G11*100-100</f>
        <v>0</v>
      </c>
      <c r="F11" s="23">
        <f>+Índice!L11/Índice!H11*100-100</f>
        <v>-23.714550631974888</v>
      </c>
      <c r="G11" s="23">
        <f>+Índice!M11/Índice!I11*100-100</f>
        <v>-0.72401281197296896</v>
      </c>
      <c r="H11" s="23">
        <f>+Índice!N11/Índice!J11*100-100</f>
        <v>2.9281163475202874</v>
      </c>
      <c r="I11" s="23">
        <f>+Índice!O11/Índice!K11*100-100</f>
        <v>-3.4331519731996991</v>
      </c>
      <c r="J11" s="23">
        <f>+Índice!P11/Índice!L11*100-100</f>
        <v>70.985904840767233</v>
      </c>
      <c r="K11" s="23">
        <f>+Índice!Q11/Índice!M11*100-100</f>
        <v>3.6197065764225158</v>
      </c>
      <c r="L11" s="23">
        <f>+Índice!R11/Índice!N11*100-100</f>
        <v>1.3448983484437349</v>
      </c>
      <c r="M11" s="23">
        <f>+Índice!S11/Índice!O11*100-100</f>
        <v>20.64596267650829</v>
      </c>
      <c r="N11" s="23">
        <f>+Índice!T11/Índice!P11*100-100</f>
        <v>8.3535944888019458</v>
      </c>
      <c r="O11" s="23">
        <f>+Índice!U11/Índice!Q11*100-100</f>
        <v>31.923546274312457</v>
      </c>
      <c r="P11" s="23">
        <f>+Índice!V11/Índice!R11*100-100</f>
        <v>16.647176491178456</v>
      </c>
      <c r="Q11" s="23">
        <f>+Índice!W11/Índice!S11*100-100</f>
        <v>13.431392593587461</v>
      </c>
      <c r="R11" s="23">
        <f>+Índice!X11/Índice!T11*100-100</f>
        <v>3.684229131667152</v>
      </c>
      <c r="S11" s="23">
        <f>+Índice!Y11/Índice!U11*100-100</f>
        <v>6.5406352216634644</v>
      </c>
      <c r="T11" s="23">
        <f>+Índice!Z11/Índice!V11*100-100</f>
        <v>5.4384739546095062</v>
      </c>
      <c r="U11" s="23">
        <f>+Índice!AA11/Índice!W11*100-100</f>
        <v>4.4985274243729521</v>
      </c>
      <c r="V11" s="23">
        <f>+Índice!AB11/Índice!X11*100-100</f>
        <v>7.601910075135649</v>
      </c>
      <c r="W11" s="23">
        <f>+Índice!AC11/Índice!Y11*100-100</f>
        <v>6.3422250502024582</v>
      </c>
      <c r="X11" s="23">
        <f>+Índice!AD11/Índice!Z11*100-100</f>
        <v>6.4338375286328215</v>
      </c>
      <c r="Y11" s="23">
        <f>+Índice!AE11/Índice!AA11*100-100</f>
        <v>7.341744807684762</v>
      </c>
      <c r="Z11" s="23">
        <f>+Índice!AF11/Índice!AB11*100-100</f>
        <v>11.289517158689293</v>
      </c>
      <c r="AA11" s="23">
        <f>+Índice!AG11/Índice!AC11*100-100</f>
        <v>12.255375303114604</v>
      </c>
      <c r="AB11" s="23">
        <f>+Índice!AH11/Índice!AD11*100-100</f>
        <v>13.210655923608996</v>
      </c>
      <c r="AC11" s="23">
        <f>+Índice!AI11/Índice!AE11*100-100</f>
        <v>12.592346159875746</v>
      </c>
      <c r="AD11" s="23">
        <f>+Índice!AJ11/Índice!AF11*100-100</f>
        <v>8.4431205587205795</v>
      </c>
      <c r="AE11" s="49">
        <v>5.333903875843589</v>
      </c>
      <c r="AF11" s="49">
        <v>5.5216569174572925</v>
      </c>
      <c r="AG11" s="49">
        <v>5.8366090218300144</v>
      </c>
      <c r="AH11" s="49">
        <v>5.801606731672095</v>
      </c>
      <c r="AI11" s="49">
        <v>6.0323052385346614</v>
      </c>
      <c r="AJ11" s="49">
        <v>6.5661904545840031</v>
      </c>
      <c r="AK11" s="49">
        <v>1.5720726711481632</v>
      </c>
      <c r="AL11" s="49">
        <v>5.7821594765374158</v>
      </c>
      <c r="AM11" s="49">
        <v>5.6</v>
      </c>
      <c r="AN11" s="49">
        <v>5.3661132645467262</v>
      </c>
      <c r="AO11" s="49">
        <v>4.8834343351359593</v>
      </c>
      <c r="AP11" s="49">
        <v>4.1262105483065739</v>
      </c>
      <c r="AQ11" s="49">
        <v>3.7936885650059082</v>
      </c>
      <c r="AR11" s="49">
        <v>4.2215043509744419</v>
      </c>
      <c r="AS11" s="49">
        <v>3.9137563803898274</v>
      </c>
    </row>
    <row r="12" spans="1:46" ht="20.45" customHeight="1" x14ac:dyDescent="0.2">
      <c r="A12" s="42" t="s">
        <v>74</v>
      </c>
      <c r="B12" s="9" t="s">
        <v>41</v>
      </c>
      <c r="C12" s="23">
        <f>+Índice!I12/Índice!E12*100-100</f>
        <v>7.6290651342779654</v>
      </c>
      <c r="D12" s="23">
        <f>+Índice!J12/Índice!F12*100-100</f>
        <v>10.22377845023459</v>
      </c>
      <c r="E12" s="23">
        <f>+Índice!K12/Índice!G12*100-100</f>
        <v>0</v>
      </c>
      <c r="F12" s="23">
        <f>+Índice!L12/Índice!H12*100-100</f>
        <v>16.155627344172402</v>
      </c>
      <c r="G12" s="23">
        <f>+Índice!M12/Índice!I12*100-100</f>
        <v>21.120044823227687</v>
      </c>
      <c r="H12" s="23">
        <f>+Índice!N12/Índice!J12*100-100</f>
        <v>1.4705691260355138</v>
      </c>
      <c r="I12" s="23">
        <f>+Índice!O12/Índice!K12*100-100</f>
        <v>1.0282549313036355</v>
      </c>
      <c r="J12" s="23">
        <f>+Índice!P12/Índice!L12*100-100</f>
        <v>0</v>
      </c>
      <c r="K12" s="23">
        <f>+Índice!Q12/Índice!M12*100-100</f>
        <v>8.5457057812308648</v>
      </c>
      <c r="L12" s="23">
        <f>+Índice!R12/Índice!N12*100-100</f>
        <v>29.519896178299831</v>
      </c>
      <c r="M12" s="23">
        <f>+Índice!S12/Índice!O12*100-100</f>
        <v>34.441823921493238</v>
      </c>
      <c r="N12" s="23">
        <f>+Índice!T12/Índice!P12*100-100</f>
        <v>19.969862683156919</v>
      </c>
      <c r="O12" s="23">
        <f>+Índice!U12/Índice!Q12*100-100</f>
        <v>9.4537243173800931</v>
      </c>
      <c r="P12" s="23">
        <f>+Índice!V12/Índice!R12*100-100</f>
        <v>9.1623980410428629</v>
      </c>
      <c r="Q12" s="23">
        <f>+Índice!W12/Índice!S12*100-100</f>
        <v>10.391270058771184</v>
      </c>
      <c r="R12" s="23">
        <f>+Índice!X12/Índice!T12*100-100</f>
        <v>4.4082166620293037</v>
      </c>
      <c r="S12" s="23">
        <f>+Índice!Y12/Índice!U12*100-100</f>
        <v>7.8196967881476951</v>
      </c>
      <c r="T12" s="23">
        <f>+Índice!Z12/Índice!V12*100-100</f>
        <v>7.3935040742033351</v>
      </c>
      <c r="U12" s="23">
        <f>+Índice!AA12/Índice!W12*100-100</f>
        <v>5.6765311322695737</v>
      </c>
      <c r="V12" s="23">
        <f>+Índice!AB12/Índice!X12*100-100</f>
        <v>9.4552808695374893</v>
      </c>
      <c r="W12" s="23">
        <f>+Índice!AC12/Índice!Y12*100-100</f>
        <v>6.7924331094343415</v>
      </c>
      <c r="X12" s="23">
        <f>+Índice!AD12/Índice!Z12*100-100</f>
        <v>7.0965829997798267</v>
      </c>
      <c r="Y12" s="23">
        <f>+Índice!AE12/Índice!AA12*100-100</f>
        <v>7.792811792372234</v>
      </c>
      <c r="Z12" s="23">
        <f>+Índice!AF12/Índice!AB12*100-100</f>
        <v>9.7508216143025805</v>
      </c>
      <c r="AA12" s="23">
        <f>+Índice!AG12/Índice!AC12*100-100</f>
        <v>9.9329423260574146</v>
      </c>
      <c r="AB12" s="23">
        <f>+Índice!AH12/Índice!AD12*100-100</f>
        <v>11.46788703581538</v>
      </c>
      <c r="AC12" s="23">
        <f>+Índice!AI12/Índice!AE12*100-100</f>
        <v>11.892124586531509</v>
      </c>
      <c r="AD12" s="23">
        <f>+Índice!AJ12/Índice!AF12*100-100</f>
        <v>8.878907171516758</v>
      </c>
      <c r="AE12" s="49">
        <v>-2.2287568533302533</v>
      </c>
      <c r="AF12" s="49">
        <v>0.1631193542040279</v>
      </c>
      <c r="AG12" s="49">
        <v>0.36602909190864352</v>
      </c>
      <c r="AH12" s="49">
        <v>0.64135964300531612</v>
      </c>
      <c r="AI12" s="49">
        <v>0.82212072825988969</v>
      </c>
      <c r="AJ12" s="49">
        <v>1.2206116497518877</v>
      </c>
      <c r="AK12" s="49">
        <v>-2.3163822500609115</v>
      </c>
      <c r="AL12" s="49">
        <v>1.2639421883790618</v>
      </c>
      <c r="AM12" s="49">
        <v>1.4</v>
      </c>
      <c r="AN12" s="49">
        <v>1.7239249851983374</v>
      </c>
      <c r="AO12" s="49">
        <v>2.5172307637671025</v>
      </c>
      <c r="AP12" s="49">
        <v>2.2983306586946952</v>
      </c>
      <c r="AQ12" s="49">
        <v>3.4101066235269002</v>
      </c>
      <c r="AR12" s="49">
        <v>4.0226110413842804</v>
      </c>
      <c r="AS12" s="49">
        <v>4.0077055512491455</v>
      </c>
    </row>
    <row r="13" spans="1:46" ht="20.45" customHeight="1" x14ac:dyDescent="0.2">
      <c r="A13" s="42" t="s">
        <v>75</v>
      </c>
      <c r="B13" s="9">
        <v>16</v>
      </c>
      <c r="C13" s="23">
        <f>+Índice!I13/Índice!E13*100-100</f>
        <v>-13.257322421596797</v>
      </c>
      <c r="D13" s="23">
        <f>+Índice!J13/Índice!F13*100-100</f>
        <v>-6.2962611241642037</v>
      </c>
      <c r="E13" s="23">
        <f>+Índice!K13/Índice!G13*100-100</f>
        <v>0</v>
      </c>
      <c r="F13" s="23">
        <f>+Índice!L13/Índice!H13*100-100</f>
        <v>-11.153571857737106</v>
      </c>
      <c r="G13" s="23">
        <f>+Índice!M13/Índice!I13*100-100</f>
        <v>-7.4703918221326546</v>
      </c>
      <c r="H13" s="23">
        <f>+Índice!N13/Índice!J13*100-100</f>
        <v>-4.3859212173686046E-2</v>
      </c>
      <c r="I13" s="23">
        <f>+Índice!O13/Índice!K13*100-100</f>
        <v>-3.7695138777101391</v>
      </c>
      <c r="J13" s="23">
        <f>+Índice!P13/Índice!L13*100-100</f>
        <v>31.567457849843322</v>
      </c>
      <c r="K13" s="23">
        <f>+Índice!Q13/Índice!M13*100-100</f>
        <v>2.1068515227001541</v>
      </c>
      <c r="L13" s="23">
        <f>+Índice!R13/Índice!N13*100-100</f>
        <v>-5.4794744054205609</v>
      </c>
      <c r="M13" s="23">
        <f>+Índice!S13/Índice!O13*100-100</f>
        <v>9.1383337944796352</v>
      </c>
      <c r="N13" s="23">
        <f>+Índice!T13/Índice!P13*100-100</f>
        <v>9.7602814962350237</v>
      </c>
      <c r="O13" s="23">
        <f>+Índice!U13/Índice!Q13*100-100</f>
        <v>40.659889153143268</v>
      </c>
      <c r="P13" s="23">
        <f>+Índice!V13/Índice!R13*100-100</f>
        <v>36.24455530410961</v>
      </c>
      <c r="Q13" s="23">
        <f>+Índice!W13/Índice!S13*100-100</f>
        <v>16.334804929641678</v>
      </c>
      <c r="R13" s="23">
        <f>+Índice!X13/Índice!T13*100-100</f>
        <v>2.8492159438946061</v>
      </c>
      <c r="S13" s="23">
        <f>+Índice!Y13/Índice!U13*100-100</f>
        <v>6.9673608650902281</v>
      </c>
      <c r="T13" s="23">
        <f>+Índice!Z13/Índice!V13*100-100</f>
        <v>7.2969911676158432</v>
      </c>
      <c r="U13" s="23">
        <f>+Índice!AA13/Índice!W13*100-100</f>
        <v>11.192255150540191</v>
      </c>
      <c r="V13" s="23">
        <f>+Índice!AB13/Índice!X13*100-100</f>
        <v>13.490473361036351</v>
      </c>
      <c r="W13" s="23">
        <f>+Índice!AC13/Índice!Y13*100-100</f>
        <v>12.244696401580796</v>
      </c>
      <c r="X13" s="23">
        <f>+Índice!AD13/Índice!Z13*100-100</f>
        <v>11.640742676674847</v>
      </c>
      <c r="Y13" s="23">
        <f>+Índice!AE13/Índice!AA13*100-100</f>
        <v>9.8751157463375705</v>
      </c>
      <c r="Z13" s="23">
        <f>+Índice!AF13/Índice!AB13*100-100</f>
        <v>13.146709049923984</v>
      </c>
      <c r="AA13" s="23">
        <f>+Índice!AG13/Índice!AC13*100-100</f>
        <v>14.376312564656658</v>
      </c>
      <c r="AB13" s="23">
        <f>+Índice!AH13/Índice!AD13*100-100</f>
        <v>17.485481622627063</v>
      </c>
      <c r="AC13" s="23">
        <f>+Índice!AI13/Índice!AE13*100-100</f>
        <v>15.893104335415373</v>
      </c>
      <c r="AD13" s="23">
        <f>+Índice!AJ13/Índice!AF13*100-100</f>
        <v>11.921330905141076</v>
      </c>
      <c r="AE13" s="49">
        <v>5.3336082958156794</v>
      </c>
      <c r="AF13" s="49">
        <v>5.5213714277877273</v>
      </c>
      <c r="AG13" s="49">
        <v>5.8520001855717965</v>
      </c>
      <c r="AH13" s="49">
        <v>6.4160493731926209</v>
      </c>
      <c r="AI13" s="49">
        <v>6.0444813249493023</v>
      </c>
      <c r="AJ13" s="49">
        <v>5.9294988431984166</v>
      </c>
      <c r="AK13" s="49">
        <v>1.571963663902153</v>
      </c>
      <c r="AL13" s="49">
        <v>7.2636962248896992</v>
      </c>
      <c r="AM13" s="49">
        <v>7.17</v>
      </c>
      <c r="AN13" s="49">
        <v>6.9088039452932719</v>
      </c>
      <c r="AO13" s="49">
        <v>7.988826966459456</v>
      </c>
      <c r="AP13" s="49">
        <v>7.1839415106046829</v>
      </c>
      <c r="AQ13" s="49">
        <v>7.4072286497723212</v>
      </c>
      <c r="AR13" s="49">
        <v>7.0806787471548063</v>
      </c>
      <c r="AS13" s="49">
        <v>8.2128883778082695</v>
      </c>
    </row>
    <row r="14" spans="1:46" ht="20.45" customHeight="1" x14ac:dyDescent="0.2">
      <c r="A14" s="42" t="s">
        <v>76</v>
      </c>
      <c r="B14" s="9" t="s">
        <v>42</v>
      </c>
      <c r="C14" s="23">
        <f>+Índice!I14/Índice!E14*100-100</f>
        <v>-1.5984026154458775</v>
      </c>
      <c r="D14" s="23">
        <f>+Índice!J14/Índice!F14*100-100</f>
        <v>-16.358489588042119</v>
      </c>
      <c r="E14" s="23">
        <f>+Índice!K14/Índice!G14*100-100</f>
        <v>0</v>
      </c>
      <c r="F14" s="23">
        <f>+Índice!L14/Índice!H14*100-100</f>
        <v>16.892289582107082</v>
      </c>
      <c r="G14" s="23">
        <f>+Índice!M14/Índice!I14*100-100</f>
        <v>30.36510115230945</v>
      </c>
      <c r="H14" s="23">
        <f>+Índice!N14/Índice!J14*100-100</f>
        <v>2.209651110522671</v>
      </c>
      <c r="I14" s="23">
        <f>+Índice!O14/Índice!K14*100-100</f>
        <v>-6.237263404168786</v>
      </c>
      <c r="J14" s="23">
        <f>+Índice!P14/Índice!L14*100-100</f>
        <v>-18.976465349833717</v>
      </c>
      <c r="K14" s="23">
        <f>+Índice!Q14/Índice!M14*100-100</f>
        <v>-0.74250976364635335</v>
      </c>
      <c r="L14" s="23">
        <f>+Índice!R14/Índice!N14*100-100</f>
        <v>29.371626416369111</v>
      </c>
      <c r="M14" s="23">
        <f>+Índice!S14/Índice!O14*100-100</f>
        <v>19.595129946995996</v>
      </c>
      <c r="N14" s="23">
        <f>+Índice!T14/Índice!P14*100-100</f>
        <v>22.961858219408171</v>
      </c>
      <c r="O14" s="23">
        <f>+Índice!U14/Índice!Q14*100-100</f>
        <v>8.3327145243589769</v>
      </c>
      <c r="P14" s="23">
        <f>+Índice!V14/Índice!R14*100-100</f>
        <v>10.57241167693968</v>
      </c>
      <c r="Q14" s="23">
        <f>+Índice!W14/Índice!S14*100-100</f>
        <v>10.498548276431478</v>
      </c>
      <c r="R14" s="23">
        <f>+Índice!X14/Índice!T14*100-100</f>
        <v>3.7462711340554335</v>
      </c>
      <c r="S14" s="23">
        <f>+Índice!Y14/Índice!U14*100-100</f>
        <v>8.1909703809000263</v>
      </c>
      <c r="T14" s="23">
        <f>+Índice!Z14/Índice!V14*100-100</f>
        <v>7.0040560403368914</v>
      </c>
      <c r="U14" s="23">
        <f>+Índice!AA14/Índice!W14*100-100</f>
        <v>7.6062800874419736</v>
      </c>
      <c r="V14" s="23">
        <f>+Índice!AB14/Índice!X14*100-100</f>
        <v>11.935942442695932</v>
      </c>
      <c r="W14" s="23">
        <f>+Índice!AC14/Índice!Y14*100-100</f>
        <v>8.0276059295196518</v>
      </c>
      <c r="X14" s="23">
        <f>+Índice!AD14/Índice!Z14*100-100</f>
        <v>8.2319579911308551</v>
      </c>
      <c r="Y14" s="23">
        <f>+Índice!AE14/Índice!AA14*100-100</f>
        <v>5.6244454254954093</v>
      </c>
      <c r="Z14" s="23">
        <f>+Índice!AF14/Índice!AB14*100-100</f>
        <v>6.1791502001426295</v>
      </c>
      <c r="AA14" s="23">
        <f>+Índice!AG14/Índice!AC14*100-100</f>
        <v>6.32597467952003</v>
      </c>
      <c r="AB14" s="23">
        <f>+Índice!AH14/Índice!AD14*100-100</f>
        <v>7.7596156029429864</v>
      </c>
      <c r="AC14" s="23">
        <f>+Índice!AI14/Índice!AE14*100-100</f>
        <v>9.5195915147748593</v>
      </c>
      <c r="AD14" s="23">
        <f>+Índice!AJ14/Índice!AF14*100-100</f>
        <v>8.519247733683244</v>
      </c>
      <c r="AE14" s="49">
        <v>5.3333532555078307</v>
      </c>
      <c r="AF14" s="49">
        <v>5.521125129077987</v>
      </c>
      <c r="AG14" s="49">
        <v>5.9272278896763737</v>
      </c>
      <c r="AH14" s="49">
        <v>6.076176825357777</v>
      </c>
      <c r="AI14" s="49">
        <v>6.0793503059989149</v>
      </c>
      <c r="AJ14" s="49">
        <v>6.3795320642909132</v>
      </c>
      <c r="AK14" s="49">
        <v>1.5718981222831303</v>
      </c>
      <c r="AL14" s="49">
        <v>5.5977878660181943</v>
      </c>
      <c r="AM14" s="49">
        <v>5.55</v>
      </c>
      <c r="AN14" s="49">
        <v>5.1860040479419354</v>
      </c>
      <c r="AO14" s="49">
        <v>4.7926033928149536</v>
      </c>
      <c r="AP14" s="49">
        <v>3.9087206163470682</v>
      </c>
      <c r="AQ14" s="49">
        <v>3.7113742416751592</v>
      </c>
      <c r="AR14" s="49">
        <v>3.6906163298710908</v>
      </c>
      <c r="AS14" s="49">
        <v>3.7489279776497568</v>
      </c>
    </row>
    <row r="15" spans="1:46" ht="20.45" customHeight="1" x14ac:dyDescent="0.2">
      <c r="A15" s="42" t="s">
        <v>77</v>
      </c>
      <c r="B15" s="9" t="s">
        <v>43</v>
      </c>
      <c r="C15" s="23">
        <f>+Índice!I15/Índice!E15*100-100</f>
        <v>15.844018237592763</v>
      </c>
      <c r="D15" s="23">
        <f>+Índice!J15/Índice!F15*100-100</f>
        <v>15.880848720281264</v>
      </c>
      <c r="E15" s="23">
        <f>+Índice!K15/Índice!G15*100-100</f>
        <v>17.901216037843625</v>
      </c>
      <c r="F15" s="23">
        <f>+Índice!L15/Índice!H15*100-100</f>
        <v>4.9076040349658001</v>
      </c>
      <c r="G15" s="23">
        <f>+Índice!M15/Índice!I15*100-100</f>
        <v>-5.2236858868872957</v>
      </c>
      <c r="H15" s="23">
        <f>+Índice!N15/Índice!J15*100-100</f>
        <v>-1.1672970906296882</v>
      </c>
      <c r="I15" s="23">
        <f>+Índice!O15/Índice!K15*100-100</f>
        <v>-0.89162783319336825</v>
      </c>
      <c r="J15" s="23">
        <f>+Índice!P15/Índice!L15*100-100</f>
        <v>14.186758097401267</v>
      </c>
      <c r="K15" s="23">
        <f>+Índice!Q15/Índice!M15*100-100</f>
        <v>7.582145130181047</v>
      </c>
      <c r="L15" s="23">
        <f>+Índice!R15/Índice!N15*100-100</f>
        <v>1.9622323070984464</v>
      </c>
      <c r="M15" s="23">
        <f>+Índice!S15/Índice!O15*100-100</f>
        <v>23.369636159216611</v>
      </c>
      <c r="N15" s="23">
        <f>+Índice!T15/Índice!P15*100-100</f>
        <v>23.708641779154661</v>
      </c>
      <c r="O15" s="23">
        <f>+Índice!U15/Índice!Q15*100-100</f>
        <v>22.159728546770666</v>
      </c>
      <c r="P15" s="23">
        <f>+Índice!V15/Índice!R15*100-100</f>
        <v>26.333307560814134</v>
      </c>
      <c r="Q15" s="23">
        <f>+Índice!W15/Índice!S15*100-100</f>
        <v>4.4951748873679094</v>
      </c>
      <c r="R15" s="23">
        <f>+Índice!X15/Índice!T15*100-100</f>
        <v>2.8873879814300665</v>
      </c>
      <c r="S15" s="23">
        <f>+Índice!Y15/Índice!U15*100-100</f>
        <v>6.3803582534140162</v>
      </c>
      <c r="T15" s="23">
        <f>+Índice!Z15/Índice!V15*100-100</f>
        <v>6.56728462781453</v>
      </c>
      <c r="U15" s="23">
        <f>+Índice!AA15/Índice!W15*100-100</f>
        <v>4.3520379409504244</v>
      </c>
      <c r="V15" s="23">
        <f>+Índice!AB15/Índice!X15*100-100</f>
        <v>7.8120986657146574</v>
      </c>
      <c r="W15" s="23">
        <f>+Índice!AC15/Índice!Y15*100-100</f>
        <v>6.224174309035277</v>
      </c>
      <c r="X15" s="23">
        <f>+Índice!AD15/Índice!Z15*100-100</f>
        <v>7.1128418444491786</v>
      </c>
      <c r="Y15" s="23">
        <f>+Índice!AE15/Índice!AA15*100-100</f>
        <v>17.331836502755763</v>
      </c>
      <c r="Z15" s="23">
        <f>+Índice!AF15/Índice!AB15*100-100</f>
        <v>19.199742418721712</v>
      </c>
      <c r="AA15" s="23">
        <f>+Índice!AG15/Índice!AC15*100-100</f>
        <v>17.324379774968463</v>
      </c>
      <c r="AB15" s="23">
        <f>+Índice!AH15/Índice!AD15*100-100</f>
        <v>15.342808754414961</v>
      </c>
      <c r="AC15" s="23">
        <f>+Índice!AI15/Índice!AE15*100-100</f>
        <v>7.5081612384802838</v>
      </c>
      <c r="AD15" s="23">
        <f>+Índice!AJ15/Índice!AF15*100-100</f>
        <v>2.9962969494900591</v>
      </c>
      <c r="AE15" s="49">
        <v>5.3590489007661546</v>
      </c>
      <c r="AF15" s="49">
        <v>5.5459485526416614</v>
      </c>
      <c r="AG15" s="49">
        <v>5.9114659718208884</v>
      </c>
      <c r="AH15" s="49">
        <v>5.9490515490389129</v>
      </c>
      <c r="AI15" s="49">
        <v>6.0779071521102281</v>
      </c>
      <c r="AJ15" s="49">
        <v>6.4697229796029063</v>
      </c>
      <c r="AK15" s="49">
        <v>1.5844270284195403</v>
      </c>
      <c r="AL15" s="49">
        <v>6.852493234594732</v>
      </c>
      <c r="AM15" s="49">
        <v>6.65</v>
      </c>
      <c r="AN15" s="49">
        <v>6.671890804465221</v>
      </c>
      <c r="AO15" s="49">
        <v>7.0936851291538972</v>
      </c>
      <c r="AP15" s="49">
        <v>6.5849003548229064</v>
      </c>
      <c r="AQ15" s="49">
        <v>5.9885554152624252</v>
      </c>
      <c r="AR15" s="49">
        <v>6.6491843209581134</v>
      </c>
      <c r="AS15" s="49">
        <v>6.3551199923010699</v>
      </c>
    </row>
    <row r="16" spans="1:46" ht="20.45" customHeight="1" x14ac:dyDescent="0.2">
      <c r="A16" s="42" t="s">
        <v>78</v>
      </c>
      <c r="B16" s="9" t="s">
        <v>44</v>
      </c>
      <c r="C16" s="23">
        <f>+Índice!I16/Índice!E16*100-100</f>
        <v>0.1377181883943166</v>
      </c>
      <c r="D16" s="23">
        <f>+Índice!J16/Índice!F16*100-100</f>
        <v>0.19882600056379829</v>
      </c>
      <c r="E16" s="23">
        <f>+Índice!K16/Índice!G16*100-100</f>
        <v>0</v>
      </c>
      <c r="F16" s="23">
        <f>+Índice!L16/Índice!H16*100-100</f>
        <v>-0.12599052650517706</v>
      </c>
      <c r="G16" s="23">
        <f>+Índice!M16/Índice!I16*100-100</f>
        <v>6.8960775659066229</v>
      </c>
      <c r="H16" s="23">
        <f>+Índice!N16/Índice!J16*100-100</f>
        <v>-1.1178340301043477E-2</v>
      </c>
      <c r="I16" s="23">
        <f>+Índice!O16/Índice!K16*100-100</f>
        <v>2.0734726523442362</v>
      </c>
      <c r="J16" s="23">
        <f>+Índice!P16/Índice!L16*100-100</f>
        <v>6.6016202316775434</v>
      </c>
      <c r="K16" s="23">
        <f>+Índice!Q16/Índice!M16*100-100</f>
        <v>2.0922206464892241</v>
      </c>
      <c r="L16" s="23">
        <f>+Índice!R16/Índice!N16*100-100</f>
        <v>9.1447799459508445</v>
      </c>
      <c r="M16" s="23">
        <f>+Índice!S16/Índice!O16*100-100</f>
        <v>11.565994678679047</v>
      </c>
      <c r="N16" s="23">
        <f>+Índice!T16/Índice!P16*100-100</f>
        <v>13.886547401353511</v>
      </c>
      <c r="O16" s="23">
        <f>+Índice!U16/Índice!Q16*100-100</f>
        <v>13.648473965728485</v>
      </c>
      <c r="P16" s="23">
        <f>+Índice!V16/Índice!R16*100-100</f>
        <v>16.837583947629042</v>
      </c>
      <c r="Q16" s="23">
        <f>+Índice!W16/Índice!S16*100-100</f>
        <v>13.271462659194015</v>
      </c>
      <c r="R16" s="23">
        <f>+Índice!X16/Índice!T16*100-100</f>
        <v>4.7417338610527651</v>
      </c>
      <c r="S16" s="23">
        <f>+Índice!Y16/Índice!U16*100-100</f>
        <v>6.3649812954399607</v>
      </c>
      <c r="T16" s="23">
        <f>+Índice!Z16/Índice!V16*100-100</f>
        <v>5.7673548778049479</v>
      </c>
      <c r="U16" s="23">
        <f>+Índice!AA16/Índice!W16*100-100</f>
        <v>7.4415713079845744</v>
      </c>
      <c r="V16" s="23">
        <f>+Índice!AB16/Índice!X16*100-100</f>
        <v>11.969546636793794</v>
      </c>
      <c r="W16" s="23">
        <f>+Índice!AC16/Índice!Y16*100-100</f>
        <v>9.6198842733396219</v>
      </c>
      <c r="X16" s="23">
        <f>+Índice!AD16/Índice!Z16*100-100</f>
        <v>7.8408522025680298</v>
      </c>
      <c r="Y16" s="23">
        <f>+Índice!AE16/Índice!AA16*100-100</f>
        <v>7.3387694140406978</v>
      </c>
      <c r="Z16" s="23">
        <f>+Índice!AF16/Índice!AB16*100-100</f>
        <v>6.9721320889717902</v>
      </c>
      <c r="AA16" s="23">
        <f>+Índice!AG16/Índice!AC16*100-100</f>
        <v>12.052065006486274</v>
      </c>
      <c r="AB16" s="23">
        <f>+Índice!AH16/Índice!AD16*100-100</f>
        <v>15.340821610621376</v>
      </c>
      <c r="AC16" s="23">
        <f>+Índice!AI16/Índice!AE16*100-100</f>
        <v>13.357598133572935</v>
      </c>
      <c r="AD16" s="23">
        <f>+Índice!AJ16/Índice!AF16*100-100</f>
        <v>13.13343542677184</v>
      </c>
      <c r="AE16" s="49">
        <v>5.3482790736941297</v>
      </c>
      <c r="AF16" s="49">
        <v>5.5355396750216528</v>
      </c>
      <c r="AG16" s="49">
        <v>5.9094511618140331</v>
      </c>
      <c r="AH16" s="49">
        <v>6.1304929559923238</v>
      </c>
      <c r="AI16" s="49">
        <v>6.0751697947651024</v>
      </c>
      <c r="AJ16" s="49">
        <v>6.8398430657091467</v>
      </c>
      <c r="AK16" s="49">
        <v>1.578890910910502</v>
      </c>
      <c r="AL16" s="49">
        <v>7.4688310823637636</v>
      </c>
      <c r="AM16" s="49">
        <v>7.51</v>
      </c>
      <c r="AN16" s="49">
        <v>8.4438195065576593</v>
      </c>
      <c r="AO16" s="49">
        <v>8.4759251731365168</v>
      </c>
      <c r="AP16" s="49">
        <v>8.8694150098773434</v>
      </c>
      <c r="AQ16" s="49">
        <v>9.5030127173286019</v>
      </c>
      <c r="AR16" s="49">
        <v>9.1995722076107569</v>
      </c>
      <c r="AS16" s="49">
        <v>10.120642813639009</v>
      </c>
    </row>
    <row r="17" spans="1:45" ht="20.45" customHeight="1" x14ac:dyDescent="0.2">
      <c r="A17" s="42" t="s">
        <v>79</v>
      </c>
      <c r="B17" s="9" t="s">
        <v>45</v>
      </c>
      <c r="C17" s="23">
        <f>+Índice!I17/Índice!E17*100-100</f>
        <v>-38.425704633726589</v>
      </c>
      <c r="D17" s="23">
        <f>+Índice!J17/Índice!F17*100-100</f>
        <v>-38.425704633726589</v>
      </c>
      <c r="E17" s="23">
        <f>+Índice!K17/Índice!G17*100-100</f>
        <v>-38.425704633726589</v>
      </c>
      <c r="F17" s="23">
        <f>+Índice!L17/Índice!H17*100-100</f>
        <v>8.0666172598711228E-3</v>
      </c>
      <c r="G17" s="23">
        <f>+Índice!M17/Índice!I17*100-100</f>
        <v>9.6252969028528526</v>
      </c>
      <c r="H17" s="23">
        <f>+Índice!N17/Índice!J17*100-100</f>
        <v>9.0427885674984054E-3</v>
      </c>
      <c r="I17" s="23">
        <f>+Índice!O17/Índice!K17*100-100</f>
        <v>14.627731896803951</v>
      </c>
      <c r="J17" s="23">
        <f>+Índice!P17/Índice!L17*100-100</f>
        <v>-28.574678636919501</v>
      </c>
      <c r="K17" s="23">
        <f>+Índice!Q17/Índice!M17*100-100</f>
        <v>6.543734597474554</v>
      </c>
      <c r="L17" s="23">
        <f>+Índice!R17/Índice!N17*100-100</f>
        <v>16.78832446261633</v>
      </c>
      <c r="M17" s="23">
        <f>+Índice!S17/Índice!O17*100-100</f>
        <v>9.9901338340481232</v>
      </c>
      <c r="N17" s="23">
        <f>+Índice!T17/Índice!P17*100-100</f>
        <v>13.719034051280076</v>
      </c>
      <c r="O17" s="23">
        <f>+Índice!U17/Índice!Q17*100-100</f>
        <v>14.375093261749086</v>
      </c>
      <c r="P17" s="23">
        <f>+Índice!V17/Índice!R17*100-100</f>
        <v>16.82872266566558</v>
      </c>
      <c r="Q17" s="23">
        <f>+Índice!W17/Índice!S17*100-100</f>
        <v>12.195431774914155</v>
      </c>
      <c r="R17" s="23">
        <f>+Índice!X17/Índice!T17*100-100</f>
        <v>3.9743318151387115</v>
      </c>
      <c r="S17" s="23">
        <f>+Índice!Y17/Índice!U17*100-100</f>
        <v>7.5919474203444537</v>
      </c>
      <c r="T17" s="23">
        <f>+Índice!Z17/Índice!V17*100-100</f>
        <v>6.8054423306332978</v>
      </c>
      <c r="U17" s="23">
        <f>+Índice!AA17/Índice!W17*100-100</f>
        <v>6.1747553496102086</v>
      </c>
      <c r="V17" s="23">
        <f>+Índice!AB17/Índice!X17*100-100</f>
        <v>11.399372476049834</v>
      </c>
      <c r="W17" s="23">
        <f>+Índice!AC17/Índice!Y17*100-100</f>
        <v>9.1868905952215982</v>
      </c>
      <c r="X17" s="23">
        <f>+Índice!AD17/Índice!Z17*100-100</f>
        <v>9.4840105580155551</v>
      </c>
      <c r="Y17" s="23">
        <f>+Índice!AE17/Índice!AA17*100-100</f>
        <v>8.0142715032287271</v>
      </c>
      <c r="Z17" s="23">
        <f>+Índice!AF17/Índice!AB17*100-100</f>
        <v>11.114374047654323</v>
      </c>
      <c r="AA17" s="23">
        <f>+Índice!AG17/Índice!AC17*100-100</f>
        <v>14.273088773592434</v>
      </c>
      <c r="AB17" s="23">
        <f>+Índice!AH17/Índice!AD17*100-100</f>
        <v>15.642051908093109</v>
      </c>
      <c r="AC17" s="23">
        <f>+Índice!AI17/Índice!AE17*100-100</f>
        <v>15.509509466215405</v>
      </c>
      <c r="AD17" s="23">
        <f>+Índice!AJ17/Índice!AF17*100-100</f>
        <v>12.160887229330683</v>
      </c>
      <c r="AE17" s="49">
        <v>5.3330297480974025</v>
      </c>
      <c r="AF17" s="49">
        <v>5.5208127031597627</v>
      </c>
      <c r="AG17" s="49">
        <v>6.3466619288379462</v>
      </c>
      <c r="AH17" s="49">
        <v>6.1405744904544264</v>
      </c>
      <c r="AI17" s="49">
        <v>6.2887212069776126</v>
      </c>
      <c r="AJ17" s="49">
        <v>6.4477537888446506</v>
      </c>
      <c r="AK17" s="49">
        <v>1.5717336450334898</v>
      </c>
      <c r="AL17" s="49">
        <v>7.1962209747569119</v>
      </c>
      <c r="AM17" s="49">
        <v>7.33</v>
      </c>
      <c r="AN17" s="49">
        <v>7.2782696817668153</v>
      </c>
      <c r="AO17" s="49">
        <v>7.8624675762527119</v>
      </c>
      <c r="AP17" s="49">
        <v>7.2639166256585099</v>
      </c>
      <c r="AQ17" s="49">
        <v>6.5725278942153693</v>
      </c>
      <c r="AR17" s="49">
        <v>6.2453209779896213</v>
      </c>
      <c r="AS17" s="49">
        <v>7.1941490563496302</v>
      </c>
    </row>
    <row r="18" spans="1:45" ht="20.45" customHeight="1" x14ac:dyDescent="0.2">
      <c r="A18" s="42" t="s">
        <v>80</v>
      </c>
      <c r="B18" s="9" t="s">
        <v>46</v>
      </c>
      <c r="C18" s="23">
        <f>+Índice!I18/Índice!E18*100-100</f>
        <v>-14.066587332078925</v>
      </c>
      <c r="D18" s="23">
        <f>+Índice!J18/Índice!F18*100-100</f>
        <v>-26.838958116355755</v>
      </c>
      <c r="E18" s="23">
        <f>+Índice!K18/Índice!G18*100-100</f>
        <v>-9.6483217862441961E-4</v>
      </c>
      <c r="F18" s="23">
        <f>+Índice!L18/Índice!H18*100-100</f>
        <v>3.6205168286457052</v>
      </c>
      <c r="G18" s="23">
        <f>+Índice!M18/Índice!I18*100-100</f>
        <v>1.7080096651976646</v>
      </c>
      <c r="H18" s="23">
        <f>+Índice!N18/Índice!J18*100-100</f>
        <v>47.039262122667509</v>
      </c>
      <c r="I18" s="23">
        <f>+Índice!O18/Índice!K18*100-100</f>
        <v>5.1546422610811504</v>
      </c>
      <c r="J18" s="23">
        <f>+Índice!P18/Índice!L18*100-100</f>
        <v>19.482660142499995</v>
      </c>
      <c r="K18" s="23">
        <f>+Índice!Q18/Índice!M18*100-100</f>
        <v>19.648392163206836</v>
      </c>
      <c r="L18" s="23">
        <f>+Índice!R18/Índice!N18*100-100</f>
        <v>17.708228688929822</v>
      </c>
      <c r="M18" s="23">
        <f>+Índice!S18/Índice!O18*100-100</f>
        <v>14.791179377355476</v>
      </c>
      <c r="N18" s="23">
        <f>+Índice!T18/Índice!P18*100-100</f>
        <v>11.57508935508325</v>
      </c>
      <c r="O18" s="23">
        <f>+Índice!U18/Índice!Q18*100-100</f>
        <v>11.800967350768346</v>
      </c>
      <c r="P18" s="23">
        <f>+Índice!V18/Índice!R18*100-100</f>
        <v>13.005202152852192</v>
      </c>
      <c r="Q18" s="23">
        <f>+Índice!W18/Índice!S18*100-100</f>
        <v>9.1473725498420606</v>
      </c>
      <c r="R18" s="23">
        <f>+Índice!X18/Índice!T18*100-100</f>
        <v>4.040630381589466</v>
      </c>
      <c r="S18" s="23">
        <f>+Índice!Y18/Índice!U18*100-100</f>
        <v>8.0212913731158295</v>
      </c>
      <c r="T18" s="23">
        <f>+Índice!Z18/Índice!V18*100-100</f>
        <v>8.035458300997405</v>
      </c>
      <c r="U18" s="23">
        <f>+Índice!AA18/Índice!W18*100-100</f>
        <v>5.9118317188979717</v>
      </c>
      <c r="V18" s="23">
        <f>+Índice!AB18/Índice!X18*100-100</f>
        <v>12.300344922150288</v>
      </c>
      <c r="W18" s="23">
        <f>+Índice!AC18/Índice!Y18*100-100</f>
        <v>10.196697726485525</v>
      </c>
      <c r="X18" s="23">
        <f>+Índice!AD18/Índice!Z18*100-100</f>
        <v>11.8866321688554</v>
      </c>
      <c r="Y18" s="23">
        <f>+Índice!AE18/Índice!AA18*100-100</f>
        <v>11.896440470999579</v>
      </c>
      <c r="Z18" s="23">
        <f>+Índice!AF18/Índice!AB18*100-100</f>
        <v>14.456053229142157</v>
      </c>
      <c r="AA18" s="23">
        <f>+Índice!AG18/Índice!AC18*100-100</f>
        <v>14.513298053863167</v>
      </c>
      <c r="AB18" s="23">
        <f>+Índice!AH18/Índice!AD18*100-100</f>
        <v>14.106064104775214</v>
      </c>
      <c r="AC18" s="23">
        <f>+Índice!AI18/Índice!AE18*100-100</f>
        <v>12.381328703679955</v>
      </c>
      <c r="AD18" s="23">
        <f>+Índice!AJ18/Índice!AF18*100-100</f>
        <v>8.3530704969451648</v>
      </c>
      <c r="AE18" s="49">
        <v>5.6257224888739188</v>
      </c>
      <c r="AF18" s="49">
        <v>5.8027790261216552</v>
      </c>
      <c r="AG18" s="49">
        <v>6.3038759869274799</v>
      </c>
      <c r="AH18" s="49">
        <v>6.3387095702852321</v>
      </c>
      <c r="AI18" s="49">
        <v>6.3523697355083186</v>
      </c>
      <c r="AJ18" s="49">
        <v>6.7991729660285642</v>
      </c>
      <c r="AK18" s="49">
        <v>1.711002343726804</v>
      </c>
      <c r="AL18" s="49">
        <v>6.1105270092533459</v>
      </c>
      <c r="AM18" s="49">
        <v>5.52</v>
      </c>
      <c r="AN18" s="49">
        <v>5.2071850151179433</v>
      </c>
      <c r="AO18" s="49">
        <v>4.9910638815751582</v>
      </c>
      <c r="AP18" s="49">
        <v>4.1495047758458981</v>
      </c>
      <c r="AQ18" s="49">
        <v>4.1264475707419876</v>
      </c>
      <c r="AR18" s="49">
        <v>3.7531384363890936</v>
      </c>
      <c r="AS18" s="49">
        <v>3.8722194875223153</v>
      </c>
    </row>
    <row r="19" spans="1:45" ht="20.45" customHeight="1" x14ac:dyDescent="0.2">
      <c r="A19" s="40" t="s">
        <v>81</v>
      </c>
      <c r="B19" s="7" t="s">
        <v>47</v>
      </c>
      <c r="C19" s="23">
        <f>+Índice!I19/Índice!E19*100-100</f>
        <v>0</v>
      </c>
      <c r="D19" s="23">
        <f>+Índice!J19/Índice!F19*100-100</f>
        <v>0</v>
      </c>
      <c r="E19" s="23">
        <f>+Índice!K19/Índice!G19*100-100</f>
        <v>0</v>
      </c>
      <c r="F19" s="23">
        <f>+Índice!L19/Índice!H19*100-100</f>
        <v>7.1047957371064285E-3</v>
      </c>
      <c r="G19" s="23">
        <f>+Índice!M19/Índice!I19*100-100</f>
        <v>7.1047957371064285E-3</v>
      </c>
      <c r="H19" s="23">
        <f>+Índice!N19/Índice!J19*100-100</f>
        <v>7.1047957371064285E-3</v>
      </c>
      <c r="I19" s="23">
        <f>+Índice!O19/Índice!K19*100-100</f>
        <v>16.888593075002348</v>
      </c>
      <c r="J19" s="23">
        <f>+Índice!P19/Índice!L19*100-100</f>
        <v>16.880288969214121</v>
      </c>
      <c r="K19" s="23">
        <f>+Índice!Q19/Índice!M19*100-100</f>
        <v>16.880288969214121</v>
      </c>
      <c r="L19" s="23">
        <f>+Índice!R19/Índice!N19*100-100</f>
        <v>16.880288969214121</v>
      </c>
      <c r="M19" s="23">
        <f>+Índice!S19/Índice!O19*100-100</f>
        <v>0</v>
      </c>
      <c r="N19" s="23">
        <f>+Índice!T19/Índice!P19*100-100</f>
        <v>0</v>
      </c>
      <c r="O19" s="23">
        <f>+Índice!U19/Índice!Q19*100-100</f>
        <v>0</v>
      </c>
      <c r="P19" s="23">
        <f>+Índice!V19/Índice!R19*100-100</f>
        <v>-1.5010119610110451E-2</v>
      </c>
      <c r="Q19" s="23">
        <f>+Índice!W19/Índice!S19*100-100</f>
        <v>-1.5010119610110451E-2</v>
      </c>
      <c r="R19" s="23">
        <f>+Índice!X19/Índice!T19*100-100</f>
        <v>-1.0006746406730826E-2</v>
      </c>
      <c r="S19" s="23">
        <f>+Índice!Y19/Índice!U19*100-100</f>
        <v>0</v>
      </c>
      <c r="T19" s="23">
        <f>+Índice!Z19/Índice!V19*100-100</f>
        <v>1.5012372985239608E-2</v>
      </c>
      <c r="U19" s="23">
        <f>+Índice!AA19/Índice!W19*100-100</f>
        <v>1.5012372985239608E-2</v>
      </c>
      <c r="V19" s="23">
        <f>+Índice!AB19/Índice!X19*100-100</f>
        <v>-5.003873928345115E-3</v>
      </c>
      <c r="W19" s="23">
        <f>+Índice!AC19/Índice!Y19*100-100</f>
        <v>-4.6906623781239887E-4</v>
      </c>
      <c r="X19" s="23">
        <f>+Índice!AD19/Índice!Z19*100-100</f>
        <v>-5.863327972690513E-4</v>
      </c>
      <c r="Y19" s="23">
        <f>+Índice!AE19/Índice!AA19*100-100</f>
        <v>-1.5010119610110451E-2</v>
      </c>
      <c r="Z19" s="23">
        <f>+Índice!AF19/Índice!AB19*100-100</f>
        <v>1.4279346960563544E-2</v>
      </c>
      <c r="AA19" s="23">
        <f>+Índice!AG19/Índice!AC19*100-100</f>
        <v>-2.6385099640435783E-4</v>
      </c>
      <c r="AB19" s="23">
        <f>+Índice!AH19/Índice!AD19*100-100</f>
        <v>-1.4658405879686143E-4</v>
      </c>
      <c r="AC19" s="23">
        <f>+Índice!AI19/Índice!AE19*100-100</f>
        <v>1.4279346960563544E-2</v>
      </c>
      <c r="AD19" s="23">
        <f>+Índice!AJ19/Índice!AF19*100-100</f>
        <v>0</v>
      </c>
      <c r="AE19" s="49">
        <v>0</v>
      </c>
      <c r="AF19" s="49">
        <v>0</v>
      </c>
      <c r="AG19" s="49">
        <v>0</v>
      </c>
      <c r="AH19" s="49">
        <v>0</v>
      </c>
      <c r="AI19" s="49">
        <v>0</v>
      </c>
      <c r="AJ19" s="49">
        <v>11.54000000000002</v>
      </c>
      <c r="AK19" s="48">
        <v>11.54000000000002</v>
      </c>
      <c r="AL19" s="48">
        <v>11.54000000000002</v>
      </c>
      <c r="AM19" s="48">
        <v>11.54</v>
      </c>
      <c r="AN19" s="48">
        <v>11.54000000000002</v>
      </c>
      <c r="AO19" s="48">
        <v>11.54000000000002</v>
      </c>
      <c r="AP19" s="48">
        <v>11.54000000000002</v>
      </c>
      <c r="AQ19" s="48">
        <v>11.54000000000002</v>
      </c>
      <c r="AR19" s="48">
        <v>11.54000000000002</v>
      </c>
      <c r="AS19" s="48">
        <v>11.54000000000002</v>
      </c>
    </row>
    <row r="20" spans="1:45" ht="20.45" customHeight="1" x14ac:dyDescent="0.2">
      <c r="A20" s="42" t="s">
        <v>82</v>
      </c>
      <c r="B20" s="9">
        <v>35</v>
      </c>
      <c r="C20" s="23">
        <f>+Índice!I20/Índice!E20*100-100</f>
        <v>0</v>
      </c>
      <c r="D20" s="23">
        <f>+Índice!J20/Índice!F20*100-100</f>
        <v>0</v>
      </c>
      <c r="E20" s="23">
        <f>+Índice!K20/Índice!G20*100-100</f>
        <v>0</v>
      </c>
      <c r="F20" s="23">
        <f>+Índice!L20/Índice!H20*100-100</f>
        <v>7.1047957371064285E-3</v>
      </c>
      <c r="G20" s="23">
        <f>+Índice!M20/Índice!I20*100-100</f>
        <v>7.1047957371064285E-3</v>
      </c>
      <c r="H20" s="23">
        <f>+Índice!N20/Índice!J20*100-100</f>
        <v>7.1047957371064285E-3</v>
      </c>
      <c r="I20" s="23">
        <f>+Índice!O20/Índice!K20*100-100</f>
        <v>16.888593075002348</v>
      </c>
      <c r="J20" s="23">
        <f>+Índice!P20/Índice!L20*100-100</f>
        <v>16.880288969214121</v>
      </c>
      <c r="K20" s="23">
        <f>+Índice!Q20/Índice!M20*100-100</f>
        <v>16.880288969214121</v>
      </c>
      <c r="L20" s="23">
        <f>+Índice!R20/Índice!N20*100-100</f>
        <v>16.880288969214121</v>
      </c>
      <c r="M20" s="23">
        <f>+Índice!S20/Índice!O20*100-100</f>
        <v>0</v>
      </c>
      <c r="N20" s="23">
        <f>+Índice!T20/Índice!P20*100-100</f>
        <v>0</v>
      </c>
      <c r="O20" s="23">
        <f>+Índice!U20/Índice!Q20*100-100</f>
        <v>0</v>
      </c>
      <c r="P20" s="23">
        <f>+Índice!V20/Índice!R20*100-100</f>
        <v>-1.5010119610110451E-2</v>
      </c>
      <c r="Q20" s="23">
        <f>+Índice!W20/Índice!S20*100-100</f>
        <v>-1.5010119610110451E-2</v>
      </c>
      <c r="R20" s="23">
        <f>+Índice!X20/Índice!T20*100-100</f>
        <v>-1.0006746406730826E-2</v>
      </c>
      <c r="S20" s="23">
        <f>+Índice!Y20/Índice!U20*100-100</f>
        <v>0</v>
      </c>
      <c r="T20" s="23">
        <f>+Índice!Z20/Índice!V20*100-100</f>
        <v>1.5012372985239608E-2</v>
      </c>
      <c r="U20" s="23">
        <f>+Índice!AA20/Índice!W20*100-100</f>
        <v>1.5012372985239608E-2</v>
      </c>
      <c r="V20" s="23">
        <f>+Índice!AB20/Índice!X20*100-100</f>
        <v>-5.003873928345115E-3</v>
      </c>
      <c r="W20" s="23">
        <f>+Índice!AC20/Índice!Y20*100-100</f>
        <v>-4.6906623781239887E-4</v>
      </c>
      <c r="X20" s="23">
        <f>+Índice!AD20/Índice!Z20*100-100</f>
        <v>-5.863327972690513E-4</v>
      </c>
      <c r="Y20" s="23">
        <f>+Índice!AE20/Índice!AA20*100-100</f>
        <v>-1.5010119610110451E-2</v>
      </c>
      <c r="Z20" s="23">
        <f>+Índice!AF20/Índice!AB20*100-100</f>
        <v>1.4279346960563544E-2</v>
      </c>
      <c r="AA20" s="23">
        <f>+Índice!AG20/Índice!AC20*100-100</f>
        <v>-2.6385099640435783E-4</v>
      </c>
      <c r="AB20" s="23">
        <f>+Índice!AH20/Índice!AD20*100-100</f>
        <v>-1.4658405879686143E-4</v>
      </c>
      <c r="AC20" s="23">
        <f>+Índice!AI20/Índice!AE20*100-100</f>
        <v>1.4279346960563544E-2</v>
      </c>
      <c r="AD20" s="23">
        <f>+Índice!AJ20/Índice!AF20*100-100</f>
        <v>0</v>
      </c>
      <c r="AE20" s="49">
        <v>0</v>
      </c>
      <c r="AF20" s="49">
        <v>0</v>
      </c>
      <c r="AG20" s="49">
        <v>0</v>
      </c>
      <c r="AH20" s="49">
        <v>0</v>
      </c>
      <c r="AI20" s="49">
        <v>0</v>
      </c>
      <c r="AJ20" s="49">
        <v>11.54000000000002</v>
      </c>
      <c r="AK20" s="49">
        <v>11.54000000000002</v>
      </c>
      <c r="AL20" s="49">
        <v>11.54000000000002</v>
      </c>
      <c r="AM20" s="49">
        <v>11.54</v>
      </c>
      <c r="AN20" s="49">
        <v>11.54000000000002</v>
      </c>
      <c r="AO20" s="49">
        <v>11.54000000000002</v>
      </c>
      <c r="AP20" s="49">
        <v>11.54000000000002</v>
      </c>
      <c r="AQ20" s="49">
        <v>11.54000000000002</v>
      </c>
      <c r="AR20" s="49">
        <v>11.54000000000002</v>
      </c>
      <c r="AS20" s="49">
        <v>11.54000000000002</v>
      </c>
    </row>
    <row r="21" spans="1:45" ht="20.45" customHeight="1" x14ac:dyDescent="0.2">
      <c r="A21" s="42" t="s">
        <v>83</v>
      </c>
      <c r="B21" s="9" t="s">
        <v>48</v>
      </c>
      <c r="C21" s="23">
        <f>+Índice!I21/Índice!E21*100-100</f>
        <v>1.598300395590968E-2</v>
      </c>
      <c r="D21" s="23">
        <f>+Índice!J21/Índice!F21*100-100</f>
        <v>0</v>
      </c>
      <c r="E21" s="23">
        <f>+Índice!K21/Índice!G21*100-100</f>
        <v>39.901556557036457</v>
      </c>
      <c r="F21" s="23">
        <f>+Índice!L21/Índice!H21*100-100</f>
        <v>39.912529754204343</v>
      </c>
      <c r="G21" s="23">
        <f>+Índice!M21/Índice!I21*100-100</f>
        <v>39.889922331958985</v>
      </c>
      <c r="H21" s="23">
        <f>+Índice!N21/Índice!J21*100-100</f>
        <v>7.8435132802923135E-3</v>
      </c>
      <c r="I21" s="23">
        <f>+Índice!O21/Índice!K21*100-100</f>
        <v>-13.512125551471087</v>
      </c>
      <c r="J21" s="23">
        <f>+Índice!P21/Índice!L21*100-100</f>
        <v>-13.518908707351557</v>
      </c>
      <c r="K21" s="23">
        <f>+Índice!Q21/Índice!M21*100-100</f>
        <v>-4.2644855380062694</v>
      </c>
      <c r="L21" s="23">
        <f>+Índice!R21/Índice!N21*100-100</f>
        <v>33.913833275687296</v>
      </c>
      <c r="M21" s="23">
        <f>+Índice!S21/Índice!O21*100-100</f>
        <v>10.683206980210372</v>
      </c>
      <c r="N21" s="23">
        <f>+Índice!T21/Índice!P21*100-100</f>
        <v>11.194624761446633</v>
      </c>
      <c r="O21" s="23">
        <f>+Índice!U21/Índice!Q21*100-100</f>
        <v>0.4620554420036882</v>
      </c>
      <c r="P21" s="23">
        <f>+Índice!V21/Índice!R21*100-100</f>
        <v>0.43696604567628583</v>
      </c>
      <c r="Q21" s="23">
        <f>+Índice!W21/Índice!S21*100-100</f>
        <v>0.43696604567628583</v>
      </c>
      <c r="R21" s="23">
        <f>+Índice!X21/Índice!T21*100-100</f>
        <v>-1.6649335059568671E-2</v>
      </c>
      <c r="S21" s="23">
        <f>+Índice!Y21/Índice!U21*100-100</f>
        <v>-2.4974002589360111E-2</v>
      </c>
      <c r="T21" s="23">
        <f>+Índice!Z21/Índice!V21*100-100</f>
        <v>0</v>
      </c>
      <c r="U21" s="23">
        <f>+Índice!AA21/Índice!W21*100-100</f>
        <v>0</v>
      </c>
      <c r="V21" s="23">
        <f>+Índice!AB21/Índice!X21*100-100</f>
        <v>-8.3260537623743858E-3</v>
      </c>
      <c r="W21" s="23">
        <f>+Índice!AC21/Índice!Y21*100-100</f>
        <v>0</v>
      </c>
      <c r="X21" s="23">
        <f>+Índice!AD21/Índice!Z21*100-100</f>
        <v>0</v>
      </c>
      <c r="Y21" s="23">
        <f>+Índice!AE21/Índice!AA21*100-100</f>
        <v>0</v>
      </c>
      <c r="Z21" s="23">
        <f>+Índice!AF21/Índice!AB21*100-100</f>
        <v>0</v>
      </c>
      <c r="AA21" s="23">
        <f>+Índice!AG21/Índice!AC21*100-100</f>
        <v>0</v>
      </c>
      <c r="AB21" s="23">
        <f>+Índice!AH21/Índice!AD21*100-100</f>
        <v>0</v>
      </c>
      <c r="AC21" s="23">
        <f>+Índice!AI21/Índice!AE21*100-100</f>
        <v>0</v>
      </c>
      <c r="AD21" s="23">
        <f>+Índice!AJ21/Índice!AF21*100-100</f>
        <v>0</v>
      </c>
      <c r="AE21" s="49">
        <v>0</v>
      </c>
      <c r="AF21" s="49">
        <v>0</v>
      </c>
      <c r="AG21" s="49">
        <v>0</v>
      </c>
      <c r="AH21" s="49">
        <v>0</v>
      </c>
      <c r="AI21" s="49">
        <v>0</v>
      </c>
      <c r="AJ21" s="49">
        <v>0</v>
      </c>
      <c r="AK21" s="48">
        <v>0</v>
      </c>
      <c r="AL21" s="48">
        <v>0</v>
      </c>
      <c r="AM21" s="48">
        <v>0</v>
      </c>
      <c r="AN21" s="48">
        <v>0</v>
      </c>
      <c r="AO21" s="48">
        <v>0</v>
      </c>
      <c r="AP21" s="48">
        <v>0</v>
      </c>
      <c r="AQ21" s="48">
        <v>0</v>
      </c>
      <c r="AR21" s="48">
        <v>0</v>
      </c>
      <c r="AS21" s="48">
        <v>0</v>
      </c>
    </row>
    <row r="22" spans="1:45" ht="20.45" customHeight="1" x14ac:dyDescent="0.2">
      <c r="A22" s="40" t="s">
        <v>84</v>
      </c>
      <c r="B22" s="7" t="s">
        <v>49</v>
      </c>
      <c r="C22" s="23">
        <f>+Índice!I22/Índice!E22*100-100</f>
        <v>1.598300395590968E-2</v>
      </c>
      <c r="D22" s="23">
        <f>+Índice!J22/Índice!F22*100-100</f>
        <v>0</v>
      </c>
      <c r="E22" s="23">
        <f>+Índice!K22/Índice!G22*100-100</f>
        <v>39.901556557036457</v>
      </c>
      <c r="F22" s="23">
        <f>+Índice!L22/Índice!H22*100-100</f>
        <v>39.912529754204343</v>
      </c>
      <c r="G22" s="23">
        <f>+Índice!M22/Índice!I22*100-100</f>
        <v>39.889922331958985</v>
      </c>
      <c r="H22" s="23">
        <f>+Índice!N22/Índice!J22*100-100</f>
        <v>7.8435132802923135E-3</v>
      </c>
      <c r="I22" s="23">
        <f>+Índice!O22/Índice!K22*100-100</f>
        <v>-13.512125551471087</v>
      </c>
      <c r="J22" s="23">
        <f>+Índice!P22/Índice!L22*100-100</f>
        <v>-13.518908707351557</v>
      </c>
      <c r="K22" s="23">
        <f>+Índice!Q22/Índice!M22*100-100</f>
        <v>-4.2644855380062694</v>
      </c>
      <c r="L22" s="23">
        <f>+Índice!R22/Índice!N22*100-100</f>
        <v>33.913833275687296</v>
      </c>
      <c r="M22" s="23">
        <f>+Índice!S22/Índice!O22*100-100</f>
        <v>10.683206980210372</v>
      </c>
      <c r="N22" s="23">
        <f>+Índice!T22/Índice!P22*100-100</f>
        <v>11.194624761446633</v>
      </c>
      <c r="O22" s="23">
        <f>+Índice!U22/Índice!Q22*100-100</f>
        <v>0.4620554420036882</v>
      </c>
      <c r="P22" s="23">
        <f>+Índice!V22/Índice!R22*100-100</f>
        <v>0.43696604567628583</v>
      </c>
      <c r="Q22" s="23">
        <f>+Índice!W22/Índice!S22*100-100</f>
        <v>0.43696604567628583</v>
      </c>
      <c r="R22" s="23">
        <f>+Índice!X22/Índice!T22*100-100</f>
        <v>-1.6649335059568671E-2</v>
      </c>
      <c r="S22" s="23">
        <f>+Índice!Y22/Índice!U22*100-100</f>
        <v>-2.4974002589360111E-2</v>
      </c>
      <c r="T22" s="23">
        <f>+Índice!Z22/Índice!V22*100-100</f>
        <v>0</v>
      </c>
      <c r="U22" s="23">
        <f>+Índice!AA22/Índice!W22*100-100</f>
        <v>0</v>
      </c>
      <c r="V22" s="23">
        <f>+Índice!AB22/Índice!X22*100-100</f>
        <v>-8.3260537623743858E-3</v>
      </c>
      <c r="W22" s="23">
        <f>+Índice!AC22/Índice!Y22*100-100</f>
        <v>0</v>
      </c>
      <c r="X22" s="23">
        <f>+Índice!AD22/Índice!Z22*100-100</f>
        <v>0</v>
      </c>
      <c r="Y22" s="23">
        <f>+Índice!AE22/Índice!AA22*100-100</f>
        <v>0</v>
      </c>
      <c r="Z22" s="23">
        <f>+Índice!AF22/Índice!AB22*100-100</f>
        <v>0</v>
      </c>
      <c r="AA22" s="23">
        <f>+Índice!AG22/Índice!AC22*100-100</f>
        <v>0</v>
      </c>
      <c r="AB22" s="23">
        <f>+Índice!AH22/Índice!AD22*100-100</f>
        <v>0</v>
      </c>
      <c r="AC22" s="23">
        <f>+Índice!AI22/Índice!AE22*100-100</f>
        <v>0</v>
      </c>
      <c r="AD22" s="23">
        <f>+Índice!AJ22/Índice!AF22*100-100</f>
        <v>0</v>
      </c>
      <c r="AE22" s="49">
        <v>0</v>
      </c>
      <c r="AF22" s="49">
        <v>0</v>
      </c>
      <c r="AG22" s="49">
        <v>0</v>
      </c>
      <c r="AH22" s="49">
        <v>0</v>
      </c>
      <c r="AI22" s="49">
        <v>0</v>
      </c>
      <c r="AJ22" s="49">
        <v>0</v>
      </c>
      <c r="AK22" s="49">
        <v>0</v>
      </c>
      <c r="AL22" s="49">
        <v>0</v>
      </c>
      <c r="AM22" s="49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</row>
    <row r="23" spans="1:45" ht="20.45" customHeight="1" x14ac:dyDescent="0.2">
      <c r="A23" s="40" t="s">
        <v>98</v>
      </c>
      <c r="B23" s="7"/>
      <c r="C23" s="23" t="s">
        <v>64</v>
      </c>
      <c r="D23" s="23" t="s">
        <v>64</v>
      </c>
      <c r="E23" s="23" t="s">
        <v>64</v>
      </c>
      <c r="F23" s="23" t="s">
        <v>64</v>
      </c>
      <c r="G23" s="23" t="s">
        <v>64</v>
      </c>
      <c r="H23" s="23" t="s">
        <v>64</v>
      </c>
      <c r="I23" s="23" t="s">
        <v>64</v>
      </c>
      <c r="J23" s="23" t="s">
        <v>64</v>
      </c>
      <c r="K23" s="23" t="s">
        <v>64</v>
      </c>
      <c r="L23" s="23" t="s">
        <v>64</v>
      </c>
      <c r="M23" s="23" t="s">
        <v>64</v>
      </c>
      <c r="N23" s="23" t="s">
        <v>64</v>
      </c>
      <c r="O23" s="23" t="s">
        <v>64</v>
      </c>
      <c r="P23" s="23" t="s">
        <v>64</v>
      </c>
      <c r="Q23" s="23" t="s">
        <v>64</v>
      </c>
      <c r="R23" s="23" t="s">
        <v>64</v>
      </c>
      <c r="S23" s="23" t="s">
        <v>64</v>
      </c>
      <c r="T23" s="23" t="s">
        <v>64</v>
      </c>
      <c r="U23" s="23" t="s">
        <v>64</v>
      </c>
      <c r="V23" s="23" t="s">
        <v>64</v>
      </c>
      <c r="W23" s="23" t="s">
        <v>64</v>
      </c>
      <c r="X23" s="23" t="s">
        <v>64</v>
      </c>
      <c r="Y23" s="23" t="s">
        <v>64</v>
      </c>
      <c r="Z23" s="23" t="s">
        <v>64</v>
      </c>
      <c r="AA23" s="23" t="s">
        <v>64</v>
      </c>
      <c r="AB23" s="23" t="s">
        <v>64</v>
      </c>
      <c r="AC23" s="23" t="s">
        <v>64</v>
      </c>
      <c r="AD23" s="23" t="s">
        <v>64</v>
      </c>
      <c r="AE23" s="49">
        <v>20.423487872328266</v>
      </c>
      <c r="AF23" s="49">
        <v>5.048852570930535</v>
      </c>
      <c r="AG23" s="49">
        <v>5.9585510982132348</v>
      </c>
      <c r="AH23" s="49">
        <v>-1.1308102589815263</v>
      </c>
      <c r="AI23" s="49">
        <v>-6.1982800005584835</v>
      </c>
      <c r="AJ23" s="49">
        <v>3.845722154795169</v>
      </c>
      <c r="AK23" s="49">
        <v>-1.4099751523201292</v>
      </c>
      <c r="AL23" s="49">
        <v>-3.5728500758626325</v>
      </c>
      <c r="AM23" s="49">
        <v>-1.9431814462287349</v>
      </c>
      <c r="AN23" s="49">
        <v>-0.82341644187906127</v>
      </c>
      <c r="AO23" s="49">
        <v>-5.8496748418969275</v>
      </c>
      <c r="AP23" s="49">
        <v>-6.1949823150775671</v>
      </c>
      <c r="AQ23" s="49">
        <v>-3.8442306045444496</v>
      </c>
      <c r="AR23" s="49">
        <v>-2.0312674451884334</v>
      </c>
      <c r="AS23" s="49">
        <v>33.734279936984649</v>
      </c>
    </row>
    <row r="24" spans="1:45" ht="20.45" customHeight="1" x14ac:dyDescent="0.2">
      <c r="A24" s="40" t="s">
        <v>85</v>
      </c>
      <c r="B24" s="9"/>
      <c r="C24" s="23">
        <f>+Índice!I24/Índice!E24*100-100</f>
        <v>38.190982573608437</v>
      </c>
      <c r="D24" s="23">
        <f>+Índice!J24/Índice!F24*100-100</f>
        <v>53.668346237486276</v>
      </c>
      <c r="E24" s="23">
        <f>+Índice!K24/Índice!G24*100-100</f>
        <v>54.097952180244391</v>
      </c>
      <c r="F24" s="23">
        <f>+Índice!L24/Índice!H24*100-100</f>
        <v>54.033133611058872</v>
      </c>
      <c r="G24" s="23">
        <f>+Índice!M24/Índice!I24*100-100</f>
        <v>12.557578006035627</v>
      </c>
      <c r="H24" s="23">
        <f>+Índice!N24/Índice!J24*100-100</f>
        <v>0.12525421279573834</v>
      </c>
      <c r="I24" s="23">
        <f>+Índice!O24/Índice!K24*100-100</f>
        <v>2.0575851891673267</v>
      </c>
      <c r="J24" s="23">
        <f>+Índice!P24/Índice!L24*100-100</f>
        <v>6.7631718391137667</v>
      </c>
      <c r="K24" s="23">
        <f>+Índice!Q24/Índice!M24*100-100</f>
        <v>7.1475881597097271</v>
      </c>
      <c r="L24" s="23">
        <f>+Índice!R24/Índice!N24*100-100</f>
        <v>12.193950768011305</v>
      </c>
      <c r="M24" s="23">
        <f>+Índice!S24/Índice!O24*100-100</f>
        <v>20.585315584157215</v>
      </c>
      <c r="N24" s="23">
        <f>+Índice!T24/Índice!P24*100-100</f>
        <v>19.261472252543783</v>
      </c>
      <c r="O24" s="23">
        <f>+Índice!U24/Índice!Q24*100-100</f>
        <v>19.638900786051309</v>
      </c>
      <c r="P24" s="23">
        <f>+Índice!V24/Índice!R24*100-100</f>
        <v>17.735285637502969</v>
      </c>
      <c r="Q24" s="23">
        <f>+Índice!W24/Índice!S24*100-100</f>
        <v>8.1236372201804414</v>
      </c>
      <c r="R24" s="23">
        <f>+Índice!X24/Índice!T24*100-100</f>
        <v>3.6061367373158077</v>
      </c>
      <c r="S24" s="23">
        <f>+Índice!Y24/Índice!U24*100-100</f>
        <v>4.861846371383109</v>
      </c>
      <c r="T24" s="23">
        <f>+Índice!Z24/Índice!V24*100-100</f>
        <v>4.1785639739909186</v>
      </c>
      <c r="U24" s="23">
        <f>+Índice!AA24/Índice!W24*100-100</f>
        <v>4.0602566766059454</v>
      </c>
      <c r="V24" s="23">
        <f>+Índice!AB24/Índice!X24*100-100</f>
        <v>6.678693957469477</v>
      </c>
      <c r="W24" s="23">
        <f>+Índice!AC24/Índice!Y24*100-100</f>
        <v>-5.3876986061525969</v>
      </c>
      <c r="X24" s="23">
        <f>+Índice!AD24/Índice!Z24*100-100</f>
        <v>-4.0509141448078481</v>
      </c>
      <c r="Y24" s="23">
        <f>+Índice!AE24/Índice!AA24*100-100</f>
        <v>-3.2754941203685775</v>
      </c>
      <c r="Z24" s="23">
        <f>+Índice!AF24/Índice!AB24*100-100</f>
        <v>-3.3306047649093671</v>
      </c>
      <c r="AA24" s="23">
        <f>+Índice!AG24/Índice!AC24*100-100</f>
        <v>11.046448153210989</v>
      </c>
      <c r="AB24" s="23">
        <f>+Índice!AH24/Índice!AD24*100-100</f>
        <v>9.7157665472490891</v>
      </c>
      <c r="AC24" s="23">
        <f>+Índice!AI24/Índice!AE24*100-100</f>
        <v>9.1237451656958797</v>
      </c>
      <c r="AD24" s="23">
        <f>+Índice!AJ24/Índice!AF24*100-100</f>
        <v>8.3690034045311705</v>
      </c>
      <c r="AE24" s="49">
        <v>-6.1068895153679392</v>
      </c>
      <c r="AF24" s="49">
        <v>4.9008656638352335</v>
      </c>
      <c r="AG24" s="49">
        <v>7.0238474731050928</v>
      </c>
      <c r="AH24" s="49">
        <v>6.2637973414351222</v>
      </c>
      <c r="AI24" s="49">
        <v>7.2551467950655564</v>
      </c>
      <c r="AJ24" s="49">
        <v>6.1544335793736593</v>
      </c>
      <c r="AK24" s="48">
        <v>-4.1218920321704076</v>
      </c>
      <c r="AL24" s="48">
        <v>-11.830721187378074</v>
      </c>
      <c r="AM24" s="48">
        <v>-16.440000000000001</v>
      </c>
      <c r="AN24" s="48">
        <v>-7.5357439459461091</v>
      </c>
      <c r="AO24" s="48">
        <v>-19.283546774962929</v>
      </c>
      <c r="AP24" s="48">
        <v>-26.713646811269186</v>
      </c>
      <c r="AQ24" s="48">
        <v>-27.286519343694749</v>
      </c>
      <c r="AR24" s="48">
        <v>-28.963099555958607</v>
      </c>
      <c r="AS24" s="48">
        <v>-17.423337726755648</v>
      </c>
    </row>
    <row r="25" spans="1:45" ht="20.45" customHeight="1" x14ac:dyDescent="0.2">
      <c r="A25" s="40" t="s">
        <v>86</v>
      </c>
      <c r="B25" s="9"/>
      <c r="C25" s="9" t="s">
        <v>64</v>
      </c>
      <c r="D25" s="9" t="s">
        <v>64</v>
      </c>
      <c r="E25" s="9" t="s">
        <v>64</v>
      </c>
      <c r="F25" s="9" t="s">
        <v>64</v>
      </c>
      <c r="G25" s="9" t="s">
        <v>64</v>
      </c>
      <c r="H25" s="9" t="s">
        <v>64</v>
      </c>
      <c r="I25" s="9" t="s">
        <v>64</v>
      </c>
      <c r="J25" s="9" t="s">
        <v>64</v>
      </c>
      <c r="K25" s="9" t="s">
        <v>64</v>
      </c>
      <c r="L25" s="9" t="s">
        <v>64</v>
      </c>
      <c r="M25" s="9" t="s">
        <v>64</v>
      </c>
      <c r="N25" s="9" t="s">
        <v>64</v>
      </c>
      <c r="O25" s="9" t="s">
        <v>64</v>
      </c>
      <c r="P25" s="9" t="s">
        <v>64</v>
      </c>
      <c r="Q25" s="9" t="s">
        <v>64</v>
      </c>
      <c r="R25" s="9" t="s">
        <v>64</v>
      </c>
      <c r="S25" s="9" t="s">
        <v>64</v>
      </c>
      <c r="T25" s="9" t="s">
        <v>64</v>
      </c>
      <c r="U25" s="9" t="s">
        <v>64</v>
      </c>
      <c r="V25" s="9" t="s">
        <v>64</v>
      </c>
      <c r="W25" s="9" t="s">
        <v>64</v>
      </c>
      <c r="X25" s="9" t="s">
        <v>64</v>
      </c>
      <c r="Y25" s="9" t="s">
        <v>64</v>
      </c>
      <c r="Z25" s="9" t="s">
        <v>64</v>
      </c>
      <c r="AA25" s="9" t="s">
        <v>64</v>
      </c>
      <c r="AB25" s="9" t="s">
        <v>64</v>
      </c>
      <c r="AC25" s="9" t="s">
        <v>64</v>
      </c>
      <c r="AD25" s="9" t="s">
        <v>64</v>
      </c>
      <c r="AE25" s="49">
        <v>5.3326451675527835</v>
      </c>
      <c r="AF25" s="49">
        <v>5.5392735659586663</v>
      </c>
      <c r="AG25" s="49">
        <v>5.9129961513743439</v>
      </c>
      <c r="AH25" s="49">
        <v>5.9310851723395075</v>
      </c>
      <c r="AI25" s="49">
        <v>6.069294547506459</v>
      </c>
      <c r="AJ25" s="49">
        <v>6.2472275958926389</v>
      </c>
      <c r="AK25" s="48">
        <v>1.5696425284581039</v>
      </c>
      <c r="AL25" s="48">
        <v>7.1962209747569119</v>
      </c>
      <c r="AM25" s="48">
        <v>7.33</v>
      </c>
      <c r="AN25" s="48">
        <v>7.2782696817668153</v>
      </c>
      <c r="AO25" s="48">
        <v>7.8624675762527119</v>
      </c>
      <c r="AP25" s="48">
        <v>7.2639166256585099</v>
      </c>
      <c r="AQ25" s="48">
        <v>6.5725278942153693</v>
      </c>
      <c r="AR25" s="48">
        <v>6.2453209779896213</v>
      </c>
      <c r="AS25" s="48">
        <v>7.1941490563496302</v>
      </c>
    </row>
    <row r="26" spans="1:45" ht="20.45" customHeight="1" x14ac:dyDescent="0.2">
      <c r="A26" s="40" t="s">
        <v>87</v>
      </c>
      <c r="B26" s="9"/>
      <c r="C26" s="23">
        <f>+Índice!I26/Índice!E26*100-100</f>
        <v>-1.41021395269496</v>
      </c>
      <c r="D26" s="23">
        <f>+Índice!J26/Índice!F26*100-100</f>
        <v>0.30914687536638041</v>
      </c>
      <c r="E26" s="23">
        <f>+Índice!K26/Índice!G26*100-100</f>
        <v>-1.5686294087492172</v>
      </c>
      <c r="F26" s="23">
        <f>+Índice!L26/Índice!H26*100-100</f>
        <v>-1.8183541139638209</v>
      </c>
      <c r="G26" s="23">
        <f>+Índice!M26/Índice!I26*100-100</f>
        <v>-8.6884949065466515</v>
      </c>
      <c r="H26" s="23">
        <f>+Índice!N26/Índice!J26*100-100</f>
        <v>2.5813976886631878</v>
      </c>
      <c r="I26" s="23">
        <f>+Índice!O26/Índice!K26*100-100</f>
        <v>8.632522702540939</v>
      </c>
      <c r="J26" s="23">
        <f>+Índice!P26/Índice!L26*100-100</f>
        <v>13.083423492519387</v>
      </c>
      <c r="K26" s="23">
        <f>+Índice!Q26/Índice!M26*100-100</f>
        <v>5.6129384663273498</v>
      </c>
      <c r="L26" s="23">
        <f>+Índice!R26/Índice!N26*100-100</f>
        <v>0.381335093673556</v>
      </c>
      <c r="M26" s="23">
        <f>+Índice!S26/Índice!O26*100-100</f>
        <v>7.6135594276041729</v>
      </c>
      <c r="N26" s="23">
        <f>+Índice!T26/Índice!P26*100-100</f>
        <v>14.224638467472218</v>
      </c>
      <c r="O26" s="23">
        <f>+Índice!U26/Índice!Q26*100-100</f>
        <v>34.735650776743825</v>
      </c>
      <c r="P26" s="23">
        <f>+Índice!V26/Índice!R26*100-100</f>
        <v>25.093749887394907</v>
      </c>
      <c r="Q26" s="23">
        <f>+Índice!W26/Índice!S26*100-100</f>
        <v>14.109578566306283</v>
      </c>
      <c r="R26" s="23">
        <f>+Índice!X26/Índice!T26*100-100</f>
        <v>2.9251374256580078</v>
      </c>
      <c r="S26" s="23">
        <f>+Índice!Y26/Índice!U26*100-100</f>
        <v>7.4098669719306258</v>
      </c>
      <c r="T26" s="23">
        <f>+Índice!Z26/Índice!V26*100-100</f>
        <v>7.0609834255797921</v>
      </c>
      <c r="U26" s="23">
        <f>+Índice!AA26/Índice!W26*100-100</f>
        <v>6.3815849093772101</v>
      </c>
      <c r="V26" s="23">
        <f>+Índice!AB26/Índice!X26*100-100</f>
        <v>9.797133811012614</v>
      </c>
      <c r="W26" s="23">
        <f>+Índice!AC26/Índice!Y26*100-100</f>
        <v>7.2310399717173084</v>
      </c>
      <c r="X26" s="23">
        <f>+Índice!AD26/Índice!Z26*100-100</f>
        <v>7.8383631924090906</v>
      </c>
      <c r="Y26" s="23">
        <f>+Índice!AE26/Índice!AA26*100-100</f>
        <v>8.0014150185396176</v>
      </c>
      <c r="Z26" s="23">
        <f>+Índice!AF26/Índice!AB26*100-100</f>
        <v>9.3533360578190354</v>
      </c>
      <c r="AA26" s="23">
        <f>+Índice!AG26/Índice!AC26*100-100</f>
        <v>12.6943037041016</v>
      </c>
      <c r="AB26" s="23">
        <f>+Índice!AH26/Índice!AD26*100-100</f>
        <v>13.028875759269766</v>
      </c>
      <c r="AC26" s="23">
        <f>+Índice!AI26/Índice!AE26*100-100</f>
        <v>13.224403637952875</v>
      </c>
      <c r="AD26" s="23">
        <f>+Índice!AJ26/Índice!AF26*100-100</f>
        <v>12.052491367755209</v>
      </c>
      <c r="AE26" s="49">
        <v>5.3480361255197977</v>
      </c>
      <c r="AF26" s="49">
        <v>5.5353050528349712</v>
      </c>
      <c r="AG26" s="49">
        <v>5.9164165090893874</v>
      </c>
      <c r="AH26" s="49">
        <v>6.1306535661560702</v>
      </c>
      <c r="AI26" s="49">
        <v>6.0785718723665099</v>
      </c>
      <c r="AJ26" s="49">
        <v>6.3605235245485403</v>
      </c>
      <c r="AK26" s="48">
        <v>1.5787768836016909</v>
      </c>
      <c r="AL26" s="48">
        <v>5.8312715851464674</v>
      </c>
      <c r="AM26" s="48">
        <v>5.51</v>
      </c>
      <c r="AN26" s="48">
        <v>5.3207227745048442</v>
      </c>
      <c r="AO26" s="48">
        <v>5.0501077788778446</v>
      </c>
      <c r="AP26" s="48">
        <v>4.3328618274734367</v>
      </c>
      <c r="AQ26" s="48">
        <v>3.9459760620174791</v>
      </c>
      <c r="AR26" s="48">
        <v>3.9357827025151835</v>
      </c>
      <c r="AS26" s="48">
        <v>3.8064965699081483</v>
      </c>
    </row>
    <row r="27" spans="1:45" ht="20.45" customHeight="1" thickBot="1" x14ac:dyDescent="0.25">
      <c r="A27" s="41" t="s">
        <v>88</v>
      </c>
      <c r="B27" s="16"/>
      <c r="C27" s="24">
        <f>+Índice!I27/Índice!E27*100-100</f>
        <v>21.764121301729972</v>
      </c>
      <c r="D27" s="24">
        <f>+Índice!J27/Índice!F27*100-100</f>
        <v>29.7437320540146</v>
      </c>
      <c r="E27" s="24">
        <f>+Índice!K27/Índice!G27*100-100</f>
        <v>47.122794059869278</v>
      </c>
      <c r="F27" s="24">
        <f>+Índice!L27/Índice!H27*100-100</f>
        <v>-9.1533066850543321</v>
      </c>
      <c r="G27" s="24">
        <f>+Índice!M27/Índice!I27*100-100</f>
        <v>11.201651199200001</v>
      </c>
      <c r="H27" s="24">
        <f>+Índice!N27/Índice!J27*100-100</f>
        <v>12.095531324418943</v>
      </c>
      <c r="I27" s="24">
        <f>+Índice!O27/Índice!K27*100-100</f>
        <v>-0.24177786555161163</v>
      </c>
      <c r="J27" s="24">
        <f>+Índice!P27/Índice!L27*100-100</f>
        <v>32.993006367005449</v>
      </c>
      <c r="K27" s="24">
        <f>+Índice!Q27/Índice!M27*100-100</f>
        <v>-0.32332561882330424</v>
      </c>
      <c r="L27" s="24">
        <f>+Índice!R27/Índice!N27*100-100</f>
        <v>-7.3961705091619905</v>
      </c>
      <c r="M27" s="24">
        <f>+Índice!S27/Índice!O27*100-100</f>
        <v>8.1406123160383146</v>
      </c>
      <c r="N27" s="24">
        <f>+Índice!T27/Índice!P27*100-100</f>
        <v>12.556876632648169</v>
      </c>
      <c r="O27" s="24">
        <f>+Índice!U27/Índice!Q27*100-100</f>
        <v>42.981390011282116</v>
      </c>
      <c r="P27" s="24">
        <f>+Índice!V27/Índice!R27*100-100</f>
        <v>67.227855453461274</v>
      </c>
      <c r="Q27" s="24">
        <f>+Índice!W27/Índice!S27*100-100</f>
        <v>59.76107398783634</v>
      </c>
      <c r="R27" s="24">
        <f>+Índice!X27/Índice!T27*100-100</f>
        <v>40.11664324441486</v>
      </c>
      <c r="S27" s="24">
        <f>+Índice!Y27/Índice!U27*100-100</f>
        <v>33.565927136852366</v>
      </c>
      <c r="T27" s="24">
        <f>+Índice!Z27/Índice!V27*100-100</f>
        <v>33.019833368029424</v>
      </c>
      <c r="U27" s="24">
        <f>+Índice!AA27/Índice!W27*100-100</f>
        <v>11.839572700318769</v>
      </c>
      <c r="V27" s="24">
        <f>+Índice!AB27/Índice!X27*100-100</f>
        <v>3.7640925584609022</v>
      </c>
      <c r="W27" s="24">
        <f>+Índice!AC27/Índice!Y27*100-100</f>
        <v>-22.702142837244196</v>
      </c>
      <c r="X27" s="24">
        <f>+Índice!AD27/Índice!Z27*100-100</f>
        <v>-32.062033373690952</v>
      </c>
      <c r="Y27" s="24">
        <f>+Índice!AE27/Índice!AA27*100-100</f>
        <v>-14.972648369054568</v>
      </c>
      <c r="Z27" s="24">
        <f>+Índice!AF27/Índice!AB27*100-100</f>
        <v>-2.8028282549258847</v>
      </c>
      <c r="AA27" s="24">
        <f>+Índice!AG27/Índice!AC27*100-100</f>
        <v>4.2998629540819593</v>
      </c>
      <c r="AB27" s="24">
        <f>+Índice!AH27/Índice!AD27*100-100</f>
        <v>9.262546810610786</v>
      </c>
      <c r="AC27" s="24">
        <f>+Índice!AI27/Índice!AE27*100-100</f>
        <v>-7.5227810334701957</v>
      </c>
      <c r="AD27" s="24">
        <f>+Índice!AJ27/Índice!AF27*100-100</f>
        <v>-12.087283752476878</v>
      </c>
      <c r="AE27" s="24">
        <v>25.898037494074757</v>
      </c>
      <c r="AF27" s="24">
        <v>5.0171196122662991</v>
      </c>
      <c r="AG27" s="24">
        <v>5.8633648281202397</v>
      </c>
      <c r="AH27" s="24">
        <v>-2.6611330225158554</v>
      </c>
      <c r="AI27" s="24">
        <v>-6.0178288114466625</v>
      </c>
      <c r="AJ27" s="24">
        <v>5.9661298630053921</v>
      </c>
      <c r="AK27" s="46">
        <v>69.091771566497385</v>
      </c>
      <c r="AL27" s="46">
        <v>-3.3025892268255319</v>
      </c>
      <c r="AM27" s="46">
        <v>-1.29</v>
      </c>
      <c r="AN27" s="46">
        <v>-5.268663657199113E-2</v>
      </c>
      <c r="AO27" s="46">
        <v>-5.6952619692950464</v>
      </c>
      <c r="AP27" s="46">
        <v>-6.2557612942827632</v>
      </c>
      <c r="AQ27" s="46">
        <v>-2.1607512976620598</v>
      </c>
      <c r="AR27" s="46">
        <v>3.2319333531532379E-2</v>
      </c>
      <c r="AS27" s="46">
        <v>41.388048198346752</v>
      </c>
    </row>
    <row r="28" spans="1:45" ht="20.45" customHeight="1" x14ac:dyDescent="0.2">
      <c r="A28" s="20" t="s">
        <v>54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R28" s="22"/>
    </row>
    <row r="29" spans="1:45" ht="17.25" customHeight="1" x14ac:dyDescent="0.2">
      <c r="A29" s="20" t="s">
        <v>65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9"/>
  <sheetViews>
    <sheetView showGridLines="0" tabSelected="1" workbookViewId="0">
      <pane xSplit="1" topLeftCell="AU1" activePane="topRight" state="frozen"/>
      <selection pane="topRight" activeCell="AY6" sqref="AY6"/>
    </sheetView>
  </sheetViews>
  <sheetFormatPr defaultColWidth="8.85546875" defaultRowHeight="12" x14ac:dyDescent="0.2"/>
  <cols>
    <col min="1" max="1" width="55" style="5" customWidth="1"/>
    <col min="2" max="2" width="9.28515625" style="5" customWidth="1"/>
    <col min="3" max="34" width="10" style="5" customWidth="1"/>
    <col min="35" max="16384" width="8.85546875" style="5"/>
  </cols>
  <sheetData>
    <row r="1" spans="1:49" ht="20.45" customHeight="1" x14ac:dyDescent="0.2">
      <c r="A1" s="6" t="s">
        <v>92</v>
      </c>
    </row>
    <row r="2" spans="1:49" ht="30" customHeight="1" thickBot="1" x14ac:dyDescent="0.25">
      <c r="A2" s="37" t="s">
        <v>0</v>
      </c>
      <c r="B2" s="44" t="s">
        <v>1</v>
      </c>
      <c r="C2" s="38" t="s">
        <v>4</v>
      </c>
      <c r="D2" s="38" t="s">
        <v>5</v>
      </c>
      <c r="E2" s="38" t="s">
        <v>6</v>
      </c>
      <c r="F2" s="38" t="s">
        <v>7</v>
      </c>
      <c r="G2" s="38" t="s">
        <v>8</v>
      </c>
      <c r="H2" s="38" t="s">
        <v>9</v>
      </c>
      <c r="I2" s="38" t="s">
        <v>10</v>
      </c>
      <c r="J2" s="38" t="s">
        <v>11</v>
      </c>
      <c r="K2" s="38" t="s">
        <v>12</v>
      </c>
      <c r="L2" s="38" t="s">
        <v>13</v>
      </c>
      <c r="M2" s="38" t="s">
        <v>14</v>
      </c>
      <c r="N2" s="38" t="s">
        <v>15</v>
      </c>
      <c r="O2" s="38" t="s">
        <v>16</v>
      </c>
      <c r="P2" s="38" t="s">
        <v>17</v>
      </c>
      <c r="Q2" s="38" t="s">
        <v>18</v>
      </c>
      <c r="R2" s="38" t="s">
        <v>19</v>
      </c>
      <c r="S2" s="38" t="s">
        <v>20</v>
      </c>
      <c r="T2" s="38" t="s">
        <v>21</v>
      </c>
      <c r="U2" s="38" t="s">
        <v>22</v>
      </c>
      <c r="V2" s="38" t="s">
        <v>23</v>
      </c>
      <c r="W2" s="38" t="s">
        <v>24</v>
      </c>
      <c r="X2" s="38" t="s">
        <v>25</v>
      </c>
      <c r="Y2" s="38" t="s">
        <v>26</v>
      </c>
      <c r="Z2" s="38" t="s">
        <v>27</v>
      </c>
      <c r="AA2" s="38" t="s">
        <v>28</v>
      </c>
      <c r="AB2" s="38" t="s">
        <v>29</v>
      </c>
      <c r="AC2" s="38" t="s">
        <v>30</v>
      </c>
      <c r="AD2" s="38" t="s">
        <v>31</v>
      </c>
      <c r="AE2" s="38" t="s">
        <v>50</v>
      </c>
      <c r="AF2" s="38" t="s">
        <v>51</v>
      </c>
      <c r="AG2" s="38" t="s">
        <v>52</v>
      </c>
      <c r="AH2" s="38" t="s">
        <v>53</v>
      </c>
      <c r="AI2" s="45" t="s">
        <v>56</v>
      </c>
      <c r="AJ2" s="45" t="s">
        <v>57</v>
      </c>
      <c r="AK2" s="45" t="s">
        <v>58</v>
      </c>
      <c r="AL2" s="45" t="s">
        <v>59</v>
      </c>
      <c r="AM2" s="45" t="s">
        <v>60</v>
      </c>
      <c r="AN2" s="45" t="s">
        <v>61</v>
      </c>
      <c r="AO2" s="45" t="s">
        <v>62</v>
      </c>
      <c r="AP2" s="45" t="s">
        <v>63</v>
      </c>
      <c r="AQ2" s="45" t="s">
        <v>93</v>
      </c>
      <c r="AR2" s="45" t="s">
        <v>94</v>
      </c>
      <c r="AS2" s="45" t="s">
        <v>95</v>
      </c>
      <c r="AT2" s="45" t="s">
        <v>96</v>
      </c>
      <c r="AU2" s="45" t="s">
        <v>97</v>
      </c>
      <c r="AV2" s="45" t="s">
        <v>99</v>
      </c>
      <c r="AW2" s="45" t="s">
        <v>100</v>
      </c>
    </row>
    <row r="3" spans="1:49" s="6" customFormat="1" ht="20.45" customHeight="1" thickBot="1" x14ac:dyDescent="0.25">
      <c r="A3" s="11" t="s">
        <v>32</v>
      </c>
      <c r="B3" s="12" t="s">
        <v>33</v>
      </c>
      <c r="C3" s="21">
        <f>+(Índice!E3-Índice!D3)*Índice!$C3/Índice!D$3</f>
        <v>17.156133188851921</v>
      </c>
      <c r="D3" s="21">
        <f>+(Índice!F3-Índice!E3)*Índice!$C3/Índice!E$3</f>
        <v>-4.331716339674287</v>
      </c>
      <c r="E3" s="21">
        <f>+(Índice!G3-Índice!F3)*Índice!$C3/Índice!F$3</f>
        <v>-4.7586106458484805</v>
      </c>
      <c r="F3" s="21">
        <f>+(Índice!H3-Índice!G3)*Índice!$C3/Índice!G$3</f>
        <v>20.470700887870571</v>
      </c>
      <c r="G3" s="21">
        <f>+(Índice!I3-Índice!H3)*Índice!$C3/Índice!H$3</f>
        <v>9.2315832495806092</v>
      </c>
      <c r="H3" s="21">
        <f>+(Índice!J3-Índice!I3)*Índice!$C3/Índice!I$3</f>
        <v>2.3573898124605912</v>
      </c>
      <c r="I3" s="21">
        <f>+(Índice!K3-Índice!J3)*Índice!$C3/Índice!J$3</f>
        <v>6.2894828854716085</v>
      </c>
      <c r="J3" s="21">
        <f>+(Índice!L3-Índice!K3)*Índice!$C3/Índice!K$3</f>
        <v>-20.919855751832511</v>
      </c>
      <c r="K3" s="21">
        <f>+(Índice!M3-Índice!L3)*Índice!$C3/Índice!L$3</f>
        <v>25.937319820181667</v>
      </c>
      <c r="L3" s="21">
        <f>+(Índice!N3-Índice!M3)*Índice!$C3/Índice!M$3</f>
        <v>-6.966773847802787</v>
      </c>
      <c r="M3" s="21">
        <f>+(Índice!O3-Índice!N3)*Índice!$C3/Índice!N$3</f>
        <v>-3.5285008352534595</v>
      </c>
      <c r="N3" s="21">
        <f>+(Índice!P3-Índice!O3)*Índice!$C3/Índice!O$3</f>
        <v>3.4827948103321771</v>
      </c>
      <c r="O3" s="21">
        <f>+(Índice!Q3-Índice!P3)*Índice!$C3/Índice!P$3</f>
        <v>0.68135165679104193</v>
      </c>
      <c r="P3" s="21">
        <f>+(Índice!R3-Índice!Q3)*Índice!$C3/Índice!Q$3</f>
        <v>-4.3920183535855868</v>
      </c>
      <c r="Q3" s="21">
        <f>+(Índice!S3-Índice!R3)*Índice!$C3/Índice!R$3</f>
        <v>21.172618853972747</v>
      </c>
      <c r="R3" s="21">
        <f>+(Índice!T3-Índice!S3)*Índice!$C3/Índice!S$3</f>
        <v>2.9971587648286997</v>
      </c>
      <c r="S3" s="21">
        <f>+(Índice!U3-Índice!T3)*Índice!$C3/Índice!T$3</f>
        <v>29.58296549704804</v>
      </c>
      <c r="T3" s="21">
        <f>+(Índice!V3-Índice!U3)*Índice!$C3/Índice!U$3</f>
        <v>10.23086761368854</v>
      </c>
      <c r="U3" s="21">
        <f>+(Índice!W3-Índice!V3)*Índice!$C3/Índice!V$3</f>
        <v>6.5568258238063217</v>
      </c>
      <c r="V3" s="21">
        <f>+(Índice!X3-Índice!W3)*Índice!$C3/Índice!W$3</f>
        <v>-7.0056393650742104</v>
      </c>
      <c r="W3" s="21">
        <f>+(Índice!Y3-Índice!X3)*Índice!$C3/Índice!X$3</f>
        <v>21.649916804047542</v>
      </c>
      <c r="X3" s="21">
        <f>+(Índice!Z3-Índice!Y3)*Índice!$C3/Índice!Y$3</f>
        <v>9.6100056748208722</v>
      </c>
      <c r="Y3" s="21">
        <f>+(Índice!AA3-Índice!Z3)*Índice!$C3/Índice!Z$3</f>
        <v>-10.158229512262821</v>
      </c>
      <c r="Z3" s="21">
        <f>+(Índice!AB3-Índice!AA3)*Índice!$C3/Índice!AA$3</f>
        <v>-12.841785295333821</v>
      </c>
      <c r="AA3" s="21">
        <f>+(Índice!AC3-Índice!AB3)*Índice!$C3/Índice!AB$3</f>
        <v>-8.4653590067570779</v>
      </c>
      <c r="AB3" s="21">
        <f>+(Índice!AD3-Índice!AC3)*Índice!$C3/Índice!AC$3</f>
        <v>-2.4254182986718917</v>
      </c>
      <c r="AC3" s="21">
        <f>+(Índice!AE3-Índice!AD3)*Índice!$C3/Índice!AD$3</f>
        <v>11.381651397764566</v>
      </c>
      <c r="AD3" s="21">
        <f>+(Índice!AF3-Índice!AE3)*Índice!$C3/Índice!AE$3</f>
        <v>-1.8657445124834382</v>
      </c>
      <c r="AE3" s="21">
        <f>+(Índice!AG3-Índice!AF3)*Índice!$C3/Índice!AF$3</f>
        <v>-1.1621888542118748</v>
      </c>
      <c r="AF3" s="21">
        <f>+(Índice!AH3-Índice!AG3)*Índice!$C3/Índice!AG$3</f>
        <v>1.8027809276477165</v>
      </c>
      <c r="AG3" s="21">
        <f>+(Índice!AI3-Índice!AH3)*Índice!$C3/Índice!AH$3</f>
        <v>-5.2378231802289825</v>
      </c>
      <c r="AH3" s="21">
        <f>+(Índice!AJ3-Índice!AI3)*Índice!$C3/Índice!AI$3</f>
        <v>-5.6759987305031094</v>
      </c>
      <c r="AI3" s="47">
        <v>1.643030814892976</v>
      </c>
      <c r="AJ3" s="47">
        <v>1.2256093117950666</v>
      </c>
      <c r="AK3" s="47">
        <v>4.3952075387286058</v>
      </c>
      <c r="AL3" s="47">
        <v>-3.3240564583362464</v>
      </c>
      <c r="AM3" s="47">
        <v>-4.0476177953393799</v>
      </c>
      <c r="AN3" s="47">
        <v>6.0043143213160723</v>
      </c>
      <c r="AO3" s="47">
        <v>-0.56539828023553185</v>
      </c>
      <c r="AP3" s="47">
        <v>-2.3218774640308886</v>
      </c>
      <c r="AQ3" s="47">
        <v>-1.2702521066725483</v>
      </c>
      <c r="AR3" s="47">
        <v>-3.0960591791134924</v>
      </c>
      <c r="AS3" s="47">
        <v>-5.0226812230366038</v>
      </c>
      <c r="AT3" s="47">
        <v>-1.084479532360044</v>
      </c>
      <c r="AU3" s="47">
        <v>5.42720212498031</v>
      </c>
      <c r="AV3" s="47">
        <v>3.0990931227939029</v>
      </c>
      <c r="AW3" s="47">
        <v>42.615775013841471</v>
      </c>
    </row>
    <row r="4" spans="1:49" s="6" customFormat="1" ht="20.45" customHeight="1" x14ac:dyDescent="0.2">
      <c r="A4" s="39" t="s">
        <v>66</v>
      </c>
      <c r="B4" s="7" t="s">
        <v>34</v>
      </c>
      <c r="C4" s="22">
        <f>+(Índice!E4-Índice!D4)*Índice!$C4/Índice!D$3</f>
        <v>17.422094176542501</v>
      </c>
      <c r="D4" s="22">
        <f>+(Índice!F4-Índice!E4)*Índice!$C4/Índice!E$3</f>
        <v>-4.6285202508474717</v>
      </c>
      <c r="E4" s="22">
        <f>+(Índice!G4-Índice!F4)*Índice!$C4/Índice!F$3</f>
        <v>-4.8552375453764318</v>
      </c>
      <c r="F4" s="22">
        <f>+(Índice!H4-Índice!G4)*Índice!$C4/Índice!G$3</f>
        <v>21.001821760138192</v>
      </c>
      <c r="G4" s="22">
        <f>+(Índice!I4-Índice!H4)*Índice!$C4/Índice!H$3</f>
        <v>9.4415849236457383</v>
      </c>
      <c r="H4" s="22">
        <f>+(Índice!J4-Índice!I4)*Índice!$C4/Índice!I$3</f>
        <v>1.7456724363792455</v>
      </c>
      <c r="I4" s="22">
        <f>+(Índice!K4-Índice!J4)*Índice!$C4/Índice!J$3</f>
        <v>6.1345464088114072</v>
      </c>
      <c r="J4" s="22">
        <f>+(Índice!L4-Índice!K4)*Índice!$C4/Índice!K$3</f>
        <v>-21.03075976891083</v>
      </c>
      <c r="K4" s="22">
        <f>+(Índice!M4-Índice!L4)*Índice!$C4/Índice!L$3</f>
        <v>30.828648103185724</v>
      </c>
      <c r="L4" s="22">
        <f>+(Índice!N4-Índice!M4)*Índice!$C4/Índice!M$3</f>
        <v>-10.280814576634514</v>
      </c>
      <c r="M4" s="22">
        <f>+(Índice!O4-Índice!N4)*Índice!$C4/Índice!N$3</f>
        <v>-3.8426897220737266</v>
      </c>
      <c r="N4" s="22">
        <f>+(Índice!P4-Índice!O4)*Índice!$C4/Índice!O$3</f>
        <v>3.0364573294104296</v>
      </c>
      <c r="O4" s="22">
        <f>+(Índice!Q4-Índice!P4)*Índice!$C4/Índice!P$3</f>
        <v>1.0105693349594354</v>
      </c>
      <c r="P4" s="22">
        <f>+(Índice!R4-Índice!Q4)*Índice!$C4/Índice!Q$3</f>
        <v>-5.1759230809414456</v>
      </c>
      <c r="Q4" s="22">
        <f>+(Índice!S4-Índice!R4)*Índice!$C4/Índice!R$3</f>
        <v>19.89557039903735</v>
      </c>
      <c r="R4" s="22">
        <f>+(Índice!T4-Índice!S4)*Índice!$C4/Índice!S$3</f>
        <v>3.9891877242932958</v>
      </c>
      <c r="S4" s="22">
        <f>+(Índice!U4-Índice!T4)*Índice!$C4/Índice!T$3</f>
        <v>28.190737332402826</v>
      </c>
      <c r="T4" s="22">
        <f>+(Índice!V4-Índice!U4)*Índice!$C4/Índice!U$3</f>
        <v>10.131371649916781</v>
      </c>
      <c r="U4" s="22">
        <f>+(Índice!W4-Índice!V4)*Índice!$C4/Índice!V$3</f>
        <v>6.4505716207128456</v>
      </c>
      <c r="V4" s="22">
        <f>+(Índice!X4-Índice!W4)*Índice!$C4/Índice!W$3</f>
        <v>-6.9109262578915898</v>
      </c>
      <c r="W4" s="22">
        <f>+(Índice!Y4-Índice!X4)*Índice!$C4/Índice!X$3</f>
        <v>21.386883924096995</v>
      </c>
      <c r="X4" s="22">
        <f>+(Índice!Z4-Índice!Y4)*Índice!$C4/Índice!Y$3</f>
        <v>9.5302464037786567</v>
      </c>
      <c r="Y4" s="22">
        <f>+(Índice!AA4-Índice!Z4)*Índice!$C4/Índice!Z$3</f>
        <v>-10.189272360295536</v>
      </c>
      <c r="Z4" s="22">
        <f>+(Índice!AB4-Índice!AA4)*Índice!$C4/Índice!AA$3</f>
        <v>-13.023825686156835</v>
      </c>
      <c r="AA4" s="22">
        <f>+(Índice!AC4-Índice!AB4)*Índice!$C4/Índice!AB$3</f>
        <v>-8.6028801564108477</v>
      </c>
      <c r="AB4" s="22">
        <f>+(Índice!AD4-Índice!AC4)*Índice!$C4/Índice!AC$3</f>
        <v>-2.5646194684630355</v>
      </c>
      <c r="AC4" s="22">
        <f>+(Índice!AE4-Índice!AD4)*Índice!$C4/Índice!AD$3</f>
        <v>11.086482955857056</v>
      </c>
      <c r="AD4" s="22">
        <f>+(Índice!AF4-Índice!AE4)*Índice!$C4/Índice!AE$3</f>
        <v>-2.0633385787584806</v>
      </c>
      <c r="AE4" s="22">
        <f>+(Índice!AG4-Índice!AF4)*Índice!$C4/Índice!AF$3</f>
        <v>-1.3643764524602859</v>
      </c>
      <c r="AF4" s="22">
        <f>+(Índice!AH4-Índice!AG4)*Índice!$C4/Índice!AG$3</f>
        <v>1.6733572620593233</v>
      </c>
      <c r="AG4" s="22">
        <f>+(Índice!AI4-Índice!AH4)*Índice!$C4/Índice!AH$3</f>
        <v>-5.3472387025719605</v>
      </c>
      <c r="AH4" s="22">
        <f>+(Índice!AJ4-Índice!AI4)*Índice!$C4/Índice!AI$3</f>
        <v>-5.7035733964729571</v>
      </c>
      <c r="AI4" s="49">
        <v>1.5444755359645006</v>
      </c>
      <c r="AJ4" s="49">
        <v>1.1593740153163354</v>
      </c>
      <c r="AK4" s="49">
        <v>4.3430963588462106</v>
      </c>
      <c r="AL4" s="49">
        <v>-3.3653526755200041</v>
      </c>
      <c r="AM4" s="49">
        <v>-4.0738555367097806</v>
      </c>
      <c r="AN4" s="49">
        <v>5.2292150865826645</v>
      </c>
      <c r="AO4" s="49">
        <v>-0.57305873781033578</v>
      </c>
      <c r="AP4" s="49">
        <v>-2.3642483076159397</v>
      </c>
      <c r="AQ4" s="49">
        <v>-1.3060651932067211</v>
      </c>
      <c r="AR4" s="49">
        <v>-3.153059977980456</v>
      </c>
      <c r="AS4" s="49">
        <v>-5.0745181469593392</v>
      </c>
      <c r="AT4" s="49">
        <v>-1.1480221407951541</v>
      </c>
      <c r="AU4" s="49">
        <v>5.3617433547184881</v>
      </c>
      <c r="AV4" s="49">
        <v>3.0354837638815351</v>
      </c>
      <c r="AW4" s="49">
        <v>42.556177132377087</v>
      </c>
    </row>
    <row r="5" spans="1:49" ht="20.45" customHeight="1" x14ac:dyDescent="0.2">
      <c r="A5" s="42" t="s">
        <v>67</v>
      </c>
      <c r="B5" s="9" t="s">
        <v>35</v>
      </c>
      <c r="C5" s="23">
        <f>+(Índice!E5-Índice!D5)*Índice!$C5/Índice!D$3</f>
        <v>16.095102964399281</v>
      </c>
      <c r="D5" s="23">
        <f>+(Índice!F5-Índice!E5)*Índice!$C5/Índice!E$3</f>
        <v>-4.4956014996962139</v>
      </c>
      <c r="E5" s="23">
        <f>+(Índice!G5-Índice!F5)*Índice!$C5/Índice!F$3</f>
        <v>-4.9496568607324907</v>
      </c>
      <c r="F5" s="23">
        <f>+(Índice!H5-Índice!G5)*Índice!$C5/Índice!G$3</f>
        <v>21.399177161790469</v>
      </c>
      <c r="G5" s="23">
        <f>+(Índice!I5-Índice!H5)*Índice!$C5/Índice!H$3</f>
        <v>8.9088187341708931</v>
      </c>
      <c r="H5" s="23">
        <f>+(Índice!J5-Índice!I5)*Índice!$C5/Índice!I$3</f>
        <v>1.265219060025417</v>
      </c>
      <c r="I5" s="23">
        <f>+(Índice!K5-Índice!J5)*Índice!$C5/Índice!J$3</f>
        <v>6.7011518446245875</v>
      </c>
      <c r="J5" s="23">
        <f>+(Índice!L5-Índice!K5)*Índice!$C5/Índice!K$3</f>
        <v>-22.270602156336722</v>
      </c>
      <c r="K5" s="23">
        <f>+(Índice!M5-Índice!L5)*Índice!$C5/Índice!L$3</f>
        <v>19.262167262936348</v>
      </c>
      <c r="L5" s="23">
        <f>+(Índice!N5-Índice!M5)*Índice!$C5/Índice!M$3</f>
        <v>2.1484994640943271</v>
      </c>
      <c r="M5" s="23">
        <f>+(Índice!O5-Índice!N5)*Índice!$C5/Índice!N$3</f>
        <v>-4.4517165898617526</v>
      </c>
      <c r="N5" s="23">
        <f>+(Índice!P5-Índice!O5)*Índice!$C5/Índice!O$3</f>
        <v>2.1514150004065744</v>
      </c>
      <c r="O5" s="23">
        <f>+(Índice!Q5-Índice!P5)*Índice!$C5/Índice!P$3</f>
        <v>-16.004143753464227</v>
      </c>
      <c r="P5" s="23">
        <f>+(Índice!R5-Índice!Q5)*Índice!$C5/Índice!Q$3</f>
        <v>-3.8771172222814947</v>
      </c>
      <c r="Q5" s="23">
        <f>+(Índice!S5-Índice!R5)*Índice!$C5/Índice!R$3</f>
        <v>36.100685781591878</v>
      </c>
      <c r="R5" s="23">
        <f>+(Índice!T5-Índice!S5)*Índice!$C5/Índice!S$3</f>
        <v>2.8065424021440086</v>
      </c>
      <c r="S5" s="23">
        <f>+(Índice!U5-Índice!T5)*Índice!$C5/Índice!T$3</f>
        <v>28.878005430493914</v>
      </c>
      <c r="T5" s="23">
        <f>+(Índice!V5-Índice!U5)*Índice!$C5/Índice!U$3</f>
        <v>10.351758459371778</v>
      </c>
      <c r="U5" s="23">
        <f>+(Índice!W5-Índice!V5)*Índice!$C5/Índice!V$3</f>
        <v>6.1092468056489615</v>
      </c>
      <c r="V5" s="23">
        <f>+(Índice!X5-Índice!W5)*Índice!$C5/Índice!W$3</f>
        <v>-6.7599215089933242</v>
      </c>
      <c r="W5" s="23">
        <f>+(Índice!Y5-Índice!X5)*Índice!$C5/Índice!X$3</f>
        <v>20.455471129966956</v>
      </c>
      <c r="X5" s="23">
        <f>+(Índice!Z5-Índice!Y5)*Índice!$C5/Índice!Y$3</f>
        <v>9.9578277204153522</v>
      </c>
      <c r="Y5" s="23">
        <f>+(Índice!AA5-Índice!Z5)*Índice!$C5/Índice!Z$3</f>
        <v>-9.9477874181160928</v>
      </c>
      <c r="Z5" s="23">
        <f>+(Índice!AB5-Índice!AA5)*Índice!$C5/Índice!AA$3</f>
        <v>-13.163634570955709</v>
      </c>
      <c r="AA5" s="23">
        <f>+(Índice!AC5-Índice!AB5)*Índice!$C5/Índice!AB$3</f>
        <v>-8.7371273069960118</v>
      </c>
      <c r="AB5" s="23">
        <f>+(Índice!AD5-Índice!AC5)*Índice!$C5/Índice!AC$3</f>
        <v>-2.6235492365684543</v>
      </c>
      <c r="AC5" s="23">
        <f>+(Índice!AE5-Índice!AD5)*Índice!$C5/Índice!AD$3</f>
        <v>11.136535710788495</v>
      </c>
      <c r="AD5" s="23">
        <f>+(Índice!AF5-Índice!AE5)*Índice!$C5/Índice!AE$3</f>
        <v>-2.0262961917870683</v>
      </c>
      <c r="AE5" s="23">
        <f>+(Índice!AG5-Índice!AF5)*Índice!$C5/Índice!AF$3</f>
        <v>-1.9233384112651324</v>
      </c>
      <c r="AF5" s="23">
        <f>+(Índice!AH5-Índice!AG5)*Índice!$C5/Índice!AG$3</f>
        <v>1.6485717242967999</v>
      </c>
      <c r="AG5" s="23">
        <f>+(Índice!AI5-Índice!AH5)*Índice!$C5/Índice!AH$3</f>
        <v>-4.7281075035074744</v>
      </c>
      <c r="AH5" s="23">
        <f>+(Índice!AJ5-Índice!AI5)*Índice!$C5/Índice!AI$3</f>
        <v>-5.8881070615694986</v>
      </c>
      <c r="AI5" s="49">
        <v>2.2926250064915235</v>
      </c>
      <c r="AJ5" s="49">
        <v>1.6337776262072228</v>
      </c>
      <c r="AK5" s="49">
        <v>4.3018467022698195</v>
      </c>
      <c r="AL5" s="49">
        <v>-3.7699099422502536</v>
      </c>
      <c r="AM5" s="49">
        <v>-1.2505926239857863</v>
      </c>
      <c r="AN5" s="49">
        <v>5.2504253676337154</v>
      </c>
      <c r="AO5" s="49">
        <v>-1.0310779867174527</v>
      </c>
      <c r="AP5" s="49">
        <v>-2.2895466731388101</v>
      </c>
      <c r="AQ5" s="49">
        <v>-1.320965147433673</v>
      </c>
      <c r="AR5" s="49">
        <v>-3.322129442259965</v>
      </c>
      <c r="AS5" s="49">
        <v>-4.7711812333373613</v>
      </c>
      <c r="AT5" s="49">
        <v>-1.114627440537983</v>
      </c>
      <c r="AU5" s="49">
        <v>6.034543153044619</v>
      </c>
      <c r="AV5" s="49">
        <v>3.5902195193937172</v>
      </c>
      <c r="AW5" s="49">
        <v>41.340836392729372</v>
      </c>
    </row>
    <row r="6" spans="1:49" ht="20.45" customHeight="1" x14ac:dyDescent="0.2">
      <c r="A6" s="42" t="s">
        <v>68</v>
      </c>
      <c r="B6" s="9">
        <v>8991</v>
      </c>
      <c r="C6" s="23">
        <f>+(Índice!E6-Índice!D6)*Índice!$C6/Índice!D$3</f>
        <v>0.8781634321753472</v>
      </c>
      <c r="D6" s="23">
        <f>+(Índice!F6-Índice!E6)*Índice!$C6/Índice!E$3</f>
        <v>-0.10404489219744477</v>
      </c>
      <c r="E6" s="23">
        <f>+(Índice!G6-Índice!F6)*Índice!$C6/Índice!F$3</f>
        <v>2.8440115712082117E-2</v>
      </c>
      <c r="F6" s="23">
        <f>+(Índice!H6-Índice!G6)*Índice!$C6/Índice!G$3</f>
        <v>-0.11651072804006364</v>
      </c>
      <c r="G6" s="23">
        <f>+(Índice!I6-Índice!H6)*Índice!$C6/Índice!H$3</f>
        <v>0.36334839596569229</v>
      </c>
      <c r="H6" s="23">
        <f>+(Índice!J6-Índice!I6)*Índice!$C6/Índice!I$3</f>
        <v>0.29140336523824467</v>
      </c>
      <c r="I6" s="23">
        <f>+(Índice!K6-Índice!J6)*Índice!$C6/Índice!J$3</f>
        <v>0.28209155157937038</v>
      </c>
      <c r="J6" s="23">
        <f>+(Índice!L6-Índice!K6)*Índice!$C6/Índice!K$3</f>
        <v>0.24912138272412357</v>
      </c>
      <c r="K6" s="23">
        <f>+(Índice!M6-Índice!L6)*Índice!$C6/Índice!L$3</f>
        <v>-0.95617280586990461</v>
      </c>
      <c r="L6" s="23">
        <f>+(Índice!N6-Índice!M6)*Índice!$C6/Índice!M$3</f>
        <v>-0.46586056216505889</v>
      </c>
      <c r="M6" s="23">
        <f>+(Índice!O6-Índice!N6)*Índice!$C6/Índice!N$3</f>
        <v>-5.0024557225304737E-2</v>
      </c>
      <c r="N6" s="23">
        <f>+(Índice!P6-Índice!O6)*Índice!$C6/Índice!O$3</f>
        <v>0.48320441761613436</v>
      </c>
      <c r="O6" s="23">
        <f>+(Índice!Q6-Índice!P6)*Índice!$C6/Índice!P$3</f>
        <v>-2.3104681827297083E-2</v>
      </c>
      <c r="P6" s="23">
        <f>+(Índice!R6-Índice!Q6)*Índice!$C6/Índice!Q$3</f>
        <v>-0.40478950389902441</v>
      </c>
      <c r="Q6" s="23">
        <f>+(Índice!S6-Índice!R6)*Índice!$C6/Índice!R$3</f>
        <v>0.12383755939014593</v>
      </c>
      <c r="R6" s="23">
        <f>+(Índice!T6-Índice!S6)*Índice!$C6/Índice!S$3</f>
        <v>2.7398733929390701E-2</v>
      </c>
      <c r="S6" s="23">
        <f>+(Índice!U6-Índice!T6)*Índice!$C6/Índice!T$3</f>
        <v>0.42824895520064754</v>
      </c>
      <c r="T6" s="23">
        <f>+(Índice!V6-Índice!U6)*Índice!$C6/Índice!U$3</f>
        <v>-0.22011322566439398</v>
      </c>
      <c r="U6" s="23">
        <f>+(Índice!W6-Índice!V6)*Índice!$C6/Índice!V$3</f>
        <v>0.326462676529926</v>
      </c>
      <c r="V6" s="23">
        <f>+(Índice!X6-Índice!W6)*Índice!$C6/Índice!W$3</f>
        <v>-0.14178397703721757</v>
      </c>
      <c r="W6" s="23">
        <f>+(Índice!Y6-Índice!X6)*Índice!$C6/Índice!X$3</f>
        <v>0.93641698883183089</v>
      </c>
      <c r="X6" s="23">
        <f>+(Índice!Z6-Índice!Y6)*Índice!$C6/Índice!Y$3</f>
        <v>-0.4170147606661706</v>
      </c>
      <c r="Y6" s="23">
        <f>+(Índice!AA6-Índice!Z6)*Índice!$C6/Índice!Z$3</f>
        <v>-0.24278922319523358</v>
      </c>
      <c r="Z6" s="23">
        <f>+(Índice!AB6-Índice!AA6)*Índice!$C6/Índice!AA$3</f>
        <v>0.1200307499646112</v>
      </c>
      <c r="AA6" s="23">
        <f>+(Índice!AC6-Índice!AB6)*Índice!$C6/Índice!AB$3</f>
        <v>0.14250522343993768</v>
      </c>
      <c r="AB6" s="23">
        <f>+(Índice!AD6-Índice!AC6)*Índice!$C6/Índice!AC$3</f>
        <v>5.6625582838068282E-2</v>
      </c>
      <c r="AC6" s="23">
        <f>+(Índice!AE6-Índice!AD6)*Índice!$C6/Índice!AD$3</f>
        <v>-4.3364872311334256E-2</v>
      </c>
      <c r="AD6" s="23">
        <f>+(Índice!AF6-Índice!AE6)*Índice!$C6/Índice!AE$3</f>
        <v>-3.8596269650998209E-2</v>
      </c>
      <c r="AE6" s="23">
        <f>+(Índice!AG6-Índice!AF6)*Índice!$C6/Índice!AF$3</f>
        <v>0.54989866521695685</v>
      </c>
      <c r="AF6" s="23">
        <f>+(Índice!AH6-Índice!AG6)*Índice!$C6/Índice!AG$3</f>
        <v>2.5078537725063198E-2</v>
      </c>
      <c r="AG6" s="23">
        <f>+(Índice!AI6-Índice!AH6)*Índice!$C6/Índice!AH$3</f>
        <v>-0.61274117735530254</v>
      </c>
      <c r="AH6" s="23">
        <f>+(Índice!AJ6-Índice!AI6)*Índice!$C6/Índice!AI$3</f>
        <v>0.17913442599608373</v>
      </c>
      <c r="AI6" s="49">
        <v>-0.74892673780743491</v>
      </c>
      <c r="AJ6" s="49">
        <v>-0.47034029588853782</v>
      </c>
      <c r="AK6" s="49">
        <v>4.0812188003864387E-2</v>
      </c>
      <c r="AL6" s="49">
        <v>0.40478609788220798</v>
      </c>
      <c r="AM6" s="49">
        <v>-2.8261045931147861</v>
      </c>
      <c r="AN6" s="49">
        <v>-1.9097791961953249E-2</v>
      </c>
      <c r="AO6" s="49">
        <v>0.47271865297628213</v>
      </c>
      <c r="AP6" s="49">
        <v>-6.6990241019988503E-2</v>
      </c>
      <c r="AQ6" s="49">
        <v>1.4892225368061684E-2</v>
      </c>
      <c r="AR6" s="49">
        <v>0.16856423053332181</v>
      </c>
      <c r="AS6" s="49">
        <v>-0.30634523411100839</v>
      </c>
      <c r="AT6" s="49">
        <v>-3.3377417741934944E-2</v>
      </c>
      <c r="AU6" s="49">
        <v>-0.67273634350653033</v>
      </c>
      <c r="AV6" s="49">
        <v>-0.55557046852347525</v>
      </c>
      <c r="AW6" s="49">
        <v>1.2144822001078541</v>
      </c>
    </row>
    <row r="7" spans="1:49" ht="20.45" customHeight="1" x14ac:dyDescent="0.2">
      <c r="A7" s="42" t="s">
        <v>69</v>
      </c>
      <c r="B7" s="9" t="s">
        <v>36</v>
      </c>
      <c r="C7" s="23">
        <f>+(Índice!E7-Índice!D7)*Índice!$C7/Índice!D$3</f>
        <v>0</v>
      </c>
      <c r="D7" s="23">
        <f>+(Índice!F7-Índice!E7)*Índice!$C7/Índice!E$3</f>
        <v>0</v>
      </c>
      <c r="E7" s="23">
        <f>+(Índice!G7-Índice!F7)*Índice!$C7/Índice!F$3</f>
        <v>0</v>
      </c>
      <c r="F7" s="23">
        <f>+(Índice!H7-Índice!G7)*Índice!$C7/Índice!G$3</f>
        <v>0</v>
      </c>
      <c r="G7" s="23">
        <f>+(Índice!I7-Índice!H7)*Índice!$C7/Índice!H$3</f>
        <v>0</v>
      </c>
      <c r="H7" s="23">
        <f>+(Índice!J7-Índice!I7)*Índice!$C7/Índice!I$3</f>
        <v>0</v>
      </c>
      <c r="I7" s="23">
        <f>+(Índice!K7-Índice!J7)*Índice!$C7/Índice!J$3</f>
        <v>0</v>
      </c>
      <c r="J7" s="23">
        <f>+(Índice!L7-Índice!K7)*Índice!$C7/Índice!K$3</f>
        <v>0</v>
      </c>
      <c r="K7" s="23">
        <f>+(Índice!M7-Índice!L7)*Índice!$C7/Índice!L$3</f>
        <v>0</v>
      </c>
      <c r="L7" s="23">
        <f>+(Índice!N7-Índice!M7)*Índice!$C7/Índice!M$3</f>
        <v>0</v>
      </c>
      <c r="M7" s="23">
        <f>+(Índice!O7-Índice!N7)*Índice!$C7/Índice!N$3</f>
        <v>0</v>
      </c>
      <c r="N7" s="23">
        <f>+(Índice!P7-Índice!O7)*Índice!$C7/Índice!O$3</f>
        <v>0</v>
      </c>
      <c r="O7" s="23">
        <f>+(Índice!Q7-Índice!P7)*Índice!$C7/Índice!P$3</f>
        <v>0</v>
      </c>
      <c r="P7" s="23">
        <f>+(Índice!R7-Índice!Q7)*Índice!$C7/Índice!Q$3</f>
        <v>0</v>
      </c>
      <c r="Q7" s="23">
        <f>+(Índice!S7-Índice!R7)*Índice!$C7/Índice!R$3</f>
        <v>0</v>
      </c>
      <c r="R7" s="23">
        <f>+(Índice!T7-Índice!S7)*Índice!$C7/Índice!S$3</f>
        <v>0</v>
      </c>
      <c r="S7" s="23">
        <f>+(Índice!U7-Índice!T7)*Índice!$C7/Índice!T$3</f>
        <v>0</v>
      </c>
      <c r="T7" s="23">
        <f>+(Índice!V7-Índice!U7)*Índice!$C7/Índice!U$3</f>
        <v>0</v>
      </c>
      <c r="U7" s="23">
        <f>+(Índice!W7-Índice!V7)*Índice!$C7/Índice!V$3</f>
        <v>0</v>
      </c>
      <c r="V7" s="23">
        <f>+(Índice!X7-Índice!W7)*Índice!$C7/Índice!W$3</f>
        <v>0</v>
      </c>
      <c r="W7" s="23">
        <f>+(Índice!Y7-Índice!X7)*Índice!$C7/Índice!X$3</f>
        <v>0</v>
      </c>
      <c r="X7" s="23">
        <f>+(Índice!Z7-Índice!Y7)*Índice!$C7/Índice!Y$3</f>
        <v>0</v>
      </c>
      <c r="Y7" s="23">
        <f>+(Índice!AA7-Índice!Z7)*Índice!$C7/Índice!Z$3</f>
        <v>0</v>
      </c>
      <c r="Z7" s="23">
        <f>+(Índice!AB7-Índice!AA7)*Índice!$C7/Índice!AA$3</f>
        <v>0</v>
      </c>
      <c r="AA7" s="23">
        <f>+(Índice!AC7-Índice!AB7)*Índice!$C7/Índice!AB$3</f>
        <v>0</v>
      </c>
      <c r="AB7" s="23">
        <f>+(Índice!AD7-Índice!AC7)*Índice!$C7/Índice!AC$3</f>
        <v>0</v>
      </c>
      <c r="AC7" s="23">
        <f>+(Índice!AE7-Índice!AD7)*Índice!$C7/Índice!AD$3</f>
        <v>0</v>
      </c>
      <c r="AD7" s="23">
        <f>+(Índice!AF7-Índice!AE7)*Índice!$C7/Índice!AE$3</f>
        <v>0</v>
      </c>
      <c r="AE7" s="23">
        <f>+(Índice!AG7-Índice!AF7)*Índice!$C7/Índice!AF$3</f>
        <v>0</v>
      </c>
      <c r="AF7" s="23">
        <f>+(Índice!AH7-Índice!AG7)*Índice!$C7/Índice!AG$3</f>
        <v>0</v>
      </c>
      <c r="AG7" s="23">
        <f>+(Índice!AI7-Índice!AH7)*Índice!$C7/Índice!AH$3</f>
        <v>0</v>
      </c>
      <c r="AH7" s="23">
        <f>+(Índice!AJ7-Índice!AI7)*Índice!$C7/Índice!AI$3</f>
        <v>0</v>
      </c>
      <c r="AI7" s="49">
        <v>0</v>
      </c>
      <c r="AJ7" s="49">
        <v>-4.5588590774374013E-3</v>
      </c>
      <c r="AK7" s="49">
        <v>3.1145659421261037E-4</v>
      </c>
      <c r="AL7" s="49">
        <v>2.8753116083393948E-4</v>
      </c>
      <c r="AM7" s="49">
        <v>2.8524746220541248E-4</v>
      </c>
      <c r="AN7" s="49">
        <v>5.4234199279035785E-4</v>
      </c>
      <c r="AO7" s="49">
        <v>-1.7570902740576583E-5</v>
      </c>
      <c r="AP7" s="49">
        <v>3.4765043810234349E-4</v>
      </c>
      <c r="AQ7" s="49">
        <v>7.728858893962396E-6</v>
      </c>
      <c r="AR7" s="49">
        <v>5.0523374618876129E-4</v>
      </c>
      <c r="AS7" s="49">
        <v>3.0083204890261556E-3</v>
      </c>
      <c r="AT7" s="49">
        <v>-1.728251523541482E-5</v>
      </c>
      <c r="AU7" s="49">
        <v>-6.3454819589040481E-5</v>
      </c>
      <c r="AV7" s="49">
        <v>8.3471301128906588E-4</v>
      </c>
      <c r="AW7" s="49">
        <v>8.5853953985185437E-4</v>
      </c>
    </row>
    <row r="8" spans="1:49" s="6" customFormat="1" ht="20.45" customHeight="1" x14ac:dyDescent="0.2">
      <c r="A8" s="40" t="s">
        <v>70</v>
      </c>
      <c r="B8" s="7" t="s">
        <v>37</v>
      </c>
      <c r="C8" s="22">
        <f>+(Índice!E8-Índice!D8)*Índice!$C8/Índice!D$3</f>
        <v>0.16436555039525114</v>
      </c>
      <c r="D8" s="22">
        <f>+(Índice!F8-Índice!E8)*Índice!$C8/Índice!E$3</f>
        <v>5.1130180449430601E-2</v>
      </c>
      <c r="E8" s="22">
        <f>+(Índice!G8-Índice!F8)*Índice!$C8/Índice!F$3</f>
        <v>1.5964454964096427E-2</v>
      </c>
      <c r="F8" s="22">
        <f>+(Índice!H8-Índice!G8)*Índice!$C8/Índice!G$3</f>
        <v>-0.16652116509084658</v>
      </c>
      <c r="G8" s="22">
        <f>+(Índice!I8-Índice!H8)*Índice!$C8/Índice!H$3</f>
        <v>0.4463792458514837</v>
      </c>
      <c r="H8" s="22">
        <f>+(Índice!J8-Índice!I8)*Índice!$C8/Índice!I$3</f>
        <v>9.6598850211530543E-2</v>
      </c>
      <c r="I8" s="22">
        <f>+(Índice!K8-Índice!J8)*Índice!$C8/Índice!J$3</f>
        <v>3.3122390746615237E-3</v>
      </c>
      <c r="J8" s="22">
        <f>+(Índice!L8-Índice!K8)*Índice!$C8/Índice!K$3</f>
        <v>-0.43050238342893143</v>
      </c>
      <c r="K8" s="22">
        <f>+(Índice!M8-Índice!L8)*Índice!$C8/Índice!L$3</f>
        <v>1.224228321516025</v>
      </c>
      <c r="L8" s="22">
        <f>+(Índice!N8-Índice!M8)*Índice!$C8/Índice!M$3</f>
        <v>-0.47631296891747038</v>
      </c>
      <c r="M8" s="22">
        <f>+(Índice!O8-Índice!N8)*Índice!$C8/Índice!N$3</f>
        <v>-0.30131883547151717</v>
      </c>
      <c r="N8" s="22">
        <f>+(Índice!P8-Índice!O8)*Índice!$C8/Índice!O$3</f>
        <v>0.92793271835721403</v>
      </c>
      <c r="O8" s="22">
        <f>+(Índice!Q8-Índice!P8)*Índice!$C8/Índice!P$3</f>
        <v>0.29177940969163374</v>
      </c>
      <c r="P8" s="22">
        <f>+(Índice!R8-Índice!Q8)*Índice!$C8/Índice!Q$3</f>
        <v>-0.77563062378655134</v>
      </c>
      <c r="Q8" s="22">
        <f>+(Índice!S8-Índice!R8)*Índice!$C8/Índice!R$3</f>
        <v>1.1087314049120871</v>
      </c>
      <c r="R8" s="22">
        <f>+(Índice!T8-Índice!S8)*Índice!$C8/Índice!S$3</f>
        <v>0.31199311505598731</v>
      </c>
      <c r="S8" s="22">
        <f>+(Índice!U8-Índice!T8)*Índice!$C8/Índice!T$3</f>
        <v>0.11001550708277406</v>
      </c>
      <c r="T8" s="22">
        <f>+(Índice!V8-Índice!U8)*Índice!$C8/Índice!U$3</f>
        <v>0.10332661398498758</v>
      </c>
      <c r="U8" s="22">
        <f>+(Índice!W8-Índice!V8)*Índice!$C8/Índice!V$3</f>
        <v>9.5090786819099243E-2</v>
      </c>
      <c r="V8" s="22">
        <f>+(Índice!X8-Índice!W8)*Índice!$C8/Índice!W$3</f>
        <v>-8.8815872951357192E-2</v>
      </c>
      <c r="W8" s="22">
        <f>+(Índice!Y8-Índice!X8)*Índice!$C8/Índice!X$3</f>
        <v>0.25347686189011026</v>
      </c>
      <c r="X8" s="22">
        <f>+(Índice!Z8-Índice!Y8)*Índice!$C8/Índice!Y$3</f>
        <v>7.6350402428369379E-2</v>
      </c>
      <c r="Y8" s="22">
        <f>+(Índice!AA8-Índice!Z8)*Índice!$C8/Índice!Z$3</f>
        <v>3.4174862901182712E-2</v>
      </c>
      <c r="Z8" s="22">
        <f>+(Índice!AB8-Índice!AA8)*Índice!$C8/Índice!AA$3</f>
        <v>6.1539031862469215E-2</v>
      </c>
      <c r="AA8" s="22">
        <f>+(Índice!AC8-Índice!AB8)*Índice!$C8/Índice!AB$3</f>
        <v>0.15270079613945192</v>
      </c>
      <c r="AB8" s="22">
        <f>+(Índice!AD8-Índice!AC8)*Índice!$C8/Índice!AC$3</f>
        <v>0.13941152702776771</v>
      </c>
      <c r="AC8" s="22">
        <f>+(Índice!AE8-Índice!AD8)*Índice!$C8/Índice!AD$3</f>
        <v>0.27417285587361051</v>
      </c>
      <c r="AD8" s="22">
        <f>+(Índice!AF8-Índice!AE8)*Índice!$C8/Índice!AE$3</f>
        <v>0.21187555172521957</v>
      </c>
      <c r="AE8" s="22">
        <f>+(Índice!AG8-Índice!AF8)*Índice!$C8/Índice!AF$3</f>
        <v>0.20173431604198888</v>
      </c>
      <c r="AF8" s="22">
        <f>+(Índice!AH8-Índice!AG8)*Índice!$C8/Índice!AG$3</f>
        <v>0.12831650164596253</v>
      </c>
      <c r="AG8" s="22">
        <f>+(Índice!AI8-Índice!AH8)*Índice!$C8/Índice!AH$3</f>
        <v>0.11064880078237262</v>
      </c>
      <c r="AH8" s="22">
        <f>+(Índice!AJ8-Índice!AI8)*Índice!$C8/Índice!AI$3</f>
        <v>2.9282910653245533E-2</v>
      </c>
      <c r="AI8" s="49">
        <v>9.8555278928482926E-2</v>
      </c>
      <c r="AJ8" s="49">
        <v>6.6235296478742184E-2</v>
      </c>
      <c r="AK8" s="49">
        <v>5.2111179882382078E-2</v>
      </c>
      <c r="AL8" s="49">
        <v>4.1296217183765881E-2</v>
      </c>
      <c r="AM8" s="49">
        <v>2.6237741370395282E-2</v>
      </c>
      <c r="AN8" s="49">
        <v>9.7450819315438086E-2</v>
      </c>
      <c r="AO8" s="49">
        <v>7.7493293581972406E-2</v>
      </c>
      <c r="AP8" s="49">
        <v>5.8271379653034673E-2</v>
      </c>
      <c r="AQ8" s="49">
        <v>3.5813086534187029E-2</v>
      </c>
      <c r="AR8" s="49">
        <v>5.7000798866910431E-2</v>
      </c>
      <c r="AS8" s="49">
        <v>5.1836923922772407E-2</v>
      </c>
      <c r="AT8" s="49">
        <v>6.3542608435083872E-2</v>
      </c>
      <c r="AU8" s="49">
        <v>6.5458770261822188E-2</v>
      </c>
      <c r="AV8" s="49">
        <v>6.3609358912366062E-2</v>
      </c>
      <c r="AW8" s="49">
        <v>5.9597881464380977E-2</v>
      </c>
    </row>
    <row r="9" spans="1:49" ht="20.45" customHeight="1" x14ac:dyDescent="0.2">
      <c r="A9" s="42" t="s">
        <v>71</v>
      </c>
      <c r="B9" s="9" t="s">
        <v>38</v>
      </c>
      <c r="C9" s="23">
        <f>+(Índice!E9-Índice!D9)*Índice!$C9/Índice!D$3</f>
        <v>-0.14821088201391522</v>
      </c>
      <c r="D9" s="23">
        <f>+(Índice!F9-Índice!E9)*Índice!$C9/Índice!E$3</f>
        <v>4.5203633030697077E-2</v>
      </c>
      <c r="E9" s="23">
        <f>+(Índice!G9-Índice!F9)*Índice!$C9/Índice!F$3</f>
        <v>5.5618575776834166E-3</v>
      </c>
      <c r="F9" s="23">
        <f>+(Índice!H9-Índice!G9)*Índice!$C9/Índice!G$3</f>
        <v>-8.8745846519170751E-2</v>
      </c>
      <c r="G9" s="23">
        <f>+(Índice!I9-Índice!H9)*Índice!$C9/Índice!H$3</f>
        <v>1.7001423490640808E-3</v>
      </c>
      <c r="H9" s="23">
        <f>+(Índice!J9-Índice!I9)*Índice!$C9/Índice!I$3</f>
        <v>0.10128520447621535</v>
      </c>
      <c r="I9" s="23">
        <f>+(Índice!K9-Índice!J9)*Índice!$C9/Índice!J$3</f>
        <v>-4.0611196752047177E-2</v>
      </c>
      <c r="J9" s="23">
        <f>+(Índice!L9-Índice!K9)*Índice!$C9/Índice!K$3</f>
        <v>-0.17084063099860844</v>
      </c>
      <c r="K9" s="23">
        <f>+(Índice!M9-Índice!L9)*Índice!$C9/Índice!L$3</f>
        <v>-0.16381349411242005</v>
      </c>
      <c r="L9" s="23">
        <f>+(Índice!N9-Índice!M9)*Índice!$C9/Índice!M$3</f>
        <v>0.42315112540192906</v>
      </c>
      <c r="M9" s="23">
        <f>+(Índice!O9-Índice!N9)*Índice!$C9/Índice!N$3</f>
        <v>-0.3395336162550911</v>
      </c>
      <c r="N9" s="23">
        <f>+(Índice!P9-Índice!O9)*Índice!$C9/Índice!O$3</f>
        <v>0.5655205329340548</v>
      </c>
      <c r="O9" s="23">
        <f>+(Índice!Q9-Índice!P9)*Índice!$C9/Índice!P$3</f>
        <v>-0.37182967306379194</v>
      </c>
      <c r="P9" s="23">
        <f>+(Índice!R9-Índice!Q9)*Índice!$C9/Índice!Q$3</f>
        <v>0.19167111713864829</v>
      </c>
      <c r="Q9" s="23">
        <f>+(Índice!S9-Índice!R9)*Índice!$C9/Índice!R$3</f>
        <v>0.3304559465892839</v>
      </c>
      <c r="R9" s="23">
        <f>+(Índice!T9-Índice!S9)*Índice!$C9/Índice!S$3</f>
        <v>0.26428552283386436</v>
      </c>
      <c r="S9" s="23">
        <f>+(Índice!U9-Índice!T9)*Índice!$C9/Índice!T$3</f>
        <v>5.7402975243869267E-2</v>
      </c>
      <c r="T9" s="23">
        <f>+(Índice!V9-Índice!U9)*Índice!$C9/Índice!U$3</f>
        <v>5.0427834958640901E-2</v>
      </c>
      <c r="U9" s="23">
        <f>+(Índice!W9-Índice!V9)*Índice!$C9/Índice!V$3</f>
        <v>6.2138533960995501E-2</v>
      </c>
      <c r="V9" s="23">
        <f>+(Índice!X9-Índice!W9)*Índice!$C9/Índice!W$3</f>
        <v>-5.3187438815115708E-2</v>
      </c>
      <c r="W9" s="23">
        <f>+(Índice!Y9-Índice!X9)*Índice!$C9/Índice!X$3</f>
        <v>0.12913197979711949</v>
      </c>
      <c r="X9" s="23">
        <f>+(Índice!Z9-Índice!Y9)*Índice!$C9/Índice!Y$3</f>
        <v>-1.492876988917664E-2</v>
      </c>
      <c r="Y9" s="23">
        <f>+(Índice!AA9-Índice!Z9)*Índice!$C9/Índice!Z$3</f>
        <v>8.46928395677886E-2</v>
      </c>
      <c r="Z9" s="23">
        <f>+(Índice!AB9-Índice!AA9)*Índice!$C9/Índice!AA$3</f>
        <v>1.7878267763199455E-2</v>
      </c>
      <c r="AA9" s="23">
        <f>+(Índice!AC9-Índice!AB9)*Índice!$C9/Índice!AB$3</f>
        <v>7.1612776925326041E-2</v>
      </c>
      <c r="AB9" s="23">
        <f>+(Índice!AD9-Índice!AC9)*Índice!$C9/Índice!AC$3</f>
        <v>6.5893289689977749E-2</v>
      </c>
      <c r="AC9" s="23">
        <f>+(Índice!AE9-Índice!AD9)*Índice!$C9/Índice!AD$3</f>
        <v>6.4208249934688308E-2</v>
      </c>
      <c r="AD9" s="23">
        <f>+(Índice!AF9-Índice!AE9)*Índice!$C9/Índice!AE$3</f>
        <v>0.10908441642741498</v>
      </c>
      <c r="AE9" s="23">
        <f>+(Índice!AG9-Índice!AF9)*Índice!$C9/Índice!AF$3</f>
        <v>0.13266003739419521</v>
      </c>
      <c r="AF9" s="23">
        <f>+(Índice!AH9-Índice!AG9)*Índice!$C9/Índice!AG$3</f>
        <v>7.4402559248951158E-2</v>
      </c>
      <c r="AG9" s="23">
        <f>+(Índice!AI9-Índice!AH9)*Índice!$C9/Índice!AH$3</f>
        <v>7.2253844844358192E-2</v>
      </c>
      <c r="AH9" s="23">
        <f>+(Índice!AJ9-Índice!AI9)*Índice!$C9/Índice!AI$3</f>
        <v>4.1026217518081769E-2</v>
      </c>
      <c r="AI9" s="49">
        <v>5.2680716636453448E-2</v>
      </c>
      <c r="AJ9" s="49">
        <v>3.0691118011782609E-2</v>
      </c>
      <c r="AK9" s="49">
        <v>3.3231424865887385E-2</v>
      </c>
      <c r="AL9" s="49">
        <v>1.3618443193582311E-2</v>
      </c>
      <c r="AM9" s="49">
        <v>2.1200437746795694E-2</v>
      </c>
      <c r="AN9" s="49">
        <v>5.9107954642820655E-2</v>
      </c>
      <c r="AO9" s="49">
        <v>1.6311689135723971E-2</v>
      </c>
      <c r="AP9" s="49">
        <v>2.0483749185599125E-2</v>
      </c>
      <c r="AQ9" s="49">
        <v>1.6372650436702683E-2</v>
      </c>
      <c r="AR9" s="49">
        <v>2.0737988171097468E-2</v>
      </c>
      <c r="AS9" s="49">
        <v>1.9175288277539355E-2</v>
      </c>
      <c r="AT9" s="49">
        <v>2.3337056934100205E-2</v>
      </c>
      <c r="AU9" s="49">
        <v>2.7653394910975206E-2</v>
      </c>
      <c r="AV9" s="49">
        <v>3.481049529305702E-2</v>
      </c>
      <c r="AW9" s="49">
        <v>2.3495598574231513E-2</v>
      </c>
    </row>
    <row r="10" spans="1:49" ht="20.45" customHeight="1" x14ac:dyDescent="0.2">
      <c r="A10" s="43" t="s">
        <v>72</v>
      </c>
      <c r="B10" s="9" t="s">
        <v>39</v>
      </c>
      <c r="C10" s="23">
        <f>+(Índice!E10-Índice!D10)*Índice!$C10/Índice!D$3</f>
        <v>-0.21423334724011725</v>
      </c>
      <c r="D10" s="23">
        <f>+(Índice!F10-Índice!E10)*Índice!$C10/Índice!E$3</f>
        <v>0.18024587231607608</v>
      </c>
      <c r="E10" s="23">
        <f>+(Índice!G10-Índice!F10)*Índice!$C10/Índice!F$3</f>
        <v>5.4028706766248012E-2</v>
      </c>
      <c r="F10" s="23">
        <f>+(Índice!H10-Índice!G10)*Índice!$C10/Índice!G$3</f>
        <v>1.592020449145751E-2</v>
      </c>
      <c r="G10" s="23">
        <f>+(Índice!I10-Índice!H10)*Índice!$C10/Índice!H$3</f>
        <v>-3.4346385439215268E-2</v>
      </c>
      <c r="H10" s="23">
        <f>+(Índice!J10-Índice!I10)*Índice!$C10/Índice!I$3</f>
        <v>1.4407392217328445E-2</v>
      </c>
      <c r="I10" s="23">
        <f>+(Índice!K10-Índice!J10)*Índice!$C10/Índice!J$3</f>
        <v>-1.040360973193287E-3</v>
      </c>
      <c r="J10" s="23">
        <f>+(Índice!L10-Índice!K10)*Índice!$C10/Índice!K$3</f>
        <v>6.6327351146936095E-2</v>
      </c>
      <c r="K10" s="23">
        <f>+(Índice!M10-Índice!L10)*Índice!$C10/Índice!L$3</f>
        <v>3.6603345330644037E-3</v>
      </c>
      <c r="L10" s="23">
        <f>+(Índice!N10-Índice!M10)*Índice!$C10/Índice!M$3</f>
        <v>-4.6087888531615813E-3</v>
      </c>
      <c r="M10" s="23">
        <f>+(Índice!O10-Índice!N10)*Índice!$C10/Índice!N$3</f>
        <v>-0.24485775345622146</v>
      </c>
      <c r="N10" s="23">
        <f>+(Índice!P10-Índice!O10)*Índice!$C10/Índice!O$3</f>
        <v>0.41259306837889609</v>
      </c>
      <c r="O10" s="23">
        <f>+(Índice!Q10-Índice!P10)*Índice!$C10/Índice!P$3</f>
        <v>-8.0823213942175912E-2</v>
      </c>
      <c r="P10" s="23">
        <f>+(Índice!R10-Índice!Q10)*Índice!$C10/Índice!Q$3</f>
        <v>9.690251922102118E-2</v>
      </c>
      <c r="Q10" s="23">
        <f>+(Índice!S10-Índice!R10)*Índice!$C10/Índice!R$3</f>
        <v>0.12878628810335485</v>
      </c>
      <c r="R10" s="23">
        <f>+(Índice!T10-Índice!S10)*Índice!$C10/Índice!S$3</f>
        <v>0.21317476195381507</v>
      </c>
      <c r="S10" s="23">
        <f>+(Índice!U10-Índice!T10)*Índice!$C10/Índice!T$3</f>
        <v>4.6067959621207126E-2</v>
      </c>
      <c r="T10" s="23">
        <f>+(Índice!V10-Índice!U10)*Índice!$C10/Índice!U$3</f>
        <v>3.8135108477680979E-2</v>
      </c>
      <c r="U10" s="23">
        <f>+(Índice!W10-Índice!V10)*Índice!$C10/Índice!V$3</f>
        <v>4.9159381304640301E-2</v>
      </c>
      <c r="V10" s="23">
        <f>+(Índice!X10-Índice!W10)*Índice!$C10/Índice!W$3</f>
        <v>-4.1578576420865883E-2</v>
      </c>
      <c r="W10" s="23">
        <f>+(Índice!Y10-Índice!X10)*Índice!$C10/Índice!X$3</f>
        <v>0.10522621634230669</v>
      </c>
      <c r="X10" s="23">
        <f>+(Índice!Z10-Índice!Y10)*Índice!$C10/Índice!Y$3</f>
        <v>3.0128893728096504E-2</v>
      </c>
      <c r="Y10" s="23">
        <f>+(Índice!AA10-Índice!Z10)*Índice!$C10/Índice!Z$3</f>
        <v>3.2559536901740412E-2</v>
      </c>
      <c r="Z10" s="23">
        <f>+(Índice!AB10-Índice!AA10)*Índice!$C10/Índice!AA$3</f>
        <v>1.5410760077727632E-2</v>
      </c>
      <c r="AA10" s="23">
        <f>+(Índice!AC10-Índice!AB10)*Índice!$C10/Índice!AB$3</f>
        <v>5.3105070662921215E-2</v>
      </c>
      <c r="AB10" s="23">
        <f>+(Índice!AD10-Índice!AC10)*Índice!$C10/Índice!AC$3</f>
        <v>5.9056260360412415E-2</v>
      </c>
      <c r="AC10" s="23">
        <f>+(Índice!AE10-Índice!AD10)*Índice!$C10/Índice!AD$3</f>
        <v>4.900010544374004E-2</v>
      </c>
      <c r="AD10" s="23">
        <f>+(Índice!AF10-Índice!AE10)*Índice!$C10/Índice!AE$3</f>
        <v>8.147218856771038E-2</v>
      </c>
      <c r="AE10" s="23">
        <f>+(Índice!AG10-Índice!AF10)*Índice!$C10/Índice!AF$3</f>
        <v>0.10668575407300501</v>
      </c>
      <c r="AF10" s="23">
        <f>+(Índice!AH10-Índice!AG10)*Índice!$C10/Índice!AG$3</f>
        <v>6.1335266610814815E-2</v>
      </c>
      <c r="AG10" s="23">
        <f>+(Índice!AI10-Índice!AH10)*Índice!$C10/Índice!AH$3</f>
        <v>5.9386638280885105E-2</v>
      </c>
      <c r="AH10" s="23">
        <f>+(Índice!AJ10-Índice!AI10)*Índice!$C10/Índice!AI$3</f>
        <v>3.7028465254144612E-2</v>
      </c>
      <c r="AI10" s="49">
        <v>5.2806168385402974E-2</v>
      </c>
      <c r="AJ10" s="49">
        <v>3.9771911945889242E-2</v>
      </c>
      <c r="AK10" s="49">
        <v>2.3301312846610966E-2</v>
      </c>
      <c r="AL10" s="49">
        <v>2.5200724122672161E-2</v>
      </c>
      <c r="AM10" s="49">
        <v>1.1527169673778762E-2</v>
      </c>
      <c r="AN10" s="49">
        <v>3.5608621817010383E-2</v>
      </c>
      <c r="AO10" s="49">
        <v>4.2105215984170809E-2</v>
      </c>
      <c r="AP10" s="49">
        <v>1.5126745038631699E-2</v>
      </c>
      <c r="AQ10" s="49">
        <v>1.0365844870014955E-2</v>
      </c>
      <c r="AR10" s="49">
        <v>1.6509982426441281E-2</v>
      </c>
      <c r="AS10" s="49">
        <v>1.8422399916847035E-2</v>
      </c>
      <c r="AT10" s="49">
        <v>1.8682663823575051E-2</v>
      </c>
      <c r="AU10" s="49">
        <v>1.9795098618922612E-2</v>
      </c>
      <c r="AV10" s="49">
        <v>1.9723395640201685E-2</v>
      </c>
      <c r="AW10" s="49">
        <v>2.1231970684948979E-2</v>
      </c>
    </row>
    <row r="11" spans="1:49" ht="20.45" customHeight="1" x14ac:dyDescent="0.2">
      <c r="A11" s="43" t="s">
        <v>73</v>
      </c>
      <c r="B11" s="9" t="s">
        <v>40</v>
      </c>
      <c r="C11" s="23">
        <f>+(Índice!E11-Índice!D11)*Índice!$C11/Índice!D$3</f>
        <v>7.8493245489615754E-2</v>
      </c>
      <c r="D11" s="23">
        <f>+(Índice!F11-Índice!E11)*Índice!$C11/Índice!E$3</f>
        <v>-0.15285224498113253</v>
      </c>
      <c r="E11" s="23">
        <f>+(Índice!G11-Índice!F11)*Índice!$C11/Índice!F$3</f>
        <v>-5.4540713485140467E-2</v>
      </c>
      <c r="F11" s="23">
        <f>+(Índice!H11-Índice!G11)*Índice!$C11/Índice!G$3</f>
        <v>-0.11477598590439399</v>
      </c>
      <c r="G11" s="23">
        <f>+(Índice!I11-Índice!H11)*Índice!$C11/Índice!H$3</f>
        <v>4.0389697656213072E-2</v>
      </c>
      <c r="H11" s="23">
        <f>+(Índice!J11-Índice!I11)*Índice!$C11/Índice!I$3</f>
        <v>9.4445240079144135E-2</v>
      </c>
      <c r="I11" s="23">
        <f>+(Índice!K11-Índice!J11)*Índice!$C11/Índice!J$3</f>
        <v>-4.3182409364713001E-2</v>
      </c>
      <c r="J11" s="23">
        <f>+(Índice!L11-Índice!K11)*Índice!$C11/Índice!K$3</f>
        <v>-0.22177230567014117</v>
      </c>
      <c r="K11" s="23">
        <f>+(Índice!M11-Índice!L11)*Índice!$C11/Índice!L$3</f>
        <v>0.21626171704744754</v>
      </c>
      <c r="L11" s="23">
        <f>+(Índice!N11-Índice!M11)*Índice!$C11/Índice!M$3</f>
        <v>0.11286173633440517</v>
      </c>
      <c r="M11" s="23">
        <f>+(Índice!O11-Índice!N11)*Índice!$C11/Índice!N$3</f>
        <v>-9.1632626728110608E-2</v>
      </c>
      <c r="N11" s="23">
        <f>+(Índice!P11-Índice!O11)*Índice!$C11/Índice!O$3</f>
        <v>0.1396528908124014</v>
      </c>
      <c r="O11" s="23">
        <f>+(Índice!Q11-Índice!P11)*Índice!$C11/Índice!P$3</f>
        <v>-0.14016548261115586</v>
      </c>
      <c r="P11" s="23">
        <f>+(Índice!R11-Índice!Q11)*Índice!$C11/Índice!Q$3</f>
        <v>0.10701493678227712</v>
      </c>
      <c r="Q11" s="23">
        <f>+(Índice!S11-Índice!R11)*Índice!$C11/Índice!R$3</f>
        <v>4.5141177398612571E-2</v>
      </c>
      <c r="R11" s="23">
        <f>+(Índice!T11-Índice!S11)*Índice!$C11/Índice!S$3</f>
        <v>5.0847872225990604E-2</v>
      </c>
      <c r="S11" s="23">
        <f>+(Índice!U11-Índice!T11)*Índice!$C11/Índice!T$3</f>
        <v>1.1283915744395204E-2</v>
      </c>
      <c r="T11" s="23">
        <f>+(Índice!V11-Índice!U11)*Índice!$C11/Índice!U$3</f>
        <v>1.1858115583804138E-2</v>
      </c>
      <c r="U11" s="23">
        <f>+(Índice!W11-Índice!V11)*Índice!$C11/Índice!V$3</f>
        <v>1.3550773369199709E-2</v>
      </c>
      <c r="V11" s="23">
        <f>+(Índice!X11-Índice!W11)*Índice!$C11/Índice!W$3</f>
        <v>-1.1843156194374859E-2</v>
      </c>
      <c r="W11" s="23">
        <f>+(Índice!Y11-Índice!X11)*Índice!$C11/Índice!X$3</f>
        <v>2.3819586783386415E-2</v>
      </c>
      <c r="X11" s="23">
        <f>+(Índice!Z11-Índice!Y11)*Índice!$C11/Índice!Y$3</f>
        <v>4.4759538966436929E-3</v>
      </c>
      <c r="Y11" s="23">
        <f>+(Índice!AA11-Índice!Z11)*Índice!$C11/Índice!Z$3</f>
        <v>6.802031210437303E-3</v>
      </c>
      <c r="Z11" s="23">
        <f>+(Índice!AB11-Índice!AA11)*Índice!$C11/Índice!AA$3</f>
        <v>3.3026916097814506E-3</v>
      </c>
      <c r="AA11" s="23">
        <f>+(Índice!AC11-Índice!AB11)*Índice!$C11/Índice!AB$3</f>
        <v>1.7548249710819346E-2</v>
      </c>
      <c r="AB11" s="23">
        <f>+(Índice!AD11-Índice!AC11)*Índice!$C11/Índice!AC$3</f>
        <v>6.61987388853842E-3</v>
      </c>
      <c r="AC11" s="23">
        <f>+(Índice!AE11-Índice!AD11)*Índice!$C11/Índice!AD$3</f>
        <v>1.6141068851492121E-2</v>
      </c>
      <c r="AD11" s="23">
        <f>+(Índice!AF11-Índice!AE11)*Índice!$C11/Índice!AE$3</f>
        <v>2.6840369877960658E-2</v>
      </c>
      <c r="AE11" s="23">
        <f>+(Índice!AG11-Índice!AF11)*Índice!$C11/Índice!AF$3</f>
        <v>2.5850509615490451E-2</v>
      </c>
      <c r="AF11" s="23">
        <f>+(Índice!AH11-Índice!AG11)*Índice!$C11/Índice!AG$3</f>
        <v>1.2959358803104008E-2</v>
      </c>
      <c r="AG11" s="23">
        <f>+(Índice!AI11-Índice!AH11)*Índice!$C11/Índice!AH$3</f>
        <v>1.276694082563979E-2</v>
      </c>
      <c r="AH11" s="23">
        <f>+(Índice!AJ11-Índice!AI11)*Índice!$C11/Índice!AI$3</f>
        <v>3.8558970221110019E-3</v>
      </c>
      <c r="AI11" s="49">
        <v>1.2278053582261309E-2</v>
      </c>
      <c r="AJ11" s="49">
        <v>7.1174547960433827E-3</v>
      </c>
      <c r="AK11" s="49">
        <v>6.937404578780438E-3</v>
      </c>
      <c r="AL11" s="49">
        <v>2.480314835150313E-3</v>
      </c>
      <c r="AM11" s="49">
        <v>6.128043670811381E-3</v>
      </c>
      <c r="AN11" s="49">
        <v>1.6919533930681848E-2</v>
      </c>
      <c r="AO11" s="49">
        <v>-7.2384999946477884E-3</v>
      </c>
      <c r="AP11" s="49">
        <v>9.9839867918710742E-3</v>
      </c>
      <c r="AQ11" s="49">
        <v>6.0068055666882064E-3</v>
      </c>
      <c r="AR11" s="49">
        <v>4.2280057446558005E-3</v>
      </c>
      <c r="AS11" s="49">
        <v>7.5288836069240927E-4</v>
      </c>
      <c r="AT11" s="49">
        <v>4.6543931105252068E-3</v>
      </c>
      <c r="AU11" s="49">
        <v>7.858296292052612E-3</v>
      </c>
      <c r="AV11" s="49">
        <v>1.5087099652854857E-2</v>
      </c>
      <c r="AW11" s="49">
        <v>2.2636278892824704E-3</v>
      </c>
    </row>
    <row r="12" spans="1:49" ht="20.45" customHeight="1" x14ac:dyDescent="0.2">
      <c r="A12" s="42" t="s">
        <v>74</v>
      </c>
      <c r="B12" s="9" t="s">
        <v>41</v>
      </c>
      <c r="C12" s="23">
        <f>+(Índice!E12-Índice!D12)*Índice!$C12/Índice!D$3</f>
        <v>3.0436436895668811E-2</v>
      </c>
      <c r="D12" s="23">
        <f>+(Índice!F12-Índice!E12)*Índice!$C12/Índice!E$3</f>
        <v>0</v>
      </c>
      <c r="E12" s="23">
        <f>+(Índice!G12-Índice!F12)*Índice!$C12/Índice!F$3</f>
        <v>3.6466552665938706E-2</v>
      </c>
      <c r="F12" s="23">
        <f>+(Índice!H12-Índice!G12)*Índice!$C12/Índice!G$3</f>
        <v>2.6385910495869127E-3</v>
      </c>
      <c r="G12" s="23">
        <f>+(Índice!I12-Índice!H12)*Índice!$C12/Índice!H$3</f>
        <v>-4.9643695572814429E-3</v>
      </c>
      <c r="H12" s="23">
        <f>+(Índice!J12-Índice!I12)*Índice!$C12/Índice!I$3</f>
        <v>9.0321788500331186E-3</v>
      </c>
      <c r="I12" s="23">
        <f>+(Índice!K12-Índice!J12)*Índice!$C12/Índice!J$3</f>
        <v>-6.3429683277342348E-3</v>
      </c>
      <c r="J12" s="23">
        <f>+(Índice!L12-Índice!K12)*Índice!$C12/Índice!K$3</f>
        <v>5.815278385556228E-2</v>
      </c>
      <c r="K12" s="23">
        <f>+(Índice!M12-Índice!L12)*Índice!$C12/Índice!L$3</f>
        <v>1.5482512784129682E-2</v>
      </c>
      <c r="L12" s="23">
        <f>+(Índice!N12-Índice!M12)*Índice!$C12/Índice!M$3</f>
        <v>-5.9485530546623845E-2</v>
      </c>
      <c r="M12" s="23">
        <f>+(Índice!O12-Índice!N12)*Índice!$C12/Índice!N$3</f>
        <v>-8.1906682027649419E-3</v>
      </c>
      <c r="N12" s="23">
        <f>+(Índice!P12-Índice!O12)*Índice!$C12/Índice!O$3</f>
        <v>6.1071213914893528E-2</v>
      </c>
      <c r="O12" s="23">
        <f>+(Índice!Q12-Índice!P12)*Índice!$C12/Índice!P$3</f>
        <v>5.1772174745623303E-2</v>
      </c>
      <c r="P12" s="23">
        <f>+(Índice!R12-Índice!Q12)*Índice!$C12/Índice!Q$3</f>
        <v>1.1545891989479629E-2</v>
      </c>
      <c r="Q12" s="23">
        <f>+(Índice!S12-Índice!R12)*Índice!$C12/Índice!R$3</f>
        <v>8.3232585607384574E-3</v>
      </c>
      <c r="R12" s="23">
        <f>+(Índice!T12-Índice!S12)*Índice!$C12/Índice!S$3</f>
        <v>1.3716298749747899E-2</v>
      </c>
      <c r="S12" s="23">
        <f>+(Índice!U12-Índice!T12)*Índice!$C12/Índice!T$3</f>
        <v>8.8548229402949201E-3</v>
      </c>
      <c r="T12" s="23">
        <f>+(Índice!V12-Índice!U12)*Índice!$C12/Índice!U$3</f>
        <v>7.2353603885461698E-3</v>
      </c>
      <c r="U12" s="23">
        <f>+(Índice!W12-Índice!V12)*Índice!$C12/Índice!V$3</f>
        <v>8.7424344317417919E-3</v>
      </c>
      <c r="V12" s="23">
        <f>+(Índice!X12-Índice!W12)*Índice!$C12/Índice!W$3</f>
        <v>-7.5229634202401965E-3</v>
      </c>
      <c r="W12" s="23">
        <f>+(Índice!Y12-Índice!X12)*Índice!$C12/Índice!X$3</f>
        <v>1.7279900075329178E-2</v>
      </c>
      <c r="X12" s="23">
        <f>+(Índice!Z12-Índice!Y12)*Índice!$C12/Índice!Y$3</f>
        <v>4.7439095254257196E-3</v>
      </c>
      <c r="Y12" s="23">
        <f>+(Índice!AA12-Índice!Z12)*Índice!$C12/Índice!Z$3</f>
        <v>2.8499560775890145E-3</v>
      </c>
      <c r="Z12" s="23">
        <f>+(Índice!AB12-Índice!AA12)*Índice!$C12/Índice!AA$3</f>
        <v>3.0338499234978593E-3</v>
      </c>
      <c r="AA12" s="23">
        <f>+(Índice!AC12-Índice!AB12)*Índice!$C12/Índice!AB$3</f>
        <v>9.4512080620591781E-3</v>
      </c>
      <c r="AB12" s="23">
        <f>+(Índice!AD12-Índice!AC12)*Índice!$C12/Índice!AC$3</f>
        <v>7.5478520189691464E-3</v>
      </c>
      <c r="AC12" s="23">
        <f>+(Índice!AE12-Índice!AD12)*Índice!$C12/Índice!AD$3</f>
        <v>6.9717963087404184E-3</v>
      </c>
      <c r="AD12" s="23">
        <f>+(Índice!AF12-Índice!AE12)*Índice!$C12/Índice!AE$3</f>
        <v>1.0424222407300501E-2</v>
      </c>
      <c r="AE12" s="23">
        <f>+(Índice!AG12-Índice!AF12)*Índice!$C12/Índice!AF$3</f>
        <v>1.1273403152734802E-2</v>
      </c>
      <c r="AF12" s="23">
        <f>+(Índice!AH12-Índice!AG12)*Índice!$C12/Índice!AG$3</f>
        <v>1.3508487868326459E-2</v>
      </c>
      <c r="AG12" s="23">
        <f>+(Índice!AI12-Índice!AH12)*Índice!$C12/Índice!AH$3</f>
        <v>8.6233522122637091E-3</v>
      </c>
      <c r="AH12" s="23">
        <f>+(Índice!AJ12-Índice!AI12)*Índice!$C12/Índice!AI$3</f>
        <v>4.5738161992038074E-4</v>
      </c>
      <c r="AI12" s="49">
        <v>-1.5552305194563727E-4</v>
      </c>
      <c r="AJ12" s="49">
        <v>-1.9691733273869842E-4</v>
      </c>
      <c r="AK12" s="49">
        <v>3.1631460110587884E-5</v>
      </c>
      <c r="AL12" s="49">
        <v>2.134924079309284E-4</v>
      </c>
      <c r="AM12" s="49">
        <v>8.930576691696632E-5</v>
      </c>
      <c r="AN12" s="49">
        <v>4.7993361310751451E-4</v>
      </c>
      <c r="AO12" s="49">
        <v>8.7368800630586313E-4</v>
      </c>
      <c r="AP12" s="49">
        <v>-2.97362178474346E-4</v>
      </c>
      <c r="AQ12" s="49">
        <v>1.626034241123144E-4</v>
      </c>
      <c r="AR12" s="49">
        <v>1.7083629877765426E-4</v>
      </c>
      <c r="AS12" s="49">
        <v>5.4844045366917317E-4</v>
      </c>
      <c r="AT12" s="49">
        <v>1.8785068401634542E-4</v>
      </c>
      <c r="AU12" s="49">
        <v>6.1749761658196306E-4</v>
      </c>
      <c r="AV12" s="49">
        <v>1.9866749939741061E-4</v>
      </c>
      <c r="AW12" s="49">
        <v>2.4059565712762623E-5</v>
      </c>
    </row>
    <row r="13" spans="1:49" ht="20.45" customHeight="1" x14ac:dyDescent="0.2">
      <c r="A13" s="42" t="s">
        <v>75</v>
      </c>
      <c r="B13" s="9">
        <v>16</v>
      </c>
      <c r="C13" s="23">
        <f>+(Índice!E13-Índice!D13)*Índice!$C13/Índice!D$3</f>
        <v>0</v>
      </c>
      <c r="D13" s="23">
        <f>+(Índice!F13-Índice!E13)*Índice!$C13/Índice!E$3</f>
        <v>-1.9642364224005584E-3</v>
      </c>
      <c r="E13" s="23">
        <f>+(Índice!G13-Índice!F13)*Índice!$C13/Índice!F$3</f>
        <v>-1.3166154291280639E-4</v>
      </c>
      <c r="F13" s="23">
        <f>+(Índice!H13-Índice!G13)*Índice!$C13/Índice!G$3</f>
        <v>-7.315474636562261E-3</v>
      </c>
      <c r="G13" s="23">
        <f>+(Índice!I13-Índice!H13)*Índice!$C13/Índice!H$3</f>
        <v>-1.525449449177397E-3</v>
      </c>
      <c r="H13" s="23">
        <f>+(Índice!J13-Índice!I13)*Índice!$C13/Índice!I$3</f>
        <v>3.0325424570586579E-3</v>
      </c>
      <c r="I13" s="23">
        <f>+(Índice!K13-Índice!J13)*Índice!$C13/Índice!J$3</f>
        <v>3.8328374167900933E-3</v>
      </c>
      <c r="J13" s="23">
        <f>+(Índice!L13-Índice!K13)*Índice!$C13/Índice!K$3</f>
        <v>-1.1088097596295102E-2</v>
      </c>
      <c r="K13" s="23">
        <f>+(Índice!M13-Índice!L13)*Índice!$C13/Índice!L$3</f>
        <v>9.9448808585802812E-4</v>
      </c>
      <c r="L13" s="23">
        <f>+(Índice!N13-Índice!M13)*Índice!$C13/Índice!M$3</f>
        <v>6.6988210075026797E-3</v>
      </c>
      <c r="M13" s="23">
        <f>+(Índice!O13-Índice!N13)*Índice!$C13/Índice!N$3</f>
        <v>1.529505241935479E-3</v>
      </c>
      <c r="N13" s="23">
        <f>+(Índice!P13-Índice!O13)*Índice!$C13/Índice!O$3</f>
        <v>6.8892789626535424E-3</v>
      </c>
      <c r="O13" s="23">
        <f>+(Índice!Q13-Índice!P13)*Índice!$C13/Índice!P$3</f>
        <v>-1.4299508130958054E-2</v>
      </c>
      <c r="P13" s="23">
        <f>+(Índice!R13-Índice!Q13)*Índice!$C13/Índice!Q$3</f>
        <v>2.8278528463852631E-3</v>
      </c>
      <c r="Q13" s="23">
        <f>+(Índice!S13-Índice!R13)*Índice!$C13/Índice!R$3</f>
        <v>1.0779850467114984E-2</v>
      </c>
      <c r="R13" s="23">
        <f>+(Índice!T13-Índice!S13)*Índice!$C13/Índice!S$3</f>
        <v>6.5904293075100297E-3</v>
      </c>
      <c r="S13" s="23">
        <f>+(Índice!U13-Índice!T13)*Índice!$C13/Índice!T$3</f>
        <v>6.7986723532249219E-4</v>
      </c>
      <c r="T13" s="23">
        <f>+(Índice!V13-Índice!U13)*Índice!$C13/Índice!U$3</f>
        <v>9.7613642288884737E-4</v>
      </c>
      <c r="U13" s="23">
        <f>+(Índice!W13-Índice!V13)*Índice!$C13/Índice!V$3</f>
        <v>5.0437121721587104E-4</v>
      </c>
      <c r="V13" s="23">
        <f>+(Índice!X13-Índice!W13)*Índice!$C13/Índice!W$3</f>
        <v>-5.9257289977676772E-4</v>
      </c>
      <c r="W13" s="23">
        <f>+(Índice!Y13-Índice!X13)*Índice!$C13/Índice!X$3</f>
        <v>2.3143617083598608E-3</v>
      </c>
      <c r="X13" s="23">
        <f>+(Índice!Z13-Índice!Y13)*Índice!$C13/Índice!Y$3</f>
        <v>9.0799154337343861E-4</v>
      </c>
      <c r="Y13" s="23">
        <f>+(Índice!AA13-Índice!Z13)*Índice!$C13/Índice!Z$3</f>
        <v>1.7418585851335889E-3</v>
      </c>
      <c r="Z13" s="23">
        <f>+(Índice!AB13-Índice!AA13)*Índice!$C13/Índice!AA$3</f>
        <v>2.7124958594425497E-4</v>
      </c>
      <c r="AA13" s="23">
        <f>+(Índice!AC13-Índice!AB13)*Índice!$C13/Índice!AB$3</f>
        <v>1.9514498824785458E-3</v>
      </c>
      <c r="AB13" s="23">
        <f>+(Índice!AD13-Índice!AC13)*Índice!$C13/Índice!AC$3</f>
        <v>9.9147903954013915E-4</v>
      </c>
      <c r="AC13" s="23">
        <f>+(Índice!AE13-Índice!AD13)*Índice!$C13/Índice!AD$3</f>
        <v>1.8204103836127732E-3</v>
      </c>
      <c r="AD13" s="23">
        <f>+(Índice!AF13-Índice!AE13)*Índice!$C13/Índice!AE$3</f>
        <v>1.9512088896065604E-3</v>
      </c>
      <c r="AE13" s="23">
        <f>+(Índice!AG13-Índice!AF13)*Índice!$C13/Índice!AF$3</f>
        <v>2.9019631002290434E-3</v>
      </c>
      <c r="AF13" s="23">
        <f>+(Índice!AH13-Índice!AG13)*Índice!$C13/Índice!AG$3</f>
        <v>2.7429267404169232E-3</v>
      </c>
      <c r="AG13" s="23">
        <f>+(Índice!AI13-Índice!AH13)*Índice!$C13/Índice!AH$3</f>
        <v>1.0795553688531488E-3</v>
      </c>
      <c r="AH13" s="23">
        <f>+(Índice!AJ13-Índice!AI13)*Índice!$C13/Índice!AI$3</f>
        <v>5.6915876885682725E-5</v>
      </c>
      <c r="AI13" s="49">
        <v>4.9935352126772616E-4</v>
      </c>
      <c r="AJ13" s="49">
        <v>2.8946315347339307E-4</v>
      </c>
      <c r="AK13" s="49">
        <v>2.9198257339680468E-4</v>
      </c>
      <c r="AL13" s="49">
        <v>4.6165878827746152E-4</v>
      </c>
      <c r="AM13" s="49">
        <v>-1.259493526907382E-4</v>
      </c>
      <c r="AN13" s="49">
        <v>7.0177565991434455E-5</v>
      </c>
      <c r="AO13" s="49">
        <v>1.5856203553458717E-3</v>
      </c>
      <c r="AP13" s="49">
        <v>5.4095675149048517E-4</v>
      </c>
      <c r="AQ13" s="49">
        <v>3.0538610136404459E-4</v>
      </c>
      <c r="AR13" s="49">
        <v>1.597583419829437E-4</v>
      </c>
      <c r="AS13" s="49">
        <v>1.0961927804425114E-3</v>
      </c>
      <c r="AT13" s="49">
        <v>1.7667896006105707E-4</v>
      </c>
      <c r="AU13" s="49">
        <v>7.4453530328851697E-4</v>
      </c>
      <c r="AV13" s="49">
        <v>9.6514019601143873E-5</v>
      </c>
      <c r="AW13" s="49">
        <v>1.0930465731676191E-3</v>
      </c>
    </row>
    <row r="14" spans="1:49" ht="20.45" customHeight="1" x14ac:dyDescent="0.2">
      <c r="A14" s="42" t="s">
        <v>76</v>
      </c>
      <c r="B14" s="9" t="s">
        <v>42</v>
      </c>
      <c r="C14" s="23">
        <f>+(Índice!E14-Índice!D14)*Índice!$C14/Índice!D$3</f>
        <v>0</v>
      </c>
      <c r="D14" s="23">
        <f>+(Índice!F14-Índice!E14)*Índice!$C14/Índice!E$3</f>
        <v>2.3891868659928043E-2</v>
      </c>
      <c r="E14" s="23">
        <f>+(Índice!G14-Índice!F14)*Índice!$C14/Índice!F$3</f>
        <v>2.8103592780622973E-3</v>
      </c>
      <c r="F14" s="23">
        <f>+(Índice!H14-Índice!G14)*Índice!$C14/Índice!G$3</f>
        <v>0</v>
      </c>
      <c r="G14" s="23">
        <f>+(Índice!I14-Índice!H14)*Índice!$C14/Índice!H$3</f>
        <v>-2.6511793685581587E-2</v>
      </c>
      <c r="H14" s="23">
        <f>+(Índice!J14-Índice!I14)*Índice!$C14/Índice!I$3</f>
        <v>-2.748490209406004E-3</v>
      </c>
      <c r="I14" s="23">
        <f>+(Índice!K14-Índice!J14)*Índice!$C14/Índice!J$3</f>
        <v>2.6397380589270967E-2</v>
      </c>
      <c r="J14" s="23">
        <f>+(Índice!L14-Índice!K14)*Índice!$C14/Índice!K$3</f>
        <v>2.386559573656764E-2</v>
      </c>
      <c r="K14" s="23">
        <f>+(Índice!M14-Índice!L14)*Índice!$C14/Índice!L$3</f>
        <v>-1.2706999236366978E-2</v>
      </c>
      <c r="L14" s="23">
        <f>+(Índice!N14-Índice!M14)*Índice!$C14/Índice!M$3</f>
        <v>-3.6227224008574505E-2</v>
      </c>
      <c r="M14" s="23">
        <f>+(Índice!O14-Índice!N14)*Índice!$C14/Índice!N$3</f>
        <v>1.4516787179453134E-2</v>
      </c>
      <c r="N14" s="23">
        <f>+(Índice!P14-Índice!O14)*Índice!$C14/Índice!O$3</f>
        <v>1.4976725783775011E-3</v>
      </c>
      <c r="O14" s="23">
        <f>+(Índice!Q14-Índice!P14)*Índice!$C14/Índice!P$3</f>
        <v>2.1772251073301583E-2</v>
      </c>
      <c r="P14" s="23">
        <f>+(Índice!R14-Índice!Q14)*Índice!$C14/Índice!Q$3</f>
        <v>3.2357659845015686E-5</v>
      </c>
      <c r="Q14" s="23">
        <f>+(Índice!S14-Índice!R14)*Índice!$C14/Índice!R$3</f>
        <v>4.9979152847904407E-3</v>
      </c>
      <c r="R14" s="23">
        <f>+(Índice!T14-Índice!S14)*Índice!$C14/Índice!S$3</f>
        <v>5.6594872249668606E-3</v>
      </c>
      <c r="S14" s="23">
        <f>+(Índice!U14-Índice!T14)*Índice!$C14/Índice!T$3</f>
        <v>2.0174631880019648E-3</v>
      </c>
      <c r="T14" s="23">
        <f>+(Índice!V14-Índice!U14)*Índice!$C14/Índice!U$3</f>
        <v>2.4176152374223961E-3</v>
      </c>
      <c r="U14" s="23">
        <f>+(Índice!W14-Índice!V14)*Índice!$C14/Índice!V$3</f>
        <v>3.0262273032952256E-3</v>
      </c>
      <c r="V14" s="23">
        <f>+(Índice!X14-Índice!W14)*Índice!$C14/Índice!W$3</f>
        <v>-2.579432284374788E-3</v>
      </c>
      <c r="W14" s="23">
        <f>+(Índice!Y14-Índice!X14)*Índice!$C14/Índice!X$3</f>
        <v>6.1915637130378308E-3</v>
      </c>
      <c r="X14" s="23">
        <f>+(Índice!Z14-Índice!Y14)*Índice!$C14/Índice!Y$3</f>
        <v>9.1231910577281832E-4</v>
      </c>
      <c r="Y14" s="23">
        <f>+(Índice!AA14-Índice!Z14)*Índice!$C14/Índice!Z$3</f>
        <v>2.9534455712454939E-3</v>
      </c>
      <c r="Z14" s="23">
        <f>+(Índice!AB14-Índice!AA14)*Índice!$C14/Índice!AA$3</f>
        <v>1.4308453695628131E-3</v>
      </c>
      <c r="AA14" s="23">
        <f>+(Índice!AC14-Índice!AB14)*Índice!$C14/Índice!AB$3</f>
        <v>2.3436374648882325E-3</v>
      </c>
      <c r="AB14" s="23">
        <f>+(Índice!AD14-Índice!AC14)*Índice!$C14/Índice!AC$3</f>
        <v>1.5021275394377976E-3</v>
      </c>
      <c r="AC14" s="23">
        <f>+(Índice!AE14-Índice!AD14)*Índice!$C14/Índice!AD$3</f>
        <v>1.2218337576759286E-3</v>
      </c>
      <c r="AD14" s="23">
        <f>+(Índice!AF14-Índice!AE14)*Índice!$C14/Índice!AE$3</f>
        <v>2.3918189207810022E-3</v>
      </c>
      <c r="AE14" s="23">
        <f>+(Índice!AG14-Índice!AF14)*Índice!$C14/Índice!AF$3</f>
        <v>2.7275282755198612E-3</v>
      </c>
      <c r="AF14" s="23">
        <f>+(Índice!AH14-Índice!AG14)*Índice!$C14/Índice!AG$3</f>
        <v>3.2990755733716213E-3</v>
      </c>
      <c r="AG14" s="23">
        <f>+(Índice!AI14-Índice!AH14)*Índice!$C14/Índice!AH$3</f>
        <v>3.3679374647140469E-3</v>
      </c>
      <c r="AH14" s="23">
        <f>+(Índice!AJ14-Índice!AI14)*Índice!$C14/Índice!AI$3</f>
        <v>1.4719000533729241E-3</v>
      </c>
      <c r="AI14" s="49">
        <v>3.3968348336715143E-3</v>
      </c>
      <c r="AJ14" s="49">
        <v>1.9690237903812573E-3</v>
      </c>
      <c r="AK14" s="49">
        <v>2.3083739608680811E-3</v>
      </c>
      <c r="AL14" s="49">
        <v>1.44038054770305E-3</v>
      </c>
      <c r="AM14" s="49">
        <v>7.3142936554185321E-4</v>
      </c>
      <c r="AN14" s="49">
        <v>3.5039845070284274E-3</v>
      </c>
      <c r="AO14" s="49">
        <v>8.4613105250067912E-4</v>
      </c>
      <c r="AP14" s="49">
        <v>9.637926640520565E-4</v>
      </c>
      <c r="AQ14" s="49">
        <v>2.228902481474412E-3</v>
      </c>
      <c r="AR14" s="49">
        <v>6.0589404228466529E-4</v>
      </c>
      <c r="AS14" s="49">
        <v>6.1602636164980352E-4</v>
      </c>
      <c r="AT14" s="49">
        <v>6.6160786584373475E-4</v>
      </c>
      <c r="AU14" s="49">
        <v>2.8416050643397771E-3</v>
      </c>
      <c r="AV14" s="49">
        <v>2.0364031065519287E-3</v>
      </c>
      <c r="AW14" s="49">
        <v>2.7279503699830605E-3</v>
      </c>
    </row>
    <row r="15" spans="1:49" ht="20.45" customHeight="1" x14ac:dyDescent="0.2">
      <c r="A15" s="42" t="s">
        <v>77</v>
      </c>
      <c r="B15" s="9" t="s">
        <v>43</v>
      </c>
      <c r="C15" s="23">
        <f>+(Índice!E15-Índice!D15)*Índice!$C15/Índice!D$3</f>
        <v>0.26718267540025975</v>
      </c>
      <c r="D15" s="23">
        <f>+(Índice!F15-Índice!E15)*Índice!$C15/Índice!E$3</f>
        <v>-1.2847247240259561E-2</v>
      </c>
      <c r="E15" s="23">
        <f>+(Índice!G15-Índice!F15)*Índice!$C15/Índice!F$3</f>
        <v>-3.0306267857282038E-2</v>
      </c>
      <c r="F15" s="23">
        <f>+(Índice!H15-Índice!G15)*Índice!$C15/Índice!G$3</f>
        <v>-7.0994782753105889E-2</v>
      </c>
      <c r="G15" s="23">
        <f>+(Índice!I15-Índice!H15)*Índice!$C15/Índice!H$3</f>
        <v>0.48822633500064361</v>
      </c>
      <c r="H15" s="23">
        <f>+(Índice!J15-Índice!I15)*Índice!$C15/Índice!I$3</f>
        <v>-1.1584007995084413E-2</v>
      </c>
      <c r="I15" s="23">
        <f>+(Índice!K15-Índice!J15)*Índice!$C15/Índice!J$3</f>
        <v>1.6549289073808541E-2</v>
      </c>
      <c r="J15" s="23">
        <f>+(Índice!L15-Índice!K15)*Índice!$C15/Índice!K$3</f>
        <v>-0.31780366461335768</v>
      </c>
      <c r="K15" s="23">
        <f>+(Índice!M15-Índice!L15)*Índice!$C15/Índice!L$3</f>
        <v>0.23667377945353421</v>
      </c>
      <c r="L15" s="23">
        <f>+(Índice!N15-Índice!M15)*Índice!$C15/Índice!M$3</f>
        <v>8.7459807073954926E-2</v>
      </c>
      <c r="M15" s="23">
        <f>+(Índice!O15-Índice!N15)*Índice!$C15/Índice!N$3</f>
        <v>2.3783779146284236E-2</v>
      </c>
      <c r="N15" s="23">
        <f>+(Índice!P15-Índice!O15)*Índice!$C15/Índice!O$3</f>
        <v>8.3491935293181641E-4</v>
      </c>
      <c r="O15" s="23">
        <f>+(Índice!Q15-Índice!P15)*Índice!$C15/Índice!P$3</f>
        <v>6.8178772334331839E-2</v>
      </c>
      <c r="P15" s="23">
        <f>+(Índice!R15-Índice!Q15)*Índice!$C15/Índice!Q$3</f>
        <v>-4.2284517094180844E-2</v>
      </c>
      <c r="Q15" s="23">
        <f>+(Índice!S15-Índice!R15)*Índice!$C15/Índice!R$3</f>
        <v>0.59990203537303455</v>
      </c>
      <c r="R15" s="23">
        <f>+(Índice!T15-Índice!S15)*Índice!$C15/Índice!S$3</f>
        <v>8.3659643045766938E-3</v>
      </c>
      <c r="S15" s="23">
        <f>+(Índice!U15-Índice!T15)*Índice!$C15/Índice!T$3</f>
        <v>3.6001170257654362E-2</v>
      </c>
      <c r="T15" s="23">
        <f>+(Índice!V15-Índice!U15)*Índice!$C15/Índice!U$3</f>
        <v>3.6577133845033347E-2</v>
      </c>
      <c r="U15" s="23">
        <f>+(Índice!W15-Índice!V15)*Índice!$C15/Índice!V$3</f>
        <v>1.9435104236718421E-2</v>
      </c>
      <c r="V15" s="23">
        <f>+(Índice!X15-Índice!W15)*Índice!$C15/Índice!W$3</f>
        <v>-2.2539618301365198E-2</v>
      </c>
      <c r="W15" s="23">
        <f>+(Índice!Y15-Índice!X15)*Índice!$C15/Índice!X$3</f>
        <v>9.2742212540921756E-2</v>
      </c>
      <c r="X15" s="23">
        <f>+(Índice!Z15-Índice!Y15)*Índice!$C15/Índice!Y$3</f>
        <v>3.2263247385947345E-2</v>
      </c>
      <c r="Y15" s="23">
        <f>+(Índice!AA15-Índice!Z15)*Índice!$C15/Índice!Z$3</f>
        <v>-1.6870895896799337E-2</v>
      </c>
      <c r="Z15" s="23">
        <f>+(Índice!AB15-Índice!AA15)*Índice!$C15/Índice!AA$3</f>
        <v>3.4769285759501618E-2</v>
      </c>
      <c r="AA15" s="23">
        <f>+(Índice!AC15-Índice!AB15)*Índice!$C15/Índice!AB$3</f>
        <v>6.4927523022521014E-2</v>
      </c>
      <c r="AB15" s="23">
        <f>+(Índice!AD15-Índice!AC15)*Índice!$C15/Índice!AC$3</f>
        <v>6.2839856380169229E-2</v>
      </c>
      <c r="AC15" s="23">
        <f>+(Índice!AE15-Índice!AD15)*Índice!$C15/Índice!AD$3</f>
        <v>0.19817573687921139</v>
      </c>
      <c r="AD15" s="23">
        <f>+(Índice!AF15-Índice!AE15)*Índice!$C15/Índice!AE$3</f>
        <v>8.4562746149513604E-2</v>
      </c>
      <c r="AE15" s="23">
        <f>+(Índice!AG15-Índice!AF15)*Índice!$C15/Índice!AF$3</f>
        <v>3.9652152280459464E-2</v>
      </c>
      <c r="AF15" s="23">
        <f>+(Índice!AH15-Índice!AG15)*Índice!$C15/Índice!AG$3</f>
        <v>2.6397971572705146E-2</v>
      </c>
      <c r="AG15" s="23">
        <f>+(Índice!AI15-Índice!AH15)*Índice!$C15/Índice!AH$3</f>
        <v>2.461192631231704E-2</v>
      </c>
      <c r="AH15" s="23">
        <f>+(Índice!AJ15-Índice!AI15)*Índice!$C15/Índice!AI$3</f>
        <v>-1.8268086350417191E-2</v>
      </c>
      <c r="AI15" s="49">
        <v>1.4712175337445401E-2</v>
      </c>
      <c r="AJ15" s="49">
        <v>8.5452051969056898E-3</v>
      </c>
      <c r="AK15" s="49">
        <v>9.249637471498505E-3</v>
      </c>
      <c r="AL15" s="49">
        <v>4.290475447112951E-3</v>
      </c>
      <c r="AM15" s="49">
        <v>5.4943573758396164E-3</v>
      </c>
      <c r="AN15" s="49">
        <v>1.8177649167308477E-2</v>
      </c>
      <c r="AO15" s="49">
        <v>2.9643674590642724E-2</v>
      </c>
      <c r="AP15" s="49">
        <v>1.0503258164525931E-2</v>
      </c>
      <c r="AQ15" s="49">
        <v>6.8482953787296769E-3</v>
      </c>
      <c r="AR15" s="49">
        <v>1.0197979876583194E-2</v>
      </c>
      <c r="AS15" s="49">
        <v>1.9104251830273009E-2</v>
      </c>
      <c r="AT15" s="49">
        <v>1.1328299914630939E-2</v>
      </c>
      <c r="AU15" s="49">
        <v>4.1315648777803795E-3</v>
      </c>
      <c r="AV15" s="49">
        <v>2.3057755402600199E-2</v>
      </c>
      <c r="AW15" s="49">
        <v>4.2327720674201685E-3</v>
      </c>
    </row>
    <row r="16" spans="1:49" ht="20.45" customHeight="1" x14ac:dyDescent="0.2">
      <c r="A16" s="42" t="s">
        <v>78</v>
      </c>
      <c r="B16" s="9" t="s">
        <v>44</v>
      </c>
      <c r="C16" s="23">
        <f>+(Índice!E16-Índice!D16)*Índice!$C16/Índice!D$3</f>
        <v>-2.220893706000952E-4</v>
      </c>
      <c r="D16" s="23">
        <f>+(Índice!F16-Índice!E16)*Índice!$C16/Índice!E$3</f>
        <v>-1.3190928767195799E-4</v>
      </c>
      <c r="E16" s="23">
        <f>+(Índice!G16-Índice!F16)*Índice!$C16/Índice!F$3</f>
        <v>1.8934129279787269E-5</v>
      </c>
      <c r="F16" s="23">
        <f>+(Índice!H16-Índice!G16)*Índice!$C16/Índice!G$3</f>
        <v>-1.0627882313328058E-6</v>
      </c>
      <c r="G16" s="23">
        <f>+(Índice!I16-Índice!H16)*Índice!$C16/Índice!H$3</f>
        <v>4.0027627272182941E-4</v>
      </c>
      <c r="H16" s="23">
        <f>+(Índice!J16-Índice!I16)*Índice!$C16/Índice!I$3</f>
        <v>9.8945050193713236E-6</v>
      </c>
      <c r="I16" s="23">
        <f>+(Índice!K16-Índice!J16)*Índice!$C16/Índice!J$3</f>
        <v>-3.6688532704867071E-4</v>
      </c>
      <c r="J16" s="23">
        <f>+(Índice!L16-Índice!K16)*Índice!$C16/Índice!K$3</f>
        <v>-2.2828634011067125E-4</v>
      </c>
      <c r="K16" s="23">
        <f>+(Índice!M16-Índice!L16)*Índice!$C16/Índice!L$3</f>
        <v>1.6492370246955254E-2</v>
      </c>
      <c r="L16" s="23">
        <f>+(Índice!N16-Índice!M16)*Índice!$C16/Índice!M$3</f>
        <v>-1.254019292604501E-2</v>
      </c>
      <c r="M16" s="23">
        <f>+(Índice!O16-Índice!N16)*Índice!$C16/Índice!N$3</f>
        <v>3.6910177674415348E-3</v>
      </c>
      <c r="N16" s="23">
        <f>+(Índice!P16-Índice!O16)*Índice!$C16/Índice!O$3</f>
        <v>8.8771018860862635E-3</v>
      </c>
      <c r="O16" s="23">
        <f>+(Índice!Q16-Índice!P16)*Índice!$C16/Índice!P$3</f>
        <v>5.6014465938129983E-3</v>
      </c>
      <c r="P16" s="23">
        <f>+(Índice!R16-Índice!Q16)*Índice!$C16/Índice!Q$3</f>
        <v>1.0657683071353996E-5</v>
      </c>
      <c r="Q16" s="23">
        <f>+(Índice!S16-Índice!R16)*Índice!$C16/Índice!R$3</f>
        <v>9.2052542041402736E-3</v>
      </c>
      <c r="R16" s="23">
        <f>+(Índice!T16-Índice!S16)*Índice!$C16/Índice!S$3</f>
        <v>1.2340971088882524E-2</v>
      </c>
      <c r="S16" s="23">
        <f>+(Índice!U16-Índice!T16)*Índice!$C16/Índice!T$3</f>
        <v>4.8870033368566728E-3</v>
      </c>
      <c r="T16" s="23">
        <f>+(Índice!V16-Índice!U16)*Índice!$C16/Índice!U$3</f>
        <v>4.3813868039166886E-3</v>
      </c>
      <c r="U16" s="23">
        <f>+(Índice!W16-Índice!V16)*Índice!$C16/Índice!V$3</f>
        <v>1.4122394082044442E-3</v>
      </c>
      <c r="V16" s="23">
        <f>+(Índice!X16-Índice!W16)*Índice!$C16/Índice!W$3</f>
        <v>-2.1269451027545192E-3</v>
      </c>
      <c r="W16" s="23">
        <f>+(Índice!Y16-Índice!X16)*Índice!$C16/Índice!X$3</f>
        <v>5.9324369799364585E-3</v>
      </c>
      <c r="X16" s="23">
        <f>+(Índice!Z16-Índice!Y16)*Índice!$C16/Índice!Y$3</f>
        <v>2.7865242325268436E-3</v>
      </c>
      <c r="Y16" s="23">
        <f>+(Índice!AA16-Índice!Z16)*Índice!$C16/Índice!Z$3</f>
        <v>2.9902244272440761E-3</v>
      </c>
      <c r="Z16" s="23">
        <f>+(Índice!AB16-Índice!AA16)*Índice!$C16/Índice!AA$3</f>
        <v>3.4607055008627199E-3</v>
      </c>
      <c r="AA16" s="23">
        <f>+(Índice!AC16-Índice!AB16)*Índice!$C16/Índice!AB$3</f>
        <v>2.9466255778051284E-3</v>
      </c>
      <c r="AB16" s="23">
        <f>+(Índice!AD16-Índice!AC16)*Índice!$C16/Índice!AC$3</f>
        <v>9.9996245239803057E-4</v>
      </c>
      <c r="AC16" s="23">
        <f>+(Índice!AE16-Índice!AD16)*Índice!$C16/Índice!AD$3</f>
        <v>3.7540157469602474E-3</v>
      </c>
      <c r="AD16" s="23">
        <f>+(Índice!AF16-Índice!AE16)*Índice!$C16/Índice!AE$3</f>
        <v>3.7079057863875077E-3</v>
      </c>
      <c r="AE16" s="23">
        <f>+(Índice!AG16-Índice!AF16)*Índice!$C16/Índice!AF$3</f>
        <v>1.1519776625097877E-2</v>
      </c>
      <c r="AF16" s="23">
        <f>+(Índice!AH16-Índice!AG16)*Índice!$C16/Índice!AG$3</f>
        <v>6.5248555363730957E-3</v>
      </c>
      <c r="AG16" s="23">
        <f>+(Índice!AI16-Índice!AH16)*Índice!$C16/Índice!AH$3</f>
        <v>6.3389703234684332E-4</v>
      </c>
      <c r="AH16" s="23">
        <f>+(Índice!AJ16-Índice!AI16)*Índice!$C16/Índice!AI$3</f>
        <v>4.0891485063848645E-3</v>
      </c>
      <c r="AI16" s="49">
        <v>1.3011264539541323E-2</v>
      </c>
      <c r="AJ16" s="49">
        <v>7.55093323393156E-3</v>
      </c>
      <c r="AK16" s="49">
        <v>8.3165386192781115E-3</v>
      </c>
      <c r="AL16" s="49">
        <v>6.6579737504174402E-3</v>
      </c>
      <c r="AM16" s="49">
        <v>1.8671471183551161E-3</v>
      </c>
      <c r="AN16" s="49">
        <v>1.7324954577451548E-2</v>
      </c>
      <c r="AO16" s="49">
        <v>9.7352947743324023E-3</v>
      </c>
      <c r="AP16" s="49">
        <v>1.9947334399889431E-2</v>
      </c>
      <c r="AQ16" s="49">
        <v>1.024811261588897E-2</v>
      </c>
      <c r="AR16" s="49">
        <v>2.4533984434715914E-2</v>
      </c>
      <c r="AS16" s="49">
        <v>1.0177307540665068E-2</v>
      </c>
      <c r="AT16" s="49">
        <v>2.7200199233807707E-2</v>
      </c>
      <c r="AU16" s="49">
        <v>2.7474326107395367E-2</v>
      </c>
      <c r="AV16" s="49">
        <v>3.1198570887989922E-3</v>
      </c>
      <c r="AW16" s="49">
        <v>2.5670805181196302E-2</v>
      </c>
    </row>
    <row r="17" spans="1:49" ht="20.45" customHeight="1" x14ac:dyDescent="0.2">
      <c r="A17" s="42" t="s">
        <v>79</v>
      </c>
      <c r="B17" s="9" t="s">
        <v>45</v>
      </c>
      <c r="C17" s="23">
        <f>+(Índice!E17-Índice!D17)*Índice!$C17/Índice!D$3</f>
        <v>0</v>
      </c>
      <c r="D17" s="23">
        <f>+(Índice!F17-Índice!E17)*Índice!$C17/Índice!E$3</f>
        <v>0</v>
      </c>
      <c r="E17" s="23">
        <f>+(Índice!G17-Índice!F17)*Índice!$C17/Índice!F$3</f>
        <v>0</v>
      </c>
      <c r="F17" s="23">
        <f>+(Índice!H17-Índice!G17)*Índice!$C17/Índice!G$3</f>
        <v>0</v>
      </c>
      <c r="G17" s="23">
        <f>+(Índice!I17-Índice!H17)*Índice!$C17/Índice!H$3</f>
        <v>0</v>
      </c>
      <c r="H17" s="23">
        <f>+(Índice!J17-Índice!I17)*Índice!$C17/Índice!I$3</f>
        <v>0</v>
      </c>
      <c r="I17" s="23">
        <f>+(Índice!K17-Índice!J17)*Índice!$C17/Índice!J$3</f>
        <v>0</v>
      </c>
      <c r="J17" s="23">
        <f>+(Índice!L17-Índice!K17)*Índice!$C17/Índice!K$3</f>
        <v>0</v>
      </c>
      <c r="K17" s="23">
        <f>+(Índice!M17-Índice!L17)*Índice!$C17/Índice!L$3</f>
        <v>0</v>
      </c>
      <c r="L17" s="23">
        <f>+(Índice!N17-Índice!M17)*Índice!$C17/Índice!M$3</f>
        <v>0</v>
      </c>
      <c r="M17" s="23">
        <f>+(Índice!O17-Índice!N17)*Índice!$C17/Índice!N$3</f>
        <v>0</v>
      </c>
      <c r="N17" s="23">
        <f>+(Índice!P17-Índice!O17)*Índice!$C17/Índice!O$3</f>
        <v>0</v>
      </c>
      <c r="O17" s="23">
        <f>+(Índice!Q17-Índice!P17)*Índice!$C17/Índice!P$3</f>
        <v>0</v>
      </c>
      <c r="P17" s="23">
        <f>+(Índice!R17-Índice!Q17)*Índice!$C17/Índice!Q$3</f>
        <v>0</v>
      </c>
      <c r="Q17" s="23">
        <f>+(Índice!S17-Índice!R17)*Índice!$C17/Índice!R$3</f>
        <v>0</v>
      </c>
      <c r="R17" s="23">
        <f>+(Índice!T17-Índice!S17)*Índice!$C17/Índice!S$3</f>
        <v>0</v>
      </c>
      <c r="S17" s="23">
        <f>+(Índice!U17-Índice!T17)*Índice!$C17/Índice!T$3</f>
        <v>0</v>
      </c>
      <c r="T17" s="23">
        <f>+(Índice!V17-Índice!U17)*Índice!$C17/Índice!U$3</f>
        <v>0</v>
      </c>
      <c r="U17" s="23">
        <f>+(Índice!W17-Índice!V17)*Índice!$C17/Índice!V$3</f>
        <v>0</v>
      </c>
      <c r="V17" s="23">
        <f>+(Índice!X17-Índice!W17)*Índice!$C17/Índice!W$3</f>
        <v>0</v>
      </c>
      <c r="W17" s="23">
        <f>+(Índice!Y17-Índice!X17)*Índice!$C17/Índice!X$3</f>
        <v>0</v>
      </c>
      <c r="X17" s="23">
        <f>+(Índice!Z17-Índice!Y17)*Índice!$C17/Índice!Y$3</f>
        <v>0</v>
      </c>
      <c r="Y17" s="23">
        <f>+(Índice!AA17-Índice!Z17)*Índice!$C17/Índice!Z$3</f>
        <v>0</v>
      </c>
      <c r="Z17" s="23">
        <f>+(Índice!AB17-Índice!AA17)*Índice!$C17/Índice!AA$3</f>
        <v>0</v>
      </c>
      <c r="AA17" s="23">
        <f>+(Índice!AC17-Índice!AB17)*Índice!$C17/Índice!AB$3</f>
        <v>0</v>
      </c>
      <c r="AB17" s="23">
        <f>+(Índice!AD17-Índice!AC17)*Índice!$C17/Índice!AC$3</f>
        <v>0</v>
      </c>
      <c r="AC17" s="23">
        <f>+(Índice!AE17-Índice!AD17)*Índice!$C17/Índice!AD$3</f>
        <v>0</v>
      </c>
      <c r="AD17" s="23">
        <f>+(Índice!AF17-Índice!AE17)*Índice!$C17/Índice!AE$3</f>
        <v>0</v>
      </c>
      <c r="AE17" s="23">
        <f>+(Índice!AG17-Índice!AF17)*Índice!$C17/Índice!AF$3</f>
        <v>0</v>
      </c>
      <c r="AF17" s="23">
        <f>+(Índice!AH17-Índice!AG17)*Índice!$C17/Índice!AG$3</f>
        <v>0</v>
      </c>
      <c r="AG17" s="23">
        <f>+(Índice!AI17-Índice!AH17)*Índice!$C17/Índice!AH$3</f>
        <v>0</v>
      </c>
      <c r="AH17" s="23">
        <f>+(Índice!AJ17-Índice!AI17)*Índice!$C17/Índice!AI$3</f>
        <v>0</v>
      </c>
      <c r="AI17" s="49">
        <v>2.15755334801103E-4</v>
      </c>
      <c r="AJ17" s="49">
        <v>1.2506250257362822E-4</v>
      </c>
      <c r="AK17" s="49">
        <v>2.6043356018753581E-4</v>
      </c>
      <c r="AL17" s="49">
        <v>-6.9864443430313912E-7</v>
      </c>
      <c r="AM17" s="49">
        <v>8.5566603716884671E-5</v>
      </c>
      <c r="AN17" s="49">
        <v>1.6332918147927641E-4</v>
      </c>
      <c r="AO17" s="49">
        <v>5.2713560773281153E-4</v>
      </c>
      <c r="AP17" s="49">
        <v>2.0722770691861757E-4</v>
      </c>
      <c r="AQ17" s="49">
        <v>1.9624510785319358E-4</v>
      </c>
      <c r="AR17" s="49">
        <v>1.272164520348015E-4</v>
      </c>
      <c r="AS17" s="49">
        <v>3.2881733141070451E-4</v>
      </c>
      <c r="AT17" s="49">
        <v>1.4026420113431905E-4</v>
      </c>
      <c r="AU17" s="49">
        <v>3.1487369879689233E-5</v>
      </c>
      <c r="AV17" s="49">
        <v>4.0398232230578187E-5</v>
      </c>
      <c r="AW17" s="49">
        <v>5.6494338370959398E-4</v>
      </c>
    </row>
    <row r="18" spans="1:49" ht="20.45" customHeight="1" x14ac:dyDescent="0.2">
      <c r="A18" s="42" t="s">
        <v>80</v>
      </c>
      <c r="B18" s="9" t="s">
        <v>46</v>
      </c>
      <c r="C18" s="23">
        <f>+(Índice!E18-Índice!D18)*Índice!$C18/Índice!D$3</f>
        <v>0</v>
      </c>
      <c r="D18" s="23">
        <f>+(Índice!F18-Índice!E18)*Índice!$C18/Índice!E$3</f>
        <v>0</v>
      </c>
      <c r="E18" s="23">
        <f>+(Índice!G18-Índice!F18)*Índice!$C18/Índice!F$3</f>
        <v>0</v>
      </c>
      <c r="F18" s="23">
        <f>+(Índice!H18-Índice!G18)*Índice!$C18/Índice!G$3</f>
        <v>0</v>
      </c>
      <c r="G18" s="23">
        <f>+(Índice!I18-Índice!H18)*Índice!$C18/Índice!H$3</f>
        <v>0</v>
      </c>
      <c r="H18" s="23">
        <f>+(Índice!J18-Índice!I18)*Índice!$C18/Índice!I$3</f>
        <v>0</v>
      </c>
      <c r="I18" s="23">
        <f>+(Índice!K18-Índice!J18)*Índice!$C18/Índice!J$3</f>
        <v>0</v>
      </c>
      <c r="J18" s="23">
        <f>+(Índice!L18-Índice!K18)*Índice!$C18/Índice!K$3</f>
        <v>0</v>
      </c>
      <c r="K18" s="23">
        <f>+(Índice!M18-Índice!L18)*Índice!$C18/Índice!L$3</f>
        <v>0</v>
      </c>
      <c r="L18" s="23">
        <f>+(Índice!N18-Índice!M18)*Índice!$C18/Índice!M$3</f>
        <v>0</v>
      </c>
      <c r="M18" s="23">
        <f>+(Índice!O18-Índice!N18)*Índice!$C18/Índice!N$3</f>
        <v>0</v>
      </c>
      <c r="N18" s="23">
        <f>+(Índice!P18-Índice!O18)*Índice!$C18/Índice!O$3</f>
        <v>0</v>
      </c>
      <c r="O18" s="23">
        <f>+(Índice!Q18-Índice!P18)*Índice!$C18/Índice!P$3</f>
        <v>0</v>
      </c>
      <c r="P18" s="23">
        <f>+(Índice!R18-Índice!Q18)*Índice!$C18/Índice!Q$3</f>
        <v>0</v>
      </c>
      <c r="Q18" s="23">
        <f>+(Índice!S18-Índice!R18)*Índice!$C18/Índice!R$3</f>
        <v>0</v>
      </c>
      <c r="R18" s="23">
        <f>+(Índice!T18-Índice!S18)*Índice!$C18/Índice!S$3</f>
        <v>0</v>
      </c>
      <c r="S18" s="23">
        <f>+(Índice!U18-Índice!T18)*Índice!$C18/Índice!T$3</f>
        <v>0</v>
      </c>
      <c r="T18" s="23">
        <f>+(Índice!V18-Índice!U18)*Índice!$C18/Índice!U$3</f>
        <v>0</v>
      </c>
      <c r="U18" s="23">
        <f>+(Índice!W18-Índice!V18)*Índice!$C18/Índice!V$3</f>
        <v>0</v>
      </c>
      <c r="V18" s="23">
        <f>+(Índice!X18-Índice!W18)*Índice!$C18/Índice!W$3</f>
        <v>0</v>
      </c>
      <c r="W18" s="23">
        <f>+(Índice!Y18-Índice!X18)*Índice!$C18/Índice!X$3</f>
        <v>0</v>
      </c>
      <c r="X18" s="23">
        <f>+(Índice!Z18-Índice!Y18)*Índice!$C18/Índice!Y$3</f>
        <v>0</v>
      </c>
      <c r="Y18" s="23">
        <f>+(Índice!AA18-Índice!Z18)*Índice!$C18/Índice!Z$3</f>
        <v>0</v>
      </c>
      <c r="Z18" s="23">
        <f>+(Índice!AB18-Índice!AA18)*Índice!$C18/Índice!AA$3</f>
        <v>0</v>
      </c>
      <c r="AA18" s="23">
        <f>+(Índice!AC18-Índice!AB18)*Índice!$C18/Índice!AB$3</f>
        <v>0</v>
      </c>
      <c r="AB18" s="23">
        <f>+(Índice!AD18-Índice!AC18)*Índice!$C18/Índice!AC$3</f>
        <v>0</v>
      </c>
      <c r="AC18" s="23">
        <f>+(Índice!AE18-Índice!AD18)*Índice!$C18/Índice!AD$3</f>
        <v>0</v>
      </c>
      <c r="AD18" s="23">
        <f>+(Índice!AF18-Índice!AE18)*Índice!$C18/Índice!AE$3</f>
        <v>0</v>
      </c>
      <c r="AE18" s="23">
        <f>+(Índice!AG18-Índice!AF18)*Índice!$C18/Índice!AF$3</f>
        <v>0</v>
      </c>
      <c r="AF18" s="23">
        <f>+(Índice!AH18-Índice!AG18)*Índice!$C18/Índice!AG$3</f>
        <v>0</v>
      </c>
      <c r="AG18" s="23">
        <f>+(Índice!AI18-Índice!AH18)*Índice!$C18/Índice!AH$3</f>
        <v>0</v>
      </c>
      <c r="AH18" s="23">
        <f>+(Índice!AJ18-Índice!AI18)*Índice!$C18/Índice!AI$3</f>
        <v>0</v>
      </c>
      <c r="AI18" s="49">
        <v>1.7911964460402966E-3</v>
      </c>
      <c r="AJ18" s="49">
        <v>1.0631591922823707E-3</v>
      </c>
      <c r="AK18" s="49">
        <v>1.4138648116510198E-3</v>
      </c>
      <c r="AL18" s="49">
        <v>5.5189592893482213E-4</v>
      </c>
      <c r="AM18" s="49">
        <v>4.4067114812533926E-4</v>
      </c>
      <c r="AN18" s="49">
        <v>2.4724807117440062E-3</v>
      </c>
      <c r="AO18" s="49">
        <v>1.2058444066780098E-3</v>
      </c>
      <c r="AP18" s="49">
        <v>3.6884198787155682E-4</v>
      </c>
      <c r="AQ18" s="49">
        <v>0</v>
      </c>
      <c r="AR18" s="49">
        <v>4.6714124943479429E-4</v>
      </c>
      <c r="AS18" s="49">
        <v>7.9059934712243031E-4</v>
      </c>
      <c r="AT18" s="49">
        <v>5.1065064149025162E-4</v>
      </c>
      <c r="AU18" s="49">
        <v>1.964359011582473E-3</v>
      </c>
      <c r="AV18" s="49">
        <v>2.4926827012633365E-4</v>
      </c>
      <c r="AW18" s="49">
        <v>1.788705748959658E-3</v>
      </c>
    </row>
    <row r="19" spans="1:49" ht="20.45" customHeight="1" x14ac:dyDescent="0.2">
      <c r="A19" s="40" t="s">
        <v>81</v>
      </c>
      <c r="B19" s="7" t="s">
        <v>47</v>
      </c>
      <c r="C19" s="23">
        <f>+(Índice!E19-Índice!D19)*Índice!$C19/Índice!D$3</f>
        <v>0</v>
      </c>
      <c r="D19" s="23">
        <f>+(Índice!F19-Índice!E19)*Índice!$C19/Índice!E$3</f>
        <v>0</v>
      </c>
      <c r="E19" s="23">
        <f>+(Índice!G19-Índice!F19)*Índice!$C19/Índice!F$3</f>
        <v>0</v>
      </c>
      <c r="F19" s="23">
        <f>+(Índice!H19-Índice!G19)*Índice!$C19/Índice!G$3</f>
        <v>0</v>
      </c>
      <c r="G19" s="23">
        <f>+(Índice!I19-Índice!H19)*Índice!$C19/Índice!H$3</f>
        <v>0</v>
      </c>
      <c r="H19" s="23">
        <f>+(Índice!J19-Índice!I19)*Índice!$C19/Índice!I$3</f>
        <v>0</v>
      </c>
      <c r="I19" s="23">
        <f>+(Índice!K19-Índice!J19)*Índice!$C19/Índice!J$3</f>
        <v>0</v>
      </c>
      <c r="J19" s="23">
        <f>+(Índice!L19-Índice!K19)*Índice!$C19/Índice!K$3</f>
        <v>6.5747628850101379E-5</v>
      </c>
      <c r="K19" s="23">
        <f>+(Índice!M19-Índice!L19)*Índice!$C19/Índice!L$3</f>
        <v>0</v>
      </c>
      <c r="L19" s="23">
        <f>+(Índice!N19-Índice!M19)*Índice!$C19/Índice!M$3</f>
        <v>0</v>
      </c>
      <c r="M19" s="23">
        <f>+(Índice!O19-Índice!N19)*Índice!$C19/Índice!N$3</f>
        <v>0.16860841631691995</v>
      </c>
      <c r="N19" s="23">
        <f>+(Índice!P19-Índice!O19)*Índice!$C19/Índice!O$3</f>
        <v>0</v>
      </c>
      <c r="O19" s="23">
        <f>+(Índice!Q19-Índice!P19)*Índice!$C19/Índice!P$3</f>
        <v>0</v>
      </c>
      <c r="P19" s="23">
        <f>+(Índice!R19-Índice!Q19)*Índice!$C19/Índice!Q$3</f>
        <v>0</v>
      </c>
      <c r="Q19" s="23">
        <f>+(Índice!S19-Índice!R19)*Índice!$C19/Índice!R$3</f>
        <v>0</v>
      </c>
      <c r="R19" s="23">
        <f>+(Índice!T19-Índice!S19)*Índice!$C19/Índice!S$3</f>
        <v>0</v>
      </c>
      <c r="S19" s="23">
        <f>+(Índice!U19-Índice!T19)*Índice!$C19/Índice!T$3</f>
        <v>0</v>
      </c>
      <c r="T19" s="23">
        <f>+(Índice!V19-Índice!U19)*Índice!$C19/Índice!U$3</f>
        <v>-1.1275525313864625E-4</v>
      </c>
      <c r="U19" s="23">
        <f>+(Índice!W19-Índice!V19)*Índice!$C19/Índice!V$3</f>
        <v>0</v>
      </c>
      <c r="V19" s="23">
        <f>+(Índice!X19-Índice!W19)*Índice!$C19/Índice!W$3</f>
        <v>3.1998603783862576E-5</v>
      </c>
      <c r="W19" s="23">
        <f>+(Índice!Y19-Índice!X19)*Índice!$C19/Índice!X$3</f>
        <v>6.8818374717244461E-5</v>
      </c>
      <c r="X19" s="23">
        <f>+(Índice!Z19-Índice!Y19)*Índice!$C19/Índice!Y$3</f>
        <v>0</v>
      </c>
      <c r="Y19" s="23">
        <f>+(Índice!AA19-Índice!Z19)*Índice!$C19/Índice!Z$3</f>
        <v>0</v>
      </c>
      <c r="Z19" s="23">
        <f>+(Índice!AB19-Índice!AA19)*Índice!$C19/Índice!AA$3</f>
        <v>-8.6169853062214842E-5</v>
      </c>
      <c r="AA19" s="23">
        <f>+(Índice!AC19-Índice!AB19)*Índice!$C19/Índice!AB$3</f>
        <v>9.5776451407238628E-5</v>
      </c>
      <c r="AB19" s="23">
        <f>+(Índice!AD19-Índice!AC19)*Índice!$C19/Índice!AC$3</f>
        <v>-8.4382341894911916E-7</v>
      </c>
      <c r="AC19" s="23">
        <f>+(Índice!AE19-Índice!AD19)*Índice!$C19/Índice!AD$3</f>
        <v>-1.0637020289655806E-4</v>
      </c>
      <c r="AD19" s="23">
        <f>+(Índice!AF19-Índice!AE19)*Índice!$C19/Índice!AE$3</f>
        <v>9.4530116566182872E-5</v>
      </c>
      <c r="AE19" s="23">
        <f>+(Índice!AG19-Índice!AF19)*Índice!$C19/Índice!AF$3</f>
        <v>0</v>
      </c>
      <c r="AF19" s="23">
        <f>+(Índice!AH19-Índice!AG19)*Índice!$C19/Índice!AG$3</f>
        <v>0</v>
      </c>
      <c r="AG19" s="23">
        <f>+(Índice!AI19-Índice!AH19)*Índice!$C19/Índice!AH$3</f>
        <v>0</v>
      </c>
      <c r="AH19" s="23">
        <f>+(Índice!AJ19-Índice!AI19)*Índice!$C19/Índice!AI$3</f>
        <v>0</v>
      </c>
      <c r="AI19" s="49">
        <v>0</v>
      </c>
      <c r="AJ19" s="49">
        <v>0</v>
      </c>
      <c r="AK19" s="49">
        <v>0</v>
      </c>
      <c r="AL19" s="49">
        <v>0</v>
      </c>
      <c r="AM19" s="49">
        <v>0</v>
      </c>
      <c r="AN19" s="49">
        <v>0.37924604313694643</v>
      </c>
      <c r="AO19" s="49">
        <v>0</v>
      </c>
      <c r="AP19" s="49">
        <v>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49">
        <v>0</v>
      </c>
    </row>
    <row r="20" spans="1:49" ht="20.45" customHeight="1" x14ac:dyDescent="0.2">
      <c r="A20" s="42" t="s">
        <v>82</v>
      </c>
      <c r="B20" s="9">
        <v>35</v>
      </c>
      <c r="C20" s="23">
        <f>+(Índice!E20-Índice!D20)*Índice!$C20/Índice!D$3</f>
        <v>0</v>
      </c>
      <c r="D20" s="23">
        <f>+(Índice!F20-Índice!E20)*Índice!$C20/Índice!E$3</f>
        <v>0</v>
      </c>
      <c r="E20" s="23">
        <f>+(Índice!G20-Índice!F20)*Índice!$C20/Índice!F$3</f>
        <v>0</v>
      </c>
      <c r="F20" s="23">
        <f>+(Índice!H20-Índice!G20)*Índice!$C20/Índice!G$3</f>
        <v>0</v>
      </c>
      <c r="G20" s="23">
        <f>+(Índice!I20-Índice!H20)*Índice!$C20/Índice!H$3</f>
        <v>0</v>
      </c>
      <c r="H20" s="23">
        <f>+(Índice!J20-Índice!I20)*Índice!$C20/Índice!I$3</f>
        <v>0</v>
      </c>
      <c r="I20" s="23">
        <f>+(Índice!K20-Índice!J20)*Índice!$C20/Índice!J$3</f>
        <v>0</v>
      </c>
      <c r="J20" s="23">
        <f>+(Índice!L20-Índice!K20)*Índice!$C20/Índice!K$3</f>
        <v>6.5747628850101379E-5</v>
      </c>
      <c r="K20" s="23">
        <f>+(Índice!M20-Índice!L20)*Índice!$C20/Índice!L$3</f>
        <v>0</v>
      </c>
      <c r="L20" s="23">
        <f>+(Índice!N20-Índice!M20)*Índice!$C20/Índice!M$3</f>
        <v>0</v>
      </c>
      <c r="M20" s="23">
        <f>+(Índice!O20-Índice!N20)*Índice!$C20/Índice!N$3</f>
        <v>0.16860841631691995</v>
      </c>
      <c r="N20" s="23">
        <f>+(Índice!P20-Índice!O20)*Índice!$C20/Índice!O$3</f>
        <v>0</v>
      </c>
      <c r="O20" s="23">
        <f>+(Índice!Q20-Índice!P20)*Índice!$C20/Índice!P$3</f>
        <v>0</v>
      </c>
      <c r="P20" s="23">
        <f>+(Índice!R20-Índice!Q20)*Índice!$C20/Índice!Q$3</f>
        <v>0</v>
      </c>
      <c r="Q20" s="23">
        <f>+(Índice!S20-Índice!R20)*Índice!$C20/Índice!R$3</f>
        <v>0</v>
      </c>
      <c r="R20" s="23">
        <f>+(Índice!T20-Índice!S20)*Índice!$C20/Índice!S$3</f>
        <v>0</v>
      </c>
      <c r="S20" s="23">
        <f>+(Índice!U20-Índice!T20)*Índice!$C20/Índice!T$3</f>
        <v>0</v>
      </c>
      <c r="T20" s="23">
        <f>+(Índice!V20-Índice!U20)*Índice!$C20/Índice!U$3</f>
        <v>-1.1275525313864625E-4</v>
      </c>
      <c r="U20" s="23">
        <f>+(Índice!W20-Índice!V20)*Índice!$C20/Índice!V$3</f>
        <v>0</v>
      </c>
      <c r="V20" s="23">
        <f>+(Índice!X20-Índice!W20)*Índice!$C20/Índice!W$3</f>
        <v>3.1998603783862576E-5</v>
      </c>
      <c r="W20" s="23">
        <f>+(Índice!Y20-Índice!X20)*Índice!$C20/Índice!X$3</f>
        <v>6.8818374717244461E-5</v>
      </c>
      <c r="X20" s="23">
        <f>+(Índice!Z20-Índice!Y20)*Índice!$C20/Índice!Y$3</f>
        <v>0</v>
      </c>
      <c r="Y20" s="23">
        <f>+(Índice!AA20-Índice!Z20)*Índice!$C20/Índice!Z$3</f>
        <v>0</v>
      </c>
      <c r="Z20" s="23">
        <f>+(Índice!AB20-Índice!AA20)*Índice!$C20/Índice!AA$3</f>
        <v>-8.6169853062214842E-5</v>
      </c>
      <c r="AA20" s="23">
        <f>+(Índice!AC20-Índice!AB20)*Índice!$C20/Índice!AB$3</f>
        <v>9.5776451407238628E-5</v>
      </c>
      <c r="AB20" s="23">
        <f>+(Índice!AD20-Índice!AC20)*Índice!$C20/Índice!AC$3</f>
        <v>-8.4382341894911916E-7</v>
      </c>
      <c r="AC20" s="23">
        <f>+(Índice!AE20-Índice!AD20)*Índice!$C20/Índice!AD$3</f>
        <v>-1.0637020289655806E-4</v>
      </c>
      <c r="AD20" s="23">
        <f>+(Índice!AF20-Índice!AE20)*Índice!$C20/Índice!AE$3</f>
        <v>9.4530116566182872E-5</v>
      </c>
      <c r="AE20" s="23">
        <f>+(Índice!AG20-Índice!AF20)*Índice!$C20/Índice!AF$3</f>
        <v>0</v>
      </c>
      <c r="AF20" s="23">
        <f>+(Índice!AH20-Índice!AG20)*Índice!$C20/Índice!AG$3</f>
        <v>0</v>
      </c>
      <c r="AG20" s="23">
        <f>+(Índice!AI20-Índice!AH20)*Índice!$C20/Índice!AH$3</f>
        <v>0</v>
      </c>
      <c r="AH20" s="23">
        <f>+(Índice!AJ20-Índice!AI20)*Índice!$C20/Índice!AI$3</f>
        <v>0</v>
      </c>
      <c r="AI20" s="49">
        <v>0</v>
      </c>
      <c r="AJ20" s="49">
        <v>0</v>
      </c>
      <c r="AK20" s="49">
        <v>0</v>
      </c>
      <c r="AL20" s="49">
        <v>0</v>
      </c>
      <c r="AM20" s="49">
        <v>0</v>
      </c>
      <c r="AN20" s="49">
        <v>0.37924604313694643</v>
      </c>
      <c r="AO20" s="49">
        <v>0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0</v>
      </c>
    </row>
    <row r="21" spans="1:49" ht="20.45" customHeight="1" x14ac:dyDescent="0.2">
      <c r="A21" s="42" t="s">
        <v>83</v>
      </c>
      <c r="B21" s="9" t="s">
        <v>48</v>
      </c>
      <c r="C21" s="23">
        <f>+(Índice!E21-Índice!D21)*Índice!$C21/Índice!D$3</f>
        <v>-1.7442814832829438E-4</v>
      </c>
      <c r="D21" s="23">
        <f>+(Índice!F21-Índice!E21)*Índice!$C21/Índice!E$3</f>
        <v>1.4888520436818546E-4</v>
      </c>
      <c r="E21" s="23">
        <f>+(Índice!G21-Índice!F21)*Índice!$C21/Índice!F$3</f>
        <v>0</v>
      </c>
      <c r="F21" s="23">
        <f>+(Índice!H21-Índice!G21)*Índice!$C21/Índice!G$3</f>
        <v>0</v>
      </c>
      <c r="G21" s="23">
        <f>+(Índice!I21-Índice!H21)*Índice!$C21/Índice!H$3</f>
        <v>0</v>
      </c>
      <c r="H21" s="23">
        <f>+(Índice!J21-Índice!I21)*Índice!$C21/Índice!I$3</f>
        <v>0</v>
      </c>
      <c r="I21" s="23">
        <f>+(Índice!K21-Índice!J21)*Índice!$C21/Índice!J$3</f>
        <v>0.30290734697118654</v>
      </c>
      <c r="J21" s="23">
        <f>+(Índice!L21-Índice!K21)*Índice!$C21/Índice!K$3</f>
        <v>7.8372347953828905E-5</v>
      </c>
      <c r="K21" s="23">
        <f>+(Índice!M21-Índice!L21)*Índice!$C21/Índice!L$3</f>
        <v>-2.0418003232818601E-4</v>
      </c>
      <c r="L21" s="23">
        <f>+(Índice!N21-Índice!M21)*Índice!$C21/Índice!M$3</f>
        <v>-0.2860128617363345</v>
      </c>
      <c r="M21" s="23">
        <f>+(Índice!O21-Índice!N21)*Índice!$C21/Índice!N$3</f>
        <v>0.16180164830474628</v>
      </c>
      <c r="N21" s="23">
        <f>+(Índice!P21-Índice!O21)*Índice!$C21/Índice!O$3</f>
        <v>0</v>
      </c>
      <c r="O21" s="23">
        <f>+(Índice!Q21-Índice!P21)*Índice!$C21/Índice!P$3</f>
        <v>9.981180987332397E-2</v>
      </c>
      <c r="P21" s="23">
        <f>+(Índice!R21-Índice!Q21)*Índice!$C21/Índice!Q$3</f>
        <v>0</v>
      </c>
      <c r="Q21" s="23">
        <f>+(Índice!S21-Índice!R21)*Índice!$C21/Índice!R$3</f>
        <v>0</v>
      </c>
      <c r="R21" s="23">
        <f>+(Índice!T21-Índice!S21)*Índice!$C21/Índice!S$3</f>
        <v>4.0964572797038152E-3</v>
      </c>
      <c r="S21" s="23">
        <f>+(Índice!U21-Índice!T21)*Índice!$C21/Índice!T$3</f>
        <v>0</v>
      </c>
      <c r="T21" s="23">
        <f>+(Índice!V21-Índice!U21)*Índice!$C21/Índice!U$3</f>
        <v>-1.6666000606498104E-4</v>
      </c>
      <c r="U21" s="23">
        <f>+(Índice!W21-Índice!V21)*Índice!$C21/Índice!V$3</f>
        <v>0</v>
      </c>
      <c r="V21" s="23">
        <f>+(Índice!X21-Índice!W21)*Índice!$C21/Índice!W$3</f>
        <v>4.7296133459323585E-5</v>
      </c>
      <c r="W21" s="23">
        <f>+(Índice!Y21-Índice!X21)*Índice!$C21/Índice!X$3</f>
        <v>-5.0859141496759346E-5</v>
      </c>
      <c r="X21" s="23">
        <f>+(Índice!Z21-Índice!Y21)*Índice!$C21/Índice!Y$3</f>
        <v>0</v>
      </c>
      <c r="Y21" s="23">
        <f>+(Índice!AA21-Índice!Z21)*Índice!$C21/Índice!Z$3</f>
        <v>0</v>
      </c>
      <c r="Z21" s="23">
        <f>+(Índice!AB21-Índice!AA21)*Índice!$C21/Índice!AA$3</f>
        <v>0</v>
      </c>
      <c r="AA21" s="23">
        <f>+(Índice!AC21-Índice!AB21)*Índice!$C21/Índice!AB$3</f>
        <v>0</v>
      </c>
      <c r="AB21" s="23">
        <f>+(Índice!AD21-Índice!AC21)*Índice!$C21/Índice!AC$3</f>
        <v>0</v>
      </c>
      <c r="AC21" s="23">
        <f>+(Índice!AE21-Índice!AD21)*Índice!$C21/Índice!AD$3</f>
        <v>0</v>
      </c>
      <c r="AD21" s="23">
        <f>+(Índice!AF21-Índice!AE21)*Índice!$C21/Índice!AE$3</f>
        <v>0</v>
      </c>
      <c r="AE21" s="23">
        <f>+(Índice!AG21-Índice!AF21)*Índice!$C21/Índice!AF$3</f>
        <v>0</v>
      </c>
      <c r="AF21" s="23">
        <f>+(Índice!AH21-Índice!AG21)*Índice!$C21/Índice!AG$3</f>
        <v>0</v>
      </c>
      <c r="AG21" s="23">
        <f>+(Índice!AI21-Índice!AH21)*Índice!$C21/Índice!AH$3</f>
        <v>0</v>
      </c>
      <c r="AH21" s="23">
        <f>+(Índice!AJ21-Índice!AI21)*Índice!$C21/Índice!AI$3</f>
        <v>0</v>
      </c>
      <c r="AI21" s="49">
        <v>0</v>
      </c>
      <c r="AJ21" s="49">
        <v>0</v>
      </c>
      <c r="AK21" s="49">
        <v>0</v>
      </c>
      <c r="AL21" s="49">
        <v>0</v>
      </c>
      <c r="AM21" s="49">
        <v>0</v>
      </c>
      <c r="AN21" s="49">
        <v>0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49">
        <v>0</v>
      </c>
    </row>
    <row r="22" spans="1:49" ht="20.45" customHeight="1" x14ac:dyDescent="0.2">
      <c r="A22" s="40" t="s">
        <v>84</v>
      </c>
      <c r="B22" s="7" t="s">
        <v>49</v>
      </c>
      <c r="C22" s="23">
        <f>+(Índice!E22-Índice!D22)*Índice!$C22/Índice!D$3</f>
        <v>-1.7442814832829438E-4</v>
      </c>
      <c r="D22" s="23">
        <f>+(Índice!F22-Índice!E22)*Índice!$C22/Índice!E$3</f>
        <v>1.4888520436818546E-4</v>
      </c>
      <c r="E22" s="23">
        <f>+(Índice!G22-Índice!F22)*Índice!$C22/Índice!F$3</f>
        <v>0</v>
      </c>
      <c r="F22" s="23">
        <f>+(Índice!H22-Índice!G22)*Índice!$C22/Índice!G$3</f>
        <v>0</v>
      </c>
      <c r="G22" s="23">
        <f>+(Índice!I22-Índice!H22)*Índice!$C22/Índice!H$3</f>
        <v>0</v>
      </c>
      <c r="H22" s="23">
        <f>+(Índice!J22-Índice!I22)*Índice!$C22/Índice!I$3</f>
        <v>0</v>
      </c>
      <c r="I22" s="23">
        <f>+(Índice!K22-Índice!J22)*Índice!$C22/Índice!J$3</f>
        <v>0.30290734697118654</v>
      </c>
      <c r="J22" s="23">
        <f>+(Índice!L22-Índice!K22)*Índice!$C22/Índice!K$3</f>
        <v>7.8372347953828905E-5</v>
      </c>
      <c r="K22" s="23">
        <f>+(Índice!M22-Índice!L22)*Índice!$C22/Índice!L$3</f>
        <v>-2.0418003232818601E-4</v>
      </c>
      <c r="L22" s="23">
        <f>+(Índice!N22-Índice!M22)*Índice!$C22/Índice!M$3</f>
        <v>-0.2860128617363345</v>
      </c>
      <c r="M22" s="23">
        <f>+(Índice!O22-Índice!N22)*Índice!$C22/Índice!N$3</f>
        <v>0.16180164830474628</v>
      </c>
      <c r="N22" s="23">
        <f>+(Índice!P22-Índice!O22)*Índice!$C22/Índice!O$3</f>
        <v>0</v>
      </c>
      <c r="O22" s="23">
        <f>+(Índice!Q22-Índice!P22)*Índice!$C22/Índice!P$3</f>
        <v>9.981180987332397E-2</v>
      </c>
      <c r="P22" s="23">
        <f>+(Índice!R22-Índice!Q22)*Índice!$C22/Índice!Q$3</f>
        <v>0</v>
      </c>
      <c r="Q22" s="23">
        <f>+(Índice!S22-Índice!R22)*Índice!$C22/Índice!R$3</f>
        <v>0</v>
      </c>
      <c r="R22" s="23">
        <f>+(Índice!T22-Índice!S22)*Índice!$C22/Índice!S$3</f>
        <v>4.0964572797038152E-3</v>
      </c>
      <c r="S22" s="23">
        <f>+(Índice!U22-Índice!T22)*Índice!$C22/Índice!T$3</f>
        <v>0</v>
      </c>
      <c r="T22" s="23">
        <f>+(Índice!V22-Índice!U22)*Índice!$C22/Índice!U$3</f>
        <v>-1.6666000606498104E-4</v>
      </c>
      <c r="U22" s="23">
        <f>+(Índice!W22-Índice!V22)*Índice!$C22/Índice!V$3</f>
        <v>0</v>
      </c>
      <c r="V22" s="23">
        <f>+(Índice!X22-Índice!W22)*Índice!$C22/Índice!W$3</f>
        <v>4.7296133459323585E-5</v>
      </c>
      <c r="W22" s="23">
        <f>+(Índice!Y22-Índice!X22)*Índice!$C22/Índice!X$3</f>
        <v>-5.0859141496759346E-5</v>
      </c>
      <c r="X22" s="23">
        <f>+(Índice!Z22-Índice!Y22)*Índice!$C22/Índice!Y$3</f>
        <v>0</v>
      </c>
      <c r="Y22" s="23">
        <f>+(Índice!AA22-Índice!Z22)*Índice!$C22/Índice!Z$3</f>
        <v>0</v>
      </c>
      <c r="Z22" s="23">
        <f>+(Índice!AB22-Índice!AA22)*Índice!$C22/Índice!AA$3</f>
        <v>0</v>
      </c>
      <c r="AA22" s="23">
        <f>+(Índice!AC22-Índice!AB22)*Índice!$C22/Índice!AB$3</f>
        <v>0</v>
      </c>
      <c r="AB22" s="23">
        <f>+(Índice!AD22-Índice!AC22)*Índice!$C22/Índice!AC$3</f>
        <v>0</v>
      </c>
      <c r="AC22" s="23">
        <f>+(Índice!AE22-Índice!AD22)*Índice!$C22/Índice!AD$3</f>
        <v>0</v>
      </c>
      <c r="AD22" s="23">
        <f>+(Índice!AF22-Índice!AE22)*Índice!$C22/Índice!AE$3</f>
        <v>0</v>
      </c>
      <c r="AE22" s="23">
        <f>+(Índice!AG22-Índice!AF22)*Índice!$C22/Índice!AF$3</f>
        <v>0</v>
      </c>
      <c r="AF22" s="23">
        <f>+(Índice!AH22-Índice!AG22)*Índice!$C22/Índice!AG$3</f>
        <v>0</v>
      </c>
      <c r="AG22" s="23">
        <f>+(Índice!AI22-Índice!AH22)*Índice!$C22/Índice!AH$3</f>
        <v>0</v>
      </c>
      <c r="AH22" s="23">
        <f>+(Índice!AJ22-Índice!AI22)*Índice!$C22/Índice!AI$3</f>
        <v>0</v>
      </c>
      <c r="AI22" s="49">
        <v>0</v>
      </c>
      <c r="AJ22" s="49">
        <v>0</v>
      </c>
      <c r="AK22" s="49">
        <v>0</v>
      </c>
      <c r="AL22" s="49">
        <v>0</v>
      </c>
      <c r="AM22" s="49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  <c r="AT22" s="49">
        <v>0</v>
      </c>
      <c r="AU22" s="49">
        <v>0</v>
      </c>
      <c r="AV22" s="49">
        <v>0</v>
      </c>
      <c r="AW22" s="49">
        <v>0</v>
      </c>
    </row>
    <row r="23" spans="1:49" ht="20.45" customHeight="1" x14ac:dyDescent="0.2">
      <c r="A23" s="40" t="s">
        <v>98</v>
      </c>
      <c r="B23" s="7"/>
      <c r="C23" s="23" t="s">
        <v>64</v>
      </c>
      <c r="D23" s="23" t="s">
        <v>64</v>
      </c>
      <c r="E23" s="23" t="s">
        <v>64</v>
      </c>
      <c r="F23" s="23" t="s">
        <v>64</v>
      </c>
      <c r="G23" s="23" t="s">
        <v>64</v>
      </c>
      <c r="H23" s="23" t="s">
        <v>64</v>
      </c>
      <c r="I23" s="23" t="s">
        <v>64</v>
      </c>
      <c r="J23" s="23" t="s">
        <v>64</v>
      </c>
      <c r="K23" s="23" t="s">
        <v>64</v>
      </c>
      <c r="L23" s="23" t="s">
        <v>64</v>
      </c>
      <c r="M23" s="23" t="s">
        <v>64</v>
      </c>
      <c r="N23" s="23" t="s">
        <v>64</v>
      </c>
      <c r="O23" s="23" t="s">
        <v>64</v>
      </c>
      <c r="P23" s="23" t="s">
        <v>64</v>
      </c>
      <c r="Q23" s="23" t="s">
        <v>64</v>
      </c>
      <c r="R23" s="23" t="s">
        <v>64</v>
      </c>
      <c r="S23" s="23" t="s">
        <v>64</v>
      </c>
      <c r="T23" s="23" t="s">
        <v>64</v>
      </c>
      <c r="U23" s="23" t="s">
        <v>64</v>
      </c>
      <c r="V23" s="23" t="s">
        <v>64</v>
      </c>
      <c r="W23" s="23" t="s">
        <v>64</v>
      </c>
      <c r="X23" s="23" t="s">
        <v>64</v>
      </c>
      <c r="Y23" s="23" t="s">
        <v>64</v>
      </c>
      <c r="Z23" s="23" t="s">
        <v>64</v>
      </c>
      <c r="AA23" s="23" t="s">
        <v>64</v>
      </c>
      <c r="AB23" s="23" t="s">
        <v>64</v>
      </c>
      <c r="AC23" s="23" t="s">
        <v>64</v>
      </c>
      <c r="AD23" s="23" t="s">
        <v>64</v>
      </c>
      <c r="AE23" s="23" t="s">
        <v>64</v>
      </c>
      <c r="AF23" s="23" t="s">
        <v>64</v>
      </c>
      <c r="AG23" s="23" t="s">
        <v>64</v>
      </c>
      <c r="AH23" s="23" t="s">
        <v>64</v>
      </c>
      <c r="AI23" s="49">
        <v>3.0299207588910875</v>
      </c>
      <c r="AJ23" s="49">
        <v>1.3196365050759913</v>
      </c>
      <c r="AK23" s="49">
        <v>4.4492505641204954</v>
      </c>
      <c r="AL23" s="49">
        <v>-3.4626819468112662</v>
      </c>
      <c r="AM23" s="49">
        <v>-3.5420767045118167</v>
      </c>
      <c r="AN23" s="49">
        <v>5.8401223741458166</v>
      </c>
      <c r="AO23" s="49">
        <v>-0.69380112465188115</v>
      </c>
      <c r="AP23" s="49">
        <v>-2.1162034985803087</v>
      </c>
      <c r="AQ23" s="49">
        <v>-1.2848115449199495</v>
      </c>
      <c r="AR23" s="49">
        <v>-3.1632320517353061</v>
      </c>
      <c r="AS23" s="49">
        <v>-5.016907169898678</v>
      </c>
      <c r="AT23" s="49">
        <v>-1.0940209150152618</v>
      </c>
      <c r="AU23" s="49">
        <v>5.6118483405644044</v>
      </c>
      <c r="AV23" s="49">
        <v>3.229961485656192</v>
      </c>
      <c r="AW23" s="49">
        <v>42.580647415595287</v>
      </c>
    </row>
    <row r="24" spans="1:49" ht="20.45" customHeight="1" x14ac:dyDescent="0.2">
      <c r="A24" s="40" t="s">
        <v>85</v>
      </c>
      <c r="B24" s="9"/>
      <c r="C24" s="23">
        <f>+(Índice!E24-Índice!D24)*Índice!$C24/Índice!D$3</f>
        <v>3.5762497272799544E-2</v>
      </c>
      <c r="D24" s="23">
        <f>+(Índice!F24-Índice!E24)*Índice!$C24/Índice!E$3</f>
        <v>-4.4588853992251027E-3</v>
      </c>
      <c r="E24" s="23">
        <f>+(Índice!G24-Índice!F24)*Índice!$C24/Índice!F$3</f>
        <v>1.5446114454930968E-3</v>
      </c>
      <c r="F24" s="23">
        <f>+(Índice!H24-Índice!G24)*Índice!$C24/Índice!G$3</f>
        <v>-1.0044904239163582E-2</v>
      </c>
      <c r="G24" s="23">
        <f>+(Índice!I24-Índice!H24)*Índice!$C24/Índice!H$3</f>
        <v>1.0778407229691949</v>
      </c>
      <c r="H24" s="23">
        <f>+(Índice!J24-Índice!I24)*Índice!$C24/Índice!I$3</f>
        <v>0.39007604866114376</v>
      </c>
      <c r="I24" s="23">
        <f>+(Índice!K24-Índice!J24)*Índice!$C24/Índice!J$3</f>
        <v>1.2572771964259313E-2</v>
      </c>
      <c r="J24" s="23">
        <f>+(Índice!L24-Índice!K24)*Índice!$C24/Índice!K$3</f>
        <v>-1.2329464097080182E-2</v>
      </c>
      <c r="K24" s="23">
        <f>+(Índice!M24-Índice!L24)*Índice!$C24/Índice!L$3</f>
        <v>6.3037782210731891E-2</v>
      </c>
      <c r="L24" s="23">
        <f>+(Índice!N24-Índice!M24)*Índice!$C24/Índice!M$3</f>
        <v>-4.5016077170418008E-2</v>
      </c>
      <c r="M24" s="23">
        <f>+(Índice!O24-Índice!N24)*Índice!$C24/Índice!N$3</f>
        <v>8.8249391040112923E-2</v>
      </c>
      <c r="N24" s="23">
        <f>+(Índice!P24-Índice!O24)*Índice!$C24/Índice!O$3</f>
        <v>0.17577029997989543</v>
      </c>
      <c r="O24" s="23">
        <f>+(Índice!Q24-Índice!P24)*Índice!$C24/Índice!P$3</f>
        <v>7.2733611666618361E-2</v>
      </c>
      <c r="P24" s="23">
        <f>+(Índice!R24-Índice!Q24)*Índice!$C24/Índice!Q$3</f>
        <v>0.1441032038418408</v>
      </c>
      <c r="Q24" s="23">
        <f>+(Índice!S24-Índice!R24)*Índice!$C24/Índice!R$3</f>
        <v>0.45108118278569598</v>
      </c>
      <c r="R24" s="23">
        <f>+(Índice!T24-Índice!S24)*Índice!$C24/Índice!S$3</f>
        <v>0.12835716334265768</v>
      </c>
      <c r="S24" s="23">
        <f>+(Índice!U24-Índice!T24)*Índice!$C24/Índice!T$3</f>
        <v>8.550966918708261E-2</v>
      </c>
      <c r="T24" s="23">
        <f>+(Índice!V24-Índice!U24)*Índice!$C24/Índice!U$3</f>
        <v>5.7937976393501615E-2</v>
      </c>
      <c r="U24" s="23">
        <f>+(Índice!W24-Índice!V24)*Índice!$C24/Índice!V$3</f>
        <v>2.8244788164088774E-2</v>
      </c>
      <c r="V24" s="23">
        <f>+(Índice!X24-Índice!W24)*Índice!$C24/Índice!W$3</f>
        <v>-3.4113300319053415E-2</v>
      </c>
      <c r="W24" s="23">
        <f>+(Índice!Y24-Índice!X24)*Índice!$C24/Índice!X$3</f>
        <v>0.10000792426987815</v>
      </c>
      <c r="X24" s="23">
        <f>+(Índice!Z24-Índice!Y24)*Índice!$C24/Índice!Y$3</f>
        <v>2.86877388176997E-2</v>
      </c>
      <c r="Y24" s="23">
        <f>+(Índice!AA24-Índice!Z24)*Índice!$C24/Índice!Z$3</f>
        <v>1.9553670956362387E-2</v>
      </c>
      <c r="Z24" s="23">
        <f>+(Índice!AB24-Índice!AA24)*Índice!$C24/Índice!AA$3</f>
        <v>3.4245752415003786E-2</v>
      </c>
      <c r="AA24" s="23">
        <f>+(Índice!AC24-Índice!AB24)*Índice!$C24/Índice!AB$3</f>
        <v>-0.25891893707777103</v>
      </c>
      <c r="AB24" s="23">
        <f>+(Índice!AD24-Índice!AC24)*Índice!$C24/Índice!AC$3</f>
        <v>7.8740307321886555E-2</v>
      </c>
      <c r="AC24" s="23">
        <f>+(Índice!AE24-Índice!AD24)*Índice!$C24/Índice!AD$3</f>
        <v>5.3314676966083462E-2</v>
      </c>
      <c r="AD24" s="23">
        <f>+(Índice!AF24-Índice!AE24)*Índice!$C24/Índice!AE$3</f>
        <v>3.6491164362724489E-2</v>
      </c>
      <c r="AE24" s="23">
        <f>+(Índice!AG24-Índice!AF24)*Índice!$C24/Índice!AF$3</f>
        <v>0.1605868946565206</v>
      </c>
      <c r="AF24" s="23">
        <f>+(Índice!AH24-Índice!AG24)*Índice!$C24/Índice!AG$3</f>
        <v>4.2907125330556489E-2</v>
      </c>
      <c r="AG24" s="23">
        <f>+(Índice!AI24-Índice!AH24)*Índice!$C24/Índice!AH$3</f>
        <v>3.5400285535254879E-2</v>
      </c>
      <c r="AH24" s="23">
        <f>+(Índice!AJ24-Índice!AI24)*Índice!$C24/Índice!AI$3</f>
        <v>1.8334685624666208E-2</v>
      </c>
      <c r="AI24" s="49">
        <v>3.9602644295480727</v>
      </c>
      <c r="AJ24" s="49">
        <v>-0.37232463914794323</v>
      </c>
      <c r="AK24" s="49">
        <v>4.9937441469159058E-2</v>
      </c>
      <c r="AL24" s="49">
        <v>0.34033614747117485</v>
      </c>
      <c r="AM24" s="49">
        <v>-2.2980108204229857</v>
      </c>
      <c r="AN24" s="49">
        <v>6.9267162641419066E-3</v>
      </c>
      <c r="AO24" s="49">
        <v>0.42276420160284955</v>
      </c>
      <c r="AP24" s="49">
        <v>-2.8219929783293664E-2</v>
      </c>
      <c r="AQ24" s="49">
        <v>2.8033500934405049E-2</v>
      </c>
      <c r="AR24" s="49">
        <v>0.16610104744109533</v>
      </c>
      <c r="AS24" s="49">
        <v>-0.2212861376841701</v>
      </c>
      <c r="AT24" s="49">
        <v>4.85218562571757E-3</v>
      </c>
      <c r="AU24" s="49">
        <v>-0.51809197722735068</v>
      </c>
      <c r="AV24" s="49">
        <v>-0.42700208769935394</v>
      </c>
      <c r="AW24" s="49">
        <v>1.0118765570598649</v>
      </c>
    </row>
    <row r="25" spans="1:49" ht="20.45" customHeight="1" x14ac:dyDescent="0.2">
      <c r="A25" s="40" t="s">
        <v>86</v>
      </c>
      <c r="B25" s="9"/>
      <c r="C25" s="23" t="s">
        <v>64</v>
      </c>
      <c r="D25" s="23" t="s">
        <v>64</v>
      </c>
      <c r="E25" s="23" t="s">
        <v>64</v>
      </c>
      <c r="F25" s="23" t="s">
        <v>64</v>
      </c>
      <c r="G25" s="23" t="s">
        <v>64</v>
      </c>
      <c r="H25" s="23" t="s">
        <v>64</v>
      </c>
      <c r="I25" s="23" t="s">
        <v>64</v>
      </c>
      <c r="J25" s="23" t="s">
        <v>64</v>
      </c>
      <c r="K25" s="23" t="s">
        <v>64</v>
      </c>
      <c r="L25" s="23" t="s">
        <v>64</v>
      </c>
      <c r="M25" s="23" t="s">
        <v>64</v>
      </c>
      <c r="N25" s="23" t="s">
        <v>64</v>
      </c>
      <c r="O25" s="23" t="s">
        <v>64</v>
      </c>
      <c r="P25" s="23" t="s">
        <v>64</v>
      </c>
      <c r="Q25" s="23" t="s">
        <v>64</v>
      </c>
      <c r="R25" s="23" t="s">
        <v>64</v>
      </c>
      <c r="S25" s="23" t="s">
        <v>64</v>
      </c>
      <c r="T25" s="23" t="s">
        <v>64</v>
      </c>
      <c r="U25" s="23" t="s">
        <v>64</v>
      </c>
      <c r="V25" s="23" t="s">
        <v>64</v>
      </c>
      <c r="W25" s="23" t="s">
        <v>64</v>
      </c>
      <c r="X25" s="23" t="s">
        <v>64</v>
      </c>
      <c r="Y25" s="23" t="s">
        <v>64</v>
      </c>
      <c r="Z25" s="23" t="s">
        <v>64</v>
      </c>
      <c r="AA25" s="23" t="s">
        <v>64</v>
      </c>
      <c r="AB25" s="23" t="s">
        <v>64</v>
      </c>
      <c r="AC25" s="23" t="s">
        <v>64</v>
      </c>
      <c r="AD25" s="23" t="s">
        <v>64</v>
      </c>
      <c r="AE25" s="23" t="s">
        <v>64</v>
      </c>
      <c r="AF25" s="23" t="s">
        <v>64</v>
      </c>
      <c r="AG25" s="23" t="s">
        <v>64</v>
      </c>
      <c r="AH25" s="23" t="s">
        <v>64</v>
      </c>
      <c r="AI25" s="49">
        <v>-5.243458849704722E-2</v>
      </c>
      <c r="AJ25" s="49">
        <v>2.1066482263866651E-3</v>
      </c>
      <c r="AK25" s="49">
        <v>4.3828704270265422E-3</v>
      </c>
      <c r="AL25" s="49">
        <v>-1.1751495026558656E-5</v>
      </c>
      <c r="AM25" s="49">
        <v>1.4413332386316231E-3</v>
      </c>
      <c r="AN25" s="49">
        <v>1.6291297460805697E-3</v>
      </c>
      <c r="AO25" s="49">
        <v>4.9839702957103138E-3</v>
      </c>
      <c r="AP25" s="49">
        <v>3.4822517911013364E-3</v>
      </c>
      <c r="AQ25" s="49">
        <v>3.2907711881129333E-3</v>
      </c>
      <c r="AR25" s="49">
        <v>2.1335664596354373E-3</v>
      </c>
      <c r="AS25" s="49">
        <v>5.518470810433271E-3</v>
      </c>
      <c r="AT25" s="49">
        <v>2.3538809283779913E-3</v>
      </c>
      <c r="AU25" s="49">
        <v>5.2846463248944079E-4</v>
      </c>
      <c r="AV25" s="49">
        <v>6.7683364771606986E-4</v>
      </c>
      <c r="AW25" s="49">
        <v>9.4530855026811866E-3</v>
      </c>
    </row>
    <row r="26" spans="1:49" ht="20.45" customHeight="1" x14ac:dyDescent="0.2">
      <c r="A26" s="40" t="s">
        <v>87</v>
      </c>
      <c r="B26" s="9"/>
      <c r="C26" s="23">
        <f>+(Índice!E26-Índice!D26)*Índice!$C26/Índice!D$3</f>
        <v>-3.6491317649879708E-2</v>
      </c>
      <c r="D26" s="23">
        <f>+(Índice!F26-Índice!E26)*Índice!$C26/Índice!E$3</f>
        <v>4.8688668233609046E-2</v>
      </c>
      <c r="E26" s="23">
        <f>+(Índice!G26-Índice!F26)*Índice!$C26/Índice!F$3</f>
        <v>4.4368852464376773E-2</v>
      </c>
      <c r="F26" s="23">
        <f>+(Índice!H26-Índice!G26)*Índice!$C26/Índice!G$3</f>
        <v>-8.7323772756736973E-2</v>
      </c>
      <c r="G26" s="23">
        <f>+(Índice!I26-Índice!H26)*Índice!$C26/Índice!H$3</f>
        <v>-6.9879851848452024E-2</v>
      </c>
      <c r="H26" s="23">
        <f>+(Índice!J26-Índice!I26)*Índice!$C26/Índice!I$3</f>
        <v>0.1069664572372073</v>
      </c>
      <c r="I26" s="23">
        <f>+(Índice!K26-Índice!J26)*Índice!$C26/Índice!J$3</f>
        <v>-3.7371349331521531E-2</v>
      </c>
      <c r="J26" s="23">
        <f>+(Índice!L26-Índice!K26)*Índice!$C26/Índice!K$3</f>
        <v>-6.8902497141425073E-2</v>
      </c>
      <c r="K26" s="23">
        <f>+(Índice!M26-Índice!L26)*Índice!$C26/Índice!L$3</f>
        <v>-0.37627741749498145</v>
      </c>
      <c r="L26" s="23">
        <f>+(Índice!N26-Índice!M26)*Índice!$C26/Índice!M$3</f>
        <v>0.49630225080385859</v>
      </c>
      <c r="M26" s="23">
        <f>+(Índice!O26-Índice!N26)*Índice!$C26/Índice!N$3</f>
        <v>0.19318418418834574</v>
      </c>
      <c r="N26" s="23">
        <f>+(Índice!P26-Índice!O26)*Índice!$C26/Índice!O$3</f>
        <v>8.9802585465135892E-2</v>
      </c>
      <c r="O26" s="23">
        <f>+(Índice!Q26-Índice!P26)*Índice!$C26/Índice!P$3</f>
        <v>-0.62123000897481206</v>
      </c>
      <c r="P26" s="23">
        <f>+(Índice!R26-Índice!Q26)*Índice!$C26/Índice!Q$3</f>
        <v>0.35370841441652784</v>
      </c>
      <c r="Q26" s="23">
        <f>+(Índice!S26-Índice!R26)*Índice!$C26/Índice!R$3</f>
        <v>0.51540131126095134</v>
      </c>
      <c r="R26" s="23">
        <f>+(Índice!T26-Índice!S26)*Índice!$C26/Índice!S$3</f>
        <v>0.3215633127080062</v>
      </c>
      <c r="S26" s="23">
        <f>+(Índice!U26-Índice!T26)*Índice!$C26/Índice!T$3</f>
        <v>3.072624931085538E-2</v>
      </c>
      <c r="T26" s="23">
        <f>+(Índice!V26-Índice!U26)*Índice!$C26/Índice!U$3</f>
        <v>6.0740962147286533E-2</v>
      </c>
      <c r="U26" s="23">
        <f>+(Índice!W26-Índice!V26)*Índice!$C26/Índice!V$3</f>
        <v>7.4142568930733024E-2</v>
      </c>
      <c r="V26" s="23">
        <f>+(Índice!X26-Índice!W26)*Índice!$C26/Índice!W$3</f>
        <v>-6.3624437618858956E-2</v>
      </c>
      <c r="W26" s="23">
        <f>+(Índice!Y26-Índice!X26)*Índice!$C26/Índice!X$3</f>
        <v>0.15167501027294902</v>
      </c>
      <c r="X26" s="23">
        <f>+(Índice!Z26-Índice!Y26)*Índice!$C26/Índice!Y$3</f>
        <v>4.0668923776131689E-2</v>
      </c>
      <c r="Y26" s="23">
        <f>+(Índice!AA26-Índice!Z26)*Índice!$C26/Índice!Z$3</f>
        <v>4.4717407207355946E-2</v>
      </c>
      <c r="Z26" s="23">
        <f>+(Índice!AB26-Índice!AA26)*Índice!$C26/Índice!AA$3</f>
        <v>2.3233828601795042E-2</v>
      </c>
      <c r="AA26" s="23">
        <f>+(Índice!AC26-Índice!AB26)*Índice!$C26/Índice!AB$3</f>
        <v>8.3371591091717434E-2</v>
      </c>
      <c r="AB26" s="23">
        <f>+(Índice!AD26-Índice!AC26)*Índice!$C26/Índice!AC$3</f>
        <v>7.5506439848256224E-2</v>
      </c>
      <c r="AC26" s="23">
        <f>+(Índice!AE26-Índice!AD26)*Índice!$C26/Índice!AD$3</f>
        <v>7.4557715976185421E-2</v>
      </c>
      <c r="AD26" s="23">
        <f>+(Índice!AF26-Índice!AE26)*Índice!$C26/Índice!AE$3</f>
        <v>7.1039085166694674E-2</v>
      </c>
      <c r="AE26" s="23">
        <f>+(Índice!AG26-Índice!AF26)*Índice!$C26/Índice!AF$3</f>
        <v>0.2022568815103559</v>
      </c>
      <c r="AF26" s="23">
        <f>+(Índice!AH26-Índice!AG26)*Índice!$C26/Índice!AG$3</f>
        <v>9.1992156252336255E-2</v>
      </c>
      <c r="AG26" s="23">
        <f>+(Índice!AI26-Índice!AH26)*Índice!$C26/Índice!AH$3</f>
        <v>8.3226358973710612E-2</v>
      </c>
      <c r="AH26" s="23">
        <f>+(Índice!AJ26-Índice!AI26)*Índice!$C26/Índice!AI$3</f>
        <v>4.3311901070260068E-2</v>
      </c>
      <c r="AI26" s="49">
        <v>-3.2347697538258431</v>
      </c>
      <c r="AJ26" s="49">
        <v>3.2909585615358831E-2</v>
      </c>
      <c r="AK26" s="49">
        <v>3.6131361266646032E-2</v>
      </c>
      <c r="AL26" s="49">
        <v>1.4837061687144694E-2</v>
      </c>
      <c r="AM26" s="49">
        <v>2.2805036404105885E-2</v>
      </c>
      <c r="AN26" s="49">
        <v>2.6697495947520647E-2</v>
      </c>
      <c r="AO26" s="49">
        <v>3.1030624771766418E-2</v>
      </c>
      <c r="AP26" s="49">
        <v>1.9829065492426634E-2</v>
      </c>
      <c r="AQ26" s="49">
        <v>1.7509745640967658E-2</v>
      </c>
      <c r="AR26" s="49">
        <v>2.3047763333566274E-2</v>
      </c>
      <c r="AS26" s="49">
        <v>1.9894346823662527E-2</v>
      </c>
      <c r="AT26" s="49">
        <v>2.497839434959127E-2</v>
      </c>
      <c r="AU26" s="49">
        <v>3.1598080756601671E-2</v>
      </c>
      <c r="AV26" s="49">
        <v>3.4767463783861564E-2</v>
      </c>
      <c r="AW26" s="49">
        <v>2.8352646325946602E-2</v>
      </c>
    </row>
    <row r="27" spans="1:49" ht="20.45" customHeight="1" thickBot="1" x14ac:dyDescent="0.25">
      <c r="A27" s="41" t="s">
        <v>88</v>
      </c>
      <c r="B27" s="16"/>
      <c r="C27" s="24">
        <f>+(Índice!E27-Índice!D27)*Índice!$C27/Índice!D$3</f>
        <v>15.941644647318048</v>
      </c>
      <c r="D27" s="24">
        <f>+(Índice!F27-Índice!E27)*Índice!$C27/Índice!E$3</f>
        <v>-4.4562806688672447</v>
      </c>
      <c r="E27" s="24">
        <f>+(Índice!G27-Índice!F27)*Índice!$C27/Índice!F$3</f>
        <v>-4.906380007883488</v>
      </c>
      <c r="F27" s="24">
        <f>+(Índice!H27-Índice!G27)*Índice!$C27/Índice!G$3</f>
        <v>21.212075496528051</v>
      </c>
      <c r="G27" s="24">
        <f>+(Índice!I27-Índice!H27)*Índice!$C27/Índice!H$3</f>
        <v>8.8309253269579919</v>
      </c>
      <c r="H27" s="24">
        <f>+(Índice!J27-Índice!I27)*Índice!$C27/Índice!I$3</f>
        <v>1.2541567378032559</v>
      </c>
      <c r="I27" s="24">
        <f>+(Índice!K27-Índice!J27)*Índice!$C27/Índice!J$3</f>
        <v>6.6709783635223605</v>
      </c>
      <c r="J27" s="24">
        <f>+(Índice!L27-Índice!K27)*Índice!$C27/Índice!K$3</f>
        <v>-21.980688170195474</v>
      </c>
      <c r="K27" s="24">
        <f>+(Índice!M27-Índice!L27)*Índice!$C27/Índice!L$3</f>
        <v>30.473159591543876</v>
      </c>
      <c r="L27" s="24">
        <f>+(Índice!N27-Índice!M27)*Índice!$C27/Índice!M$3</f>
        <v>2.062433011789917</v>
      </c>
      <c r="M27" s="24">
        <f>+(Índice!O27-Índice!N27)*Índice!$C27/Índice!N$3</f>
        <v>-4.7440956074525928</v>
      </c>
      <c r="N27" s="24">
        <f>+(Índice!P27-Índice!O27)*Índice!$C27/Índice!O$3</f>
        <v>1.7456918553848444</v>
      </c>
      <c r="O27" s="24">
        <f>+(Índice!Q27-Índice!P27)*Índice!$C27/Índice!P$3</f>
        <v>0.51327206347433874</v>
      </c>
      <c r="P27" s="24">
        <f>+(Índice!R27-Índice!Q27)*Índice!$C27/Índice!Q$3</f>
        <v>-5.1552216575478624</v>
      </c>
      <c r="Q27" s="24">
        <f>+(Índice!S27-Índice!R27)*Índice!$C27/Índice!R$3</f>
        <v>11.557106971565586</v>
      </c>
      <c r="R27" s="24">
        <f>+(Índice!T27-Índice!S27)*Índice!$C27/Índice!S$3</f>
        <v>5.4113535112027664</v>
      </c>
      <c r="S27" s="24">
        <f>+(Índice!U27-Índice!T27)*Índice!$C27/Índice!T$3</f>
        <v>26.344674793606472</v>
      </c>
      <c r="T27" s="24">
        <f>+(Índice!V27-Índice!U27)*Índice!$C27/Índice!U$3</f>
        <v>10.330787317901532</v>
      </c>
      <c r="U27" s="24">
        <f>+(Índice!W27-Índice!V27)*Índice!$C27/Índice!V$3</f>
        <v>6.1392064559515918</v>
      </c>
      <c r="V27" s="24">
        <f>+(Índice!X27-Índice!W27)*Índice!$C27/Índice!W$3</f>
        <v>-6.7727142310278579</v>
      </c>
      <c r="W27" s="24">
        <f>+(Índice!Y27-Índice!X27)*Índice!$C27/Índice!X$3</f>
        <v>20.453830512400781</v>
      </c>
      <c r="X27" s="24">
        <f>+(Índice!Z27-Índice!Y27)*Índice!$C27/Índice!Y$3</f>
        <v>9.9563269347809573</v>
      </c>
      <c r="Y27" s="24">
        <f>+(Índice!AA27-Índice!Z27)*Índice!$C27/Índice!Z$3</f>
        <v>-9.9462881456974106</v>
      </c>
      <c r="Z27" s="24">
        <f>+(Índice!AB27-Índice!AA27)*Índice!$C27/Índice!AA$3</f>
        <v>-13.152286181209883</v>
      </c>
      <c r="AA27" s="24">
        <f>+(Índice!AC27-Índice!AB27)*Índice!$C27/Índice!AB$3</f>
        <v>-8.7465621382460039</v>
      </c>
      <c r="AB27" s="24">
        <f>+(Índice!AD27-Índice!AC27)*Índice!$C27/Índice!AC$3</f>
        <v>-2.6231558654884783</v>
      </c>
      <c r="AC27" s="24">
        <f>+(Índice!AE27-Índice!AD27)*Índice!$C27/Índice!AD$3</f>
        <v>11.146113964397182</v>
      </c>
      <c r="AD27" s="24">
        <f>+(Índice!AF27-Índice!AE27)*Índice!$C27/Índice!AE$3</f>
        <v>-1.4400427141035166</v>
      </c>
      <c r="AE27" s="24">
        <f>+(Índice!AG27-Índice!AF27)*Índice!$C27/Índice!AF$3</f>
        <v>-2.5304377044464044</v>
      </c>
      <c r="AF27" s="24">
        <f>+(Índice!AH27-Índice!AG27)*Índice!$C27/Índice!AG$3</f>
        <v>1.6483232611951582</v>
      </c>
      <c r="AG27" s="24">
        <f>+(Índice!AI27-Índice!AH27)*Índice!$C27/Índice!AH$3</f>
        <v>-4.7273949107594984</v>
      </c>
      <c r="AH27" s="24">
        <f>+(Índice!AJ27-Índice!AI27)*Índice!$C27/Índice!AI$3</f>
        <v>-5.8872196404632113</v>
      </c>
      <c r="AI27" s="24">
        <v>2.3568606716659146</v>
      </c>
      <c r="AJ27" s="24">
        <v>1.6569449103821889</v>
      </c>
      <c r="AK27" s="24">
        <v>4.3587988909576634</v>
      </c>
      <c r="AL27" s="24">
        <v>-3.8178434044745591</v>
      </c>
      <c r="AM27" s="24">
        <v>-1.2683122537315683</v>
      </c>
      <c r="AN27" s="24">
        <v>5.8048690321880736</v>
      </c>
      <c r="AO27" s="24">
        <v>-1.1525799213222074</v>
      </c>
      <c r="AP27" s="24">
        <v>-2.1112948860805432</v>
      </c>
      <c r="AQ27" s="24">
        <v>-1.3336455626834351</v>
      </c>
      <c r="AR27" s="24">
        <v>-3.3545144289696029</v>
      </c>
      <c r="AS27" s="24">
        <v>-4.8210338498486038</v>
      </c>
      <c r="AT27" s="24">
        <v>-1.1262053759189485</v>
      </c>
      <c r="AU27" s="24">
        <v>6.097813772402664</v>
      </c>
      <c r="AV27" s="24">
        <v>3.6215192759239705</v>
      </c>
      <c r="AW27" s="24">
        <v>41.648382185788037</v>
      </c>
    </row>
    <row r="28" spans="1:49" ht="20.45" customHeight="1" x14ac:dyDescent="0.2">
      <c r="A28" s="20" t="s">
        <v>54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spans="1:49" ht="20.45" customHeight="1" x14ac:dyDescent="0.2">
      <c r="A29" s="20" t="s">
        <v>65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Índice</vt:lpstr>
      <vt:lpstr>Variação periodo anterior</vt:lpstr>
      <vt:lpstr>Variação Homóloga </vt:lpstr>
      <vt:lpstr>Contribuição Trimestral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Carlos Nicolau</cp:lastModifiedBy>
  <dcterms:created xsi:type="dcterms:W3CDTF">2025-08-15T17:43:08Z</dcterms:created>
  <dcterms:modified xsi:type="dcterms:W3CDTF">2026-05-06T11:41:53Z</dcterms:modified>
</cp:coreProperties>
</file>