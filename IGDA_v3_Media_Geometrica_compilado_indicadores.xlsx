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Resumo_Compilacao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Input_Dado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Normalizacao" sheetId="5" state="visible" r:id="rId5"/>
    <sheet xmlns:r="http://schemas.openxmlformats.org/officeDocument/2006/relationships" name="Subindices" sheetId="6" state="visible" r:id="rId6"/>
    <sheet xmlns:r="http://schemas.openxmlformats.org/officeDocument/2006/relationships" name="Indice_Global" sheetId="7" state="visible" r:id="rId7"/>
    <sheet xmlns:r="http://schemas.openxmlformats.org/officeDocument/2006/relationships" name="Diagnostico_Lacunas" sheetId="8" state="visible" r:id="rId8"/>
    <sheet xmlns:r="http://schemas.openxmlformats.org/officeDocument/2006/relationships" name="Sugestoes_Indicadores" sheetId="9" state="visible" r:id="rId9"/>
    <sheet xmlns:r="http://schemas.openxmlformats.org/officeDocument/2006/relationships" name="Base_Alargada" sheetId="10" state="visible" r:id="rId10"/>
    <sheet xmlns:r="http://schemas.openxmlformats.org/officeDocument/2006/relationships" name="Compilacao_Sugeridos" sheetId="11" state="visible" r:id="rId11"/>
    <sheet xmlns:r="http://schemas.openxmlformats.org/officeDocument/2006/relationships" name="Parametros_Alargados" sheetId="12" state="visible" r:id="rId12"/>
    <sheet xmlns:r="http://schemas.openxmlformats.org/officeDocument/2006/relationships" name="Normalizacao_Alargada" sheetId="13" state="visible" r:id="rId13"/>
    <sheet xmlns:r="http://schemas.openxmlformats.org/officeDocument/2006/relationships" name="Subindices_Alargados" sheetId="14" state="visible" r:id="rId14"/>
    <sheet xmlns:r="http://schemas.openxmlformats.org/officeDocument/2006/relationships" name="Indice_Global_Alargado" sheetId="15" state="visible" r:id="rId15"/>
  </sheets>
  <definedNames>
    <definedName name="_xlnm._FilterDatabase" localSheetId="7" hidden="1">'Diagnostico_Lacunas'!$A$4:$E$11</definedName>
    <definedName name="_xlnm._FilterDatabase" localSheetId="8" hidden="1">'Sugestoes_Indicadores'!$A$4:$Q$72</definedName>
    <definedName name="_xlnm._FilterDatabase" localSheetId="9" hidden="1">'Base_Alargada'!$A$4:$AC$113</definedName>
    <definedName name="_xlnm._FilterDatabase" localSheetId="10" hidden="1">'Compilacao_Sugeridos'!$A$4:$AC$72</definedName>
    <definedName name="_xlnm._FilterDatabase" localSheetId="11" hidden="1">'Parametros_Alargados'!$A$5:$K$114</definedName>
    <definedName name="_xlnm._FilterDatabase" localSheetId="12" hidden="1">'Normalizacao_Alargada'!$A$1:$M$110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\+0.0;\-0.0;0.0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1"/>
      <b val="1"/>
      <color rgb="FF1F4E79"/>
      <sz val="16"/>
    </font>
    <font>
      <name val="Cambria"/>
      <charset val="1"/>
      <family val="1"/>
      <b val="1"/>
      <sz val="14"/>
    </font>
    <font>
      <name val="Cambria"/>
      <charset val="1"/>
      <family val="1"/>
      <b val="1"/>
      <sz val="12"/>
    </font>
    <font>
      <name val="Cambria"/>
      <charset val="1"/>
      <family val="1"/>
      <sz val="11"/>
    </font>
    <font>
      <name val="Cambria"/>
      <charset val="1"/>
      <family val="0"/>
      <b val="1"/>
      <sz val="11"/>
    </font>
    <font>
      <name val="Cambria"/>
      <charset val="1"/>
      <family val="1"/>
      <b val="1"/>
      <color rgb="FFFFFFFF"/>
      <sz val="11"/>
    </font>
    <font>
      <name val="Cambria"/>
      <charset val="1"/>
      <family val="1"/>
      <color rgb="FF0000FF"/>
      <sz val="11"/>
    </font>
    <font>
      <name val="Calibri"/>
      <charset val="1"/>
      <family val="2"/>
      <color theme="10"/>
      <sz val="11"/>
      <u val="single"/>
    </font>
    <font>
      <name val="Cambria"/>
      <charset val="1"/>
      <family val="1"/>
      <b val="1"/>
      <color rgb="FF0000FF"/>
      <sz val="11"/>
    </font>
    <font>
      <name val="Calibri"/>
      <charset val="1"/>
      <family val="2"/>
      <color rgb="FFFF0000"/>
      <sz val="11"/>
    </font>
    <font>
      <name val="Cambria"/>
      <charset val="1"/>
      <family val="1"/>
      <color rgb="FFFF0000"/>
      <sz val="11"/>
    </font>
    <font>
      <name val="Calibri"/>
      <charset val="1"/>
      <family val="2"/>
      <sz val="11"/>
    </font>
    <font>
      <name val="Arial"/>
      <family val="2"/>
      <sz val="10"/>
    </font>
    <font>
      <name val="Cambria"/>
      <charset val="1"/>
      <family val="0"/>
      <b val="1"/>
      <color rgb="FF0000FF"/>
      <sz val="11"/>
    </font>
    <font>
      <name val="Cambria"/>
      <charset val="1"/>
      <family val="1"/>
      <color rgb="FF008000"/>
      <sz val="11"/>
    </font>
    <font>
      <name val="Cambria"/>
      <charset val="1"/>
      <family val="1"/>
      <b val="1"/>
      <sz val="11"/>
    </font>
    <font>
      <name val="Calibri"/>
      <charset val="1"/>
      <family val="2"/>
      <color theme="1"/>
      <sz val="9"/>
    </font>
    <font>
      <name val="Calibri"/>
      <charset val="1"/>
      <family val="2"/>
      <b val="1"/>
      <color theme="1"/>
      <sz val="11"/>
    </font>
    <font>
      <name val="Calibri"/>
      <family val="2"/>
      <color rgb="FF595959"/>
      <sz val="9"/>
    </font>
    <font>
      <b val="1"/>
      <color rgb="001F2937"/>
      <sz val="16"/>
    </font>
    <font>
      <b val="1"/>
      <color rgb="00FFFFFF"/>
    </font>
    <font>
      <i val="1"/>
      <color rgb="00666666"/>
    </font>
    <font>
      <name val="Calibri"/>
      <family val="2"/>
      <color theme="10"/>
      <sz val="12"/>
      <scheme val="minor"/>
    </font>
    <font>
      <b val="1"/>
      <sz val="13"/>
    </font>
    <font>
      <b val="1"/>
    </font>
  </fonts>
  <fills count="1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BEEF4"/>
      </patternFill>
    </fill>
    <fill>
      <patternFill patternType="solid">
        <fgColor theme="9" tint="0.7999000000000001"/>
        <bgColor rgb="FFEEECE1"/>
      </patternFill>
    </fill>
    <fill>
      <patternFill patternType="solid">
        <fgColor rgb="FFE2EFDA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theme="8" tint="0.7999000000000001"/>
        <bgColor rgb="FFDDEBF7"/>
      </patternFill>
    </fill>
    <fill>
      <patternFill patternType="solid">
        <fgColor rgb="FFF4B084"/>
        <bgColor rgb="FFF79646"/>
      </patternFill>
    </fill>
    <fill>
      <patternFill patternType="solid">
        <fgColor theme="2"/>
        <bgColor rgb="FFE2EFDA"/>
      </patternFill>
    </fill>
    <fill>
      <patternFill patternType="solid">
        <fgColor theme="9"/>
        <bgColor rgb="FFFF8080"/>
      </patternFill>
    </fill>
    <fill>
      <patternFill patternType="solid">
        <fgColor theme="9" tint="-0.25"/>
        <bgColor rgb="FFF79646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bottom style="thin">
        <color rgb="00D9E2F3"/>
      </bottom>
    </border>
    <border>
      <bottom style="thin">
        <color rgb="00BFBFBF"/>
      </bottom>
    </border>
    <border>
      <bottom style="thin">
        <color rgb="00E7E6E6"/>
      </bottom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26" fillId="0" borderId="0"/>
  </cellStyleXfs>
  <cellXfs count="1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4" fontId="1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4" fontId="0" fillId="6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0" fontId="18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165" fontId="19" fillId="7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166" fontId="0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4" fontId="1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4" fontId="0" fillId="6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0" fontId="18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165" fontId="19" fillId="7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166" fontId="0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23" fillId="0" borderId="0" pivotButton="0" quotePrefix="0" xfId="0"/>
    <xf numFmtId="0" fontId="0" fillId="0" borderId="0" applyAlignment="1" pivotButton="0" quotePrefix="0" xfId="0">
      <alignment wrapText="1"/>
    </xf>
    <xf numFmtId="0" fontId="24" fillId="1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5" fillId="0" borderId="0" applyAlignment="1" pivotButton="0" quotePrefix="0" xfId="0">
      <alignment wrapText="1"/>
    </xf>
    <xf numFmtId="0" fontId="24" fillId="12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13" borderId="4" applyAlignment="1" pivotButton="0" quotePrefix="0" xfId="0">
      <alignment vertical="top" wrapText="1"/>
    </xf>
    <xf numFmtId="0" fontId="0" fillId="14" borderId="4" applyAlignment="1" pivotButton="0" quotePrefix="0" xfId="0">
      <alignment vertical="top" wrapText="1"/>
    </xf>
    <xf numFmtId="0" fontId="0" fillId="15" borderId="4" applyAlignment="1" pivotButton="0" quotePrefix="0" xfId="0">
      <alignment vertical="top" wrapText="1"/>
    </xf>
    <xf numFmtId="0" fontId="24" fillId="12" borderId="0" applyAlignment="1" pivotButton="0" quotePrefix="0" xfId="0">
      <alignment horizontal="center" wrapText="1"/>
    </xf>
    <xf numFmtId="0" fontId="27" fillId="0" borderId="0" pivotButton="0" quotePrefix="0" xfId="0"/>
    <xf numFmtId="0" fontId="26" fillId="0" borderId="0" pivotButton="0" quotePrefix="0" xfId="6"/>
    <xf numFmtId="0" fontId="0" fillId="13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14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24" fillId="12" borderId="0" applyAlignment="1" pivotButton="0" quotePrefix="0" xfId="0">
      <alignment horizontal="center"/>
    </xf>
    <xf numFmtId="2" fontId="0" fillId="0" borderId="0" pivotButton="0" quotePrefix="0" xfId="0"/>
    <xf numFmtId="0" fontId="24" fillId="12" borderId="0" pivotButton="0" quotePrefix="0" xfId="0"/>
    <xf numFmtId="0" fontId="28" fillId="0" borderId="0" pivotButton="0" quotePrefix="0" xfId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dxfs count="2">
    <dxf>
      <font>
        <color rgb="FFFF0000"/>
      </font>
    </dxf>
    <dxf>
      <font>
        <color rgb="FF0070C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DEADA"/>
      <rgbColor rgb="FFDBEEF4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EEECE1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79646"/>
      <rgbColor rgb="FFE46C0A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Indice_Global!$C$8</f>
              <strCache>
                <ptCount val="1"/>
                <pt idx="0">
                  <v>4. Inclusão Social e Protecção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Indice_Global!$E$4:$O$4</f>
              <strCach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strCache>
            </strRef>
          </cat>
          <val>
            <numRef>
              <f>Indice_Global!$E$8:$O$8</f>
              <numCache>
                <formatCode>0.0</formatCode>
                <ptCount val="11"/>
                <pt idx="3">
                  <v>41.1468903940887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29647759"/>
        <axId val="29833440"/>
      </lineChart>
      <catAx>
        <axId val="2964775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29833440"/>
        <crosses val="autoZero"/>
        <auto val="1"/>
        <lblAlgn val="ctr"/>
        <lblOffset val="100"/>
        <noMultiLvlLbl val="0"/>
      </catAx>
      <valAx>
        <axId val="2983344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29647759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Indice_Global!$C$5</f>
              <strCache>
                <ptCount val="1"/>
                <pt idx="0">
                  <v>1. Governança e Estado de Direito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Indice_Global!$E$4:$O$4</f>
              <strCach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strCache>
            </strRef>
          </cat>
          <val>
            <numRef>
              <f>Indice_Global!$E$5:$N$5</f>
              <numCache>
                <formatCode>0.0</formatCode>
                <ptCount val="10"/>
                <pt idx="0">
                  <v>29.195776</v>
                </pt>
                <pt idx="1">
                  <v>30.4408436</v>
                </pt>
                <pt idx="2">
                  <v>30.1338572</v>
                </pt>
                <pt idx="3">
                  <v>32.1187036</v>
                </pt>
                <pt idx="4">
                  <v>34.4345256</v>
                </pt>
                <pt idx="5">
                  <v>33.3534896</v>
                </pt>
                <pt idx="6">
                  <v>30.6183945</v>
                </pt>
                <pt idx="7">
                  <v>33.0673875</v>
                </pt>
                <pt idx="8">
                  <v>34.068444</v>
                </pt>
                <pt idx="9">
                  <v>32.8573595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5211111"/>
        <axId val="48709131"/>
      </lineChart>
      <catAx>
        <axId val="4521111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48709131"/>
        <crosses val="autoZero"/>
        <auto val="1"/>
        <lblAlgn val="ctr"/>
        <lblOffset val="100"/>
        <noMultiLvlLbl val="0"/>
      </catAx>
      <valAx>
        <axId val="4870913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4521111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711887044457169"/>
          <y val="0.194854407658556"/>
          <w val="0.858423964892196"/>
          <h val="0.720781810929398"/>
        </manualLayout>
      </layout>
      <lineChart>
        <grouping val="standard"/>
        <varyColors val="0"/>
        <ser>
          <idx val="0"/>
          <order val="0"/>
          <tx>
            <strRef>
              <f>Indice_Global!$C$10</f>
              <strCache>
                <ptCount val="1"/>
                <pt idx="0">
                  <v>6. Mercado de Trabalho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Indice_Global!$E$4:$O$4</f>
              <strCach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strCache>
            </strRef>
          </cat>
          <val>
            <numRef>
              <f>Indice_Global!$E$10:$O$10</f>
              <numCache>
                <formatCode>0.0</formatCode>
                <ptCount val="11"/>
                <pt idx="4">
                  <v>37.9222091383309</v>
                </pt>
                <pt idx="5">
                  <v>33.9263586466607</v>
                </pt>
                <pt idx="6">
                  <v>33.9887452474615</v>
                </pt>
                <pt idx="7">
                  <v>35.6711664897935</v>
                </pt>
                <pt idx="8">
                  <v>33.9928507739101</v>
                </pt>
                <pt idx="9">
                  <v>34.8033993307397</v>
                </pt>
                <pt idx="10">
                  <v>39.1195949108194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58156323"/>
        <axId val="8284249"/>
      </lineChart>
      <catAx>
        <axId val="5815632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8284249"/>
        <crosses val="autoZero"/>
        <auto val="1"/>
        <lblAlgn val="ctr"/>
        <lblOffset val="100"/>
        <noMultiLvlLbl val="0"/>
      </catAx>
      <valAx>
        <axId val="828424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58156323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Indice_Global!$C$11</f>
              <strCache>
                <ptCount val="1"/>
                <pt idx="0">
                  <v>7. Segurança Alimentar e Saúde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Indice_Global!$E$4:$O$4</f>
              <strCach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strCache>
            </strRef>
          </cat>
          <val>
            <numRef>
              <f>Indice_Global!$E$11:$O$11</f>
              <numCache>
                <formatCode>0.0</formatCode>
                <ptCount val="11"/>
                <pt idx="0">
                  <v>37.45</v>
                </pt>
                <pt idx="1">
                  <v>46.3666666666667</v>
                </pt>
                <pt idx="2">
                  <v>40.32</v>
                </pt>
                <pt idx="3">
                  <v>49.8666666666667</v>
                </pt>
                <pt idx="4">
                  <v>47.7833333333333</v>
                </pt>
                <pt idx="5">
                  <v>46.55</v>
                </pt>
                <pt idx="6">
                  <v>45.85</v>
                </pt>
                <pt idx="7">
                  <v>39.1066666666667</v>
                </pt>
                <pt idx="8">
                  <v>62.2333333333333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0389718"/>
        <axId val="87119059"/>
      </lineChart>
      <catAx>
        <axId val="1038971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87119059"/>
        <crosses val="autoZero"/>
        <auto val="1"/>
        <lblAlgn val="ctr"/>
        <lblOffset val="100"/>
        <noMultiLvlLbl val="0"/>
      </catAx>
      <valAx>
        <axId val="871190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10389718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Indice_Global!$C$9</f>
              <strCache>
                <ptCount val="1"/>
                <pt idx="0">
                  <v>5. Infraestruturas e Serviços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Indice_Global!$E$4:$N$4</f>
              <strCache>
                <ptCount val="10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</strCache>
            </strRef>
          </cat>
          <val>
            <numRef>
              <f>Indice_Global!$E$9:$N$9</f>
              <numCache>
                <formatCode>0.0</formatCode>
                <ptCount val="10"/>
                <pt idx="0">
                  <v>38.86</v>
                </pt>
                <pt idx="1">
                  <v>39.42</v>
                </pt>
                <pt idx="2">
                  <v>40.34</v>
                </pt>
                <pt idx="3">
                  <v>41.78</v>
                </pt>
                <pt idx="4">
                  <v>42.72</v>
                </pt>
                <pt idx="5">
                  <v>44.16</v>
                </pt>
                <pt idx="6">
                  <v>45.18</v>
                </pt>
                <pt idx="7">
                  <v>45.84</v>
                </pt>
                <pt idx="8">
                  <v>42.3666666666667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2381931"/>
        <axId val="32172602"/>
      </lineChart>
      <catAx>
        <axId val="9238193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32172602"/>
        <crosses val="autoZero"/>
        <auto val="1"/>
        <lblAlgn val="ctr"/>
        <lblOffset val="100"/>
        <noMultiLvlLbl val="0"/>
      </catAx>
      <valAx>
        <axId val="3217260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92381931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717624148003901"/>
          <y val="0.194852201890207"/>
          <w val="0.85842259006816"/>
          <h val="0.720691735371003"/>
        </manualLayout>
      </layout>
      <lineChart>
        <grouping val="standard"/>
        <varyColors val="0"/>
        <ser>
          <idx val="0"/>
          <order val="0"/>
          <tx>
            <strRef>
              <f>Indice_Global!$C$6</f>
              <strCache>
                <ptCount val="1"/>
                <pt idx="0">
                  <v>2. Estabilidade Macroeconómica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Indice_Global!$E$4:$O$4</f>
              <strCach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strCache>
            </strRef>
          </cat>
          <val>
            <numRef>
              <f>Indice_Global!$E$6:$O$6</f>
              <numCache>
                <formatCode>0.0</formatCode>
                <ptCount val="11"/>
                <pt idx="0">
                  <v>54.790501741137</v>
                </pt>
                <pt idx="1">
                  <v>45.7137763144078</v>
                </pt>
                <pt idx="2">
                  <v>52.2171456484666</v>
                </pt>
                <pt idx="3">
                  <v>47.3789091158789</v>
                </pt>
                <pt idx="4">
                  <v>48.3875498707694</v>
                </pt>
                <pt idx="5">
                  <v>40.36850918558</v>
                </pt>
                <pt idx="6">
                  <v>51.7480216643385</v>
                </pt>
                <pt idx="7">
                  <v>54.9379889125653</v>
                </pt>
                <pt idx="8">
                  <v>47.8806962579294</v>
                </pt>
                <pt idx="9">
                  <v>51.1238415985467</v>
                </pt>
                <pt idx="10">
                  <v>66.6499422060095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998572"/>
        <axId val="9292797"/>
      </lineChart>
      <catAx>
        <axId val="399857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9292797"/>
        <crosses val="autoZero"/>
        <auto val="1"/>
        <lblAlgn val="ctr"/>
        <lblOffset val="100"/>
        <noMultiLvlLbl val="0"/>
      </catAx>
      <valAx>
        <axId val="929279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399857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718043017942719"/>
          <y val="0.194859194859195"/>
          <w val="0.8583528362866381"/>
          <h val="0.720657720657721"/>
        </manualLayout>
      </layout>
      <lineChart>
        <grouping val="standard"/>
        <varyColors val="0"/>
        <ser>
          <idx val="0"/>
          <order val="0"/>
          <tx>
            <strRef>
              <f>Indice_Global!$C$7</f>
              <strCache>
                <ptCount val="1"/>
                <pt idx="0">
                  <v>3. Capital Humano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Indice_Global!$E$4:$O$4</f>
              <strCach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strCache>
            </strRef>
          </cat>
          <val>
            <numRef>
              <f>Indice_Global!$E$7:$O$7</f>
              <numCache>
                <formatCode>0.0</formatCode>
                <ptCount val="11"/>
                <pt idx="2">
                  <v>55.7296296296296</v>
                </pt>
                <pt idx="3">
                  <v>56.0074074074074</v>
                </pt>
                <pt idx="4">
                  <v>56.5888888888889</v>
                </pt>
                <pt idx="5">
                  <v>56.9407407407407</v>
                </pt>
                <pt idx="6">
                  <v>57.2051851851852</v>
                </pt>
                <pt idx="7">
                  <v>57.6244444444444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608693"/>
        <axId val="80508548"/>
      </lineChart>
      <catAx>
        <axId val="360869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80508548"/>
        <crosses val="autoZero"/>
        <auto val="1"/>
        <lblAlgn val="ctr"/>
        <lblOffset val="100"/>
        <noMultiLvlLbl val="0"/>
      </catAx>
      <valAx>
        <axId val="805085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3608693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71517202481669"/>
          <y val="0.194841012329656"/>
          <w val="0.858432036097011"/>
          <h val="0.720798182998053"/>
        </manualLayout>
      </layout>
      <lineChart>
        <grouping val="standard"/>
        <varyColors val="0"/>
        <ser>
          <idx val="0"/>
          <order val="0"/>
          <tx>
            <strRef>
              <f>Indice_Global!$C$13</f>
              <strCache>
                <ptCount val="1"/>
                <pt idx="0">
                  <v>EVOLUÇÃO DO IGDA-BDA (Índice Global)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Indice_Global!$E$4:$O$4</f>
              <strCach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strCache>
            </strRef>
          </cat>
          <val>
            <numRef>
              <f>Indice_Global!$E$13:$O$13</f>
              <numCache>
                <formatCode>0.0</formatCode>
                <ptCount val="11"/>
                <pt idx="0">
                  <v>39.0611459047375</v>
                </pt>
                <pt idx="1">
                  <v>39.9352648917981</v>
                </pt>
                <pt idx="2">
                  <v>42.7407447747962</v>
                </pt>
                <pt idx="3">
                  <v>44.0504877386266</v>
                </pt>
                <pt idx="4">
                  <v>44.0429806992642</v>
                </pt>
                <pt idx="5">
                  <v>41.8166126756519</v>
                </pt>
                <pt idx="6">
                  <v>43.068066673501</v>
                </pt>
                <pt idx="7">
                  <v>43.4125555719357</v>
                </pt>
                <pt idx="8">
                  <v>42.9526081979237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7482047"/>
        <axId val="78465434"/>
      </lineChart>
      <catAx>
        <axId val="8748204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78465434"/>
        <crosses val="autoZero"/>
        <auto val="1"/>
        <lblAlgn val="ctr"/>
        <lblOffset val="100"/>
        <noMultiLvlLbl val="0"/>
      </catAx>
      <valAx>
        <axId val="7846543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87482047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B6" authorId="0" shapeId="0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Descontinuado - esta em implementação o Business Ready. (B-Ready)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twoCellAnchor editAs="oneCell">
    <from>
      <col>7</col>
      <colOff>133200</colOff>
      <row>54</row>
      <rowOff>42840</rowOff>
    </from>
    <to>
      <col>11</col>
      <colOff>523080</colOff>
      <row>64</row>
      <rowOff>180360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85680</colOff>
      <row>43</row>
      <rowOff>42840</rowOff>
    </from>
    <to>
      <col>3</col>
      <colOff>266040</colOff>
      <row>53</row>
      <rowOff>18360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7</col>
      <colOff>123840</colOff>
      <row>66</row>
      <rowOff>42840</rowOff>
    </from>
    <to>
      <col>11</col>
      <colOff>513720</colOff>
      <row>76</row>
      <rowOff>37440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14</col>
      <colOff>762120</colOff>
      <row>43</row>
      <rowOff>90360</rowOff>
    </from>
    <to>
      <col>20</col>
      <colOff>475560</colOff>
      <row>53</row>
      <rowOff>75240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</col>
      <colOff>38160</colOff>
      <row>66</row>
      <rowOff>61920</rowOff>
    </from>
    <to>
      <col>3</col>
      <colOff>227880</colOff>
      <row>76</row>
      <rowOff>46800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7</col>
      <colOff>171360</colOff>
      <row>43</row>
      <rowOff>38160</rowOff>
    </from>
    <to>
      <col>11</col>
      <colOff>484920</colOff>
      <row>53</row>
      <rowOff>18360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1</col>
      <colOff>76320</colOff>
      <row>54</row>
      <rowOff>76320</rowOff>
    </from>
    <to>
      <col>3</col>
      <colOff>237600</colOff>
      <row>64</row>
      <rowOff>171000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1</col>
      <colOff>47520</colOff>
      <row>19</row>
      <rowOff>38160</rowOff>
    </from>
    <to>
      <col>5</col>
      <colOff>675360</colOff>
      <row>29</row>
      <rowOff>180360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aSugestoesIndicadores" displayName="TabelaSugestoesIndicadores" ref="A4:Q72" headerRowCount="1">
  <autoFilter ref="A4:Q72"/>
  <tableColumns count="17">
    <tableColumn id="1" name="Dimensão"/>
    <tableColumn id="2" name="Indicador sugerido"/>
    <tableColumn id="3" name="Tipo"/>
    <tableColumn id="4" name="Código"/>
    <tableColumn id="5" name="Nome oficial/API"/>
    <tableColumn id="6" name="Fonte"/>
    <tableColumn id="7" name="Fonte_URL"/>
    <tableColumn id="8" name="Unidade"/>
    <tableColumn id="9" name="Sentido"/>
    <tableColumn id="10" name="Mín. sugerido"/>
    <tableColumn id="11" name="Máx. sugerido"/>
    <tableColumn id="12" name="Meta 2027 sugerida"/>
    <tableColumn id="13" name="Peso sugerido"/>
    <tableColumn id="14" name="Prioridade"/>
    <tableColumn id="15" name="Cobertura AGO 2015-2025"/>
    <tableColumn id="16" name="Último ano com dado"/>
    <tableColumn id="17" name="Racional / uso recomend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BaseAlargada" displayName="TabelaBaseAlargada" ref="A4:AC113" headerRowCount="1">
  <autoFilter ref="A4:AC113"/>
  <tableColumns count="29">
    <tableColumn id="1" name="Dimensão"/>
    <tableColumn id="2" name="Subíndice curto"/>
    <tableColumn id="3" name="Indicador"/>
    <tableColumn id="4" name="Tipo"/>
    <tableColumn id="5" name="Código"/>
    <tableColumn id="6" name="Nome oficial/API"/>
    <tableColumn id="7" name="Fonte"/>
    <tableColumn id="8" name="Fonte_URL"/>
    <tableColumn id="9" name="Unidade"/>
    <tableColumn id="10" name="Sentido"/>
    <tableColumn id="11" name="Mínimo"/>
    <tableColumn id="12" name="Máximo"/>
    <tableColumn id="13" name="Meta 2027"/>
    <tableColumn id="14" name="Peso"/>
    <tableColumn id="15" name="Prioridade"/>
    <tableColumn id="16" name="Estado da série"/>
    <tableColumn id="17" name="Cobertura 2015-2025"/>
    <tableColumn id="18" name="2015"/>
    <tableColumn id="19" name="2016"/>
    <tableColumn id="20" name="2017"/>
    <tableColumn id="21" name="2018"/>
    <tableColumn id="22" name="2019"/>
    <tableColumn id="23" name="2020"/>
    <tableColumn id="24" name="2021"/>
    <tableColumn id="25" name="2022"/>
    <tableColumn id="26" name="2023"/>
    <tableColumn id="27" name="2024"/>
    <tableColumn id="28" name="2025"/>
    <tableColumn id="29" name="Racional / nota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elaCompilacaoSugeridos" displayName="TabelaCompilacaoSugeridos" ref="A4:AC72" headerRowCount="1">
  <autoFilter ref="A4:AC72"/>
  <tableColumns count="29">
    <tableColumn id="1" name="Dimensão"/>
    <tableColumn id="2" name="Subíndice curto"/>
    <tableColumn id="3" name="Indicador"/>
    <tableColumn id="4" name="Tipo"/>
    <tableColumn id="5" name="Código"/>
    <tableColumn id="6" name="Nome oficial/API"/>
    <tableColumn id="7" name="Fonte"/>
    <tableColumn id="8" name="Fonte_URL"/>
    <tableColumn id="9" name="Unidade"/>
    <tableColumn id="10" name="Sentido"/>
    <tableColumn id="11" name="Mínimo"/>
    <tableColumn id="12" name="Máximo"/>
    <tableColumn id="13" name="Meta 2027"/>
    <tableColumn id="14" name="Peso"/>
    <tableColumn id="15" name="Prioridade"/>
    <tableColumn id="16" name="Estado da série"/>
    <tableColumn id="17" name="Cobertura 2015-2025"/>
    <tableColumn id="18" name="2015"/>
    <tableColumn id="19" name="2016"/>
    <tableColumn id="20" name="2017"/>
    <tableColumn id="21" name="2018"/>
    <tableColumn id="22" name="2019"/>
    <tableColumn id="23" name="2020"/>
    <tableColumn id="24" name="2021"/>
    <tableColumn id="25" name="2022"/>
    <tableColumn id="26" name="2023"/>
    <tableColumn id="27" name="2024"/>
    <tableColumn id="28" name="2025"/>
    <tableColumn id="29" name="Racional / nota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TabelaParametrosAlargados" displayName="TabelaParametrosAlargados" ref="A5:K114" headerRowCount="1">
  <autoFilter ref="A5:K114"/>
  <tableColumns count="11">
    <tableColumn id="1" name="Dimensão"/>
    <tableColumn id="2" name="Indicador"/>
    <tableColumn id="3" name="Código"/>
    <tableColumn id="4" name="Sentido"/>
    <tableColumn id="5" name="Unidade"/>
    <tableColumn id="6" name="Mínimo"/>
    <tableColumn id="7" name="Máximo"/>
    <tableColumn id="8" name="Meta 2027"/>
    <tableColumn id="9" name="Peso"/>
    <tableColumn id="10" name="Tipo"/>
    <tableColumn id="11" name="Fonte"/>
  </tableColumns>
  <tableStyleInfo name="TableStyleMedium2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pi.worldbank.org/v2/en/indicator/{codigo}?downloadformat=csv" TargetMode="External" Id="rId1"/><Relationship Type="http://schemas.openxmlformats.org/officeDocument/2006/relationships/hyperlink" Target="https://datacatalogfiles.worldbank.org/ddh-published/0038026/DR0095947/wgidataset_with_sourcedata-2025.xlsx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countryeconomy.com/government/corruption-perceptions-index/angola?utm_source=chatgpt.com" TargetMode="External" Id="rId1"/><Relationship Type="http://schemas.openxmlformats.org/officeDocument/2006/relationships/hyperlink" Target="https://worldscorecard.com/scorecards/angolan-scorecard/gini-index/" TargetMode="External" Id="rId2"/><Relationship Type="http://schemas.openxmlformats.org/officeDocument/2006/relationships/hyperlink" Target="https://www.worldviewdata.com/countries/angola/internet-users" TargetMode="External" Id="rId3"/><Relationship Type="http://schemas.openxmlformats.org/officeDocument/2006/relationships/hyperlink" Target="https://openknowledge.worldbank.org/entities/publication/e467c3d0-8a41-5a34-a43a-1ad1d932017e" TargetMode="External" Id="rId4"/><Relationship Type="http://schemas.openxmlformats.org/officeDocument/2006/relationships/hyperlink" Target="https://www.ucm.minfin.gov.ao/cs/groups/public/documents/document/aw40/ota4/~edisp/minfin4908360.pdf?utm_source=chatgpt.com" TargetMode="External" Id="rId5"/><Relationship Type="http://schemas.openxmlformats.org/officeDocument/2006/relationships/hyperlink" Target="https://www.undp.org/pt/angola/publications/relatorio-do-desenvolvimento-humano-rdh-2023-2024?utm_source=chatgpt.com" TargetMode="External" Id="rId6"/><Relationship Type="http://schemas.openxmlformats.org/officeDocument/2006/relationships/hyperlink" Target="https://fred.stlouisfed.org/series/SPDYNLE00INAGO" TargetMode="External" Id="rId7"/><Relationship Type="http://schemas.openxmlformats.org/officeDocument/2006/relationships/hyperlink" Target="https://data.un.org/Data.aspx?d=WDI&amp;f=Indicator_Code%3ASI.POV.DDAY" TargetMode="External" Id="rId8"/><Relationship Type="http://schemas.openxmlformats.org/officeDocument/2006/relationships/hyperlink" Target="https://data.worldbank.org/indicator/SI.POV.GINI?locations=AO&amp;utm_source=chatgpt.com" TargetMode="External" Id="rId9"/><Relationship Type="http://schemas.openxmlformats.org/officeDocument/2006/relationships/hyperlink" Target="https://countryeconomy.com/demography/global-gender-gap-index/angola?utm_source=chatgpt.com" TargetMode="External" Id="rId10"/><Relationship Type="http://schemas.openxmlformats.org/officeDocument/2006/relationships/hyperlink" Target="https://data.worldbank.org/indicator/NY.GNP.PCAP.CD?locations=AO&amp;utm_source=chatgpt.com" TargetMode="External" Id="rId11"/><Relationship Type="http://schemas.openxmlformats.org/officeDocument/2006/relationships/hyperlink" Target="https://tradingeconomics.com/angola/access-to-electricity-percent-of-population-wb-data.html" TargetMode="External" Id="rId12"/><Relationship Type="http://schemas.openxmlformats.org/officeDocument/2006/relationships/hyperlink" Target="https://www.worldviewdata.com/countries/angola/access-basic-water" TargetMode="External" Id="rId13"/><Relationship Type="http://schemas.openxmlformats.org/officeDocument/2006/relationships/hyperlink" Target="https://data.worldbank.org/indicator/SH.STA.BASS.ZS?locations=AO" TargetMode="External" Id="rId14"/><Relationship Type="http://schemas.openxmlformats.org/officeDocument/2006/relationships/hyperlink" Target="https://fred.stlouisfed.org/data/ITNETUSERP2AGO" TargetMode="External" Id="rId15"/><Relationship Type="http://schemas.openxmlformats.org/officeDocument/2006/relationships/hyperlink" Target="https://documents1.worldbank.org/curated/en/099020924085520061/pdf/P1715491e430de07319a89140a3587e25be.pdf?utm_source=chatgpt.com" TargetMode="External" Id="rId16"/><Relationship Type="http://schemas.openxmlformats.org/officeDocument/2006/relationships/hyperlink" Target="https://chatgpt.com/c/697b1752-ece4-8331-bd69-580d7a126d46" TargetMode="External" Id="rId17"/><Relationship Type="http://schemas.openxmlformats.org/officeDocument/2006/relationships/hyperlink" Target="https://www.theglobaleconomy.com/Angola/prevalence_undernourishment/?utm_source=chatgpt.com" TargetMode="External" Id="rId18"/><Relationship Type="http://schemas.openxmlformats.org/officeDocument/2006/relationships/hyperlink" Target="https://data.worldbank.org/indicator/SH.MMR.RISK.ZS?locations=AO&amp;view=chart&amp;utm_source=chatgpt.com" TargetMode="External" Id="rId19"/><Relationship Type="http://schemas.openxmlformats.org/officeDocument/2006/relationships/hyperlink" Target="https://www.theglobaleconomy.com/Angola/health_spending_as_percent_of_gdp/?utm_source=chatgpt.com" TargetMode="External" Id="rId2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Angola - Corruption Perceptions Index 2023 | countryeconomy.com" TargetMode="External" Id="rId1"/><Relationship Type="http://schemas.openxmlformats.org/officeDocument/2006/relationships/hyperlink" Target="Angola's Income Inequality (2018) &#8211; Trends &amp; Historical Data" TargetMode="External" Id="rId2"/><Relationship Type="http://schemas.openxmlformats.org/officeDocument/2006/relationships/hyperlink" Target="Internet Users in Angola | 2025 Trends &amp; Rankings | World View Data" TargetMode="External" Id="rId3"/><Relationship Type="http://schemas.openxmlformats.org/officeDocument/2006/relationships/hyperlink" Target="https://datacatalog.worldbank.org/search/dataset/0038026/worldwide-governance-indicators" TargetMode="External" Id="rId4"/><Relationship Type="http://schemas.openxmlformats.org/officeDocument/2006/relationships/hyperlink" Target="https://datacatalog.worldbank.org/search/dataset/0038026/worldwide-governance-indicators" TargetMode="External" Id="rId5"/><Relationship Type="http://schemas.openxmlformats.org/officeDocument/2006/relationships/hyperlink" Target="https://datacatalog.worldbank.org/search/dataset/0038026/worldwide-governance-indicators" TargetMode="External" Id="rId6"/><Relationship Type="http://schemas.openxmlformats.org/officeDocument/2006/relationships/hyperlink" Target="https://iiag.online/" TargetMode="External" Id="rId7"/><Relationship Type="http://schemas.openxmlformats.org/officeDocument/2006/relationships/hyperlink" Target="https://iiag.online/" TargetMode="External" Id="rId8"/><Relationship Type="http://schemas.openxmlformats.org/officeDocument/2006/relationships/hyperlink" Target="https://internationalbudget.org/open-budget-survey/" TargetMode="External" Id="rId9"/><Relationship Type="http://schemas.openxmlformats.org/officeDocument/2006/relationships/hyperlink" Target="https://www.enterprisesurveys.org/" TargetMode="External" Id="rId10"/><Relationship Type="http://schemas.openxmlformats.org/officeDocument/2006/relationships/hyperlink" Target="https://data.worldbank.org/indicator/IQ.SPI.OVRL?locations=AO" TargetMode="External" Id="rId11"/><Relationship Type="http://schemas.openxmlformats.org/officeDocument/2006/relationships/hyperlink" Target="Reposit&#243;rio de Conhecimento Aberto" TargetMode="External" Id="rId12"/><Relationship Type="http://schemas.openxmlformats.org/officeDocument/2006/relationships/hyperlink" Target="PUBLIC DEBT STATISTICAL BULLETIN AS OF [&#61548;]" TargetMode="External" Id="rId13"/><Relationship Type="http://schemas.openxmlformats.org/officeDocument/2006/relationships/hyperlink" Target="https://data.worldbank.org/indicator/BN.CAB.XOKA.GD.ZS?locations=AO" TargetMode="External" Id="rId14"/><Relationship Type="http://schemas.openxmlformats.org/officeDocument/2006/relationships/hyperlink" Target="https://data.worldbank.org/indicator/GC.TAX.TOTL.GD.ZS?locations=AO" TargetMode="External" Id="rId15"/><Relationship Type="http://schemas.openxmlformats.org/officeDocument/2006/relationships/hyperlink" Target="https://data.worldbank.org/indicator/BX.KLT.DINV.WD.GD.ZS?locations=AO" TargetMode="External" Id="rId16"/><Relationship Type="http://schemas.openxmlformats.org/officeDocument/2006/relationships/hyperlink" Target="https://data.worldbank.org/indicator/NY.GDP.PETR.RT.ZS?locations=AO" TargetMode="External" Id="rId17"/><Relationship Type="http://schemas.openxmlformats.org/officeDocument/2006/relationships/hyperlink" Target="https://data.worldbank.org/indicator/NE.EXP.GNFS.ZS?locations=AO" TargetMode="External" Id="rId18"/><Relationship Type="http://schemas.openxmlformats.org/officeDocument/2006/relationships/hyperlink" Target="https://data.worldbank.org/indicator/FI.RES.TOTL.MO?locations=AO" TargetMode="External" Id="rId19"/><Relationship Type="http://schemas.openxmlformats.org/officeDocument/2006/relationships/hyperlink" Target="https://data.worldbank.org/indicator/FS.AST.PRVT.GD.ZS?locations=AO" TargetMode="External" Id="rId20"/><Relationship Type="http://schemas.openxmlformats.org/officeDocument/2006/relationships/hyperlink" Target="https://www.ine.gov.ao/" TargetMode="External" Id="rId21"/><Relationship Type="http://schemas.openxmlformats.org/officeDocument/2006/relationships/hyperlink" Target="https://data.worldbank.org/indicator/PA.NUS.FCRF?locations=AO" TargetMode="External" Id="rId22"/><Relationship Type="http://schemas.openxmlformats.org/officeDocument/2006/relationships/hyperlink" Target="Relat&#243;rio do Desenvolvimento Humano (RDH) 2023-2024 | United Nations Development Programme" TargetMode="External" Id="rId23"/><Relationship Type="http://schemas.openxmlformats.org/officeDocument/2006/relationships/hyperlink" Target="Life Expectancy at Birth, Total for Angola (SPDYNLE00INAGO) | FRED | St. Louis Fed" TargetMode="External" Id="rId24"/><Relationship Type="http://schemas.openxmlformats.org/officeDocument/2006/relationships/hyperlink" Target="https://data.worldbank.org/indicator/SE.ADT.LITR.ZS?locations=AO" TargetMode="External" Id="rId25"/><Relationship Type="http://schemas.openxmlformats.org/officeDocument/2006/relationships/hyperlink" Target="https://data.worldbank.org/indicator/SE.PRM.CMPT.ZS?locations=AO" TargetMode="External" Id="rId26"/><Relationship Type="http://schemas.openxmlformats.org/officeDocument/2006/relationships/hyperlink" Target="https://data.worldbank.org/indicator/SE.SEC.ENRR?locations=AO" TargetMode="External" Id="rId27"/><Relationship Type="http://schemas.openxmlformats.org/officeDocument/2006/relationships/hyperlink" Target="https://data.worldbank.org/indicator/SE.TER.ENRR?locations=AO" TargetMode="External" Id="rId28"/><Relationship Type="http://schemas.openxmlformats.org/officeDocument/2006/relationships/hyperlink" Target="https://data.worldbank.org/indicator/SE.XPD.TOTL.GD.ZS?locations=AO" TargetMode="External" Id="rId29"/><Relationship Type="http://schemas.openxmlformats.org/officeDocument/2006/relationships/hyperlink" Target="https://data.worldbank.org/indicator/SE.LPV.PRIM?locations=AO" TargetMode="External" Id="rId30"/><Relationship Type="http://schemas.openxmlformats.org/officeDocument/2006/relationships/hyperlink" Target="https://data.worldbank.org/indicator/SE.PRM.ENRL.TC.ZS?locations=AO" TargetMode="External" Id="rId31"/><Relationship Type="http://schemas.openxmlformats.org/officeDocument/2006/relationships/hyperlink" Target="https://data.worldbank.org/indicator/HD.HCI.OVRL?locations=AO" TargetMode="External" Id="rId32"/><Relationship Type="http://schemas.openxmlformats.org/officeDocument/2006/relationships/hyperlink" Target="https://hdr.undp.org/data-center" TargetMode="External" Id="rId33"/><Relationship Type="http://schemas.openxmlformats.org/officeDocument/2006/relationships/hyperlink" Target="UNdata | record view | Poverty headcount ratio at $2.15 a day (2017 PPP) (% of population)" TargetMode="External" Id="rId34"/><Relationship Type="http://schemas.openxmlformats.org/officeDocument/2006/relationships/hyperlink" Target="Gini index - Angola | Data" TargetMode="External" Id="rId35"/><Relationship Type="http://schemas.openxmlformats.org/officeDocument/2006/relationships/hyperlink" Target="Angola - Global Gender Gap Index 2024 | countryeconomy.com" TargetMode="External" Id="rId36"/><Relationship Type="http://schemas.openxmlformats.org/officeDocument/2006/relationships/hyperlink" Target="GNI per capita, Atlas method (current US$) - Angola | Data" TargetMode="External" Id="rId37"/><Relationship Type="http://schemas.openxmlformats.org/officeDocument/2006/relationships/hyperlink" Target="https://data.worldbank.org/indicator/SI.POV.NAHC?locations=AO" TargetMode="External" Id="rId38"/><Relationship Type="http://schemas.openxmlformats.org/officeDocument/2006/relationships/hyperlink" Target="https://data.worldbank.org/indicator/SI.POV.DDAY?locations=AO" TargetMode="External" Id="rId39"/><Relationship Type="http://schemas.openxmlformats.org/officeDocument/2006/relationships/hyperlink" Target="https://data.worldbank.org/indicator/SI.POV.GINI?locations=AO" TargetMode="External" Id="rId40"/><Relationship Type="http://schemas.openxmlformats.org/officeDocument/2006/relationships/hyperlink" Target="https://data.worldbank.org/indicator/SI.DST.FRST.20?locations=AO" TargetMode="External" Id="rId41"/><Relationship Type="http://schemas.openxmlformats.org/officeDocument/2006/relationships/hyperlink" Target="https://www.worldbank.org/en/data/datatopics/aspire" TargetMode="External" Id="rId42"/><Relationship Type="http://schemas.openxmlformats.org/officeDocument/2006/relationships/hyperlink" Target="https://hdr.undp.org/data-center/thematic-composite-indices" TargetMode="External" Id="rId43"/><Relationship Type="http://schemas.openxmlformats.org/officeDocument/2006/relationships/hyperlink" Target="https://data.worldbank.org/indicator/SL.UEM.NEET.ZS?locations=AO" TargetMode="External" Id="rId44"/><Relationship Type="http://schemas.openxmlformats.org/officeDocument/2006/relationships/hyperlink" Target="https://data.worldbank.org/indicator/SG.GEN.PARL.ZS?locations=AO" TargetMode="External" Id="rId45"/><Relationship Type="http://schemas.openxmlformats.org/officeDocument/2006/relationships/hyperlink" Target="https://data.worldbank.org/indicator/SL.TLF.CACT.FE.ZS?locations=AO" TargetMode="External" Id="rId46"/><Relationship Type="http://schemas.openxmlformats.org/officeDocument/2006/relationships/hyperlink" Target="https://data.worldbank.org/indicator/SP.REG.BRTH.ZS?locations=AO" TargetMode="External" Id="rId47"/><Relationship Type="http://schemas.openxmlformats.org/officeDocument/2006/relationships/hyperlink" Target="Angola - Access To Electricity (% Of Population) - 2026 Data 2027 Forecast 1990-2023 Historical" TargetMode="External" Id="rId48"/><Relationship Type="http://schemas.openxmlformats.org/officeDocument/2006/relationships/hyperlink" Target="Access to Basic Drinking Water in Angola | 2025 Trends &amp; Rankings | World View Data" TargetMode="External" Id="rId49"/><Relationship Type="http://schemas.openxmlformats.org/officeDocument/2006/relationships/hyperlink" Target="People using at least basic sanitation services (% of population) - Angola | Data" TargetMode="External" Id="rId50"/><Relationship Type="http://schemas.openxmlformats.org/officeDocument/2006/relationships/hyperlink" Target="N&#227;o tem estat&#237;sticas anuais " TargetMode="External" Id="rId51"/><Relationship Type="http://schemas.openxmlformats.org/officeDocument/2006/relationships/hyperlink" Target="Table Data - Internet users for Angola | FRED | St. Louis Fed" TargetMode="External" Id="rId52"/><Relationship Type="http://schemas.openxmlformats.org/officeDocument/2006/relationships/hyperlink" Target="World Bank Document" TargetMode="External" Id="rId53"/><Relationship Type="http://schemas.openxmlformats.org/officeDocument/2006/relationships/hyperlink" Target="https://data.worldbank.org/indicator/EG.ELC.ACCS.RU.ZS?locations=AO" TargetMode="External" Id="rId54"/><Relationship Type="http://schemas.openxmlformats.org/officeDocument/2006/relationships/hyperlink" Target="https://data.worldbank.org/indicator/EG.CFT.ACCS.ZS?locations=AO" TargetMode="External" Id="rId55"/><Relationship Type="http://schemas.openxmlformats.org/officeDocument/2006/relationships/hyperlink" Target="https://data.worldbank.org/indicator/EG.ELC.LOSS.ZS?locations=AO" TargetMode="External" Id="rId56"/><Relationship Type="http://schemas.openxmlformats.org/officeDocument/2006/relationships/hyperlink" Target="https://data.worldbank.org/indicator/IT.CEL.SETS.P2?locations=AO" TargetMode="External" Id="rId57"/><Relationship Type="http://schemas.openxmlformats.org/officeDocument/2006/relationships/hyperlink" Target="https://data.worldbank.org/indicator/IT.NET.BBND.P2?locations=AO" TargetMode="External" Id="rId58"/><Relationship Type="http://schemas.openxmlformats.org/officeDocument/2006/relationships/hyperlink" Target="https://datahub.itu.int/" TargetMode="External" Id="rId59"/><Relationship Type="http://schemas.openxmlformats.org/officeDocument/2006/relationships/hyperlink" Target="https://data.worldbank.org/indicator/SH.H2O.BASW.ZS?locations=AO" TargetMode="External" Id="rId60"/><Relationship Type="http://schemas.openxmlformats.org/officeDocument/2006/relationships/hyperlink" Target="https://data.worldbank.org/indicator/SH.STA.BASS.ZS?locations=AO" TargetMode="External" Id="rId61"/><Relationship Type="http://schemas.openxmlformats.org/officeDocument/2006/relationships/hyperlink" Target="https://data.worldbank.org/indicator/IS.ROD.PAVE.ZS?locations=AO" TargetMode="External" Id="rId62"/><Relationship Type="http://schemas.openxmlformats.org/officeDocument/2006/relationships/hyperlink" Target="https://data.worldbank.org/indicator/LP.LPI.OVRL.XQ?locations=AO" TargetMode="External" Id="rId63"/><Relationship Type="http://schemas.openxmlformats.org/officeDocument/2006/relationships/hyperlink" Target="https://data.worldbank.org/indicator/SL.EMP.TOTL.SP.ZS?locations=AO" TargetMode="External" Id="rId64"/><Relationship Type="http://schemas.openxmlformats.org/officeDocument/2006/relationships/hyperlink" Target="https://data.worldbank.org/indicator/SL.UEM.TOTL.ZS?locations=AO" TargetMode="External" Id="rId65"/><Relationship Type="http://schemas.openxmlformats.org/officeDocument/2006/relationships/hyperlink" Target="https://data.worldbank.org/indicator/SL.UEM.1524.ZS?locations=AO" TargetMode="External" Id="rId66"/><Relationship Type="http://schemas.openxmlformats.org/officeDocument/2006/relationships/hyperlink" Target="https://data.worldbank.org/indicator/SL.TLF.CACT.ZS?locations=AO" TargetMode="External" Id="rId67"/><Relationship Type="http://schemas.openxmlformats.org/officeDocument/2006/relationships/hyperlink" Target="https://data.worldbank.org/indicator/SL.EMP.VULN.ZS?locations=AO" TargetMode="External" Id="rId68"/><Relationship Type="http://schemas.openxmlformats.org/officeDocument/2006/relationships/hyperlink" Target="https://data.worldbank.org/indicator/SL.EMP.WORK.ZS?locations=AO" TargetMode="External" Id="rId69"/><Relationship Type="http://schemas.openxmlformats.org/officeDocument/2006/relationships/hyperlink" Target="https://data.worldbank.org/indicator/SL.AGR.EMPL.ZS?locations=AO" TargetMode="External" Id="rId70"/><Relationship Type="http://schemas.openxmlformats.org/officeDocument/2006/relationships/hyperlink" Target="https://data.worldbank.org/indicator/SL.GDP.PCAP.EM.KD?locations=AO" TargetMode="External" Id="rId71"/><Relationship Type="http://schemas.openxmlformats.org/officeDocument/2006/relationships/hyperlink" Target="https://data.worldbank.org/indicator/SL.UEM.NEET.ZS?locations=AO" TargetMode="External" Id="rId72"/><Relationship Type="http://schemas.openxmlformats.org/officeDocument/2006/relationships/hyperlink" Target="https://ilostat.ilo.org/data/" TargetMode="External" Id="rId73"/><Relationship Type="http://schemas.openxmlformats.org/officeDocument/2006/relationships/hyperlink" Target="Indicadores Seguran&#231;a Alimentar" TargetMode="External" Id="rId74"/><Relationship Type="http://schemas.openxmlformats.org/officeDocument/2006/relationships/hyperlink" Target="Angola Prevalence of undernourishment - data, chart | TheGlobalEconomy.com" TargetMode="External" Id="rId75"/><Relationship Type="http://schemas.openxmlformats.org/officeDocument/2006/relationships/hyperlink" Target="Lifetime risk of maternal death (%) - Angola | Data" TargetMode="External" Id="rId76"/><Relationship Type="http://schemas.openxmlformats.org/officeDocument/2006/relationships/hyperlink" Target="Angola Health spending as percent of GDP - data, chart | TheGlobalEconomy.com" TargetMode="External" Id="rId77"/><Relationship Type="http://schemas.openxmlformats.org/officeDocument/2006/relationships/hyperlink" Target="https://cdn.who.int/media/docs/default-source/country-profiles/immunization/2024-country-profiles/immunization-2024-ago.pdf?utm_source=chatgpt.co" TargetMode="External" Id="rId78"/><Relationship Type="http://schemas.openxmlformats.org/officeDocument/2006/relationships/hyperlink" Target="https://data.worldbank.org/indicator/SN.ITK.MSFI.ZS?locations=AO" TargetMode="External" Id="rId79"/><Relationship Type="http://schemas.openxmlformats.org/officeDocument/2006/relationships/hyperlink" Target="https://data.worldbank.org/indicator/SN.ITK.DEFC.ZS?locations=AO" TargetMode="External" Id="rId80"/><Relationship Type="http://schemas.openxmlformats.org/officeDocument/2006/relationships/hyperlink" Target="https://data.worldbank.org/indicator/SH.STA.STNT.ZS?locations=AO" TargetMode="External" Id="rId81"/><Relationship Type="http://schemas.openxmlformats.org/officeDocument/2006/relationships/hyperlink" Target="https://data.worldbank.org/indicator/SH.STA.WAST.ZS?locations=AO" TargetMode="External" Id="rId82"/><Relationship Type="http://schemas.openxmlformats.org/officeDocument/2006/relationships/hyperlink" Target="https://data.worldbank.org/indicator/SH.DYN.MORT?locations=AO" TargetMode="External" Id="rId83"/><Relationship Type="http://schemas.openxmlformats.org/officeDocument/2006/relationships/hyperlink" Target="https://data.worldbank.org/indicator/SH.UHC.SRVS.CV.XD?locations=AO" TargetMode="External" Id="rId84"/><Relationship Type="http://schemas.openxmlformats.org/officeDocument/2006/relationships/hyperlink" Target="https://data.worldbank.org/indicator/SH.IMM.IDPT?locations=AO" TargetMode="External" Id="rId85"/><Relationship Type="http://schemas.openxmlformats.org/officeDocument/2006/relationships/hyperlink" Target="https://data.worldbank.org/indicator/SH.XPD.CHEX.GD.ZS?locations=AO" TargetMode="External" Id="rId86"/><Relationship Type="http://schemas.openxmlformats.org/officeDocument/2006/relationships/hyperlink" Target="https://data.worldbank.org/indicator/SH.MED.PHYS.ZS?locations=AO" TargetMode="External" Id="rId87"/><Relationship Type="http://schemas.openxmlformats.org/officeDocument/2006/relationships/hyperlink" Target="https://data.worldbank.org/indicator/SH.MED.BEDS.ZS?locations=AO" TargetMode="External" Id="rId88"/><Relationship Type="http://schemas.openxmlformats.org/officeDocument/2006/relationships/hyperlink" Target="https://data.worldbank.org/indicator/AG.PRD.FOOD.XD?locations=AO" TargetMode="External" Id="rId89"/><Relationship Type="http://schemas.openxmlformats.org/officeDocument/2006/relationships/hyperlink" Target="https://data.worldbank.org/indicator/AG.YLD.CREL.KG?locations=AO" TargetMode="External" Id="rId90"/><Relationship Type="http://schemas.openxmlformats.org/officeDocument/2006/relationships/table" Target="/xl/tables/table2.xml" Id="rId91"/></Relationships>
</file>

<file path=xl/worksheets/_rels/sheet11.xml.rels><Relationships xmlns="http://schemas.openxmlformats.org/package/2006/relationships"><Relationship Type="http://schemas.openxmlformats.org/officeDocument/2006/relationships/hyperlink" Target="https://datacatalog.worldbank.org/search/dataset/0038026/worldwide-governance-indicators" TargetMode="External" Id="rId1"/><Relationship Type="http://schemas.openxmlformats.org/officeDocument/2006/relationships/hyperlink" Target="https://datacatalog.worldbank.org/search/dataset/0038026/worldwide-governance-indicators" TargetMode="External" Id="rId2"/><Relationship Type="http://schemas.openxmlformats.org/officeDocument/2006/relationships/hyperlink" Target="https://datacatalog.worldbank.org/search/dataset/0038026/worldwide-governance-indicators" TargetMode="External" Id="rId3"/><Relationship Type="http://schemas.openxmlformats.org/officeDocument/2006/relationships/hyperlink" Target="https://iiag.online/" TargetMode="External" Id="rId4"/><Relationship Type="http://schemas.openxmlformats.org/officeDocument/2006/relationships/hyperlink" Target="https://iiag.online/" TargetMode="External" Id="rId5"/><Relationship Type="http://schemas.openxmlformats.org/officeDocument/2006/relationships/hyperlink" Target="https://internationalbudget.org/open-budget-survey/" TargetMode="External" Id="rId6"/><Relationship Type="http://schemas.openxmlformats.org/officeDocument/2006/relationships/hyperlink" Target="https://www.enterprisesurveys.org/" TargetMode="External" Id="rId7"/><Relationship Type="http://schemas.openxmlformats.org/officeDocument/2006/relationships/hyperlink" Target="https://data.worldbank.org/indicator/IQ.SPI.OVRL?locations=AO" TargetMode="External" Id="rId8"/><Relationship Type="http://schemas.openxmlformats.org/officeDocument/2006/relationships/hyperlink" Target="https://data.worldbank.org/indicator/BN.CAB.XOKA.GD.ZS?locations=AO" TargetMode="External" Id="rId9"/><Relationship Type="http://schemas.openxmlformats.org/officeDocument/2006/relationships/hyperlink" Target="https://data.worldbank.org/indicator/GC.TAX.TOTL.GD.ZS?locations=AO" TargetMode="External" Id="rId10"/><Relationship Type="http://schemas.openxmlformats.org/officeDocument/2006/relationships/hyperlink" Target="https://data.worldbank.org/indicator/BX.KLT.DINV.WD.GD.ZS?locations=AO" TargetMode="External" Id="rId11"/><Relationship Type="http://schemas.openxmlformats.org/officeDocument/2006/relationships/hyperlink" Target="https://data.worldbank.org/indicator/NY.GDP.PETR.RT.ZS?locations=AO" TargetMode="External" Id="rId12"/><Relationship Type="http://schemas.openxmlformats.org/officeDocument/2006/relationships/hyperlink" Target="https://data.worldbank.org/indicator/NE.EXP.GNFS.ZS?locations=AO" TargetMode="External" Id="rId13"/><Relationship Type="http://schemas.openxmlformats.org/officeDocument/2006/relationships/hyperlink" Target="https://data.worldbank.org/indicator/FI.RES.TOTL.MO?locations=AO" TargetMode="External" Id="rId14"/><Relationship Type="http://schemas.openxmlformats.org/officeDocument/2006/relationships/hyperlink" Target="https://data.worldbank.org/indicator/FS.AST.PRVT.GD.ZS?locations=AO" TargetMode="External" Id="rId15"/><Relationship Type="http://schemas.openxmlformats.org/officeDocument/2006/relationships/hyperlink" Target="https://www.ine.gov.ao/" TargetMode="External" Id="rId16"/><Relationship Type="http://schemas.openxmlformats.org/officeDocument/2006/relationships/hyperlink" Target="https://data.worldbank.org/indicator/PA.NUS.FCRF?locations=AO" TargetMode="External" Id="rId17"/><Relationship Type="http://schemas.openxmlformats.org/officeDocument/2006/relationships/hyperlink" Target="https://data.worldbank.org/indicator/SE.ADT.LITR.ZS?locations=AO" TargetMode="External" Id="rId18"/><Relationship Type="http://schemas.openxmlformats.org/officeDocument/2006/relationships/hyperlink" Target="https://data.worldbank.org/indicator/SE.PRM.CMPT.ZS?locations=AO" TargetMode="External" Id="rId19"/><Relationship Type="http://schemas.openxmlformats.org/officeDocument/2006/relationships/hyperlink" Target="https://data.worldbank.org/indicator/SE.SEC.ENRR?locations=AO" TargetMode="External" Id="rId20"/><Relationship Type="http://schemas.openxmlformats.org/officeDocument/2006/relationships/hyperlink" Target="https://data.worldbank.org/indicator/SE.TER.ENRR?locations=AO" TargetMode="External" Id="rId21"/><Relationship Type="http://schemas.openxmlformats.org/officeDocument/2006/relationships/hyperlink" Target="https://data.worldbank.org/indicator/SE.XPD.TOTL.GD.ZS?locations=AO" TargetMode="External" Id="rId22"/><Relationship Type="http://schemas.openxmlformats.org/officeDocument/2006/relationships/hyperlink" Target="https://data.worldbank.org/indicator/SE.LPV.PRIM?locations=AO" TargetMode="External" Id="rId23"/><Relationship Type="http://schemas.openxmlformats.org/officeDocument/2006/relationships/hyperlink" Target="https://data.worldbank.org/indicator/SE.PRM.ENRL.TC.ZS?locations=AO" TargetMode="External" Id="rId24"/><Relationship Type="http://schemas.openxmlformats.org/officeDocument/2006/relationships/hyperlink" Target="https://data.worldbank.org/indicator/HD.HCI.OVRL?locations=AO" TargetMode="External" Id="rId25"/><Relationship Type="http://schemas.openxmlformats.org/officeDocument/2006/relationships/hyperlink" Target="https://hdr.undp.org/data-center" TargetMode="External" Id="rId26"/><Relationship Type="http://schemas.openxmlformats.org/officeDocument/2006/relationships/hyperlink" Target="https://data.worldbank.org/indicator/SI.POV.NAHC?locations=AO" TargetMode="External" Id="rId27"/><Relationship Type="http://schemas.openxmlformats.org/officeDocument/2006/relationships/hyperlink" Target="https://data.worldbank.org/indicator/SI.POV.DDAY?locations=AO" TargetMode="External" Id="rId28"/><Relationship Type="http://schemas.openxmlformats.org/officeDocument/2006/relationships/hyperlink" Target="https://data.worldbank.org/indicator/SI.POV.GINI?locations=AO" TargetMode="External" Id="rId29"/><Relationship Type="http://schemas.openxmlformats.org/officeDocument/2006/relationships/hyperlink" Target="https://data.worldbank.org/indicator/SI.DST.FRST.20?locations=AO" TargetMode="External" Id="rId30"/><Relationship Type="http://schemas.openxmlformats.org/officeDocument/2006/relationships/hyperlink" Target="https://www.worldbank.org/en/data/datatopics/aspire" TargetMode="External" Id="rId31"/><Relationship Type="http://schemas.openxmlformats.org/officeDocument/2006/relationships/hyperlink" Target="https://hdr.undp.org/data-center/thematic-composite-indices" TargetMode="External" Id="rId32"/><Relationship Type="http://schemas.openxmlformats.org/officeDocument/2006/relationships/hyperlink" Target="https://data.worldbank.org/indicator/SL.UEM.NEET.ZS?locations=AO" TargetMode="External" Id="rId33"/><Relationship Type="http://schemas.openxmlformats.org/officeDocument/2006/relationships/hyperlink" Target="https://data.worldbank.org/indicator/SG.GEN.PARL.ZS?locations=AO" TargetMode="External" Id="rId34"/><Relationship Type="http://schemas.openxmlformats.org/officeDocument/2006/relationships/hyperlink" Target="https://data.worldbank.org/indicator/SL.TLF.CACT.FE.ZS?locations=AO" TargetMode="External" Id="rId35"/><Relationship Type="http://schemas.openxmlformats.org/officeDocument/2006/relationships/hyperlink" Target="https://data.worldbank.org/indicator/SP.REG.BRTH.ZS?locations=AO" TargetMode="External" Id="rId36"/><Relationship Type="http://schemas.openxmlformats.org/officeDocument/2006/relationships/hyperlink" Target="https://data.worldbank.org/indicator/EG.ELC.ACCS.RU.ZS?locations=AO" TargetMode="External" Id="rId37"/><Relationship Type="http://schemas.openxmlformats.org/officeDocument/2006/relationships/hyperlink" Target="https://data.worldbank.org/indicator/EG.CFT.ACCS.ZS?locations=AO" TargetMode="External" Id="rId38"/><Relationship Type="http://schemas.openxmlformats.org/officeDocument/2006/relationships/hyperlink" Target="https://data.worldbank.org/indicator/EG.ELC.LOSS.ZS?locations=AO" TargetMode="External" Id="rId39"/><Relationship Type="http://schemas.openxmlformats.org/officeDocument/2006/relationships/hyperlink" Target="https://data.worldbank.org/indicator/IT.CEL.SETS.P2?locations=AO" TargetMode="External" Id="rId40"/><Relationship Type="http://schemas.openxmlformats.org/officeDocument/2006/relationships/hyperlink" Target="https://data.worldbank.org/indicator/IT.NET.BBND.P2?locations=AO" TargetMode="External" Id="rId41"/><Relationship Type="http://schemas.openxmlformats.org/officeDocument/2006/relationships/hyperlink" Target="https://datahub.itu.int/" TargetMode="External" Id="rId42"/><Relationship Type="http://schemas.openxmlformats.org/officeDocument/2006/relationships/hyperlink" Target="https://data.worldbank.org/indicator/SH.H2O.BASW.ZS?locations=AO" TargetMode="External" Id="rId43"/><Relationship Type="http://schemas.openxmlformats.org/officeDocument/2006/relationships/hyperlink" Target="https://data.worldbank.org/indicator/SH.STA.BASS.ZS?locations=AO" TargetMode="External" Id="rId44"/><Relationship Type="http://schemas.openxmlformats.org/officeDocument/2006/relationships/hyperlink" Target="https://data.worldbank.org/indicator/IS.ROD.PAVE.ZS?locations=AO" TargetMode="External" Id="rId45"/><Relationship Type="http://schemas.openxmlformats.org/officeDocument/2006/relationships/hyperlink" Target="https://data.worldbank.org/indicator/LP.LPI.OVRL.XQ?locations=AO" TargetMode="External" Id="rId46"/><Relationship Type="http://schemas.openxmlformats.org/officeDocument/2006/relationships/hyperlink" Target="https://data.worldbank.org/indicator/SL.EMP.TOTL.SP.ZS?locations=AO" TargetMode="External" Id="rId47"/><Relationship Type="http://schemas.openxmlformats.org/officeDocument/2006/relationships/hyperlink" Target="https://data.worldbank.org/indicator/SL.UEM.TOTL.ZS?locations=AO" TargetMode="External" Id="rId48"/><Relationship Type="http://schemas.openxmlformats.org/officeDocument/2006/relationships/hyperlink" Target="https://data.worldbank.org/indicator/SL.UEM.1524.ZS?locations=AO" TargetMode="External" Id="rId49"/><Relationship Type="http://schemas.openxmlformats.org/officeDocument/2006/relationships/hyperlink" Target="https://data.worldbank.org/indicator/SL.TLF.CACT.ZS?locations=AO" TargetMode="External" Id="rId50"/><Relationship Type="http://schemas.openxmlformats.org/officeDocument/2006/relationships/hyperlink" Target="https://data.worldbank.org/indicator/SL.EMP.VULN.ZS?locations=AO" TargetMode="External" Id="rId51"/><Relationship Type="http://schemas.openxmlformats.org/officeDocument/2006/relationships/hyperlink" Target="https://data.worldbank.org/indicator/SL.EMP.WORK.ZS?locations=AO" TargetMode="External" Id="rId52"/><Relationship Type="http://schemas.openxmlformats.org/officeDocument/2006/relationships/hyperlink" Target="https://data.worldbank.org/indicator/SL.AGR.EMPL.ZS?locations=AO" TargetMode="External" Id="rId53"/><Relationship Type="http://schemas.openxmlformats.org/officeDocument/2006/relationships/hyperlink" Target="https://data.worldbank.org/indicator/SL.GDP.PCAP.EM.KD?locations=AO" TargetMode="External" Id="rId54"/><Relationship Type="http://schemas.openxmlformats.org/officeDocument/2006/relationships/hyperlink" Target="https://data.worldbank.org/indicator/SL.UEM.NEET.ZS?locations=AO" TargetMode="External" Id="rId55"/><Relationship Type="http://schemas.openxmlformats.org/officeDocument/2006/relationships/hyperlink" Target="https://ilostat.ilo.org/data/" TargetMode="External" Id="rId56"/><Relationship Type="http://schemas.openxmlformats.org/officeDocument/2006/relationships/hyperlink" Target="https://data.worldbank.org/indicator/SN.ITK.MSFI.ZS?locations=AO" TargetMode="External" Id="rId57"/><Relationship Type="http://schemas.openxmlformats.org/officeDocument/2006/relationships/hyperlink" Target="https://data.worldbank.org/indicator/SN.ITK.DEFC.ZS?locations=AO" TargetMode="External" Id="rId58"/><Relationship Type="http://schemas.openxmlformats.org/officeDocument/2006/relationships/hyperlink" Target="https://data.worldbank.org/indicator/SH.STA.STNT.ZS?locations=AO" TargetMode="External" Id="rId59"/><Relationship Type="http://schemas.openxmlformats.org/officeDocument/2006/relationships/hyperlink" Target="https://data.worldbank.org/indicator/SH.STA.WAST.ZS?locations=AO" TargetMode="External" Id="rId60"/><Relationship Type="http://schemas.openxmlformats.org/officeDocument/2006/relationships/hyperlink" Target="https://data.worldbank.org/indicator/SH.DYN.MORT?locations=AO" TargetMode="External" Id="rId61"/><Relationship Type="http://schemas.openxmlformats.org/officeDocument/2006/relationships/hyperlink" Target="https://data.worldbank.org/indicator/SH.UHC.SRVS.CV.XD?locations=AO" TargetMode="External" Id="rId62"/><Relationship Type="http://schemas.openxmlformats.org/officeDocument/2006/relationships/hyperlink" Target="https://data.worldbank.org/indicator/SH.IMM.IDPT?locations=AO" TargetMode="External" Id="rId63"/><Relationship Type="http://schemas.openxmlformats.org/officeDocument/2006/relationships/hyperlink" Target="https://data.worldbank.org/indicator/SH.XPD.CHEX.GD.ZS?locations=AO" TargetMode="External" Id="rId64"/><Relationship Type="http://schemas.openxmlformats.org/officeDocument/2006/relationships/hyperlink" Target="https://data.worldbank.org/indicator/SH.MED.PHYS.ZS?locations=AO" TargetMode="External" Id="rId65"/><Relationship Type="http://schemas.openxmlformats.org/officeDocument/2006/relationships/hyperlink" Target="https://data.worldbank.org/indicator/SH.MED.BEDS.ZS?locations=AO" TargetMode="External" Id="rId66"/><Relationship Type="http://schemas.openxmlformats.org/officeDocument/2006/relationships/hyperlink" Target="https://data.worldbank.org/indicator/AG.PRD.FOOD.XD?locations=AO" TargetMode="External" Id="rId67"/><Relationship Type="http://schemas.openxmlformats.org/officeDocument/2006/relationships/hyperlink" Target="https://data.worldbank.org/indicator/AG.YLD.CREL.KG?locations=AO" TargetMode="External" Id="rId68"/><Relationship Type="http://schemas.openxmlformats.org/officeDocument/2006/relationships/table" Target="/xl/tables/table3.xml" Id="rId69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8" customWidth="1" style="50" min="1" max="1"/>
    <col width="90" customWidth="1" style="50" min="2" max="2"/>
    <col width="18" customWidth="1" style="50" min="3" max="3"/>
    <col width="18" customWidth="1" style="50" min="4" max="4"/>
    <col width="22" customWidth="1" style="50" min="5" max="5"/>
  </cols>
  <sheetData>
    <row r="1">
      <c r="A1" s="97" t="inlineStr">
        <is>
          <t>Resumo da compilação de indicadores sugeridos</t>
        </is>
      </c>
    </row>
    <row r="2" ht="42" customHeight="1" s="50">
      <c r="A2" s="98" t="inlineStr">
        <is>
          <t>Ficheiro gerado a partir do workbook original, com dados 2015-2025 para os indicadores sugeridos quando disponíveis em fontes estruturadas.</t>
        </is>
      </c>
    </row>
    <row r="4">
      <c r="A4" s="107" t="inlineStr">
        <is>
          <t>Dimensão</t>
        </is>
      </c>
      <c r="B4" s="107" t="inlineStr">
        <is>
          <t>Indicadores atuais</t>
        </is>
      </c>
      <c r="C4" s="107" t="inlineStr">
        <is>
          <t>Indicadores sugeridos</t>
        </is>
      </c>
      <c r="D4" s="107" t="inlineStr">
        <is>
          <t>Sugeridos com algum dado</t>
        </is>
      </c>
      <c r="E4" s="107" t="inlineStr">
        <is>
          <t>Sugeridos sem dados automáticos</t>
        </is>
      </c>
    </row>
    <row r="5">
      <c r="A5" s="100" t="inlineStr">
        <is>
          <t>1. Governança e Estado de Direito</t>
        </is>
      </c>
      <c r="B5" s="100" t="n">
        <v>5</v>
      </c>
      <c r="C5" s="100" t="n">
        <v>8</v>
      </c>
      <c r="D5" s="100" t="n">
        <v>4</v>
      </c>
      <c r="E5" s="100" t="n">
        <v>4</v>
      </c>
    </row>
    <row r="6">
      <c r="A6" s="100" t="inlineStr">
        <is>
          <t>2. Estabilidade Macroeconómica</t>
        </is>
      </c>
      <c r="B6" s="100" t="n">
        <v>7</v>
      </c>
      <c r="C6" s="100" t="n">
        <v>9</v>
      </c>
      <c r="D6" s="100" t="n">
        <v>8</v>
      </c>
      <c r="E6" s="100" t="n">
        <v>1</v>
      </c>
    </row>
    <row r="7">
      <c r="A7" s="100" t="inlineStr">
        <is>
          <t>3. Capital Humano</t>
        </is>
      </c>
      <c r="B7" s="100" t="n">
        <v>6</v>
      </c>
      <c r="C7" s="100" t="n">
        <v>9</v>
      </c>
      <c r="D7" s="100" t="n">
        <v>7</v>
      </c>
      <c r="E7" s="100" t="n">
        <v>2</v>
      </c>
    </row>
    <row r="8">
      <c r="A8" s="100" t="inlineStr">
        <is>
          <t>4. Inclusão Social e Protecção</t>
        </is>
      </c>
      <c r="B8" s="100" t="n">
        <v>5</v>
      </c>
      <c r="C8" s="100" t="n">
        <v>10</v>
      </c>
      <c r="D8" s="100" t="n">
        <v>8</v>
      </c>
      <c r="E8" s="100" t="n">
        <v>2</v>
      </c>
    </row>
    <row r="9">
      <c r="A9" s="100" t="inlineStr">
        <is>
          <t>5. Infraestruturas e Serviços</t>
        </is>
      </c>
      <c r="B9" s="100" t="n">
        <v>6</v>
      </c>
      <c r="C9" s="100" t="n">
        <v>10</v>
      </c>
      <c r="D9" s="100" t="n">
        <v>8</v>
      </c>
      <c r="E9" s="100" t="n">
        <v>2</v>
      </c>
    </row>
    <row r="10">
      <c r="A10" s="100" t="inlineStr">
        <is>
          <t>6. Mercado de Trabalho</t>
        </is>
      </c>
      <c r="B10" s="100" t="n">
        <v>6</v>
      </c>
      <c r="C10" s="100" t="n">
        <v>10</v>
      </c>
      <c r="D10" s="100" t="n">
        <v>9</v>
      </c>
      <c r="E10" s="100" t="n">
        <v>1</v>
      </c>
    </row>
    <row r="11">
      <c r="A11" s="100" t="inlineStr">
        <is>
          <t>7. Segurança Alimentar e Saúde</t>
        </is>
      </c>
      <c r="B11" s="100" t="n">
        <v>6</v>
      </c>
      <c r="C11" s="100" t="n">
        <v>12</v>
      </c>
      <c r="D11" s="100" t="n">
        <v>12</v>
      </c>
      <c r="E11" s="100" t="n">
        <v>0</v>
      </c>
    </row>
    <row r="14">
      <c r="A14" s="108" t="inlineStr">
        <is>
          <t>Fontes automáticas usadas</t>
        </is>
      </c>
    </row>
    <row r="15">
      <c r="A15" t="inlineStr">
        <is>
          <t>Banco Mundial API/CSV</t>
        </is>
      </c>
      <c r="B15" s="109" t="inlineStr">
        <is>
          <t>https://api.worldbank.org/v2/en/indicator/{codigo}?downloadformat=csv</t>
        </is>
      </c>
    </row>
    <row r="16">
      <c r="A16" t="inlineStr">
        <is>
          <t>World Bank WGI 2025 Revision</t>
        </is>
      </c>
      <c r="B16" s="109" t="inlineStr">
        <is>
          <t>https://datacatalogfiles.worldbank.org/ddh-published/0038026/DR0095947/wgidataset_with_sourcedata-2025.xlsx</t>
        </is>
      </c>
    </row>
    <row r="17">
      <c r="A17" t="inlineStr">
        <is>
          <t>Demais fontes</t>
        </is>
      </c>
      <c r="B17" t="inlineStr">
        <is>
          <t>Mantidas como metadados/URLs na folha Compilacao_Sugeridos; exigem recolha manual se não houver código/API.</t>
        </is>
      </c>
    </row>
    <row r="20">
      <c r="A20" s="108" t="inlineStr">
        <is>
          <t>Notas metodológicas</t>
        </is>
      </c>
    </row>
    <row r="21">
      <c r="A21" s="98" t="inlineStr">
        <is>
          <t>A folha Base_Alargada combina indicadores atuais e sugeridos; a folha Compilacao_Sugeridos isola apenas os sugeridos.</t>
        </is>
      </c>
    </row>
    <row r="22">
      <c r="A22" s="98" t="inlineStr">
        <is>
          <t>Indicadores sem código/API ficam compilados com fonte, URL, parâmetros sugeridos e estado "recolha manual".</t>
        </is>
      </c>
    </row>
    <row r="23">
      <c r="A23" s="98" t="inlineStr">
        <is>
          <t>A variação cambial foi calculada como variação absoluta anual da taxa oficial PA.NUS.FCRF.</t>
        </is>
      </c>
    </row>
    <row r="24">
      <c r="A24" s="98" t="inlineStr">
        <is>
          <t>As fórmulas de normalização usam mínimos/máximos sugeridos. Estes parâmetros devem ser revistos antes de publicação final do índice.</t>
        </is>
      </c>
    </row>
  </sheetData>
  <hyperlinks>
    <hyperlink xmlns:r="http://schemas.openxmlformats.org/officeDocument/2006/relationships" ref="B15" r:id="rId1"/>
    <hyperlink xmlns:r="http://schemas.openxmlformats.org/officeDocument/2006/relationships" ref="B1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41" activeCellId="0" sqref="A41"/>
    </sheetView>
  </sheetViews>
  <sheetFormatPr baseColWidth="8" defaultColWidth="8.53515625" defaultRowHeight="14.25" zeroHeight="0" outlineLevelRow="0"/>
  <cols>
    <col width="100" customWidth="1" style="49" min="1" max="1"/>
  </cols>
  <sheetData>
    <row r="1" ht="19.5" customHeight="1" s="50">
      <c r="A1" s="51" t="inlineStr">
        <is>
          <t>ÍNDICE DE DESENVOLVIMENTO DE ANGOLA (IGDA-BDA)</t>
        </is>
      </c>
    </row>
    <row r="3" ht="17.25" customHeight="1" s="50">
      <c r="A3" s="52" t="inlineStr">
        <is>
          <t>INSTRUÇÕES DE UTILIZAÇÃO</t>
        </is>
      </c>
    </row>
    <row r="5" ht="15" customHeight="1" s="50">
      <c r="A5" s="53" t="inlineStr">
        <is>
          <t>1. ESTRUTURA DO FICHEIRO</t>
        </is>
      </c>
    </row>
    <row r="6" ht="14.25" customHeight="1" s="50">
      <c r="A6" s="49" t="inlineStr">
        <is>
          <t xml:space="preserve">   Este ficheiro está organizado nas seguintes folhas:</t>
        </is>
      </c>
    </row>
    <row r="7" ht="14.25" customHeight="1" s="50">
      <c r="A7" s="54" t="inlineStr">
        <is>
          <t xml:space="preserve">   • Instruções - Esta folha com orientações de utilização</t>
        </is>
      </c>
    </row>
    <row r="8" ht="14.25" customHeight="1" s="50">
      <c r="A8" s="54" t="inlineStr">
        <is>
          <t xml:space="preserve">   • Input_Dados - Onde deve introduzir os valores dos indicadores (células azuis)</t>
        </is>
      </c>
    </row>
    <row r="9" ht="14.25" customHeight="1" s="50">
      <c r="A9" s="54" t="inlineStr">
        <is>
          <t xml:space="preserve">   • Parametros - Definição de pesos, mínimos e máximos para normalização</t>
        </is>
      </c>
    </row>
    <row r="10" ht="14.25" customHeight="1" s="50">
      <c r="A10" s="54" t="inlineStr">
        <is>
          <t xml:space="preserve">   • Normalizacao - Cálculo automático da normalização (0-100)</t>
        </is>
      </c>
    </row>
    <row r="11" ht="14.25" customHeight="1" s="50">
      <c r="A11" s="54" t="inlineStr">
        <is>
          <t xml:space="preserve">   • Subindices - Cálculo dos 7 subíndices temáticos</t>
        </is>
      </c>
    </row>
    <row r="12" ht="14.25" customHeight="1" s="50">
      <c r="A12" s="54" t="inlineStr">
        <is>
          <t xml:space="preserve">   • Indice_Global - Cálculo do IGDA-BDA e dashboard</t>
        </is>
      </c>
    </row>
    <row r="14" ht="15" customHeight="1" s="50">
      <c r="A14" s="53" t="inlineStr">
        <is>
          <t>2. COMO UTILIZAR</t>
        </is>
      </c>
    </row>
    <row r="15" ht="14.25" customHeight="1" s="50">
      <c r="A15" s="49" t="inlineStr">
        <is>
          <t xml:space="preserve">   a) Vá à folha 'Input_Dados' e introduza os valores dos indicadores (pode modificar os indicadores)</t>
        </is>
      </c>
    </row>
    <row r="16" ht="14.25" customHeight="1" s="50">
      <c r="A16" s="49" t="inlineStr">
        <is>
          <t xml:space="preserve">   b) Os anos disponíveis são 2015-2025 (pode ajustar conforme necessário)</t>
        </is>
      </c>
    </row>
    <row r="17" ht="14.25" customHeight="1" s="50">
      <c r="A17" s="49" t="inlineStr">
        <is>
          <t xml:space="preserve">   c) Na folha 'Parametros' pode ajustar os pesos de cada indicador e subíndice</t>
        </is>
      </c>
    </row>
    <row r="18" ht="14.25" customHeight="1" s="50">
      <c r="A18" s="49" t="inlineStr">
        <is>
          <t xml:space="preserve">   d) Os resultados são calculados automaticamente nas folhas seguintes (ou seja, sheets a laranja, introduzimos, sheets a azul são os nossos outputs</t>
        </is>
      </c>
    </row>
    <row r="20" ht="15" customHeight="1" s="50">
      <c r="A20" s="53" t="inlineStr">
        <is>
          <t>3. CONVENÇÕES DE CORES</t>
        </is>
      </c>
    </row>
    <row r="21" ht="14.25" customHeight="1" s="50">
      <c r="A21" s="54" t="inlineStr">
        <is>
          <t xml:space="preserve">   • Laranja - Células de input (introduza dados aqui)</t>
        </is>
      </c>
    </row>
    <row r="22" ht="14.25" customHeight="1" s="50">
      <c r="A22" s="54" t="inlineStr">
        <is>
          <t xml:space="preserve">   • Azul - Fórmulas e cálculos automáticos</t>
        </is>
      </c>
    </row>
    <row r="24" ht="15" customHeight="1" s="50">
      <c r="A24" s="53" t="inlineStr">
        <is>
          <t>4. METODOLOGIA</t>
        </is>
      </c>
    </row>
    <row r="25" ht="14.25" customHeight="1" s="50">
      <c r="A25" s="54" t="inlineStr">
        <is>
          <t xml:space="preserve">   • Normalização: escala 0-100 usando Min-Max</t>
        </is>
      </c>
    </row>
    <row r="26" ht="14.25" customHeight="1" s="50">
      <c r="A26" s="54" t="inlineStr">
        <is>
          <t xml:space="preserve">   • Indicadores 'negativos' são invertidos (ex: pobreza, inflação)</t>
        </is>
      </c>
    </row>
    <row r="27" ht="14.25" customHeight="1" s="50">
      <c r="A27" s="54" t="inlineStr">
        <is>
          <t xml:space="preserve">   • Subíndices: MÉDIA ARITMÉTICA PONDERADA dos indicadores disponíveis (pesos em Parametros col. E)</t>
        </is>
      </c>
    </row>
    <row r="28" ht="14.25" customHeight="1" s="50">
      <c r="A28" s="54" t="inlineStr">
        <is>
          <t xml:space="preserve">   • Índice Global: MÉDIA GEOMÉTRICA PONDERADA dos subíndices disponíveis (penaliza o desequilíbrio)</t>
        </is>
      </c>
    </row>
    <row r="30" ht="15" customHeight="1" s="50">
      <c r="A30" s="53" t="inlineStr">
        <is>
          <t>5. OS 7 SUBÍNDICES</t>
        </is>
      </c>
    </row>
    <row r="31" ht="14.25" customHeight="1" s="50">
      <c r="A31" s="49" t="inlineStr">
        <is>
          <t xml:space="preserve">   1. Governança e Estado de Direito</t>
        </is>
      </c>
    </row>
    <row r="32" ht="14.25" customHeight="1" s="50">
      <c r="A32" s="49" t="inlineStr">
        <is>
          <t xml:space="preserve">   2. Estabilidade Macroeconómica e Fiscal</t>
        </is>
      </c>
    </row>
    <row r="33" ht="14.25" customHeight="1" s="50">
      <c r="A33" s="49" t="inlineStr">
        <is>
          <t xml:space="preserve">   3. Capital Humano (Educação e Saúde)</t>
        </is>
      </c>
    </row>
    <row r="34" ht="14.25" customHeight="1" s="50">
      <c r="A34" s="49" t="inlineStr">
        <is>
          <t xml:space="preserve">   4. Inclusão Social e Protecção Social</t>
        </is>
      </c>
    </row>
    <row r="35" ht="14.25" customHeight="1" s="50">
      <c r="A35" s="49" t="inlineStr">
        <is>
          <t xml:space="preserve">   5. Infraestruturas e Serviços Básicos</t>
        </is>
      </c>
    </row>
    <row r="36" ht="14.25" customHeight="1" s="50">
      <c r="A36" s="49" t="inlineStr">
        <is>
          <t xml:space="preserve">   6. Mercado de Trabalho e Produtividade</t>
        </is>
      </c>
    </row>
    <row r="37" ht="14.25" customHeight="1" s="50">
      <c r="A37" s="49" t="inlineStr">
        <is>
          <t xml:space="preserve">   7. Segurança Alimentar e Saúde Pública</t>
        </is>
      </c>
    </row>
    <row r="38" ht="14.25" customHeight="1" s="50">
      <c r="A38" s="49" t="inlineStr">
        <is>
          <t>Versão revista (Output 1): corrige denominador dinâmico (só conta dimensões com dados),</t>
        </is>
      </c>
    </row>
    <row r="39" ht="14.25" customHeight="1" s="50">
      <c r="A39" s="49" t="inlineStr">
        <is>
          <t>Desenvolvido para o Banco de Desenvolvimento de Angola (BDA)</t>
        </is>
      </c>
    </row>
    <row r="40" ht="14.25" customHeight="1" s="50">
      <c r="A40" s="49" t="inlineStr">
        <is>
          <t>Alinhado com o PDN 2023-2027</t>
        </is>
      </c>
    </row>
    <row r="42" ht="14.25" customHeight="1" s="50">
      <c r="A42" s="55" t="inlineStr">
        <is>
          <t>NOTA DE REVISÃO — Output 2 (Média Geométrica Ponderada):</t>
        </is>
      </c>
    </row>
    <row r="43" ht="14.25" customHeight="1" s="50">
      <c r="A43" s="49" t="inlineStr">
        <is>
          <t xml:space="preserve">  - C1/C3: mesmas correções do Output 1 (denominador dinâmico + limiar de cobertura).</t>
        </is>
      </c>
    </row>
    <row r="44" ht="14.25" customHeight="1" s="50">
      <c r="A44" s="49" t="inlineStr">
        <is>
          <t xml:space="preserve">  - Índice Global = exp( Σ peso·ln(subíndice) / Σ peso ), só sobre subíndices com dados.</t>
        </is>
      </c>
    </row>
    <row r="45" ht="14.25" customHeight="1" s="50">
      <c r="A45" s="49" t="inlineStr">
        <is>
          <t xml:space="preserve">  - Propriedade: penaliza fortemente o desequilíbrio entre dimensões (estilo IDH/PNUD).</t>
        </is>
      </c>
    </row>
    <row r="46" ht="14.25" customHeight="1" s="50">
      <c r="A46" s="49" t="inlineStr">
        <is>
          <t xml:space="preserve">  - Salvaguarda: se algum subíndice presente for &lt;= 0, o IGDA desse ano é 0.</t>
        </is>
      </c>
    </row>
    <row r="47" ht="14.25" customHeight="1" s="50">
      <c r="A47" s="49" t="inlineStr">
        <is>
          <t xml:space="preserve">  - Subíndices continuam a ser média aritmética ponderada dos indicadores (igual ao Output 1).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DEADA"/>
    <outlinePr summaryBelow="1" summaryRight="1"/>
    <pageSetUpPr fitToPage="0"/>
  </sheetPr>
  <dimension ref="A1:Q47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S32" activeCellId="0" sqref="S32"/>
    </sheetView>
  </sheetViews>
  <sheetFormatPr baseColWidth="8" defaultColWidth="8.53515625" defaultRowHeight="14.25" zeroHeight="0" outlineLevelRow="0"/>
  <cols>
    <col width="20" customWidth="1" style="49" min="1" max="1"/>
    <col width="40" customWidth="1" style="49" min="2" max="2"/>
    <col width="15" customWidth="1" style="49" min="3" max="3"/>
    <col width="10" customWidth="1" style="49" min="4" max="4"/>
    <col width="20" customWidth="1" style="49" min="5" max="5"/>
    <col width="12" customWidth="1" style="49" min="6" max="16"/>
  </cols>
  <sheetData>
    <row r="1" ht="14.25" customHeight="1" s="50">
      <c r="A1" s="56" t="inlineStr">
        <is>
          <t>Subíndice</t>
        </is>
      </c>
      <c r="B1" s="56" t="inlineStr">
        <is>
          <t>Indicador</t>
        </is>
      </c>
      <c r="C1" s="56" t="inlineStr">
        <is>
          <t>Unidade</t>
        </is>
      </c>
      <c r="D1" s="56" t="inlineStr">
        <is>
          <t>Sentido</t>
        </is>
      </c>
      <c r="E1" s="56" t="inlineStr">
        <is>
          <t>Fonte</t>
        </is>
      </c>
      <c r="F1" s="56" t="inlineStr">
        <is>
          <t>2015</t>
        </is>
      </c>
      <c r="G1" s="56" t="inlineStr">
        <is>
          <t>2016</t>
        </is>
      </c>
      <c r="H1" s="56" t="inlineStr">
        <is>
          <t>2017</t>
        </is>
      </c>
      <c r="I1" s="56" t="inlineStr">
        <is>
          <t>2018</t>
        </is>
      </c>
      <c r="J1" s="56" t="inlineStr">
        <is>
          <t>2019</t>
        </is>
      </c>
      <c r="K1" s="56" t="inlineStr">
        <is>
          <t>2020</t>
        </is>
      </c>
      <c r="L1" s="56" t="inlineStr">
        <is>
          <t>2021</t>
        </is>
      </c>
      <c r="M1" s="56" t="inlineStr">
        <is>
          <t>2022</t>
        </is>
      </c>
      <c r="N1" s="56" t="inlineStr">
        <is>
          <t>2023</t>
        </is>
      </c>
      <c r="O1" s="56" t="inlineStr">
        <is>
          <t>2024</t>
        </is>
      </c>
      <c r="P1" s="56" t="inlineStr">
        <is>
          <t>2025</t>
        </is>
      </c>
    </row>
    <row r="2" ht="14.25" customHeight="1" s="50">
      <c r="A2" s="57" t="inlineStr">
        <is>
          <t>1. Governança</t>
        </is>
      </c>
      <c r="B2" s="57" t="inlineStr">
        <is>
          <t>Índice de Percepção da Corrupção</t>
        </is>
      </c>
      <c r="C2" s="58" t="inlineStr">
        <is>
          <t>0-100</t>
        </is>
      </c>
      <c r="D2" s="58" t="inlineStr">
        <is>
          <t>+</t>
        </is>
      </c>
      <c r="E2" s="57" t="inlineStr">
        <is>
          <t>Transparency Int.</t>
        </is>
      </c>
      <c r="F2" s="59" t="n">
        <v>15</v>
      </c>
      <c r="G2" s="59" t="n">
        <v>18</v>
      </c>
      <c r="H2" s="59" t="n">
        <v>19</v>
      </c>
      <c r="I2" s="59" t="n">
        <v>19</v>
      </c>
      <c r="J2" s="59" t="n">
        <v>26</v>
      </c>
      <c r="K2" s="59" t="n">
        <v>27</v>
      </c>
      <c r="L2" s="59" t="n">
        <v>29</v>
      </c>
      <c r="M2" s="59" t="n">
        <v>33</v>
      </c>
      <c r="N2" s="59" t="n">
        <v>33</v>
      </c>
      <c r="O2" s="59" t="n">
        <v>32</v>
      </c>
      <c r="P2" s="59" t="n"/>
      <c r="Q2" s="60" t="inlineStr">
        <is>
          <t>Angola - Corruption Perceptions Index 2023 | countryeconomy.com</t>
        </is>
      </c>
    </row>
    <row r="3" ht="14.25" customHeight="1" s="50">
      <c r="A3" s="57" t="inlineStr">
        <is>
          <t>1. Governança</t>
        </is>
      </c>
      <c r="B3" s="57" t="inlineStr">
        <is>
          <t>WGI - Estado de Direito</t>
        </is>
      </c>
      <c r="C3" s="58" t="inlineStr">
        <is>
          <t>-2.5 a 2.5</t>
        </is>
      </c>
      <c r="D3" s="58" t="inlineStr">
        <is>
          <t>+</t>
        </is>
      </c>
      <c r="E3" s="57" t="inlineStr">
        <is>
          <t>Banco Mundial</t>
        </is>
      </c>
      <c r="F3" s="61" t="n">
        <v>-1.3086297</v>
      </c>
      <c r="G3" s="61" t="n">
        <v>-1.3287764</v>
      </c>
      <c r="H3" s="61" t="n">
        <v>-1.3317055</v>
      </c>
      <c r="I3" s="61" t="n">
        <v>-1.1105522</v>
      </c>
      <c r="J3" s="61" t="n">
        <v>-1.0519682</v>
      </c>
      <c r="K3" s="61" t="n">
        <v>-0.9475038</v>
      </c>
      <c r="L3" s="61" t="n">
        <v>-1.0980135</v>
      </c>
      <c r="M3" s="61" t="n">
        <v>-1.1625439</v>
      </c>
      <c r="N3" s="61" t="n">
        <v>-1.1944432</v>
      </c>
      <c r="O3" s="61" t="n">
        <v>-1.1697408</v>
      </c>
      <c r="P3" s="59" t="n"/>
      <c r="Q3" s="60" t="inlineStr">
        <is>
          <t>Angola's Income Inequality (2018) – Trends &amp; Historical Data</t>
        </is>
      </c>
    </row>
    <row r="4" ht="14.25" customHeight="1" s="50">
      <c r="A4" s="57" t="inlineStr">
        <is>
          <t>1. Governança</t>
        </is>
      </c>
      <c r="B4" s="57" t="inlineStr">
        <is>
          <t>WGI - Eficiência do Governo</t>
        </is>
      </c>
      <c r="C4" s="58" t="inlineStr">
        <is>
          <t>-2.5 a 2.5</t>
        </is>
      </c>
      <c r="D4" s="58" t="inlineStr">
        <is>
          <t>+</t>
        </is>
      </c>
      <c r="E4" s="57" t="inlineStr">
        <is>
          <t>Banco Mundial</t>
        </is>
      </c>
      <c r="F4" s="61" t="n">
        <v>-0.9378237</v>
      </c>
      <c r="G4" s="61" t="n">
        <v>-0.9493847</v>
      </c>
      <c r="H4" s="61" t="n">
        <v>-0.9681157</v>
      </c>
      <c r="I4" s="61" t="n">
        <v>-0.9784602</v>
      </c>
      <c r="J4" s="61" t="n">
        <v>-0.9116965</v>
      </c>
      <c r="K4" s="61" t="n">
        <v>-1.0163604</v>
      </c>
      <c r="L4" s="61" t="n">
        <v>-0.9347008</v>
      </c>
      <c r="M4" s="61" t="n">
        <v>-0.8325718</v>
      </c>
      <c r="N4" s="61" t="n">
        <v>-0.8287026</v>
      </c>
      <c r="O4" s="61" t="n">
        <v>-0.7851909</v>
      </c>
      <c r="P4" s="59" t="n"/>
    </row>
    <row r="5" ht="14.25" customHeight="1" s="50">
      <c r="A5" s="57" t="inlineStr">
        <is>
          <t>1. Governança</t>
        </is>
      </c>
      <c r="B5" s="57" t="inlineStr">
        <is>
          <t>Estabilidade Política (WGI)</t>
        </is>
      </c>
      <c r="C5" s="58" t="inlineStr">
        <is>
          <t>-2.5 a 2.5</t>
        </is>
      </c>
      <c r="D5" s="58" t="inlineStr">
        <is>
          <t>+</t>
        </is>
      </c>
      <c r="E5" s="57" t="inlineStr">
        <is>
          <t>Banco Mundial</t>
        </is>
      </c>
      <c r="F5" s="61" t="n">
        <v>-0.5591026</v>
      </c>
      <c r="G5" s="61" t="n">
        <v>-0.434628</v>
      </c>
      <c r="H5" s="61" t="n">
        <v>-0.5372145</v>
      </c>
      <c r="I5" s="61" t="n">
        <v>-0.4058117</v>
      </c>
      <c r="J5" s="61" t="n">
        <v>-0.4207039</v>
      </c>
      <c r="K5" s="61" t="n">
        <v>-0.6427634</v>
      </c>
      <c r="L5" s="61" t="n">
        <v>-0.7936067999999999</v>
      </c>
      <c r="M5" s="61" t="n">
        <v>-0.5414068</v>
      </c>
      <c r="N5" s="61" t="n">
        <v>-0.3131654</v>
      </c>
      <c r="O5" s="61" t="n">
        <v>-0.5735964</v>
      </c>
      <c r="P5" s="59" t="n"/>
    </row>
    <row r="6" ht="14.25" customHeight="1" s="50">
      <c r="A6" s="57" t="inlineStr">
        <is>
          <t>1. Governança</t>
        </is>
      </c>
      <c r="B6" s="57" t="inlineStr">
        <is>
          <t>Doing Business / Ease of Business</t>
        </is>
      </c>
      <c r="C6" s="58" t="inlineStr">
        <is>
          <t>0-100</t>
        </is>
      </c>
      <c r="D6" s="58" t="inlineStr">
        <is>
          <t>+</t>
        </is>
      </c>
      <c r="E6" s="57" t="inlineStr">
        <is>
          <t>Banco Mundial</t>
        </is>
      </c>
      <c r="F6" s="59" t="n">
        <v>37.09</v>
      </c>
      <c r="G6" s="59" t="n">
        <v>38.46</v>
      </c>
      <c r="H6" s="59" t="n">
        <v>38.41</v>
      </c>
      <c r="I6" s="59" t="n">
        <v>41.49</v>
      </c>
      <c r="J6" s="59" t="n">
        <v>43.86</v>
      </c>
      <c r="K6" s="59" t="n">
        <v>41.9</v>
      </c>
      <c r="L6" s="59" t="n"/>
      <c r="M6" s="59" t="n"/>
      <c r="N6" s="59" t="n"/>
      <c r="O6" s="59" t="n"/>
      <c r="P6" s="59" t="n"/>
      <c r="Q6" s="60" t="inlineStr">
        <is>
          <t>Internet Users in Angola | 2025 Trends &amp; Rankings | World View Data</t>
        </is>
      </c>
    </row>
    <row r="7" ht="14.25" customHeight="1" s="50">
      <c r="A7" s="62" t="inlineStr">
        <is>
          <t>2. Macroeconomia</t>
        </is>
      </c>
      <c r="B7" s="62" t="inlineStr">
        <is>
          <t>Taxa de Crescimento do PIB</t>
        </is>
      </c>
      <c r="C7" s="63" t="inlineStr">
        <is>
          <t>%</t>
        </is>
      </c>
      <c r="D7" s="63" t="inlineStr">
        <is>
          <t>+</t>
        </is>
      </c>
      <c r="E7" s="62" t="inlineStr">
        <is>
          <t>INE/MEP</t>
        </is>
      </c>
      <c r="F7" s="61" t="n">
        <v>0.763177710915002</v>
      </c>
      <c r="G7" s="61" t="n">
        <v>-1.70053036291191</v>
      </c>
      <c r="H7" s="61" t="n">
        <v>-0.149396225572446</v>
      </c>
      <c r="I7" s="61" t="n">
        <v>-0.594411226982544</v>
      </c>
      <c r="J7" s="61" t="n">
        <v>-0.204680245744498</v>
      </c>
      <c r="K7" s="61" t="n">
        <v>-4.04244724639634</v>
      </c>
      <c r="L7" s="61" t="n">
        <v>2.102752519234</v>
      </c>
      <c r="M7" s="61" t="n">
        <v>4.21600258475125</v>
      </c>
      <c r="N7" s="61" t="n">
        <v>1.26330814020123</v>
      </c>
      <c r="O7" s="61" t="n">
        <v>4.42390664406894</v>
      </c>
      <c r="P7" s="59" t="n"/>
      <c r="Q7" s="60" t="inlineStr">
        <is>
          <t>Repositório de Conhecimento Aberto</t>
        </is>
      </c>
    </row>
    <row r="8" ht="14.25" customHeight="1" s="50">
      <c r="A8" s="62" t="inlineStr">
        <is>
          <t>2. Macroeconomia</t>
        </is>
      </c>
      <c r="B8" s="62" t="inlineStr">
        <is>
          <t>PIB per Capita (USD)</t>
        </is>
      </c>
      <c r="C8" s="63" t="inlineStr">
        <is>
          <t>USD</t>
        </is>
      </c>
      <c r="D8" s="63" t="inlineStr">
        <is>
          <t>+</t>
        </is>
      </c>
      <c r="E8" s="62" t="inlineStr">
        <is>
          <t>INE/MEP</t>
        </is>
      </c>
      <c r="F8" s="61" t="n">
        <v>4400.13408995522</v>
      </c>
      <c r="G8" s="61" t="n">
        <v>4136.77627211431</v>
      </c>
      <c r="H8" s="61" t="n">
        <v>4955.1921569679</v>
      </c>
      <c r="I8" s="61" t="n">
        <v>3214.80179088296</v>
      </c>
      <c r="J8" s="61" t="n">
        <v>2397.76131828422</v>
      </c>
      <c r="K8" s="61" t="n">
        <v>1902.31839616148</v>
      </c>
      <c r="L8" s="61" t="n">
        <v>2990.86034201674</v>
      </c>
      <c r="M8" s="61" t="n">
        <v>3935.50100865928</v>
      </c>
      <c r="N8" s="61" t="n">
        <v>2773.00618718299</v>
      </c>
      <c r="O8" s="61" t="n">
        <v>3181.62426384473</v>
      </c>
      <c r="P8" s="59" t="n"/>
    </row>
    <row r="9" ht="14.25" customHeight="1" s="50">
      <c r="A9" s="62" t="inlineStr">
        <is>
          <t>2. Macroeconomia</t>
        </is>
      </c>
      <c r="B9" s="62" t="inlineStr">
        <is>
          <t>Inflação (IPC)</t>
        </is>
      </c>
      <c r="C9" s="63" t="inlineStr">
        <is>
          <t>%</t>
        </is>
      </c>
      <c r="D9" s="63" t="inlineStr">
        <is>
          <t>-</t>
        </is>
      </c>
      <c r="E9" s="62" t="inlineStr">
        <is>
          <t>INE/BNA</t>
        </is>
      </c>
      <c r="F9" s="61" t="n">
        <v>12.0942682565683</v>
      </c>
      <c r="G9" s="61" t="n">
        <v>41.1211348072546</v>
      </c>
      <c r="H9" s="61" t="n">
        <v>23.6665496721406</v>
      </c>
      <c r="I9" s="61" t="n">
        <v>18.6011046514686</v>
      </c>
      <c r="J9" s="61" t="n">
        <v>16.8972880591422</v>
      </c>
      <c r="K9" s="61" t="n">
        <v>25.0965301660938</v>
      </c>
      <c r="L9" s="61" t="n">
        <v>27.0299437979771</v>
      </c>
      <c r="M9" s="61" t="n">
        <v>13.8604754279988</v>
      </c>
      <c r="N9" s="61" t="n">
        <v>20.0071603523629</v>
      </c>
      <c r="O9" s="61" t="n">
        <v>26.4803389098066</v>
      </c>
      <c r="P9" s="61" t="n">
        <v>15.6972203105233</v>
      </c>
    </row>
    <row r="10" ht="14.25" customHeight="1" s="50">
      <c r="A10" s="62" t="inlineStr">
        <is>
          <t>2. Macroeconomia</t>
        </is>
      </c>
      <c r="B10" s="62" t="inlineStr">
        <is>
          <t>Dívida Pública (% do PIB)</t>
        </is>
      </c>
      <c r="C10" s="63" t="inlineStr">
        <is>
          <t>%</t>
        </is>
      </c>
      <c r="D10" s="63" t="inlineStr">
        <is>
          <t>-</t>
        </is>
      </c>
      <c r="E10" s="62" t="inlineStr">
        <is>
          <t>MINFIN</t>
        </is>
      </c>
      <c r="F10" s="59" t="n">
        <v>50</v>
      </c>
      <c r="G10" s="59" t="n">
        <v>67</v>
      </c>
      <c r="H10" s="59" t="n">
        <v>60</v>
      </c>
      <c r="I10" s="59" t="n">
        <v>83</v>
      </c>
      <c r="J10" s="59" t="n">
        <v>101</v>
      </c>
      <c r="K10" s="59" t="n">
        <v>119</v>
      </c>
      <c r="L10" s="59" t="n">
        <v>74</v>
      </c>
      <c r="M10" s="59" t="n">
        <v>56</v>
      </c>
      <c r="N10" s="59" t="n">
        <v>72</v>
      </c>
      <c r="O10" s="59" t="n">
        <v>60</v>
      </c>
      <c r="P10" s="59" t="n">
        <v>63</v>
      </c>
      <c r="Q10" s="60" t="inlineStr">
        <is>
          <t>PUBLIC DEBT STATISTICAL BULLETIN AS OF []</t>
        </is>
      </c>
    </row>
    <row r="11" ht="14.25" customHeight="1" s="50">
      <c r="A11" s="62" t="inlineStr">
        <is>
          <t>2. Macroeconomia</t>
        </is>
      </c>
      <c r="B11" s="62" t="inlineStr">
        <is>
          <t>Saldo Orçamental (% do PIB)</t>
        </is>
      </c>
      <c r="C11" s="63" t="inlineStr">
        <is>
          <t>%</t>
        </is>
      </c>
      <c r="D11" s="63" t="inlineStr">
        <is>
          <t>+</t>
        </is>
      </c>
      <c r="E11" s="62" t="inlineStr">
        <is>
          <t>MINFIN</t>
        </is>
      </c>
      <c r="F11" s="59" t="n">
        <v>-2</v>
      </c>
      <c r="G11" s="59" t="n">
        <v>-3</v>
      </c>
      <c r="H11" s="59" t="n">
        <v>1.5</v>
      </c>
      <c r="I11" s="59" t="n">
        <v>-0.5</v>
      </c>
      <c r="J11" s="59" t="n">
        <v>0.5</v>
      </c>
      <c r="K11" s="59" t="n">
        <v>-5</v>
      </c>
      <c r="L11" s="59" t="n">
        <v>1.5</v>
      </c>
      <c r="M11" s="59" t="n">
        <v>0.7</v>
      </c>
      <c r="N11" s="59" t="n">
        <v>-1.9</v>
      </c>
      <c r="O11" s="59" t="n">
        <v>-1.5</v>
      </c>
      <c r="P11" s="59" t="n">
        <v>-1.65</v>
      </c>
    </row>
    <row r="12" ht="14.25" customHeight="1" s="50">
      <c r="A12" s="62" t="inlineStr">
        <is>
          <t>2. Macroeconomia</t>
        </is>
      </c>
      <c r="B12" s="62" t="inlineStr">
        <is>
          <t>IDE não-petrolífero (% PIB)</t>
        </is>
      </c>
      <c r="C12" s="63" t="inlineStr">
        <is>
          <t>%</t>
        </is>
      </c>
      <c r="D12" s="63" t="inlineStr">
        <is>
          <t>+</t>
        </is>
      </c>
      <c r="E12" s="62" t="inlineStr">
        <is>
          <t>AIPEX/BNA</t>
        </is>
      </c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 ht="14.25" customHeight="1" s="50">
      <c r="A13" s="62" t="inlineStr">
        <is>
          <t>2. Macroeconomia</t>
        </is>
      </c>
      <c r="B13" s="62" t="inlineStr">
        <is>
          <t>Reservas Internacionais (meses)</t>
        </is>
      </c>
      <c r="C13" s="63" t="inlineStr">
        <is>
          <t>Meses</t>
        </is>
      </c>
      <c r="D13" s="63" t="inlineStr">
        <is>
          <t>+</t>
        </is>
      </c>
      <c r="E13" s="62" t="inlineStr">
        <is>
          <t>BNA</t>
        </is>
      </c>
      <c r="F13" s="61">
        <f>+F47</f>
        <v/>
      </c>
      <c r="G13" s="61">
        <f>+G47</f>
        <v/>
      </c>
      <c r="H13" s="61">
        <f>+H47</f>
        <v/>
      </c>
      <c r="I13" s="61">
        <f>+I47</f>
        <v/>
      </c>
      <c r="J13" s="61">
        <f>+J47</f>
        <v/>
      </c>
      <c r="K13" s="61">
        <f>+K47</f>
        <v/>
      </c>
      <c r="L13" s="61">
        <f>+L47</f>
        <v/>
      </c>
      <c r="M13" s="61">
        <f>+M47</f>
        <v/>
      </c>
      <c r="N13" s="61">
        <f>+N47</f>
        <v/>
      </c>
      <c r="O13" s="61">
        <f>+O47</f>
        <v/>
      </c>
      <c r="P13" s="61">
        <f>+P47</f>
        <v/>
      </c>
      <c r="Q13" s="60" t="n"/>
    </row>
    <row r="14" ht="14.25" customHeight="1" s="50">
      <c r="A14" s="57" t="inlineStr">
        <is>
          <t>3. Capital Humano</t>
        </is>
      </c>
      <c r="B14" s="57" t="inlineStr">
        <is>
          <t>Índice de Desenvolvimento Humano</t>
        </is>
      </c>
      <c r="C14" s="58" t="inlineStr">
        <is>
          <t>0-1</t>
        </is>
      </c>
      <c r="D14" s="58" t="inlineStr">
        <is>
          <t>+</t>
        </is>
      </c>
      <c r="E14" s="57" t="inlineStr">
        <is>
          <t>PNUD</t>
        </is>
      </c>
      <c r="F14" s="59" t="n">
        <v>0.591</v>
      </c>
      <c r="G14" s="59" t="n">
        <v>0.595</v>
      </c>
      <c r="H14" s="59" t="n">
        <v>0.597</v>
      </c>
      <c r="I14" s="59" t="n">
        <v>0.598</v>
      </c>
      <c r="J14" s="59" t="n">
        <v>0.597</v>
      </c>
      <c r="K14" s="59" t="n">
        <v>0.594</v>
      </c>
      <c r="L14" s="59" t="n">
        <v>0.59</v>
      </c>
      <c r="M14" s="59" t="n">
        <v>0.591</v>
      </c>
      <c r="N14" s="59" t="n">
        <v>0.616</v>
      </c>
      <c r="O14" s="59" t="n"/>
      <c r="P14" s="59" t="n"/>
      <c r="Q14" s="60" t="inlineStr">
        <is>
          <t>Relatório do Desenvolvimento Humano (RDH) 2023-2024 | United Nations Development Programme</t>
        </is>
      </c>
    </row>
    <row r="15" ht="14.25" customHeight="1" s="50">
      <c r="A15" s="57" t="inlineStr">
        <is>
          <t>3. Capital Humano</t>
        </is>
      </c>
      <c r="B15" s="57" t="inlineStr">
        <is>
          <t>Esperança Média de Vida</t>
        </is>
      </c>
      <c r="C15" s="58" t="inlineStr">
        <is>
          <t>Anos</t>
        </is>
      </c>
      <c r="D15" s="58" t="inlineStr">
        <is>
          <t>+</t>
        </is>
      </c>
      <c r="E15" s="57" t="inlineStr">
        <is>
          <t>INE/OMS</t>
        </is>
      </c>
      <c r="F15" s="64" t="n">
        <v>61.042</v>
      </c>
      <c r="G15" s="64" t="n">
        <v>61.619</v>
      </c>
      <c r="H15" s="64" t="n">
        <v>61.7</v>
      </c>
      <c r="I15" s="64" t="n">
        <v>61.7</v>
      </c>
      <c r="J15" s="64" t="n">
        <v>62.2</v>
      </c>
      <c r="K15" s="64" t="n">
        <v>62.48</v>
      </c>
      <c r="L15" s="64" t="n">
        <v>62.72</v>
      </c>
      <c r="M15" s="64" t="n">
        <v>62.95</v>
      </c>
      <c r="N15" s="64" t="n">
        <v>64.617</v>
      </c>
      <c r="O15" s="64" t="n">
        <v>64</v>
      </c>
      <c r="P15" s="64" t="n">
        <v>65</v>
      </c>
      <c r="Q15" s="60" t="inlineStr">
        <is>
          <t>Life Expectancy at Birth, Total for Angola (SPDYNLE00INAGO) | FRED | St. Louis Fed</t>
        </is>
      </c>
    </row>
    <row r="16" ht="14.25" customHeight="1" s="50">
      <c r="A16" s="57" t="inlineStr">
        <is>
          <t>3. Capital Humano</t>
        </is>
      </c>
      <c r="B16" s="57" t="inlineStr">
        <is>
          <t>Taxa de Alfabetização (+15 anos)</t>
        </is>
      </c>
      <c r="C16" s="58" t="inlineStr">
        <is>
          <t>%</t>
        </is>
      </c>
      <c r="D16" s="58" t="inlineStr">
        <is>
          <t>+</t>
        </is>
      </c>
      <c r="E16" s="57" t="inlineStr">
        <is>
          <t>INE/MED</t>
        </is>
      </c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 ht="14.25" customHeight="1" s="50">
      <c r="A17" s="57" t="inlineStr">
        <is>
          <t>3. Capital Humano</t>
        </is>
      </c>
      <c r="B17" s="57" t="inlineStr">
        <is>
          <t>Taxa de Matrícula (primário)</t>
        </is>
      </c>
      <c r="C17" s="58" t="inlineStr">
        <is>
          <t>%</t>
        </is>
      </c>
      <c r="D17" s="58" t="inlineStr">
        <is>
          <t>+</t>
        </is>
      </c>
      <c r="E17" s="57" t="inlineStr">
        <is>
          <t>MED</t>
        </is>
      </c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</row>
    <row r="18" ht="14.25" customHeight="1" s="50">
      <c r="A18" s="57" t="inlineStr">
        <is>
          <t>3. Capital Humano</t>
        </is>
      </c>
      <c r="B18" s="57" t="inlineStr">
        <is>
          <t>Anos Médios de Escolaridade</t>
        </is>
      </c>
      <c r="C18" s="58" t="inlineStr">
        <is>
          <t>Anos</t>
        </is>
      </c>
      <c r="D18" s="58" t="inlineStr">
        <is>
          <t>+</t>
        </is>
      </c>
      <c r="E18" s="57" t="inlineStr">
        <is>
          <t>UNESCO</t>
        </is>
      </c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</row>
    <row r="19" ht="14.25" customHeight="1" s="50">
      <c r="A19" s="57" t="inlineStr">
        <is>
          <t>3. Capital Humano</t>
        </is>
      </c>
      <c r="B19" s="57" t="inlineStr">
        <is>
          <t>Mortalidade Infantil (por 1000)</t>
        </is>
      </c>
      <c r="C19" s="58" t="inlineStr">
        <is>
          <t>‰</t>
        </is>
      </c>
      <c r="D19" s="58" t="inlineStr">
        <is>
          <t>-</t>
        </is>
      </c>
      <c r="E19" s="57" t="inlineStr">
        <is>
          <t>INE/MINSA</t>
        </is>
      </c>
      <c r="F19" s="59" t="n"/>
      <c r="G19" s="59" t="n"/>
      <c r="H19" s="64" t="n">
        <v>61.1</v>
      </c>
      <c r="I19" s="64" t="n">
        <v>60</v>
      </c>
      <c r="J19" s="64" t="n">
        <v>58.9</v>
      </c>
      <c r="K19" s="64" t="n">
        <v>57.8</v>
      </c>
      <c r="L19" s="64" t="n">
        <v>56.81</v>
      </c>
      <c r="M19" s="64" t="n">
        <v>55.84</v>
      </c>
      <c r="N19" s="59" t="n"/>
      <c r="O19" s="59" t="n"/>
      <c r="P19" s="59" t="n"/>
    </row>
    <row r="20" ht="14.25" customHeight="1" s="50">
      <c r="A20" s="62" t="inlineStr">
        <is>
          <t>4. Inclusão Social</t>
        </is>
      </c>
      <c r="B20" s="62" t="inlineStr">
        <is>
          <t>Taxa de Pobreza (&lt; 2.15 USD/dia)</t>
        </is>
      </c>
      <c r="C20" s="63" t="inlineStr">
        <is>
          <t>%</t>
        </is>
      </c>
      <c r="D20" s="63" t="inlineStr">
        <is>
          <t>-</t>
        </is>
      </c>
      <c r="E20" s="62" t="inlineStr">
        <is>
          <t>INE/BM</t>
        </is>
      </c>
      <c r="F20" s="59" t="n"/>
      <c r="G20" s="65" t="n"/>
      <c r="H20" s="59" t="n"/>
      <c r="I20" s="65" t="n">
        <v>31.1</v>
      </c>
      <c r="J20" s="59" t="n"/>
      <c r="K20" s="59" t="n"/>
      <c r="L20" s="59" t="n"/>
      <c r="M20" s="59" t="n"/>
      <c r="N20" s="59" t="n"/>
      <c r="O20" s="59" t="n"/>
      <c r="P20" s="65" t="n"/>
      <c r="Q20" s="60" t="inlineStr">
        <is>
          <t>UNdata | record view | Poverty headcount ratio at $2.15 a day (2017 PPP) (% of population)</t>
        </is>
      </c>
    </row>
    <row r="21" ht="14.25" customHeight="1" s="50">
      <c r="A21" s="62" t="inlineStr">
        <is>
          <t>4. Inclusão Social</t>
        </is>
      </c>
      <c r="B21" s="66" t="inlineStr">
        <is>
          <t>Índice de Gini</t>
        </is>
      </c>
      <c r="C21" s="67" t="inlineStr">
        <is>
          <t>0-100</t>
        </is>
      </c>
      <c r="D21" s="67" t="inlineStr">
        <is>
          <t>-</t>
        </is>
      </c>
      <c r="E21" s="66" t="inlineStr">
        <is>
          <t>INE/BM</t>
        </is>
      </c>
      <c r="F21" s="59" t="n"/>
      <c r="G21" s="59" t="n"/>
      <c r="H21" s="59" t="n"/>
      <c r="I21" s="59" t="n">
        <v>51.3</v>
      </c>
      <c r="J21" s="59" t="n"/>
      <c r="K21" s="59" t="n"/>
      <c r="L21" s="59" t="n"/>
      <c r="M21" s="59" t="n"/>
      <c r="N21" s="59" t="n"/>
      <c r="O21" s="59" t="n"/>
      <c r="P21" s="59" t="n"/>
      <c r="Q21" s="60" t="inlineStr">
        <is>
          <t>Gini index - Angola | Data</t>
        </is>
      </c>
    </row>
    <row r="22" ht="14.25" customHeight="1" s="50">
      <c r="A22" s="62" t="inlineStr">
        <is>
          <t>4. Inclusão Social</t>
        </is>
      </c>
      <c r="B22" s="66" t="inlineStr">
        <is>
          <t>Cobertura Protecção Social</t>
        </is>
      </c>
      <c r="C22" s="67" t="inlineStr">
        <is>
          <t>%</t>
        </is>
      </c>
      <c r="D22" s="67" t="inlineStr">
        <is>
          <t>+</t>
        </is>
      </c>
      <c r="E22" s="66" t="inlineStr">
        <is>
          <t>INSS</t>
        </is>
      </c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</row>
    <row r="23" ht="14.25" customHeight="1" s="50">
      <c r="A23" s="62" t="inlineStr">
        <is>
          <t>4. Inclusão Social</t>
        </is>
      </c>
      <c r="B23" s="62" t="inlineStr">
        <is>
          <t>Global Gender Gap Index</t>
        </is>
      </c>
      <c r="C23" s="63" t="inlineStr">
        <is>
          <t>0-1</t>
        </is>
      </c>
      <c r="D23" s="63" t="inlineStr">
        <is>
          <t>+</t>
        </is>
      </c>
      <c r="E23" s="62" t="inlineStr">
        <is>
          <t>WEF</t>
        </is>
      </c>
      <c r="F23" s="59" t="n">
        <v>0.637</v>
      </c>
      <c r="G23" s="59" t="n">
        <v>0.643</v>
      </c>
      <c r="H23" s="59" t="n">
        <v>0.64</v>
      </c>
      <c r="I23" s="59" t="n">
        <v>0.633</v>
      </c>
      <c r="J23" s="59" t="n"/>
      <c r="K23" s="59" t="n">
        <v>0.66</v>
      </c>
      <c r="L23" s="59" t="n">
        <v>0.657</v>
      </c>
      <c r="M23" s="59" t="n">
        <v>0.638</v>
      </c>
      <c r="N23" s="59" t="n">
        <v>0.656</v>
      </c>
      <c r="O23" s="59" t="n">
        <v>0.668</v>
      </c>
      <c r="P23" s="59" t="n">
        <v>0.668</v>
      </c>
      <c r="Q23" s="60" t="inlineStr">
        <is>
          <t>Angola - Global Gender Gap Index 2024 | countryeconomy.com</t>
        </is>
      </c>
    </row>
    <row r="24" ht="14.25" customHeight="1" s="50">
      <c r="A24" s="62" t="inlineStr">
        <is>
          <t>4. Inclusão Social</t>
        </is>
      </c>
      <c r="B24" s="62" t="inlineStr">
        <is>
          <t>RNB per Capita (USD)</t>
        </is>
      </c>
      <c r="C24" s="63" t="inlineStr">
        <is>
          <t>USD</t>
        </is>
      </c>
      <c r="D24" s="63" t="inlineStr">
        <is>
          <t>+</t>
        </is>
      </c>
      <c r="E24" s="62" t="inlineStr">
        <is>
          <t>INE</t>
        </is>
      </c>
      <c r="F24" s="61" t="n">
        <v>2350</v>
      </c>
      <c r="G24" s="61" t="n">
        <v>3100</v>
      </c>
      <c r="H24" s="61" t="n">
        <v>2850</v>
      </c>
      <c r="I24" s="61" t="n">
        <v>2450</v>
      </c>
      <c r="J24" s="61" t="n">
        <v>2300</v>
      </c>
      <c r="K24" s="61" t="n">
        <v>2250</v>
      </c>
      <c r="L24" s="61" t="n">
        <v>2300</v>
      </c>
      <c r="M24" s="61" t="n">
        <v>2400</v>
      </c>
      <c r="N24" s="61" t="n">
        <v>2500</v>
      </c>
      <c r="O24" s="61" t="n">
        <v>2840</v>
      </c>
      <c r="P24" s="61" t="n">
        <v>2900</v>
      </c>
      <c r="Q24" s="60" t="inlineStr">
        <is>
          <t>GNI per capita, Atlas method (current US$) - Angola | Data</t>
        </is>
      </c>
    </row>
    <row r="25" ht="14.25" customHeight="1" s="50">
      <c r="A25" s="57" t="inlineStr">
        <is>
          <t>5. Infraestruturas</t>
        </is>
      </c>
      <c r="B25" s="57" t="inlineStr">
        <is>
          <t>Taxa de Electrificação</t>
        </is>
      </c>
      <c r="C25" s="58" t="inlineStr">
        <is>
          <t>%</t>
        </is>
      </c>
      <c r="D25" s="58" t="inlineStr">
        <is>
          <t>+</t>
        </is>
      </c>
      <c r="E25" s="57" t="inlineStr">
        <is>
          <t>MINEA</t>
        </is>
      </c>
      <c r="F25" s="59" t="n">
        <v>42</v>
      </c>
      <c r="G25" s="59" t="n">
        <v>41.8</v>
      </c>
      <c r="H25" s="59" t="n">
        <v>42.9</v>
      </c>
      <c r="I25" s="59" t="n">
        <v>45.3</v>
      </c>
      <c r="J25" s="59" t="n">
        <v>45.6</v>
      </c>
      <c r="K25" s="59" t="n">
        <v>47</v>
      </c>
      <c r="L25" s="59" t="n">
        <v>48.2</v>
      </c>
      <c r="M25" s="59" t="n">
        <v>48.5</v>
      </c>
      <c r="N25" s="59" t="n">
        <v>51.1</v>
      </c>
      <c r="O25" s="59" t="n"/>
      <c r="P25" s="59" t="n"/>
      <c r="Q25" s="60" t="inlineStr">
        <is>
          <t>Angola - Access To Electricity (% Of Population) - 2026 Data 2027 Forecast 1990-2023 Historical</t>
        </is>
      </c>
    </row>
    <row r="26" ht="14.25" customHeight="1" s="50">
      <c r="A26" s="57" t="inlineStr">
        <is>
          <t>5. Infraestruturas</t>
        </is>
      </c>
      <c r="B26" s="57" t="inlineStr">
        <is>
          <t>Acesso a Água Potável</t>
        </is>
      </c>
      <c r="C26" s="58" t="inlineStr">
        <is>
          <t>%</t>
        </is>
      </c>
      <c r="D26" s="58" t="inlineStr">
        <is>
          <t>+</t>
        </is>
      </c>
      <c r="E26" s="57" t="inlineStr">
        <is>
          <t>MINEA/INE</t>
        </is>
      </c>
      <c r="F26" s="59" t="n">
        <v>54.3</v>
      </c>
      <c r="G26" s="59" t="n">
        <v>55.1</v>
      </c>
      <c r="H26" s="59" t="n">
        <v>55.8</v>
      </c>
      <c r="I26" s="59" t="n">
        <v>56.6</v>
      </c>
      <c r="J26" s="59" t="n">
        <v>56.9</v>
      </c>
      <c r="K26" s="59" t="n">
        <v>57.2</v>
      </c>
      <c r="L26" s="59" t="n">
        <v>57.4</v>
      </c>
      <c r="M26" s="59" t="n">
        <v>57.7</v>
      </c>
      <c r="N26" s="59" t="n"/>
      <c r="O26" s="59" t="n"/>
      <c r="P26" s="59" t="n"/>
      <c r="Q26" s="60" t="inlineStr">
        <is>
          <t>Access to Basic Drinking Water in Angola | 2025 Trends &amp; Rankings | World View Data</t>
        </is>
      </c>
    </row>
    <row r="27" ht="14.25" customHeight="1" s="50">
      <c r="A27" s="57" t="inlineStr">
        <is>
          <t>5. Infraestruturas</t>
        </is>
      </c>
      <c r="B27" s="57" t="inlineStr">
        <is>
          <t>Acesso a Saneamento Básico</t>
        </is>
      </c>
      <c r="C27" s="58" t="inlineStr">
        <is>
          <t>%</t>
        </is>
      </c>
      <c r="D27" s="58" t="inlineStr">
        <is>
          <t>+</t>
        </is>
      </c>
      <c r="E27" s="57" t="inlineStr">
        <is>
          <t>MINEA/INE</t>
        </is>
      </c>
      <c r="F27" s="59" t="n">
        <v>47</v>
      </c>
      <c r="G27" s="59" t="n">
        <v>48</v>
      </c>
      <c r="H27" s="59" t="n">
        <v>48</v>
      </c>
      <c r="I27" s="59" t="n">
        <v>49</v>
      </c>
      <c r="J27" s="59" t="n">
        <v>50</v>
      </c>
      <c r="K27" s="59" t="n">
        <v>50</v>
      </c>
      <c r="L27" s="59" t="n">
        <v>50</v>
      </c>
      <c r="M27" s="59" t="n">
        <v>50</v>
      </c>
      <c r="N27" s="59" t="n"/>
      <c r="O27" s="59" t="n"/>
      <c r="P27" s="59" t="n"/>
      <c r="Q27" s="60" t="inlineStr">
        <is>
          <t>People using at least basic sanitation services (% of population) - Angola | Data</t>
        </is>
      </c>
    </row>
    <row r="28" ht="14.25" customHeight="1" s="50">
      <c r="A28" s="68" t="inlineStr">
        <is>
          <t>5. Infraestruturas</t>
        </is>
      </c>
      <c r="B28" s="68" t="inlineStr">
        <is>
          <t>Cobertura de Rede 4G</t>
        </is>
      </c>
      <c r="C28" s="69" t="inlineStr">
        <is>
          <t>%</t>
        </is>
      </c>
      <c r="D28" s="69" t="inlineStr">
        <is>
          <t>+</t>
        </is>
      </c>
      <c r="E28" s="68" t="inlineStr">
        <is>
          <t>INACOM</t>
        </is>
      </c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49" t="inlineStr">
        <is>
          <t xml:space="preserve">Não tem estatísticas anuais </t>
        </is>
      </c>
    </row>
    <row r="29" ht="14.25" customHeight="1" s="50">
      <c r="A29" s="57" t="inlineStr">
        <is>
          <t>5. Infraestruturas</t>
        </is>
      </c>
      <c r="B29" s="57" t="inlineStr">
        <is>
          <t>Utilizadores de Internet (%)</t>
        </is>
      </c>
      <c r="C29" s="58" t="inlineStr">
        <is>
          <t>%</t>
        </is>
      </c>
      <c r="D29" s="58" t="inlineStr">
        <is>
          <t>+</t>
        </is>
      </c>
      <c r="E29" s="57" t="inlineStr">
        <is>
          <t>INACOM</t>
        </is>
      </c>
      <c r="F29" s="59" t="n">
        <v>22</v>
      </c>
      <c r="G29" s="59" t="n">
        <v>23.2</v>
      </c>
      <c r="H29" s="59" t="n">
        <v>26</v>
      </c>
      <c r="I29" s="59" t="n">
        <v>29</v>
      </c>
      <c r="J29" s="59" t="n">
        <v>32.1</v>
      </c>
      <c r="K29" s="59" t="n">
        <v>36.6</v>
      </c>
      <c r="L29" s="59" t="n">
        <v>39.3</v>
      </c>
      <c r="M29" s="59" t="n">
        <v>42</v>
      </c>
      <c r="N29" s="59" t="n">
        <v>44</v>
      </c>
      <c r="O29" s="59" t="n"/>
      <c r="P29" s="59" t="n"/>
      <c r="Q29" s="60" t="inlineStr">
        <is>
          <t>Table Data - Internet users for Angola | FRED | St. Louis Fed</t>
        </is>
      </c>
    </row>
    <row r="30" ht="14.25" customHeight="1" s="50">
      <c r="A30" s="57" t="inlineStr">
        <is>
          <t>5. Infraestruturas</t>
        </is>
      </c>
      <c r="B30" s="57" t="inlineStr">
        <is>
          <t>Densidade Rodoviária (km/1000km²)</t>
        </is>
      </c>
      <c r="C30" s="58" t="inlineStr">
        <is>
          <t>km</t>
        </is>
      </c>
      <c r="D30" s="58" t="inlineStr">
        <is>
          <t>+</t>
        </is>
      </c>
      <c r="E30" s="57" t="inlineStr">
        <is>
          <t>MINTRANS</t>
        </is>
      </c>
      <c r="F30" s="59" t="n">
        <v>29</v>
      </c>
      <c r="G30" s="59" t="n">
        <v>29</v>
      </c>
      <c r="H30" s="59" t="n">
        <v>29</v>
      </c>
      <c r="I30" s="59" t="n">
        <v>29</v>
      </c>
      <c r="J30" s="59" t="n">
        <v>29</v>
      </c>
      <c r="K30" s="59" t="n">
        <v>30</v>
      </c>
      <c r="L30" s="59" t="n">
        <v>31</v>
      </c>
      <c r="M30" s="59" t="n">
        <v>31</v>
      </c>
      <c r="N30" s="59" t="n">
        <v>32</v>
      </c>
      <c r="O30" s="59" t="n">
        <v>33</v>
      </c>
      <c r="P30" s="59" t="n"/>
      <c r="Q30" s="60" t="inlineStr">
        <is>
          <t>World Bank Document</t>
        </is>
      </c>
    </row>
    <row r="31" ht="14.25" customHeight="1" s="50">
      <c r="A31" s="62" t="inlineStr">
        <is>
          <t>6. Mercado Trabalho</t>
        </is>
      </c>
      <c r="B31" s="62" t="inlineStr">
        <is>
          <t>Taxa de Emprego</t>
        </is>
      </c>
      <c r="C31" s="63" t="inlineStr">
        <is>
          <t>%</t>
        </is>
      </c>
      <c r="D31" s="63" t="inlineStr">
        <is>
          <t>+</t>
        </is>
      </c>
      <c r="E31" s="62" t="inlineStr">
        <is>
          <t>INE</t>
        </is>
      </c>
      <c r="F31" s="59" t="n"/>
      <c r="G31" s="59" t="n"/>
      <c r="H31" s="59" t="n"/>
      <c r="I31" s="59" t="n"/>
      <c r="J31" s="61" t="n">
        <v>61.1901621160791</v>
      </c>
      <c r="K31" s="61" t="n">
        <v>60.774758729572</v>
      </c>
      <c r="L31" s="61" t="n">
        <v>61.4914681422329</v>
      </c>
      <c r="M31" s="61" t="n">
        <v>62.7156133390014</v>
      </c>
      <c r="N31" s="61" t="n">
        <v>60.65331506458</v>
      </c>
      <c r="O31" s="61" t="n">
        <v>61.6661477026761</v>
      </c>
      <c r="P31" s="61" t="n">
        <v>64.4412865666951</v>
      </c>
    </row>
    <row r="32" ht="14.25" customHeight="1" s="50">
      <c r="A32" s="62" t="inlineStr">
        <is>
          <t>6. Mercado Trabalho</t>
        </is>
      </c>
      <c r="B32" s="62" t="inlineStr">
        <is>
          <t>Taxa de Desemprego</t>
        </is>
      </c>
      <c r="C32" s="63" t="inlineStr">
        <is>
          <t>%</t>
        </is>
      </c>
      <c r="D32" s="63" t="inlineStr">
        <is>
          <t>-</t>
        </is>
      </c>
      <c r="E32" s="62" t="inlineStr">
        <is>
          <t>INE</t>
        </is>
      </c>
      <c r="F32" s="59" t="n"/>
      <c r="G32" s="59" t="n"/>
      <c r="H32" s="59" t="n"/>
      <c r="I32" s="59" t="n"/>
      <c r="J32" s="61" t="n">
        <v>30.2088468491282</v>
      </c>
      <c r="K32" s="61" t="n">
        <v>32.1810870719272</v>
      </c>
      <c r="L32" s="61" t="n">
        <v>32.3207259246896</v>
      </c>
      <c r="M32" s="61" t="n">
        <v>30.1553364850786</v>
      </c>
      <c r="N32" s="61" t="n">
        <v>31.8528608979976</v>
      </c>
      <c r="O32" s="61" t="n">
        <v>31.4663526244194</v>
      </c>
      <c r="P32" s="61" t="n">
        <v>26.8606109770713</v>
      </c>
    </row>
    <row r="33" ht="14.25" customHeight="1" s="50">
      <c r="A33" s="66" t="inlineStr">
        <is>
          <t>6. Mercado Trabalho</t>
        </is>
      </c>
      <c r="B33" s="66" t="inlineStr">
        <is>
          <t>Desemprego Juvenil (15-25)</t>
        </is>
      </c>
      <c r="C33" s="67" t="inlineStr">
        <is>
          <t>%</t>
        </is>
      </c>
      <c r="D33" s="67" t="inlineStr">
        <is>
          <t>-</t>
        </is>
      </c>
      <c r="E33" s="66" t="inlineStr">
        <is>
          <t>INE</t>
        </is>
      </c>
      <c r="F33" s="59" t="n"/>
      <c r="G33" s="59" t="n"/>
      <c r="H33" s="59" t="n"/>
      <c r="I33" s="59" t="n"/>
      <c r="J33" s="70" t="n"/>
      <c r="K33" s="70" t="n"/>
      <c r="L33" s="70" t="n"/>
      <c r="M33" s="70" t="n"/>
      <c r="N33" s="70" t="n"/>
      <c r="O33" s="70" t="n"/>
      <c r="P33" s="70" t="n"/>
    </row>
    <row r="34" ht="14.25" customHeight="1" s="50">
      <c r="A34" s="71" t="inlineStr">
        <is>
          <t>6. Mercado Trabalho</t>
        </is>
      </c>
      <c r="B34" s="71" t="inlineStr">
        <is>
          <t>Emprego Informal (%)</t>
        </is>
      </c>
      <c r="C34" s="72" t="inlineStr">
        <is>
          <t>%</t>
        </is>
      </c>
      <c r="D34" s="72" t="inlineStr">
        <is>
          <t>-</t>
        </is>
      </c>
      <c r="E34" s="71" t="inlineStr">
        <is>
          <t>INE</t>
        </is>
      </c>
      <c r="F34" s="59" t="n"/>
      <c r="G34" s="59" t="n"/>
      <c r="H34" s="59" t="n"/>
      <c r="I34" s="59" t="n"/>
      <c r="J34" s="61" t="n">
        <v>74.54181593224951</v>
      </c>
      <c r="K34" s="61" t="n">
        <v>80.3535749995373</v>
      </c>
      <c r="L34" s="61" t="n">
        <v>80.4475176515038</v>
      </c>
      <c r="M34" s="61" t="n">
        <v>79.8601372048351</v>
      </c>
      <c r="N34" s="61" t="n">
        <v>80.4880950864722</v>
      </c>
      <c r="O34" s="61" t="n">
        <v>79.7599225654393</v>
      </c>
      <c r="P34" s="61" t="n">
        <v>77.12084248463739</v>
      </c>
    </row>
    <row r="35" ht="14.25" customHeight="1" s="50">
      <c r="A35" s="62" t="inlineStr">
        <is>
          <t>6. Mercado Trabalho</t>
        </is>
      </c>
      <c r="B35" s="62" t="inlineStr">
        <is>
          <t>Taxa de Formalização</t>
        </is>
      </c>
      <c r="C35" s="63" t="inlineStr">
        <is>
          <t>%</t>
        </is>
      </c>
      <c r="D35" s="63" t="inlineStr">
        <is>
          <t>+</t>
        </is>
      </c>
      <c r="E35" s="62" t="inlineStr">
        <is>
          <t>INSS</t>
        </is>
      </c>
      <c r="F35" s="59" t="n"/>
      <c r="G35" s="59" t="n"/>
      <c r="H35" s="59" t="n"/>
      <c r="I35" s="59" t="n"/>
      <c r="J35" s="61" t="n">
        <v>25.4581840677505</v>
      </c>
      <c r="K35" s="61" t="n">
        <v>19.6464250004627</v>
      </c>
      <c r="L35" s="61" t="n">
        <v>19.5524823484962</v>
      </c>
      <c r="M35" s="61" t="n">
        <v>20.1398627951649</v>
      </c>
      <c r="N35" s="61" t="n">
        <v>19.5119049135278</v>
      </c>
      <c r="O35" s="61" t="n">
        <v>20.2400774345607</v>
      </c>
      <c r="P35" s="61" t="n">
        <v>22.8791575153626</v>
      </c>
    </row>
    <row r="36" ht="14.25" customHeight="1" s="50">
      <c r="A36" s="66" t="inlineStr">
        <is>
          <t>6. Mercado Trabalho</t>
        </is>
      </c>
      <c r="B36" s="66" t="inlineStr">
        <is>
          <t>Crescimento da Produtividade</t>
        </is>
      </c>
      <c r="C36" s="67" t="inlineStr">
        <is>
          <t>%</t>
        </is>
      </c>
      <c r="D36" s="67" t="inlineStr">
        <is>
          <t>+</t>
        </is>
      </c>
      <c r="E36" s="66" t="inlineStr">
        <is>
          <t>INE/MEP</t>
        </is>
      </c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</row>
    <row r="37" ht="28.5" customHeight="1" s="50">
      <c r="A37" s="57" t="inlineStr">
        <is>
          <t>7. Seg. Alimentar/Saúde</t>
        </is>
      </c>
      <c r="B37" s="57" t="inlineStr">
        <is>
          <t>Índice Global Seg. Alimentar</t>
        </is>
      </c>
      <c r="C37" s="58" t="inlineStr">
        <is>
          <t>0-100</t>
        </is>
      </c>
      <c r="D37" s="58" t="inlineStr">
        <is>
          <t>+</t>
        </is>
      </c>
      <c r="E37" s="57" t="inlineStr">
        <is>
          <t>EIU</t>
        </is>
      </c>
      <c r="F37" s="59" t="n">
        <v>35.1</v>
      </c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>
        <v>26</v>
      </c>
      <c r="P37" s="59" t="n">
        <v>29.7</v>
      </c>
      <c r="Q37" s="60" t="inlineStr">
        <is>
          <t>Indicadores Segurança Alimentar</t>
        </is>
      </c>
    </row>
    <row r="38" ht="28.5" customHeight="1" s="50">
      <c r="A38" s="57" t="inlineStr">
        <is>
          <t>7. Seg. Alimentar/Saúde</t>
        </is>
      </c>
      <c r="B38" s="57" t="inlineStr">
        <is>
          <t>Prevalência de Desnutrição</t>
        </is>
      </c>
      <c r="C38" s="58" t="inlineStr">
        <is>
          <t>%</t>
        </is>
      </c>
      <c r="D38" s="58" t="inlineStr">
        <is>
          <t>-</t>
        </is>
      </c>
      <c r="E38" s="57" t="inlineStr">
        <is>
          <t>MINSA/FAO</t>
        </is>
      </c>
      <c r="F38" s="59" t="n"/>
      <c r="G38" s="59" t="n">
        <v>15.2</v>
      </c>
      <c r="H38" s="59" t="n">
        <v>15.4</v>
      </c>
      <c r="I38" s="59" t="n">
        <v>15.9</v>
      </c>
      <c r="J38" s="59" t="n">
        <v>18.2</v>
      </c>
      <c r="K38" s="59" t="n">
        <v>20.8</v>
      </c>
      <c r="L38" s="59" t="n">
        <v>22.6</v>
      </c>
      <c r="M38" s="59" t="n">
        <v>23.1</v>
      </c>
      <c r="N38" s="59" t="n">
        <v>22.5</v>
      </c>
      <c r="O38" s="59" t="n"/>
      <c r="P38" s="59" t="n"/>
      <c r="Q38" s="60" t="inlineStr">
        <is>
          <t>Angola Prevalence of undernourishment - data, chart | TheGlobalEconomy.com</t>
        </is>
      </c>
    </row>
    <row r="39" ht="28.5" customHeight="1" s="50">
      <c r="A39" s="57" t="inlineStr">
        <is>
          <t>7. Seg. Alimentar/Saúde</t>
        </is>
      </c>
      <c r="B39" s="57" t="inlineStr">
        <is>
          <t>Mortalidade Materna (por 100k)</t>
        </is>
      </c>
      <c r="C39" s="58" t="inlineStr">
        <is>
          <t>por 100k</t>
        </is>
      </c>
      <c r="D39" s="58" t="inlineStr">
        <is>
          <t>-</t>
        </is>
      </c>
      <c r="E39" s="57" t="inlineStr">
        <is>
          <t>MINSA/OMS</t>
        </is>
      </c>
      <c r="F39" s="59" t="n">
        <v>477</v>
      </c>
      <c r="G39" s="59" t="n">
        <v>442</v>
      </c>
      <c r="H39" s="59" t="n">
        <v>400</v>
      </c>
      <c r="I39" s="59" t="n">
        <v>370</v>
      </c>
      <c r="J39" s="59" t="n">
        <v>330</v>
      </c>
      <c r="K39" s="59" t="n">
        <v>300</v>
      </c>
      <c r="L39" s="59" t="n">
        <v>290</v>
      </c>
      <c r="M39" s="59" t="n">
        <v>250</v>
      </c>
      <c r="N39" s="59" t="n">
        <v>183</v>
      </c>
      <c r="O39" s="59" t="n">
        <v>185</v>
      </c>
      <c r="P39" s="59" t="n">
        <v>170</v>
      </c>
      <c r="Q39" s="60" t="inlineStr">
        <is>
          <t>Lifetime risk of maternal death (%) - Angola | Data</t>
        </is>
      </c>
    </row>
    <row r="40" ht="28.5" customHeight="1" s="50">
      <c r="A40" s="57" t="inlineStr">
        <is>
          <t>7. Seg. Alimentar/Saúde</t>
        </is>
      </c>
      <c r="B40" s="57" t="inlineStr">
        <is>
          <t>Despesas Saúde (% PIB)</t>
        </is>
      </c>
      <c r="C40" s="58" t="inlineStr">
        <is>
          <t>%</t>
        </is>
      </c>
      <c r="D40" s="58" t="inlineStr">
        <is>
          <t>+</t>
        </is>
      </c>
      <c r="E40" s="57" t="inlineStr">
        <is>
          <t>MINFIN/OMS</t>
        </is>
      </c>
      <c r="F40" s="59" t="n">
        <v>2.61</v>
      </c>
      <c r="G40" s="59" t="n">
        <v>2.71</v>
      </c>
      <c r="H40" s="59" t="n">
        <v>2.79</v>
      </c>
      <c r="I40" s="59" t="n">
        <v>2.59</v>
      </c>
      <c r="J40" s="59" t="n">
        <v>2.48</v>
      </c>
      <c r="K40" s="59" t="n">
        <v>3.27</v>
      </c>
      <c r="L40" s="59" t="n">
        <v>3.09</v>
      </c>
      <c r="M40" s="59" t="n">
        <v>2.93</v>
      </c>
      <c r="N40" s="59" t="n"/>
      <c r="O40" s="59" t="n"/>
      <c r="P40" s="59" t="n"/>
      <c r="Q40" s="60" t="inlineStr">
        <is>
          <t>Angola Health spending as percent of GDP - data, chart | TheGlobalEconomy.com</t>
        </is>
      </c>
    </row>
    <row r="41" ht="28.5" customHeight="1" s="50">
      <c r="A41" s="57" t="inlineStr">
        <is>
          <t>7. Seg. Alimentar/Saúde</t>
        </is>
      </c>
      <c r="B41" s="57" t="inlineStr">
        <is>
          <t>Camas Hospitalares (por 1000)</t>
        </is>
      </c>
      <c r="C41" s="58" t="inlineStr">
        <is>
          <t>por 1000</t>
        </is>
      </c>
      <c r="D41" s="58" t="inlineStr">
        <is>
          <t>+</t>
        </is>
      </c>
      <c r="E41" s="57" t="inlineStr">
        <is>
          <t>MINSA</t>
        </is>
      </c>
      <c r="F41" s="59" t="n"/>
      <c r="G41" s="59" t="n"/>
      <c r="H41" s="59" t="n">
        <v>0.38</v>
      </c>
      <c r="I41" s="59" t="n"/>
      <c r="J41" s="59" t="n"/>
      <c r="K41" s="59" t="n"/>
      <c r="L41" s="59" t="n"/>
      <c r="M41" s="59" t="n">
        <v>1.02</v>
      </c>
      <c r="N41" s="59" t="n"/>
      <c r="O41" s="59" t="n"/>
      <c r="P41" s="59" t="n"/>
    </row>
    <row r="42" ht="28.5" customHeight="1" s="50">
      <c r="A42" s="57" t="inlineStr">
        <is>
          <t>7. Seg. Alimentar/Saúde</t>
        </is>
      </c>
      <c r="B42" s="57" t="inlineStr">
        <is>
          <t>Cobertura Vacinal (%)</t>
        </is>
      </c>
      <c r="C42" s="58" t="inlineStr">
        <is>
          <t>%</t>
        </is>
      </c>
      <c r="D42" s="58" t="inlineStr">
        <is>
          <t>+</t>
        </is>
      </c>
      <c r="E42" s="57" t="inlineStr">
        <is>
          <t>MINSA/OMS</t>
        </is>
      </c>
      <c r="F42" s="59" t="n">
        <v>45</v>
      </c>
      <c r="G42" s="59" t="n">
        <v>42</v>
      </c>
      <c r="H42" s="59" t="n">
        <v>50</v>
      </c>
      <c r="I42" s="59" t="n">
        <v>51</v>
      </c>
      <c r="J42" s="59" t="n">
        <v>44</v>
      </c>
      <c r="K42" s="59" t="n">
        <v>36</v>
      </c>
      <c r="L42" s="59" t="n">
        <v>37</v>
      </c>
      <c r="M42" s="59" t="n">
        <v>37</v>
      </c>
      <c r="N42" s="59" t="n">
        <v>50</v>
      </c>
      <c r="O42" s="59" t="n"/>
      <c r="P42" s="59" t="n"/>
      <c r="Q42" s="49" t="inlineStr">
        <is>
          <t>https://cdn.who.int/media/docs/default-source/country-profiles/immunization/2024-country-profiles/immunization-2024-ago.pdf?utm_source=chatgpt.co</t>
        </is>
      </c>
    </row>
    <row r="44" ht="14.25" customHeight="1" s="50">
      <c r="F44" s="73">
        <f>+F1</f>
        <v/>
      </c>
      <c r="G44" s="73">
        <f>+G1</f>
        <v/>
      </c>
      <c r="H44" s="73">
        <f>+H1</f>
        <v/>
      </c>
      <c r="I44" s="73">
        <f>+I1</f>
        <v/>
      </c>
      <c r="J44" s="73">
        <f>+J1</f>
        <v/>
      </c>
      <c r="K44" s="73">
        <f>+K1</f>
        <v/>
      </c>
      <c r="L44" s="73">
        <f>+L1</f>
        <v/>
      </c>
      <c r="M44" s="73">
        <f>+M1</f>
        <v/>
      </c>
      <c r="N44" s="73">
        <f>+N1</f>
        <v/>
      </c>
      <c r="O44" s="73">
        <f>+O1</f>
        <v/>
      </c>
      <c r="P44" s="73">
        <f>+P1</f>
        <v/>
      </c>
    </row>
    <row r="45" ht="14.25" customHeight="1" s="50">
      <c r="E45" s="49" t="inlineStr">
        <is>
          <t xml:space="preserve">RIL USD </t>
        </is>
      </c>
      <c r="F45" s="74" t="n">
        <v>24419.4945769281</v>
      </c>
      <c r="G45" s="74" t="n">
        <v>24352.5421611924</v>
      </c>
      <c r="H45" s="74" t="n">
        <v>18227.7538926888</v>
      </c>
      <c r="I45" s="74" t="n">
        <v>16170.2444812668</v>
      </c>
      <c r="J45" s="74" t="n">
        <v>17211.4961132013</v>
      </c>
      <c r="K45" s="74" t="n">
        <v>14878.5291185065</v>
      </c>
      <c r="L45" s="74" t="n">
        <v>15508.1002773204</v>
      </c>
      <c r="M45" s="74" t="n">
        <v>14660.6030086975</v>
      </c>
      <c r="N45" s="74" t="n">
        <v>14726.5738166091</v>
      </c>
      <c r="O45" s="74" t="n">
        <v>15767.5624666015</v>
      </c>
      <c r="P45" s="74" t="n">
        <v>15236.538632391</v>
      </c>
    </row>
    <row r="46" ht="14.25" customHeight="1" s="50">
      <c r="E46" s="49" t="inlineStr">
        <is>
          <t xml:space="preserve">Importações </t>
        </is>
      </c>
      <c r="F46" s="74" t="n">
        <v>37968.7649125352</v>
      </c>
      <c r="G46" s="74" t="n">
        <v>25657.8871846653</v>
      </c>
      <c r="H46" s="74" t="n">
        <v>28256.5372558004</v>
      </c>
      <c r="I46" s="74" t="n">
        <v>25887.3556074086</v>
      </c>
      <c r="J46" s="74" t="n">
        <v>22299.3286511375</v>
      </c>
      <c r="K46" s="74" t="n">
        <v>15145.6874724356</v>
      </c>
      <c r="L46" s="74" t="n">
        <v>18845.2115316229</v>
      </c>
      <c r="M46" s="74" t="n">
        <v>28564.1993647171</v>
      </c>
      <c r="N46" s="74" t="n">
        <v>23687.8320623357</v>
      </c>
      <c r="O46" s="74" t="n">
        <v>22682.5252778244</v>
      </c>
      <c r="P46" s="74" t="n">
        <v>17595.331985857</v>
      </c>
    </row>
    <row r="47" ht="14.25" customHeight="1" s="50">
      <c r="E47" s="75" t="inlineStr">
        <is>
          <t>Meses de Importação</t>
        </is>
      </c>
      <c r="F47" s="76">
        <f>+(F45*12)/F46</f>
        <v/>
      </c>
      <c r="G47" s="76">
        <f>+(G45*12)/G46</f>
        <v/>
      </c>
      <c r="H47" s="76">
        <f>+(H45*12)/H46</f>
        <v/>
      </c>
      <c r="I47" s="76">
        <f>+(I45*12)/I46</f>
        <v/>
      </c>
      <c r="J47" s="76">
        <f>+(J45*12)/J46</f>
        <v/>
      </c>
      <c r="K47" s="76">
        <f>+(K45*12)/K46</f>
        <v/>
      </c>
      <c r="L47" s="76">
        <f>+(L45*12)/L46</f>
        <v/>
      </c>
      <c r="M47" s="76">
        <f>+(M45*12)/M46</f>
        <v/>
      </c>
      <c r="N47" s="76">
        <f>+(N45*12)/N46</f>
        <v/>
      </c>
      <c r="O47" s="76">
        <f>+(O45*12)/O46</f>
        <v/>
      </c>
      <c r="P47" s="76">
        <f>+(P45*12)/P46</f>
        <v/>
      </c>
    </row>
  </sheetData>
  <hyperlinks>
    <hyperlink xmlns:r="http://schemas.openxmlformats.org/officeDocument/2006/relationships" ref="Q2" display="Angola - Corruption Perceptions Index 2023 | countryeconomy.com" r:id="rId1"/>
    <hyperlink xmlns:r="http://schemas.openxmlformats.org/officeDocument/2006/relationships" ref="Q3" display="Angola's Income Inequality (2018) – Trends &amp; Historical Data" r:id="rId2"/>
    <hyperlink xmlns:r="http://schemas.openxmlformats.org/officeDocument/2006/relationships" ref="Q6" display="Internet Users in Angola | 2025 Trends &amp; Rankings | World View Data" r:id="rId3"/>
    <hyperlink xmlns:r="http://schemas.openxmlformats.org/officeDocument/2006/relationships" ref="Q7" display="Repositório de Conhecimento Aberto" r:id="rId4"/>
    <hyperlink xmlns:r="http://schemas.openxmlformats.org/officeDocument/2006/relationships" ref="Q10" display="PUBLIC DEBT STATISTICAL BULLETIN AS OF []" r:id="rId5"/>
    <hyperlink xmlns:r="http://schemas.openxmlformats.org/officeDocument/2006/relationships" ref="Q14" display="Relatório do Desenvolvimento Humano (RDH) 2023-2024 | United Nations Development Programme" r:id="rId6"/>
    <hyperlink xmlns:r="http://schemas.openxmlformats.org/officeDocument/2006/relationships" ref="Q15" display="Life Expectancy at Birth, Total for Angola (SPDYNLE00INAGO) | FRED | St. Louis Fed" r:id="rId7"/>
    <hyperlink xmlns:r="http://schemas.openxmlformats.org/officeDocument/2006/relationships" ref="Q20" display="UNdata | record view | Poverty headcount ratio at $2.15 a day (2017 PPP) (% of population)" r:id="rId8"/>
    <hyperlink xmlns:r="http://schemas.openxmlformats.org/officeDocument/2006/relationships" ref="Q21" display="Gini index - Angola | Data" r:id="rId9"/>
    <hyperlink xmlns:r="http://schemas.openxmlformats.org/officeDocument/2006/relationships" ref="Q23" display="Angola - Global Gender Gap Index 2024 | countryeconomy.com" r:id="rId10"/>
    <hyperlink xmlns:r="http://schemas.openxmlformats.org/officeDocument/2006/relationships" ref="Q24" display="GNI per capita, Atlas method (current US$) - Angola | Data" r:id="rId11"/>
    <hyperlink xmlns:r="http://schemas.openxmlformats.org/officeDocument/2006/relationships" ref="Q25" display="Angola - Access To Electricity (% Of Population) - 2026 Data 2027 Forecast 1990-2023 Historical" r:id="rId12"/>
    <hyperlink xmlns:r="http://schemas.openxmlformats.org/officeDocument/2006/relationships" ref="Q26" display="Access to Basic Drinking Water in Angola | 2025 Trends &amp; Rankings | World View Data" r:id="rId13"/>
    <hyperlink xmlns:r="http://schemas.openxmlformats.org/officeDocument/2006/relationships" ref="Q27" display="People using at least basic sanitation services (% of population) - Angola | Data" r:id="rId14"/>
    <hyperlink xmlns:r="http://schemas.openxmlformats.org/officeDocument/2006/relationships" ref="Q29" display="Table Data - Internet users for Angola | FRED | St. Louis Fed" r:id="rId15"/>
    <hyperlink xmlns:r="http://schemas.openxmlformats.org/officeDocument/2006/relationships" ref="Q30" display="World Bank Document" r:id="rId16"/>
    <hyperlink xmlns:r="http://schemas.openxmlformats.org/officeDocument/2006/relationships" ref="Q37" display="Indicadores Segurança Alimentar" r:id="rId17"/>
    <hyperlink xmlns:r="http://schemas.openxmlformats.org/officeDocument/2006/relationships" ref="Q38" display="Angola Prevalence of undernourishment - data, chart | TheGlobalEconomy.com" r:id="rId18"/>
    <hyperlink xmlns:r="http://schemas.openxmlformats.org/officeDocument/2006/relationships" ref="Q39" display="Lifetime risk of maternal death (%) - Angola | Data" r:id="rId19"/>
    <hyperlink xmlns:r="http://schemas.openxmlformats.org/officeDocument/2006/relationships" ref="Q40" display="Angola Health spending as percent of GDP - data, chart | TheGlobalEconomy.com" r:id="rId2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FDEADA"/>
    <outlinePr summaryBelow="1" summaryRight="1"/>
    <pageSetUpPr fitToPage="0"/>
  </sheetPr>
  <dimension ref="A1:H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515625" defaultRowHeight="14.25" zeroHeight="0" outlineLevelRow="0"/>
  <cols>
    <col width="45" customWidth="1" style="49" min="1" max="1"/>
    <col width="18" customWidth="1" style="49" min="2" max="3"/>
    <col width="15" customWidth="1" style="49" min="4" max="4"/>
    <col width="20" customWidth="1" style="49" min="5" max="5"/>
  </cols>
  <sheetData>
    <row r="1" ht="17.25" customHeight="1" s="50">
      <c r="A1" s="52" t="inlineStr">
        <is>
          <t>PARÂMETROS DE NORMALIZAÇÃO E PONDERAÇÃO</t>
        </is>
      </c>
    </row>
    <row r="3" ht="14.25" customHeight="1" s="50">
      <c r="A3" s="56" t="inlineStr">
        <is>
          <t>Indicador</t>
        </is>
      </c>
      <c r="B3" s="56" t="inlineStr">
        <is>
          <t>Mínimo Teórico</t>
        </is>
      </c>
      <c r="C3" s="56" t="inlineStr">
        <is>
          <t>Máximo Teórico</t>
        </is>
      </c>
      <c r="D3" s="56" t="inlineStr">
        <is>
          <t>Meta 2027</t>
        </is>
      </c>
      <c r="E3" s="56" t="inlineStr">
        <is>
          <t>Peso no Subíndice</t>
        </is>
      </c>
    </row>
    <row r="4" ht="14.25" customHeight="1" s="50">
      <c r="A4" s="77" t="inlineStr">
        <is>
          <t>Índice de Percepção da Corrupção</t>
        </is>
      </c>
      <c r="B4" s="59" t="n">
        <v>0</v>
      </c>
      <c r="C4" s="59" t="n">
        <v>100</v>
      </c>
      <c r="D4" s="59" t="n">
        <v>35</v>
      </c>
      <c r="E4" s="59" t="n">
        <v>1</v>
      </c>
    </row>
    <row r="5" ht="14.25" customHeight="1" s="50">
      <c r="A5" s="77" t="inlineStr">
        <is>
          <t>WGI - Estado de Direito</t>
        </is>
      </c>
      <c r="B5" s="59" t="n">
        <v>-2.5</v>
      </c>
      <c r="C5" s="59" t="n">
        <v>2.5</v>
      </c>
      <c r="D5" s="59" t="n">
        <v>0</v>
      </c>
      <c r="E5" s="59" t="n">
        <v>1</v>
      </c>
    </row>
    <row r="6" ht="14.25" customHeight="1" s="50">
      <c r="A6" s="77" t="inlineStr">
        <is>
          <t>WGI - Eficiência do Governo</t>
        </is>
      </c>
      <c r="B6" s="59" t="n">
        <v>-2.5</v>
      </c>
      <c r="C6" s="59" t="n">
        <v>2.5</v>
      </c>
      <c r="D6" s="59" t="n">
        <v>0</v>
      </c>
      <c r="E6" s="59" t="n">
        <v>1</v>
      </c>
    </row>
    <row r="7" ht="14.25" customHeight="1" s="50">
      <c r="A7" s="77" t="inlineStr">
        <is>
          <t>Estabilidade Política (WGI)</t>
        </is>
      </c>
      <c r="B7" s="59" t="n">
        <v>-2.5</v>
      </c>
      <c r="C7" s="59" t="n">
        <v>2.5</v>
      </c>
      <c r="D7" s="59" t="n">
        <v>0</v>
      </c>
      <c r="E7" s="59" t="n">
        <v>1</v>
      </c>
    </row>
    <row r="8" ht="14.25" customHeight="1" s="50">
      <c r="A8" s="77" t="inlineStr">
        <is>
          <t>Doing Business / Ease of Business</t>
        </is>
      </c>
      <c r="B8" s="59" t="n">
        <v>0</v>
      </c>
      <c r="C8" s="59" t="n">
        <v>100</v>
      </c>
      <c r="D8" s="59" t="n">
        <v>55</v>
      </c>
      <c r="E8" s="59" t="n">
        <v>1</v>
      </c>
    </row>
    <row r="9" ht="14.25" customHeight="1" s="50">
      <c r="A9" s="77" t="inlineStr">
        <is>
          <t>Taxa de Crescimento do PIB</t>
        </is>
      </c>
      <c r="B9" s="59" t="n">
        <v>-10</v>
      </c>
      <c r="C9" s="59" t="n">
        <v>15</v>
      </c>
      <c r="D9" s="59" t="n">
        <v>5</v>
      </c>
      <c r="E9" s="59" t="n">
        <v>1</v>
      </c>
    </row>
    <row r="10" ht="14.25" customHeight="1" s="50">
      <c r="A10" s="77" t="inlineStr">
        <is>
          <t>PIB per Capita (USD)</t>
        </is>
      </c>
      <c r="B10" s="59" t="n">
        <v>500</v>
      </c>
      <c r="C10" s="59" t="n">
        <v>15000</v>
      </c>
      <c r="D10" s="59" t="n">
        <v>5000</v>
      </c>
      <c r="E10" s="59" t="n">
        <v>1</v>
      </c>
    </row>
    <row r="11" ht="14.25" customHeight="1" s="50">
      <c r="A11" s="77" t="inlineStr">
        <is>
          <t>Inflação (IPC)</t>
        </is>
      </c>
      <c r="B11" s="59" t="n">
        <v>0</v>
      </c>
      <c r="C11" s="59" t="n">
        <v>50</v>
      </c>
      <c r="D11" s="59" t="n">
        <v>10</v>
      </c>
      <c r="E11" s="59" t="n">
        <v>1</v>
      </c>
    </row>
    <row r="12" ht="14.25" customHeight="1" s="50">
      <c r="A12" s="77" t="inlineStr">
        <is>
          <t>Dívida Pública (% do PIB)</t>
        </is>
      </c>
      <c r="B12" s="59" t="n">
        <v>0</v>
      </c>
      <c r="C12" s="59" t="n">
        <v>150</v>
      </c>
      <c r="D12" s="59" t="n">
        <v>60</v>
      </c>
      <c r="E12" s="59" t="n">
        <v>1</v>
      </c>
    </row>
    <row r="13" ht="14.25" customHeight="1" s="50">
      <c r="A13" s="77" t="inlineStr">
        <is>
          <t>Saldo Orçamental (% do PIB)</t>
        </is>
      </c>
      <c r="B13" s="59" t="n">
        <v>-15</v>
      </c>
      <c r="C13" s="59" t="n">
        <v>10</v>
      </c>
      <c r="D13" s="59" t="n">
        <v>0</v>
      </c>
      <c r="E13" s="59" t="n">
        <v>1</v>
      </c>
    </row>
    <row r="14" ht="14.25" customHeight="1" s="50">
      <c r="A14" s="77" t="inlineStr">
        <is>
          <t>IDE não-petrolífero (% PIB)</t>
        </is>
      </c>
      <c r="B14" s="59" t="n">
        <v>0</v>
      </c>
      <c r="C14" s="59" t="n">
        <v>10</v>
      </c>
      <c r="D14" s="59" t="n">
        <v>3</v>
      </c>
      <c r="E14" s="59" t="n">
        <v>1</v>
      </c>
    </row>
    <row r="15" ht="14.25" customHeight="1" s="50">
      <c r="A15" s="77" t="inlineStr">
        <is>
          <t>Reservas Internacionais (meses)</t>
        </is>
      </c>
      <c r="B15" s="59" t="n">
        <v>0</v>
      </c>
      <c r="C15" s="59" t="n">
        <v>12</v>
      </c>
      <c r="D15" s="59" t="n">
        <v>6</v>
      </c>
      <c r="E15" s="59" t="n">
        <v>1</v>
      </c>
    </row>
    <row r="16" ht="14.25" customHeight="1" s="50">
      <c r="A16" s="77" t="inlineStr">
        <is>
          <t>Índice de Desenvolvimento Humano</t>
        </is>
      </c>
      <c r="B16" s="59" t="n">
        <v>0</v>
      </c>
      <c r="C16" s="59" t="n">
        <v>1</v>
      </c>
      <c r="D16" s="59" t="n">
        <v>0.6</v>
      </c>
      <c r="E16" s="59" t="n">
        <v>1</v>
      </c>
    </row>
    <row r="17" ht="14.25" customHeight="1" s="50">
      <c r="A17" s="77" t="inlineStr">
        <is>
          <t>Esperança Média de Vida</t>
        </is>
      </c>
      <c r="B17" s="59" t="n">
        <v>40</v>
      </c>
      <c r="C17" s="59" t="n">
        <v>85</v>
      </c>
      <c r="D17" s="59" t="n">
        <v>65</v>
      </c>
      <c r="E17" s="59" t="n">
        <v>1</v>
      </c>
    </row>
    <row r="18" ht="14.25" customHeight="1" s="50">
      <c r="A18" s="77" t="inlineStr">
        <is>
          <t>Taxa de Alfabetização (+15 anos)</t>
        </is>
      </c>
      <c r="B18" s="59" t="n">
        <v>0</v>
      </c>
      <c r="C18" s="59" t="n">
        <v>100</v>
      </c>
      <c r="D18" s="59" t="n">
        <v>75</v>
      </c>
      <c r="E18" s="59" t="n">
        <v>1</v>
      </c>
    </row>
    <row r="19" ht="14.25" customHeight="1" s="50">
      <c r="A19" s="77" t="inlineStr">
        <is>
          <t>Taxa de Matrícula (primário)</t>
        </is>
      </c>
      <c r="B19" s="59" t="n">
        <v>0</v>
      </c>
      <c r="C19" s="59" t="n">
        <v>100</v>
      </c>
      <c r="D19" s="59" t="n">
        <v>95</v>
      </c>
      <c r="E19" s="59" t="n">
        <v>1</v>
      </c>
    </row>
    <row r="20" ht="14.25" customHeight="1" s="50">
      <c r="A20" s="77" t="inlineStr">
        <is>
          <t>Anos Médios de Escolaridade</t>
        </is>
      </c>
      <c r="B20" s="59" t="n">
        <v>0</v>
      </c>
      <c r="C20" s="59" t="n">
        <v>15</v>
      </c>
      <c r="D20" s="59" t="n">
        <v>8</v>
      </c>
      <c r="E20" s="59" t="n">
        <v>1</v>
      </c>
    </row>
    <row r="21" ht="14.25" customHeight="1" s="50">
      <c r="A21" s="77" t="inlineStr">
        <is>
          <t>Mortalidade Infantil (por 1000)</t>
        </is>
      </c>
      <c r="B21" s="59" t="n">
        <v>0</v>
      </c>
      <c r="C21" s="59" t="n">
        <v>150</v>
      </c>
      <c r="D21" s="59" t="n">
        <v>40</v>
      </c>
      <c r="E21" s="59" t="n">
        <v>1</v>
      </c>
    </row>
    <row r="22" ht="14.25" customHeight="1" s="50">
      <c r="A22" s="77" t="inlineStr">
        <is>
          <t>Taxa de Pobreza (&lt; 2.15 USD/dia)</t>
        </is>
      </c>
      <c r="B22" s="59" t="n">
        <v>0</v>
      </c>
      <c r="C22" s="59" t="n">
        <v>80</v>
      </c>
      <c r="D22" s="59" t="n">
        <v>30</v>
      </c>
      <c r="E22" s="59" t="n">
        <v>1</v>
      </c>
    </row>
    <row r="23" ht="14.25" customHeight="1" s="50">
      <c r="A23" s="77" t="inlineStr">
        <is>
          <t>Índice de Gini</t>
        </is>
      </c>
      <c r="B23" s="59" t="n">
        <v>0</v>
      </c>
      <c r="C23" s="59" t="n">
        <v>70</v>
      </c>
      <c r="D23" s="59" t="n">
        <v>40</v>
      </c>
      <c r="E23" s="59" t="n">
        <v>1</v>
      </c>
    </row>
    <row r="24" ht="14.25" customHeight="1" s="50">
      <c r="A24" s="77" t="inlineStr">
        <is>
          <t>Cobertura Protecção Social</t>
        </is>
      </c>
      <c r="B24" s="59" t="n">
        <v>0</v>
      </c>
      <c r="C24" s="59" t="n">
        <v>100</v>
      </c>
      <c r="D24" s="59" t="n">
        <v>40</v>
      </c>
      <c r="E24" s="59" t="n">
        <v>1</v>
      </c>
    </row>
    <row r="25" ht="14.25" customHeight="1" s="50">
      <c r="A25" s="77" t="inlineStr">
        <is>
          <t>Global Gender Gap Index</t>
        </is>
      </c>
      <c r="B25" s="59" t="n">
        <v>0</v>
      </c>
      <c r="C25" s="59" t="n">
        <v>1</v>
      </c>
      <c r="D25" s="59" t="n">
        <v>0.7</v>
      </c>
      <c r="E25" s="59" t="n">
        <v>1</v>
      </c>
    </row>
    <row r="26" ht="14.25" customHeight="1" s="50">
      <c r="A26" s="77" t="inlineStr">
        <is>
          <t>RNB per Capita (USD)</t>
        </is>
      </c>
      <c r="B26" s="59" t="n">
        <v>500</v>
      </c>
      <c r="C26" s="59" t="n">
        <v>15000</v>
      </c>
      <c r="D26" s="59" t="n">
        <v>4500</v>
      </c>
      <c r="E26" s="59" t="n">
        <v>1</v>
      </c>
    </row>
    <row r="27" ht="14.25" customHeight="1" s="50">
      <c r="A27" s="77" t="inlineStr">
        <is>
          <t>Taxa de Electrificação</t>
        </is>
      </c>
      <c r="B27" s="59" t="n">
        <v>0</v>
      </c>
      <c r="C27" s="59" t="n">
        <v>100</v>
      </c>
      <c r="D27" s="59" t="n">
        <v>60</v>
      </c>
      <c r="E27" s="59" t="n">
        <v>1</v>
      </c>
    </row>
    <row r="28" ht="14.25" customHeight="1" s="50">
      <c r="A28" s="77" t="inlineStr">
        <is>
          <t>Acesso a Água Potável</t>
        </is>
      </c>
      <c r="B28" s="59" t="n">
        <v>0</v>
      </c>
      <c r="C28" s="59" t="n">
        <v>100</v>
      </c>
      <c r="D28" s="59" t="n">
        <v>70</v>
      </c>
      <c r="E28" s="59" t="n">
        <v>1</v>
      </c>
    </row>
    <row r="29" ht="14.25" customHeight="1" s="50">
      <c r="A29" s="77" t="inlineStr">
        <is>
          <t>Acesso a Saneamento Básico</t>
        </is>
      </c>
      <c r="B29" s="59" t="n">
        <v>0</v>
      </c>
      <c r="C29" s="59" t="n">
        <v>100</v>
      </c>
      <c r="D29" s="59" t="n">
        <v>60</v>
      </c>
      <c r="E29" s="59" t="n">
        <v>1</v>
      </c>
    </row>
    <row r="30" ht="14.25" customHeight="1" s="50">
      <c r="A30" s="77" t="inlineStr">
        <is>
          <t>Cobertura de Rede 4G</t>
        </is>
      </c>
      <c r="B30" s="59" t="n">
        <v>0</v>
      </c>
      <c r="C30" s="59" t="n">
        <v>100</v>
      </c>
      <c r="D30" s="59" t="n">
        <v>70</v>
      </c>
      <c r="E30" s="59" t="n">
        <v>1</v>
      </c>
    </row>
    <row r="31" ht="14.25" customHeight="1" s="50">
      <c r="A31" s="77" t="inlineStr">
        <is>
          <t>Utilizadores de Internet (%)</t>
        </is>
      </c>
      <c r="B31" s="59" t="n">
        <v>0</v>
      </c>
      <c r="C31" s="59" t="n">
        <v>100</v>
      </c>
      <c r="D31" s="59" t="n">
        <v>40</v>
      </c>
      <c r="E31" s="59" t="n">
        <v>1</v>
      </c>
    </row>
    <row r="32" ht="14.25" customHeight="1" s="50">
      <c r="A32" s="77" t="inlineStr">
        <is>
          <t>Densidade Rodoviária (km/1000km²)</t>
        </is>
      </c>
      <c r="B32" s="59" t="n">
        <v>0</v>
      </c>
      <c r="C32" s="59" t="n">
        <v>100</v>
      </c>
      <c r="D32" s="59" t="n">
        <v>30</v>
      </c>
      <c r="E32" s="59" t="n">
        <v>1</v>
      </c>
    </row>
    <row r="33" ht="14.25" customHeight="1" s="50">
      <c r="A33" s="77" t="inlineStr">
        <is>
          <t>Taxa de Emprego</t>
        </is>
      </c>
      <c r="B33" s="59" t="n">
        <v>0</v>
      </c>
      <c r="C33" s="59" t="n">
        <v>100</v>
      </c>
      <c r="D33" s="59" t="n">
        <v>65</v>
      </c>
      <c r="E33" s="59" t="n">
        <v>1</v>
      </c>
    </row>
    <row r="34" ht="14.25" customHeight="1" s="50">
      <c r="A34" s="77" t="inlineStr">
        <is>
          <t>Taxa de Desemprego</t>
        </is>
      </c>
      <c r="B34" s="59" t="n">
        <v>0</v>
      </c>
      <c r="C34" s="59" t="n">
        <v>50</v>
      </c>
      <c r="D34" s="59" t="n">
        <v>20</v>
      </c>
      <c r="E34" s="59" t="n">
        <v>1</v>
      </c>
    </row>
    <row r="35" ht="14.25" customHeight="1" s="50">
      <c r="A35" s="77" t="inlineStr">
        <is>
          <t>Desemprego Juvenil</t>
        </is>
      </c>
      <c r="B35" s="59" t="n">
        <v>0</v>
      </c>
      <c r="C35" s="59" t="n">
        <v>70</v>
      </c>
      <c r="D35" s="59" t="n">
        <v>30</v>
      </c>
      <c r="E35" s="59" t="n">
        <v>1</v>
      </c>
    </row>
    <row r="36" ht="14.25" customHeight="1" s="50">
      <c r="A36" s="77" t="inlineStr">
        <is>
          <t>Emprego Informal (%)</t>
        </is>
      </c>
      <c r="B36" s="59" t="n">
        <v>0</v>
      </c>
      <c r="C36" s="59" t="n">
        <v>100</v>
      </c>
      <c r="D36" s="59" t="n">
        <v>50</v>
      </c>
      <c r="E36" s="59" t="n">
        <v>1</v>
      </c>
    </row>
    <row r="37" ht="14.25" customHeight="1" s="50">
      <c r="A37" s="77" t="inlineStr">
        <is>
          <t>Taxa de Formalização</t>
        </is>
      </c>
      <c r="B37" s="59" t="n">
        <v>0</v>
      </c>
      <c r="C37" s="59" t="n">
        <v>100</v>
      </c>
      <c r="D37" s="59" t="n">
        <v>40</v>
      </c>
      <c r="E37" s="59" t="n">
        <v>1</v>
      </c>
    </row>
    <row r="38" ht="14.25" customHeight="1" s="50">
      <c r="A38" s="77" t="inlineStr">
        <is>
          <t>Crescimento da Produtividade</t>
        </is>
      </c>
      <c r="B38" s="59" t="n">
        <v>-5</v>
      </c>
      <c r="C38" s="59" t="n">
        <v>10</v>
      </c>
      <c r="D38" s="59" t="n">
        <v>3</v>
      </c>
      <c r="E38" s="59" t="n">
        <v>1</v>
      </c>
    </row>
    <row r="39" ht="14.25" customHeight="1" s="50">
      <c r="A39" s="77" t="inlineStr">
        <is>
          <t>Índice Global Seg. Alimentar</t>
        </is>
      </c>
      <c r="B39" s="59" t="n">
        <v>0</v>
      </c>
      <c r="C39" s="59" t="n">
        <v>100</v>
      </c>
      <c r="D39" s="59" t="n">
        <v>50</v>
      </c>
      <c r="E39" s="59" t="n">
        <v>1</v>
      </c>
    </row>
    <row r="40" ht="14.25" customHeight="1" s="50">
      <c r="A40" s="77" t="inlineStr">
        <is>
          <t>Prevalência de Desnutrição</t>
        </is>
      </c>
      <c r="B40" s="59" t="n">
        <v>0</v>
      </c>
      <c r="C40" s="59" t="n">
        <v>50</v>
      </c>
      <c r="D40" s="59" t="n">
        <v>15</v>
      </c>
      <c r="E40" s="59" t="n">
        <v>1</v>
      </c>
    </row>
    <row r="41" ht="14.25" customHeight="1" s="50">
      <c r="A41" s="77" t="inlineStr">
        <is>
          <t>Mortalidade Materna (por 100k)</t>
        </is>
      </c>
      <c r="B41" s="59" t="n">
        <v>0</v>
      </c>
      <c r="C41" s="59" t="n">
        <v>1000</v>
      </c>
      <c r="D41" s="59" t="n">
        <v>300</v>
      </c>
      <c r="E41" s="59" t="n">
        <v>1</v>
      </c>
    </row>
    <row r="42" ht="14.25" customHeight="1" s="50">
      <c r="A42" s="77" t="inlineStr">
        <is>
          <t>Despesas Saúde (% PIB)</t>
        </is>
      </c>
      <c r="B42" s="59" t="n">
        <v>0</v>
      </c>
      <c r="C42" s="59" t="n">
        <v>15</v>
      </c>
      <c r="D42" s="59" t="n">
        <v>5</v>
      </c>
      <c r="E42" s="59" t="n">
        <v>1</v>
      </c>
    </row>
    <row r="43" ht="14.25" customHeight="1" s="50">
      <c r="A43" s="77" t="inlineStr">
        <is>
          <t>Camas Hospitalares (por 1000)</t>
        </is>
      </c>
      <c r="B43" s="59" t="n">
        <v>0</v>
      </c>
      <c r="C43" s="59" t="n">
        <v>10</v>
      </c>
      <c r="D43" s="59" t="n">
        <v>2</v>
      </c>
      <c r="E43" s="59" t="n">
        <v>1</v>
      </c>
    </row>
    <row r="44" ht="14.25" customHeight="1" s="50">
      <c r="A44" s="77" t="inlineStr">
        <is>
          <t>Cobertura Vacinal (%)</t>
        </is>
      </c>
      <c r="B44" s="59" t="n">
        <v>0</v>
      </c>
      <c r="C44" s="59" t="n">
        <v>100</v>
      </c>
      <c r="D44" s="59" t="n">
        <v>80</v>
      </c>
      <c r="E44" s="59" t="n">
        <v>1</v>
      </c>
    </row>
    <row r="46" ht="14.25" customHeight="1" s="50">
      <c r="A46" s="55" t="inlineStr">
        <is>
          <t>Limiar de Cobertura Mínima por Subíndice (fração 0-1)</t>
        </is>
      </c>
      <c r="B46" s="78" t="n">
        <v>0.5</v>
      </c>
    </row>
    <row r="47" ht="14.25" customHeight="1" s="50">
      <c r="A47" s="55" t="inlineStr">
        <is>
          <t>Nº Mínimo de Subíndices para calcular o IGDA (de 7)</t>
        </is>
      </c>
      <c r="B47" s="78" t="n">
        <v>4</v>
      </c>
    </row>
    <row r="50" ht="15" customHeight="1" s="50">
      <c r="A50" s="53" t="inlineStr">
        <is>
          <t>PESOS DOS SUBÍNDICES</t>
        </is>
      </c>
    </row>
    <row r="51" ht="14.25" customHeight="1" s="50">
      <c r="A51" s="79" t="inlineStr">
        <is>
          <t>Subíndice</t>
        </is>
      </c>
      <c r="B51" s="79" t="inlineStr">
        <is>
          <t>Peso</t>
        </is>
      </c>
    </row>
    <row r="52" ht="14.25" customHeight="1" s="50">
      <c r="A52" s="80" t="inlineStr">
        <is>
          <t>1. Governança e Estado de Direito</t>
        </is>
      </c>
      <c r="B52" s="81" t="n">
        <v>1</v>
      </c>
    </row>
    <row r="53" ht="14.25" customHeight="1" s="50">
      <c r="A53" s="80" t="inlineStr">
        <is>
          <t>2. Estabilidade Macroeconómica</t>
        </is>
      </c>
      <c r="B53" s="81" t="n">
        <v>1</v>
      </c>
    </row>
    <row r="54" ht="14.25" customHeight="1" s="50">
      <c r="A54" s="80" t="inlineStr">
        <is>
          <t>3. Capital Humano</t>
        </is>
      </c>
      <c r="B54" s="81" t="n">
        <v>1</v>
      </c>
    </row>
    <row r="55" ht="14.25" customHeight="1" s="50">
      <c r="A55" s="80" t="inlineStr">
        <is>
          <t>4. Inclusão Social</t>
        </is>
      </c>
      <c r="B55" s="81" t="n">
        <v>1</v>
      </c>
    </row>
    <row r="56" ht="14.25" customHeight="1" s="50">
      <c r="A56" s="80" t="inlineStr">
        <is>
          <t>5. Infraestruturas</t>
        </is>
      </c>
      <c r="B56" s="81" t="n">
        <v>1</v>
      </c>
    </row>
    <row r="57" ht="14.25" customHeight="1" s="50">
      <c r="A57" s="80" t="inlineStr">
        <is>
          <t>6. Mercado de Trabalho</t>
        </is>
      </c>
      <c r="B57" s="81" t="n">
        <v>1</v>
      </c>
    </row>
    <row r="58" ht="14.25" customHeight="1" s="50">
      <c r="A58" s="80" t="inlineStr">
        <is>
          <t>7. Segurança Alimentar e Saúde</t>
        </is>
      </c>
      <c r="B58" s="81" t="n">
        <v>1</v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DBEEF4"/>
    <outlinePr summaryBelow="1" summaryRight="1"/>
    <pageSetUpPr fitToPage="0"/>
  </sheetPr>
  <dimension ref="A1:M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3" activeCellId="0" sqref="C13"/>
    </sheetView>
  </sheetViews>
  <sheetFormatPr baseColWidth="8" defaultColWidth="8.53515625" defaultRowHeight="14.25" zeroHeight="0" outlineLevelRow="0"/>
  <cols>
    <col width="40" customWidth="1" style="49" min="1" max="1"/>
    <col width="10" customWidth="1" style="49" min="2" max="2"/>
    <col width="12" customWidth="1" style="49" min="3" max="13"/>
  </cols>
  <sheetData>
    <row r="1" ht="14.25" customHeight="1" s="50">
      <c r="A1" s="56" t="inlineStr">
        <is>
          <t>Indicador</t>
        </is>
      </c>
      <c r="B1" s="56" t="inlineStr">
        <is>
          <t>Sentido</t>
        </is>
      </c>
      <c r="C1" s="56" t="inlineStr">
        <is>
          <t>2015</t>
        </is>
      </c>
      <c r="D1" s="56" t="inlineStr">
        <is>
          <t>2016</t>
        </is>
      </c>
      <c r="E1" s="56" t="inlineStr">
        <is>
          <t>2017</t>
        </is>
      </c>
      <c r="F1" s="56" t="inlineStr">
        <is>
          <t>2018</t>
        </is>
      </c>
      <c r="G1" s="56" t="inlineStr">
        <is>
          <t>2019</t>
        </is>
      </c>
      <c r="H1" s="56" t="inlineStr">
        <is>
          <t>2020</t>
        </is>
      </c>
      <c r="I1" s="56" t="inlineStr">
        <is>
          <t>2021</t>
        </is>
      </c>
      <c r="J1" s="56" t="inlineStr">
        <is>
          <t>2022</t>
        </is>
      </c>
      <c r="K1" s="56" t="inlineStr">
        <is>
          <t>2023</t>
        </is>
      </c>
      <c r="L1" s="56" t="inlineStr">
        <is>
          <t>2024</t>
        </is>
      </c>
      <c r="M1" s="56" t="inlineStr">
        <is>
          <t>2025</t>
        </is>
      </c>
    </row>
    <row r="2" ht="14.25" customHeight="1" s="50">
      <c r="A2" s="80" t="inlineStr">
        <is>
          <t>Índice de Percepção da Corrupção</t>
        </is>
      </c>
      <c r="B2" s="82" t="inlineStr">
        <is>
          <t>+</t>
        </is>
      </c>
      <c r="C2" s="83">
        <f>IF(Input_Dados!F$2="","",MIN(100,MAX(0,(Input_Dados!F$2-Parametros!$B$4)/(Parametros!$C$4-Parametros!$B$4)*100)))</f>
        <v/>
      </c>
      <c r="D2" s="83">
        <f>IF(Input_Dados!G$2="","",MIN(100,MAX(0,(Input_Dados!G$2-Parametros!$B$4)/(Parametros!$C$4-Parametros!$B$4)*100)))</f>
        <v/>
      </c>
      <c r="E2" s="83">
        <f>IF(Input_Dados!H$2="","",MIN(100,MAX(0,(Input_Dados!H$2-Parametros!$B$4)/(Parametros!$C$4-Parametros!$B$4)*100)))</f>
        <v/>
      </c>
      <c r="F2" s="83">
        <f>IF(Input_Dados!I$2="","",MIN(100,MAX(0,(Input_Dados!I$2-Parametros!$B$4)/(Parametros!$C$4-Parametros!$B$4)*100)))</f>
        <v/>
      </c>
      <c r="G2" s="83">
        <f>IF(Input_Dados!J$2="","",MIN(100,MAX(0,(Input_Dados!J$2-Parametros!$B$4)/(Parametros!$C$4-Parametros!$B$4)*100)))</f>
        <v/>
      </c>
      <c r="H2" s="83">
        <f>IF(Input_Dados!K$2="","",MIN(100,MAX(0,(Input_Dados!K$2-Parametros!$B$4)/(Parametros!$C$4-Parametros!$B$4)*100)))</f>
        <v/>
      </c>
      <c r="I2" s="83">
        <f>IF(Input_Dados!L$2="","",MIN(100,MAX(0,(Input_Dados!L$2-Parametros!$B$4)/(Parametros!$C$4-Parametros!$B$4)*100)))</f>
        <v/>
      </c>
      <c r="J2" s="83">
        <f>IF(Input_Dados!M$2="","",MIN(100,MAX(0,(Input_Dados!M$2-Parametros!$B$4)/(Parametros!$C$4-Parametros!$B$4)*100)))</f>
        <v/>
      </c>
      <c r="K2" s="83">
        <f>IF(Input_Dados!N$2="","",MIN(100,MAX(0,(Input_Dados!N$2-Parametros!$B$4)/(Parametros!$C$4-Parametros!$B$4)*100)))</f>
        <v/>
      </c>
      <c r="L2" s="83">
        <f>IF(Input_Dados!O$2="","",MIN(100,MAX(0,(Input_Dados!O$2-Parametros!$B$4)/(Parametros!$C$4-Parametros!$B$4)*100)))</f>
        <v/>
      </c>
      <c r="M2" s="83">
        <f>IF(Input_Dados!P$2="","",MIN(100,MAX(0,(Input_Dados!P$2-Parametros!$B$4)/(Parametros!$C$4-Parametros!$B$4)*100)))</f>
        <v/>
      </c>
    </row>
    <row r="3" ht="14.25" customHeight="1" s="50">
      <c r="A3" s="80" t="inlineStr">
        <is>
          <t>WGI - Estado de Direito</t>
        </is>
      </c>
      <c r="B3" s="82" t="inlineStr">
        <is>
          <t>+</t>
        </is>
      </c>
      <c r="C3" s="83">
        <f>IF(Input_Dados!F$3="","",MIN(100,MAX(0,(Input_Dados!F$3-Parametros!$B$5)/(Parametros!$C$5-Parametros!$B$5)*100)))</f>
        <v/>
      </c>
      <c r="D3" s="83">
        <f>IF(Input_Dados!G$3="","",MIN(100,MAX(0,(Input_Dados!G$3-Parametros!$B$5)/(Parametros!$C$5-Parametros!$B$5)*100)))</f>
        <v/>
      </c>
      <c r="E3" s="83">
        <f>IF(Input_Dados!H$3="","",MIN(100,MAX(0,(Input_Dados!H$3-Parametros!$B$5)/(Parametros!$C$5-Parametros!$B$5)*100)))</f>
        <v/>
      </c>
      <c r="F3" s="83">
        <f>IF(Input_Dados!I$3="","",MIN(100,MAX(0,(Input_Dados!I$3-Parametros!$B$5)/(Parametros!$C$5-Parametros!$B$5)*100)))</f>
        <v/>
      </c>
      <c r="G3" s="83">
        <f>IF(Input_Dados!J$3="","",MIN(100,MAX(0,(Input_Dados!J$3-Parametros!$B$5)/(Parametros!$C$5-Parametros!$B$5)*100)))</f>
        <v/>
      </c>
      <c r="H3" s="83">
        <f>IF(Input_Dados!K$3="","",MIN(100,MAX(0,(Input_Dados!K$3-Parametros!$B$5)/(Parametros!$C$5-Parametros!$B$5)*100)))</f>
        <v/>
      </c>
      <c r="I3" s="83">
        <f>IF(Input_Dados!L$3="","",MIN(100,MAX(0,(Input_Dados!L$3-Parametros!$B$5)/(Parametros!$C$5-Parametros!$B$5)*100)))</f>
        <v/>
      </c>
      <c r="J3" s="83">
        <f>IF(Input_Dados!M$3="","",MIN(100,MAX(0,(Input_Dados!M$3-Parametros!$B$5)/(Parametros!$C$5-Parametros!$B$5)*100)))</f>
        <v/>
      </c>
      <c r="K3" s="83">
        <f>IF(Input_Dados!N$3="","",MIN(100,MAX(0,(Input_Dados!N$3-Parametros!$B$5)/(Parametros!$C$5-Parametros!$B$5)*100)))</f>
        <v/>
      </c>
      <c r="L3" s="83">
        <f>IF(Input_Dados!O$3="","",MIN(100,MAX(0,(Input_Dados!O$3-Parametros!$B$5)/(Parametros!$C$5-Parametros!$B$5)*100)))</f>
        <v/>
      </c>
      <c r="M3" s="83">
        <f>IF(Input_Dados!P$3="","",MIN(100,MAX(0,(Input_Dados!P$3-Parametros!$B$5)/(Parametros!$C$5-Parametros!$B$5)*100)))</f>
        <v/>
      </c>
    </row>
    <row r="4" ht="14.25" customHeight="1" s="50">
      <c r="A4" s="80" t="inlineStr">
        <is>
          <t>WGI - Eficiência do Governo</t>
        </is>
      </c>
      <c r="B4" s="82" t="inlineStr">
        <is>
          <t>+</t>
        </is>
      </c>
      <c r="C4" s="83">
        <f>IF(Input_Dados!F$4="","",MIN(100,MAX(0,(Input_Dados!F$4-Parametros!$B$6)/(Parametros!$C$6-Parametros!$B$6)*100)))</f>
        <v/>
      </c>
      <c r="D4" s="83">
        <f>IF(Input_Dados!G$4="","",MIN(100,MAX(0,(Input_Dados!G$4-Parametros!$B$6)/(Parametros!$C$6-Parametros!$B$6)*100)))</f>
        <v/>
      </c>
      <c r="E4" s="83">
        <f>IF(Input_Dados!H$4="","",MIN(100,MAX(0,(Input_Dados!H$4-Parametros!$B$6)/(Parametros!$C$6-Parametros!$B$6)*100)))</f>
        <v/>
      </c>
      <c r="F4" s="83">
        <f>IF(Input_Dados!I$4="","",MIN(100,MAX(0,(Input_Dados!I$4-Parametros!$B$6)/(Parametros!$C$6-Parametros!$B$6)*100)))</f>
        <v/>
      </c>
      <c r="G4" s="83">
        <f>IF(Input_Dados!J$4="","",MIN(100,MAX(0,(Input_Dados!J$4-Parametros!$B$6)/(Parametros!$C$6-Parametros!$B$6)*100)))</f>
        <v/>
      </c>
      <c r="H4" s="83">
        <f>IF(Input_Dados!K$4="","",MIN(100,MAX(0,(Input_Dados!K$4-Parametros!$B$6)/(Parametros!$C$6-Parametros!$B$6)*100)))</f>
        <v/>
      </c>
      <c r="I4" s="83">
        <f>IF(Input_Dados!L$4="","",MIN(100,MAX(0,(Input_Dados!L$4-Parametros!$B$6)/(Parametros!$C$6-Parametros!$B$6)*100)))</f>
        <v/>
      </c>
      <c r="J4" s="83">
        <f>IF(Input_Dados!M$4="","",MIN(100,MAX(0,(Input_Dados!M$4-Parametros!$B$6)/(Parametros!$C$6-Parametros!$B$6)*100)))</f>
        <v/>
      </c>
      <c r="K4" s="83">
        <f>IF(Input_Dados!N$4="","",MIN(100,MAX(0,(Input_Dados!N$4-Parametros!$B$6)/(Parametros!$C$6-Parametros!$B$6)*100)))</f>
        <v/>
      </c>
      <c r="L4" s="83">
        <f>IF(Input_Dados!O$4="","",MIN(100,MAX(0,(Input_Dados!O$4-Parametros!$B$6)/(Parametros!$C$6-Parametros!$B$6)*100)))</f>
        <v/>
      </c>
      <c r="M4" s="83">
        <f>IF(Input_Dados!P$4="","",MIN(100,MAX(0,(Input_Dados!P$4-Parametros!$B$6)/(Parametros!$C$6-Parametros!$B$6)*100)))</f>
        <v/>
      </c>
    </row>
    <row r="5" ht="14.25" customHeight="1" s="50">
      <c r="A5" s="80" t="inlineStr">
        <is>
          <t>Estabilidade Política (WGI)</t>
        </is>
      </c>
      <c r="B5" s="82" t="inlineStr">
        <is>
          <t>+</t>
        </is>
      </c>
      <c r="C5" s="83">
        <f>IF(Input_Dados!F$5="","",MIN(100,MAX(0,(Input_Dados!F$5-Parametros!$B$7)/(Parametros!$C$7-Parametros!$B$7)*100)))</f>
        <v/>
      </c>
      <c r="D5" s="83">
        <f>IF(Input_Dados!G$5="","",MIN(100,MAX(0,(Input_Dados!G$5-Parametros!$B$7)/(Parametros!$C$7-Parametros!$B$7)*100)))</f>
        <v/>
      </c>
      <c r="E5" s="83">
        <f>IF(Input_Dados!H$5="","",MIN(100,MAX(0,(Input_Dados!H$5-Parametros!$B$7)/(Parametros!$C$7-Parametros!$B$7)*100)))</f>
        <v/>
      </c>
      <c r="F5" s="83">
        <f>IF(Input_Dados!I$5="","",MIN(100,MAX(0,(Input_Dados!I$5-Parametros!$B$7)/(Parametros!$C$7-Parametros!$B$7)*100)))</f>
        <v/>
      </c>
      <c r="G5" s="83">
        <f>IF(Input_Dados!J$5="","",MIN(100,MAX(0,(Input_Dados!J$5-Parametros!$B$7)/(Parametros!$C$7-Parametros!$B$7)*100)))</f>
        <v/>
      </c>
      <c r="H5" s="83">
        <f>IF(Input_Dados!K$5="","",MIN(100,MAX(0,(Input_Dados!K$5-Parametros!$B$7)/(Parametros!$C$7-Parametros!$B$7)*100)))</f>
        <v/>
      </c>
      <c r="I5" s="83">
        <f>IF(Input_Dados!L$5="","",MIN(100,MAX(0,(Input_Dados!L$5-Parametros!$B$7)/(Parametros!$C$7-Parametros!$B$7)*100)))</f>
        <v/>
      </c>
      <c r="J5" s="83">
        <f>IF(Input_Dados!M$5="","",MIN(100,MAX(0,(Input_Dados!M$5-Parametros!$B$7)/(Parametros!$C$7-Parametros!$B$7)*100)))</f>
        <v/>
      </c>
      <c r="K5" s="83">
        <f>IF(Input_Dados!N$5="","",MIN(100,MAX(0,(Input_Dados!N$5-Parametros!$B$7)/(Parametros!$C$7-Parametros!$B$7)*100)))</f>
        <v/>
      </c>
      <c r="L5" s="83">
        <f>IF(Input_Dados!O$5="","",MIN(100,MAX(0,(Input_Dados!O$5-Parametros!$B$7)/(Parametros!$C$7-Parametros!$B$7)*100)))</f>
        <v/>
      </c>
      <c r="M5" s="83">
        <f>IF(Input_Dados!P$5="","",MIN(100,MAX(0,(Input_Dados!P$5-Parametros!$B$7)/(Parametros!$C$7-Parametros!$B$7)*100)))</f>
        <v/>
      </c>
    </row>
    <row r="6" ht="14.25" customHeight="1" s="50">
      <c r="A6" s="80" t="inlineStr">
        <is>
          <t>Doing Business / Ease of Business</t>
        </is>
      </c>
      <c r="B6" s="82" t="inlineStr">
        <is>
          <t>+</t>
        </is>
      </c>
      <c r="C6" s="83">
        <f>IF(Input_Dados!F$6="","",MIN(100,MAX(0,(Input_Dados!F$6-Parametros!$B$8)/(Parametros!$C$8-Parametros!$B$8)*100)))</f>
        <v/>
      </c>
      <c r="D6" s="83">
        <f>IF(Input_Dados!G$6="","",MIN(100,MAX(0,(Input_Dados!G$6-Parametros!$B$8)/(Parametros!$C$8-Parametros!$B$8)*100)))</f>
        <v/>
      </c>
      <c r="E6" s="83">
        <f>IF(Input_Dados!H$6="","",MIN(100,MAX(0,(Input_Dados!H$6-Parametros!$B$8)/(Parametros!$C$8-Parametros!$B$8)*100)))</f>
        <v/>
      </c>
      <c r="F6" s="83">
        <f>IF(Input_Dados!I$6="","",MIN(100,MAX(0,(Input_Dados!I$6-Parametros!$B$8)/(Parametros!$C$8-Parametros!$B$8)*100)))</f>
        <v/>
      </c>
      <c r="G6" s="83">
        <f>IF(Input_Dados!J$6="","",MIN(100,MAX(0,(Input_Dados!J$6-Parametros!$B$8)/(Parametros!$C$8-Parametros!$B$8)*100)))</f>
        <v/>
      </c>
      <c r="H6" s="83">
        <f>IF(Input_Dados!K$6="","",MIN(100,MAX(0,(Input_Dados!K$6-Parametros!$B$8)/(Parametros!$C$8-Parametros!$B$8)*100)))</f>
        <v/>
      </c>
      <c r="I6" s="83">
        <f>IF(Input_Dados!L$6="","",MIN(100,MAX(0,(Input_Dados!L$6-Parametros!$B$8)/(Parametros!$C$8-Parametros!$B$8)*100)))</f>
        <v/>
      </c>
      <c r="J6" s="83">
        <f>IF(Input_Dados!M$6="","",MIN(100,MAX(0,(Input_Dados!M$6-Parametros!$B$8)/(Parametros!$C$8-Parametros!$B$8)*100)))</f>
        <v/>
      </c>
      <c r="K6" s="83">
        <f>IF(Input_Dados!N$6="","",MIN(100,MAX(0,(Input_Dados!N$6-Parametros!$B$8)/(Parametros!$C$8-Parametros!$B$8)*100)))</f>
        <v/>
      </c>
      <c r="L6" s="83">
        <f>IF(Input_Dados!O$6="","",MIN(100,MAX(0,(Input_Dados!O$6-Parametros!$B$8)/(Parametros!$C$8-Parametros!$B$8)*100)))</f>
        <v/>
      </c>
      <c r="M6" s="83">
        <f>IF(Input_Dados!P$6="","",MIN(100,MAX(0,(Input_Dados!P$6-Parametros!$B$8)/(Parametros!$C$8-Parametros!$B$8)*100)))</f>
        <v/>
      </c>
    </row>
    <row r="7" ht="14.25" customHeight="1" s="50">
      <c r="A7" s="80" t="inlineStr">
        <is>
          <t>Taxa de Crescimento do PIB</t>
        </is>
      </c>
      <c r="B7" s="82" t="inlineStr">
        <is>
          <t>+</t>
        </is>
      </c>
      <c r="C7" s="83">
        <f>IF(Input_Dados!F$7="","",MIN(100,MAX(0,(Input_Dados!F$7-Parametros!$B$9)/(Parametros!$C$9-Parametros!$B$9)*100)))</f>
        <v/>
      </c>
      <c r="D7" s="83">
        <f>IF(Input_Dados!G$7="","",MIN(100,MAX(0,(Input_Dados!G$7-Parametros!$B$9)/(Parametros!$C$9-Parametros!$B$9)*100)))</f>
        <v/>
      </c>
      <c r="E7" s="83">
        <f>IF(Input_Dados!H$7="","",MIN(100,MAX(0,(Input_Dados!H$7-Parametros!$B$9)/(Parametros!$C$9-Parametros!$B$9)*100)))</f>
        <v/>
      </c>
      <c r="F7" s="83">
        <f>IF(Input_Dados!I$7="","",MIN(100,MAX(0,(Input_Dados!I$7-Parametros!$B$9)/(Parametros!$C$9-Parametros!$B$9)*100)))</f>
        <v/>
      </c>
      <c r="G7" s="83">
        <f>IF(Input_Dados!J$7="","",MIN(100,MAX(0,(Input_Dados!J$7-Parametros!$B$9)/(Parametros!$C$9-Parametros!$B$9)*100)))</f>
        <v/>
      </c>
      <c r="H7" s="83">
        <f>IF(Input_Dados!K$7="","",MIN(100,MAX(0,(Input_Dados!K$7-Parametros!$B$9)/(Parametros!$C$9-Parametros!$B$9)*100)))</f>
        <v/>
      </c>
      <c r="I7" s="83">
        <f>IF(Input_Dados!L$7="","",MIN(100,MAX(0,(Input_Dados!L$7-Parametros!$B$9)/(Parametros!$C$9-Parametros!$B$9)*100)))</f>
        <v/>
      </c>
      <c r="J7" s="83">
        <f>IF(Input_Dados!M$7="","",MIN(100,MAX(0,(Input_Dados!M$7-Parametros!$B$9)/(Parametros!$C$9-Parametros!$B$9)*100)))</f>
        <v/>
      </c>
      <c r="K7" s="83">
        <f>IF(Input_Dados!N$7="","",MIN(100,MAX(0,(Input_Dados!N$7-Parametros!$B$9)/(Parametros!$C$9-Parametros!$B$9)*100)))</f>
        <v/>
      </c>
      <c r="L7" s="83">
        <f>IF(Input_Dados!O$7="","",MIN(100,MAX(0,(Input_Dados!O$7-Parametros!$B$9)/(Parametros!$C$9-Parametros!$B$9)*100)))</f>
        <v/>
      </c>
      <c r="M7" s="83">
        <f>IF(Input_Dados!P$7="","",MIN(100,MAX(0,(Input_Dados!P$7-Parametros!$B$9)/(Parametros!$C$9-Parametros!$B$9)*100)))</f>
        <v/>
      </c>
    </row>
    <row r="8" ht="14.25" customHeight="1" s="50">
      <c r="A8" s="80" t="inlineStr">
        <is>
          <t>PIB per Capita (USD)</t>
        </is>
      </c>
      <c r="B8" s="82" t="inlineStr">
        <is>
          <t>+</t>
        </is>
      </c>
      <c r="C8" s="83">
        <f>IF(Input_Dados!F$8="","",MIN(100,MAX(0,(Input_Dados!F$8-Parametros!$B$10)/(Parametros!$C$10-Parametros!$B$10)*100)))</f>
        <v/>
      </c>
      <c r="D8" s="83">
        <f>IF(Input_Dados!G$8="","",MIN(100,MAX(0,(Input_Dados!G$8-Parametros!$B$10)/(Parametros!$C$10-Parametros!$B$10)*100)))</f>
        <v/>
      </c>
      <c r="E8" s="83">
        <f>IF(Input_Dados!H$8="","",MIN(100,MAX(0,(Input_Dados!H$8-Parametros!$B$10)/(Parametros!$C$10-Parametros!$B$10)*100)))</f>
        <v/>
      </c>
      <c r="F8" s="83">
        <f>IF(Input_Dados!I$8="","",MIN(100,MAX(0,(Input_Dados!I$8-Parametros!$B$10)/(Parametros!$C$10-Parametros!$B$10)*100)))</f>
        <v/>
      </c>
      <c r="G8" s="83">
        <f>IF(Input_Dados!J$8="","",MIN(100,MAX(0,(Input_Dados!J$8-Parametros!$B$10)/(Parametros!$C$10-Parametros!$B$10)*100)))</f>
        <v/>
      </c>
      <c r="H8" s="83">
        <f>IF(Input_Dados!K$8="","",MIN(100,MAX(0,(Input_Dados!K$8-Parametros!$B$10)/(Parametros!$C$10-Parametros!$B$10)*100)))</f>
        <v/>
      </c>
      <c r="I8" s="83">
        <f>IF(Input_Dados!L$8="","",MIN(100,MAX(0,(Input_Dados!L$8-Parametros!$B$10)/(Parametros!$C$10-Parametros!$B$10)*100)))</f>
        <v/>
      </c>
      <c r="J8" s="83">
        <f>IF(Input_Dados!M$8="","",MIN(100,MAX(0,(Input_Dados!M$8-Parametros!$B$10)/(Parametros!$C$10-Parametros!$B$10)*100)))</f>
        <v/>
      </c>
      <c r="K8" s="83">
        <f>IF(Input_Dados!N$8="","",MIN(100,MAX(0,(Input_Dados!N$8-Parametros!$B$10)/(Parametros!$C$10-Parametros!$B$10)*100)))</f>
        <v/>
      </c>
      <c r="L8" s="83">
        <f>IF(Input_Dados!O$8="","",MIN(100,MAX(0,(Input_Dados!O$8-Parametros!$B$10)/(Parametros!$C$10-Parametros!$B$10)*100)))</f>
        <v/>
      </c>
      <c r="M8" s="83">
        <f>IF(Input_Dados!P$8="","",MIN(100,MAX(0,(Input_Dados!P$8-Parametros!$B$10)/(Parametros!$C$10-Parametros!$B$10)*100)))</f>
        <v/>
      </c>
    </row>
    <row r="9" ht="14.25" customHeight="1" s="50">
      <c r="A9" s="80" t="inlineStr">
        <is>
          <t>Inflação (IPC)</t>
        </is>
      </c>
      <c r="B9" s="82" t="inlineStr">
        <is>
          <t>-</t>
        </is>
      </c>
      <c r="C9" s="83">
        <f>IF(Input_Dados!F$9="","",MIN(100,MAX(0,(Parametros!$C$11-Input_Dados!F$9)/(Parametros!$C$11-Parametros!$B$11)*100)))</f>
        <v/>
      </c>
      <c r="D9" s="83">
        <f>IF(Input_Dados!G$9="","",MIN(100,MAX(0,(Parametros!$C$11-Input_Dados!G$9)/(Parametros!$C$11-Parametros!$B$11)*100)))</f>
        <v/>
      </c>
      <c r="E9" s="83">
        <f>IF(Input_Dados!H$9="","",MIN(100,MAX(0,(Parametros!$C$11-Input_Dados!H$9)/(Parametros!$C$11-Parametros!$B$11)*100)))</f>
        <v/>
      </c>
      <c r="F9" s="83">
        <f>IF(Input_Dados!I$9="","",MIN(100,MAX(0,(Parametros!$C$11-Input_Dados!I$9)/(Parametros!$C$11-Parametros!$B$11)*100)))</f>
        <v/>
      </c>
      <c r="G9" s="83">
        <f>IF(Input_Dados!J$9="","",MIN(100,MAX(0,(Parametros!$C$11-Input_Dados!J$9)/(Parametros!$C$11-Parametros!$B$11)*100)))</f>
        <v/>
      </c>
      <c r="H9" s="83">
        <f>IF(Input_Dados!K$9="","",MIN(100,MAX(0,(Parametros!$C$11-Input_Dados!K$9)/(Parametros!$C$11-Parametros!$B$11)*100)))</f>
        <v/>
      </c>
      <c r="I9" s="83">
        <f>IF(Input_Dados!L$9="","",MIN(100,MAX(0,(Parametros!$C$11-Input_Dados!L$9)/(Parametros!$C$11-Parametros!$B$11)*100)))</f>
        <v/>
      </c>
      <c r="J9" s="83">
        <f>IF(Input_Dados!M$9="","",MIN(100,MAX(0,(Parametros!$C$11-Input_Dados!M$9)/(Parametros!$C$11-Parametros!$B$11)*100)))</f>
        <v/>
      </c>
      <c r="K9" s="83">
        <f>IF(Input_Dados!N$9="","",MIN(100,MAX(0,(Parametros!$C$11-Input_Dados!N$9)/(Parametros!$C$11-Parametros!$B$11)*100)))</f>
        <v/>
      </c>
      <c r="L9" s="83">
        <f>IF(Input_Dados!O$9="","",MIN(100,MAX(0,(Parametros!$C$11-Input_Dados!O$9)/(Parametros!$C$11-Parametros!$B$11)*100)))</f>
        <v/>
      </c>
      <c r="M9" s="83">
        <f>IF(Input_Dados!P$9="","",MIN(100,MAX(0,(Parametros!$C$11-Input_Dados!P$9)/(Parametros!$C$11-Parametros!$B$11)*100)))</f>
        <v/>
      </c>
    </row>
    <row r="10" ht="14.25" customHeight="1" s="50">
      <c r="A10" s="80" t="inlineStr">
        <is>
          <t>Dívida Pública (% do PIB)</t>
        </is>
      </c>
      <c r="B10" s="82" t="inlineStr">
        <is>
          <t>-</t>
        </is>
      </c>
      <c r="C10" s="83">
        <f>IF(Input_Dados!F$10="","",MIN(100,MAX(0,(Parametros!$C$12-Input_Dados!F$10)/(Parametros!$C$12-Parametros!$B$12)*100)))</f>
        <v/>
      </c>
      <c r="D10" s="83">
        <f>IF(Input_Dados!G$10="","",MIN(100,MAX(0,(Parametros!$C$12-Input_Dados!G$10)/(Parametros!$C$12-Parametros!$B$12)*100)))</f>
        <v/>
      </c>
      <c r="E10" s="83">
        <f>IF(Input_Dados!H$10="","",MIN(100,MAX(0,(Parametros!$C$12-Input_Dados!H$10)/(Parametros!$C$12-Parametros!$B$12)*100)))</f>
        <v/>
      </c>
      <c r="F10" s="83">
        <f>IF(Input_Dados!I$10="","",MIN(100,MAX(0,(Parametros!$C$12-Input_Dados!I$10)/(Parametros!$C$12-Parametros!$B$12)*100)))</f>
        <v/>
      </c>
      <c r="G10" s="83">
        <f>IF(Input_Dados!J$10="","",MIN(100,MAX(0,(Parametros!$C$12-Input_Dados!J$10)/(Parametros!$C$12-Parametros!$B$12)*100)))</f>
        <v/>
      </c>
      <c r="H10" s="83">
        <f>IF(Input_Dados!K$10="","",MIN(100,MAX(0,(Parametros!$C$12-Input_Dados!K$10)/(Parametros!$C$12-Parametros!$B$12)*100)))</f>
        <v/>
      </c>
      <c r="I10" s="83">
        <f>IF(Input_Dados!L$10="","",MIN(100,MAX(0,(Parametros!$C$12-Input_Dados!L$10)/(Parametros!$C$12-Parametros!$B$12)*100)))</f>
        <v/>
      </c>
      <c r="J10" s="83">
        <f>IF(Input_Dados!M$10="","",MIN(100,MAX(0,(Parametros!$C$12-Input_Dados!M$10)/(Parametros!$C$12-Parametros!$B$12)*100)))</f>
        <v/>
      </c>
      <c r="K10" s="83">
        <f>IF(Input_Dados!N$10="","",MIN(100,MAX(0,(Parametros!$C$12-Input_Dados!N$10)/(Parametros!$C$12-Parametros!$B$12)*100)))</f>
        <v/>
      </c>
      <c r="L10" s="83">
        <f>IF(Input_Dados!O$10="","",MIN(100,MAX(0,(Parametros!$C$12-Input_Dados!O$10)/(Parametros!$C$12-Parametros!$B$12)*100)))</f>
        <v/>
      </c>
      <c r="M10" s="83">
        <f>IF(Input_Dados!P$10="","",MIN(100,MAX(0,(Parametros!$C$12-Input_Dados!P$10)/(Parametros!$C$12-Parametros!$B$12)*100)))</f>
        <v/>
      </c>
    </row>
    <row r="11" ht="14.25" customHeight="1" s="50">
      <c r="A11" s="80" t="inlineStr">
        <is>
          <t>Saldo Orçamental (% do PIB)</t>
        </is>
      </c>
      <c r="B11" s="82" t="inlineStr">
        <is>
          <t>+</t>
        </is>
      </c>
      <c r="C11" s="83">
        <f>IF(Input_Dados!F$11="","",MIN(100,MAX(0,(Input_Dados!F$11-Parametros!$B$13)/(Parametros!$C$13-Parametros!$B$13)*100)))</f>
        <v/>
      </c>
      <c r="D11" s="83">
        <f>IF(Input_Dados!G$11="","",MIN(100,MAX(0,(Input_Dados!G$11-Parametros!$B$13)/(Parametros!$C$13-Parametros!$B$13)*100)))</f>
        <v/>
      </c>
      <c r="E11" s="83">
        <f>IF(Input_Dados!H$11="","",MIN(100,MAX(0,(Input_Dados!H$11-Parametros!$B$13)/(Parametros!$C$13-Parametros!$B$13)*100)))</f>
        <v/>
      </c>
      <c r="F11" s="83">
        <f>IF(Input_Dados!I$11="","",MIN(100,MAX(0,(Input_Dados!I$11-Parametros!$B$13)/(Parametros!$C$13-Parametros!$B$13)*100)))</f>
        <v/>
      </c>
      <c r="G11" s="83">
        <f>IF(Input_Dados!J$11="","",MIN(100,MAX(0,(Input_Dados!J$11-Parametros!$B$13)/(Parametros!$C$13-Parametros!$B$13)*100)))</f>
        <v/>
      </c>
      <c r="H11" s="83">
        <f>IF(Input_Dados!K$11="","",MIN(100,MAX(0,(Input_Dados!K$11-Parametros!$B$13)/(Parametros!$C$13-Parametros!$B$13)*100)))</f>
        <v/>
      </c>
      <c r="I11" s="83">
        <f>IF(Input_Dados!L$11="","",MIN(100,MAX(0,(Input_Dados!L$11-Parametros!$B$13)/(Parametros!$C$13-Parametros!$B$13)*100)))</f>
        <v/>
      </c>
      <c r="J11" s="83">
        <f>IF(Input_Dados!M$11="","",MIN(100,MAX(0,(Input_Dados!M$11-Parametros!$B$13)/(Parametros!$C$13-Parametros!$B$13)*100)))</f>
        <v/>
      </c>
      <c r="K11" s="83">
        <f>IF(Input_Dados!N$11="","",MIN(100,MAX(0,(Input_Dados!N$11-Parametros!$B$13)/(Parametros!$C$13-Parametros!$B$13)*100)))</f>
        <v/>
      </c>
      <c r="L11" s="83">
        <f>IF(Input_Dados!O$11="","",MIN(100,MAX(0,(Input_Dados!O$11-Parametros!$B$13)/(Parametros!$C$13-Parametros!$B$13)*100)))</f>
        <v/>
      </c>
      <c r="M11" s="83">
        <f>IF(Input_Dados!P$11="","",MIN(100,MAX(0,(Input_Dados!P$11-Parametros!$B$13)/(Parametros!$C$13-Parametros!$B$13)*100)))</f>
        <v/>
      </c>
    </row>
    <row r="12" ht="14.25" customHeight="1" s="50">
      <c r="A12" s="80" t="inlineStr">
        <is>
          <t>IDE não-petrolífero (% PIB)</t>
        </is>
      </c>
      <c r="B12" s="82" t="inlineStr">
        <is>
          <t>+</t>
        </is>
      </c>
      <c r="C12" s="83">
        <f>IF(Input_Dados!F$12="","",MIN(100,MAX(0,(Input_Dados!F$12-Parametros!$B$14)/(Parametros!$C$14-Parametros!$B$14)*100)))</f>
        <v/>
      </c>
      <c r="D12" s="83">
        <f>IF(Input_Dados!G$12="","",MIN(100,MAX(0,(Input_Dados!G$12-Parametros!$B$14)/(Parametros!$C$14-Parametros!$B$14)*100)))</f>
        <v/>
      </c>
      <c r="E12" s="83">
        <f>IF(Input_Dados!H$12="","",MIN(100,MAX(0,(Input_Dados!H$12-Parametros!$B$14)/(Parametros!$C$14-Parametros!$B$14)*100)))</f>
        <v/>
      </c>
      <c r="F12" s="83">
        <f>IF(Input_Dados!I$12="","",MIN(100,MAX(0,(Input_Dados!I$12-Parametros!$B$14)/(Parametros!$C$14-Parametros!$B$14)*100)))</f>
        <v/>
      </c>
      <c r="G12" s="83">
        <f>IF(Input_Dados!J$12="","",MIN(100,MAX(0,(Input_Dados!J$12-Parametros!$B$14)/(Parametros!$C$14-Parametros!$B$14)*100)))</f>
        <v/>
      </c>
      <c r="H12" s="83">
        <f>IF(Input_Dados!K$12="","",MIN(100,MAX(0,(Input_Dados!K$12-Parametros!$B$14)/(Parametros!$C$14-Parametros!$B$14)*100)))</f>
        <v/>
      </c>
      <c r="I12" s="83">
        <f>IF(Input_Dados!L$12="","",MIN(100,MAX(0,(Input_Dados!L$12-Parametros!$B$14)/(Parametros!$C$14-Parametros!$B$14)*100)))</f>
        <v/>
      </c>
      <c r="J12" s="83">
        <f>IF(Input_Dados!M$12="","",MIN(100,MAX(0,(Input_Dados!M$12-Parametros!$B$14)/(Parametros!$C$14-Parametros!$B$14)*100)))</f>
        <v/>
      </c>
      <c r="K12" s="83">
        <f>IF(Input_Dados!N$12="","",MIN(100,MAX(0,(Input_Dados!N$12-Parametros!$B$14)/(Parametros!$C$14-Parametros!$B$14)*100)))</f>
        <v/>
      </c>
      <c r="L12" s="83">
        <f>IF(Input_Dados!O$12="","",MIN(100,MAX(0,(Input_Dados!O$12-Parametros!$B$14)/(Parametros!$C$14-Parametros!$B$14)*100)))</f>
        <v/>
      </c>
      <c r="M12" s="83">
        <f>IF(Input_Dados!P$12="","",MIN(100,MAX(0,(Input_Dados!P$12-Parametros!$B$14)/(Parametros!$C$14-Parametros!$B$14)*100)))</f>
        <v/>
      </c>
    </row>
    <row r="13" ht="14.25" customHeight="1" s="50">
      <c r="A13" s="80" t="inlineStr">
        <is>
          <t>Reservas Internacionais (meses)</t>
        </is>
      </c>
      <c r="B13" s="82" t="inlineStr">
        <is>
          <t>+</t>
        </is>
      </c>
      <c r="C13" s="83">
        <f>IF(Input_Dados!F$13="","",MIN(100,MAX(0,(Input_Dados!F$13-Parametros!$B$15)/(Parametros!$C$15-Parametros!$B$15)*100)))</f>
        <v/>
      </c>
      <c r="D13" s="83">
        <f>IF(Input_Dados!G$13="","",MIN(100,MAX(0,(Input_Dados!G$13-Parametros!$B$15)/(Parametros!$C$15-Parametros!$B$15)*100)))</f>
        <v/>
      </c>
      <c r="E13" s="83">
        <f>IF(Input_Dados!H$13="","",MIN(100,MAX(0,(Input_Dados!H$13-Parametros!$B$15)/(Parametros!$C$15-Parametros!$B$15)*100)))</f>
        <v/>
      </c>
      <c r="F13" s="83">
        <f>IF(Input_Dados!I$13="","",MIN(100,MAX(0,(Input_Dados!I$13-Parametros!$B$15)/(Parametros!$C$15-Parametros!$B$15)*100)))</f>
        <v/>
      </c>
      <c r="G13" s="83">
        <f>IF(Input_Dados!J$13="","",MIN(100,MAX(0,(Input_Dados!J$13-Parametros!$B$15)/(Parametros!$C$15-Parametros!$B$15)*100)))</f>
        <v/>
      </c>
      <c r="H13" s="83">
        <f>IF(Input_Dados!K$13="","",MIN(100,MAX(0,(Input_Dados!K$13-Parametros!$B$15)/(Parametros!$C$15-Parametros!$B$15)*100)))</f>
        <v/>
      </c>
      <c r="I13" s="83">
        <f>IF(Input_Dados!L$13="","",MIN(100,MAX(0,(Input_Dados!L$13-Parametros!$B$15)/(Parametros!$C$15-Parametros!$B$15)*100)))</f>
        <v/>
      </c>
      <c r="J13" s="83">
        <f>IF(Input_Dados!M$13="","",MIN(100,MAX(0,(Input_Dados!M$13-Parametros!$B$15)/(Parametros!$C$15-Parametros!$B$15)*100)))</f>
        <v/>
      </c>
      <c r="K13" s="83">
        <f>IF(Input_Dados!N$13="","",MIN(100,MAX(0,(Input_Dados!N$13-Parametros!$B$15)/(Parametros!$C$15-Parametros!$B$15)*100)))</f>
        <v/>
      </c>
      <c r="L13" s="83">
        <f>IF(Input_Dados!O$13="","",MIN(100,MAX(0,(Input_Dados!O$13-Parametros!$B$15)/(Parametros!$C$15-Parametros!$B$15)*100)))</f>
        <v/>
      </c>
      <c r="M13" s="83">
        <f>IF(Input_Dados!P$13="","",MIN(100,MAX(0,(Input_Dados!P$13-Parametros!$B$15)/(Parametros!$C$15-Parametros!$B$15)*100)))</f>
        <v/>
      </c>
    </row>
    <row r="14" ht="14.25" customHeight="1" s="50">
      <c r="A14" s="80" t="inlineStr">
        <is>
          <t>Índice de Desenvolvimento Humano</t>
        </is>
      </c>
      <c r="B14" s="82" t="inlineStr">
        <is>
          <t>+</t>
        </is>
      </c>
      <c r="C14" s="83">
        <f>IF(Input_Dados!F$14="","",MIN(100,MAX(0,(Input_Dados!F$14-Parametros!$B$16)/(Parametros!$C$16-Parametros!$B$16)*100)))</f>
        <v/>
      </c>
      <c r="D14" s="83">
        <f>IF(Input_Dados!G$14="","",MIN(100,MAX(0,(Input_Dados!G$14-Parametros!$B$16)/(Parametros!$C$16-Parametros!$B$16)*100)))</f>
        <v/>
      </c>
      <c r="E14" s="83">
        <f>IF(Input_Dados!H$14="","",MIN(100,MAX(0,(Input_Dados!H$14-Parametros!$B$16)/(Parametros!$C$16-Parametros!$B$16)*100)))</f>
        <v/>
      </c>
      <c r="F14" s="83">
        <f>IF(Input_Dados!I$14="","",MIN(100,MAX(0,(Input_Dados!I$14-Parametros!$B$16)/(Parametros!$C$16-Parametros!$B$16)*100)))</f>
        <v/>
      </c>
      <c r="G14" s="83">
        <f>IF(Input_Dados!J$14="","",MIN(100,MAX(0,(Input_Dados!J$14-Parametros!$B$16)/(Parametros!$C$16-Parametros!$B$16)*100)))</f>
        <v/>
      </c>
      <c r="H14" s="83">
        <f>IF(Input_Dados!K$14="","",MIN(100,MAX(0,(Input_Dados!K$14-Parametros!$B$16)/(Parametros!$C$16-Parametros!$B$16)*100)))</f>
        <v/>
      </c>
      <c r="I14" s="83">
        <f>IF(Input_Dados!L$14="","",MIN(100,MAX(0,(Input_Dados!L$14-Parametros!$B$16)/(Parametros!$C$16-Parametros!$B$16)*100)))</f>
        <v/>
      </c>
      <c r="J14" s="83">
        <f>IF(Input_Dados!M$14="","",MIN(100,MAX(0,(Input_Dados!M$14-Parametros!$B$16)/(Parametros!$C$16-Parametros!$B$16)*100)))</f>
        <v/>
      </c>
      <c r="K14" s="83">
        <f>IF(Input_Dados!N$14="","",MIN(100,MAX(0,(Input_Dados!N$14-Parametros!$B$16)/(Parametros!$C$16-Parametros!$B$16)*100)))</f>
        <v/>
      </c>
      <c r="L14" s="83">
        <f>IF(Input_Dados!O$14="","",MIN(100,MAX(0,(Input_Dados!O$14-Parametros!$B$16)/(Parametros!$C$16-Parametros!$B$16)*100)))</f>
        <v/>
      </c>
      <c r="M14" s="83">
        <f>IF(Input_Dados!P$14="","",MIN(100,MAX(0,(Input_Dados!P$14-Parametros!$B$16)/(Parametros!$C$16-Parametros!$B$16)*100)))</f>
        <v/>
      </c>
    </row>
    <row r="15" ht="14.25" customHeight="1" s="50">
      <c r="A15" s="80" t="inlineStr">
        <is>
          <t>Esperança Média de Vida</t>
        </is>
      </c>
      <c r="B15" s="82" t="inlineStr">
        <is>
          <t>+</t>
        </is>
      </c>
      <c r="C15" s="83">
        <f>IF(Input_Dados!F$15="","",MIN(100,MAX(0,(Input_Dados!F$15-Parametros!$B$17)/(Parametros!$C$17-Parametros!$B$17)*100)))</f>
        <v/>
      </c>
      <c r="D15" s="83">
        <f>IF(Input_Dados!G$15="","",MIN(100,MAX(0,(Input_Dados!G$15-Parametros!$B$17)/(Parametros!$C$17-Parametros!$B$17)*100)))</f>
        <v/>
      </c>
      <c r="E15" s="83">
        <f>IF(Input_Dados!H$15="","",MIN(100,MAX(0,(Input_Dados!H$15-Parametros!$B$17)/(Parametros!$C$17-Parametros!$B$17)*100)))</f>
        <v/>
      </c>
      <c r="F15" s="83">
        <f>IF(Input_Dados!I$15="","",MIN(100,MAX(0,(Input_Dados!I$15-Parametros!$B$17)/(Parametros!$C$17-Parametros!$B$17)*100)))</f>
        <v/>
      </c>
      <c r="G15" s="83">
        <f>IF(Input_Dados!J$15="","",MIN(100,MAX(0,(Input_Dados!J$15-Parametros!$B$17)/(Parametros!$C$17-Parametros!$B$17)*100)))</f>
        <v/>
      </c>
      <c r="H15" s="83">
        <f>IF(Input_Dados!K$15="","",MIN(100,MAX(0,(Input_Dados!K$15-Parametros!$B$17)/(Parametros!$C$17-Parametros!$B$17)*100)))</f>
        <v/>
      </c>
      <c r="I15" s="83">
        <f>IF(Input_Dados!L$15="","",MIN(100,MAX(0,(Input_Dados!L$15-Parametros!$B$17)/(Parametros!$C$17-Parametros!$B$17)*100)))</f>
        <v/>
      </c>
      <c r="J15" s="83">
        <f>IF(Input_Dados!M$15="","",MIN(100,MAX(0,(Input_Dados!M$15-Parametros!$B$17)/(Parametros!$C$17-Parametros!$B$17)*100)))</f>
        <v/>
      </c>
      <c r="K15" s="83">
        <f>IF(Input_Dados!N$15="","",MIN(100,MAX(0,(Input_Dados!N$15-Parametros!$B$17)/(Parametros!$C$17-Parametros!$B$17)*100)))</f>
        <v/>
      </c>
      <c r="L15" s="83">
        <f>IF(Input_Dados!O$15="","",MIN(100,MAX(0,(Input_Dados!O$15-Parametros!$B$17)/(Parametros!$C$17-Parametros!$B$17)*100)))</f>
        <v/>
      </c>
      <c r="M15" s="83">
        <f>IF(Input_Dados!P$15="","",MIN(100,MAX(0,(Input_Dados!P$15-Parametros!$B$17)/(Parametros!$C$17-Parametros!$B$17)*100)))</f>
        <v/>
      </c>
    </row>
    <row r="16" ht="14.25" customHeight="1" s="50">
      <c r="A16" s="80" t="inlineStr">
        <is>
          <t>Taxa de Alfabetização (+15 anos)</t>
        </is>
      </c>
      <c r="B16" s="82" t="inlineStr">
        <is>
          <t>+</t>
        </is>
      </c>
      <c r="C16" s="83">
        <f>IF(Input_Dados!F$16="","",MIN(100,MAX(0,(Input_Dados!F$16-Parametros!$B$18)/(Parametros!$C$18-Parametros!$B$18)*100)))</f>
        <v/>
      </c>
      <c r="D16" s="83">
        <f>IF(Input_Dados!G$16="","",MIN(100,MAX(0,(Input_Dados!G$16-Parametros!$B$18)/(Parametros!$C$18-Parametros!$B$18)*100)))</f>
        <v/>
      </c>
      <c r="E16" s="83">
        <f>IF(Input_Dados!H$16="","",MIN(100,MAX(0,(Input_Dados!H$16-Parametros!$B$18)/(Parametros!$C$18-Parametros!$B$18)*100)))</f>
        <v/>
      </c>
      <c r="F16" s="83">
        <f>IF(Input_Dados!I$16="","",MIN(100,MAX(0,(Input_Dados!I$16-Parametros!$B$18)/(Parametros!$C$18-Parametros!$B$18)*100)))</f>
        <v/>
      </c>
      <c r="G16" s="83">
        <f>IF(Input_Dados!J$16="","",MIN(100,MAX(0,(Input_Dados!J$16-Parametros!$B$18)/(Parametros!$C$18-Parametros!$B$18)*100)))</f>
        <v/>
      </c>
      <c r="H16" s="83">
        <f>IF(Input_Dados!K$16="","",MIN(100,MAX(0,(Input_Dados!K$16-Parametros!$B$18)/(Parametros!$C$18-Parametros!$B$18)*100)))</f>
        <v/>
      </c>
      <c r="I16" s="83">
        <f>IF(Input_Dados!L$16="","",MIN(100,MAX(0,(Input_Dados!L$16-Parametros!$B$18)/(Parametros!$C$18-Parametros!$B$18)*100)))</f>
        <v/>
      </c>
      <c r="J16" s="83">
        <f>IF(Input_Dados!M$16="","",MIN(100,MAX(0,(Input_Dados!M$16-Parametros!$B$18)/(Parametros!$C$18-Parametros!$B$18)*100)))</f>
        <v/>
      </c>
      <c r="K16" s="83">
        <f>IF(Input_Dados!N$16="","",MIN(100,MAX(0,(Input_Dados!N$16-Parametros!$B$18)/(Parametros!$C$18-Parametros!$B$18)*100)))</f>
        <v/>
      </c>
      <c r="L16" s="83">
        <f>IF(Input_Dados!O$16="","",MIN(100,MAX(0,(Input_Dados!O$16-Parametros!$B$18)/(Parametros!$C$18-Parametros!$B$18)*100)))</f>
        <v/>
      </c>
      <c r="M16" s="83">
        <f>IF(Input_Dados!P$16="","",MIN(100,MAX(0,(Input_Dados!P$16-Parametros!$B$18)/(Parametros!$C$18-Parametros!$B$18)*100)))</f>
        <v/>
      </c>
    </row>
    <row r="17" ht="14.25" customHeight="1" s="50">
      <c r="A17" s="80" t="inlineStr">
        <is>
          <t>Taxa de Matrícula (primário)</t>
        </is>
      </c>
      <c r="B17" s="82" t="inlineStr">
        <is>
          <t>+</t>
        </is>
      </c>
      <c r="C17" s="83">
        <f>IF(Input_Dados!F$17="","",MIN(100,MAX(0,(Input_Dados!F$17-Parametros!$B$19)/(Parametros!$C$19-Parametros!$B$19)*100)))</f>
        <v/>
      </c>
      <c r="D17" s="83">
        <f>IF(Input_Dados!G$17="","",MIN(100,MAX(0,(Input_Dados!G$17-Parametros!$B$19)/(Parametros!$C$19-Parametros!$B$19)*100)))</f>
        <v/>
      </c>
      <c r="E17" s="83">
        <f>IF(Input_Dados!H$17="","",MIN(100,MAX(0,(Input_Dados!H$17-Parametros!$B$19)/(Parametros!$C$19-Parametros!$B$19)*100)))</f>
        <v/>
      </c>
      <c r="F17" s="83">
        <f>IF(Input_Dados!I$17="","",MIN(100,MAX(0,(Input_Dados!I$17-Parametros!$B$19)/(Parametros!$C$19-Parametros!$B$19)*100)))</f>
        <v/>
      </c>
      <c r="G17" s="83">
        <f>IF(Input_Dados!J$17="","",MIN(100,MAX(0,(Input_Dados!J$17-Parametros!$B$19)/(Parametros!$C$19-Parametros!$B$19)*100)))</f>
        <v/>
      </c>
      <c r="H17" s="83">
        <f>IF(Input_Dados!K$17="","",MIN(100,MAX(0,(Input_Dados!K$17-Parametros!$B$19)/(Parametros!$C$19-Parametros!$B$19)*100)))</f>
        <v/>
      </c>
      <c r="I17" s="83">
        <f>IF(Input_Dados!L$17="","",MIN(100,MAX(0,(Input_Dados!L$17-Parametros!$B$19)/(Parametros!$C$19-Parametros!$B$19)*100)))</f>
        <v/>
      </c>
      <c r="J17" s="83">
        <f>IF(Input_Dados!M$17="","",MIN(100,MAX(0,(Input_Dados!M$17-Parametros!$B$19)/(Parametros!$C$19-Parametros!$B$19)*100)))</f>
        <v/>
      </c>
      <c r="K17" s="83">
        <f>IF(Input_Dados!N$17="","",MIN(100,MAX(0,(Input_Dados!N$17-Parametros!$B$19)/(Parametros!$C$19-Parametros!$B$19)*100)))</f>
        <v/>
      </c>
      <c r="L17" s="83">
        <f>IF(Input_Dados!O$17="","",MIN(100,MAX(0,(Input_Dados!O$17-Parametros!$B$19)/(Parametros!$C$19-Parametros!$B$19)*100)))</f>
        <v/>
      </c>
      <c r="M17" s="83">
        <f>IF(Input_Dados!P$17="","",MIN(100,MAX(0,(Input_Dados!P$17-Parametros!$B$19)/(Parametros!$C$19-Parametros!$B$19)*100)))</f>
        <v/>
      </c>
    </row>
    <row r="18" ht="14.25" customHeight="1" s="50">
      <c r="A18" s="80" t="inlineStr">
        <is>
          <t>Anos Médios de Escolaridade</t>
        </is>
      </c>
      <c r="B18" s="82" t="inlineStr">
        <is>
          <t>+</t>
        </is>
      </c>
      <c r="C18" s="83">
        <f>IF(Input_Dados!F$18="","",MIN(100,MAX(0,(Input_Dados!F$18-Parametros!$B$20)/(Parametros!$C$20-Parametros!$B$20)*100)))</f>
        <v/>
      </c>
      <c r="D18" s="83">
        <f>IF(Input_Dados!G$18="","",MIN(100,MAX(0,(Input_Dados!G$18-Parametros!$B$20)/(Parametros!$C$20-Parametros!$B$20)*100)))</f>
        <v/>
      </c>
      <c r="E18" s="83">
        <f>IF(Input_Dados!H$18="","",MIN(100,MAX(0,(Input_Dados!H$18-Parametros!$B$20)/(Parametros!$C$20-Parametros!$B$20)*100)))</f>
        <v/>
      </c>
      <c r="F18" s="83">
        <f>IF(Input_Dados!I$18="","",MIN(100,MAX(0,(Input_Dados!I$18-Parametros!$B$20)/(Parametros!$C$20-Parametros!$B$20)*100)))</f>
        <v/>
      </c>
      <c r="G18" s="83">
        <f>IF(Input_Dados!J$18="","",MIN(100,MAX(0,(Input_Dados!J$18-Parametros!$B$20)/(Parametros!$C$20-Parametros!$B$20)*100)))</f>
        <v/>
      </c>
      <c r="H18" s="83">
        <f>IF(Input_Dados!K$18="","",MIN(100,MAX(0,(Input_Dados!K$18-Parametros!$B$20)/(Parametros!$C$20-Parametros!$B$20)*100)))</f>
        <v/>
      </c>
      <c r="I18" s="83">
        <f>IF(Input_Dados!L$18="","",MIN(100,MAX(0,(Input_Dados!L$18-Parametros!$B$20)/(Parametros!$C$20-Parametros!$B$20)*100)))</f>
        <v/>
      </c>
      <c r="J18" s="83">
        <f>IF(Input_Dados!M$18="","",MIN(100,MAX(0,(Input_Dados!M$18-Parametros!$B$20)/(Parametros!$C$20-Parametros!$B$20)*100)))</f>
        <v/>
      </c>
      <c r="K18" s="83">
        <f>IF(Input_Dados!N$18="","",MIN(100,MAX(0,(Input_Dados!N$18-Parametros!$B$20)/(Parametros!$C$20-Parametros!$B$20)*100)))</f>
        <v/>
      </c>
      <c r="L18" s="83">
        <f>IF(Input_Dados!O$18="","",MIN(100,MAX(0,(Input_Dados!O$18-Parametros!$B$20)/(Parametros!$C$20-Parametros!$B$20)*100)))</f>
        <v/>
      </c>
      <c r="M18" s="83">
        <f>IF(Input_Dados!P$18="","",MIN(100,MAX(0,(Input_Dados!P$18-Parametros!$B$20)/(Parametros!$C$20-Parametros!$B$20)*100)))</f>
        <v/>
      </c>
    </row>
    <row r="19" ht="14.25" customHeight="1" s="50">
      <c r="A19" s="80" t="inlineStr">
        <is>
          <t>Mortalidade Infantil (por 1000)</t>
        </is>
      </c>
      <c r="B19" s="82" t="inlineStr">
        <is>
          <t>-</t>
        </is>
      </c>
      <c r="C19" s="83">
        <f>IF(Input_Dados!F$19="","",MIN(100,MAX(0,(Parametros!$C$21-Input_Dados!F$19)/(Parametros!$C$21-Parametros!$B$21)*100)))</f>
        <v/>
      </c>
      <c r="D19" s="83">
        <f>IF(Input_Dados!G$19="","",MIN(100,MAX(0,(Parametros!$C$21-Input_Dados!G$19)/(Parametros!$C$21-Parametros!$B$21)*100)))</f>
        <v/>
      </c>
      <c r="E19" s="83">
        <f>IF(Input_Dados!H$19="","",MIN(100,MAX(0,(Parametros!$C$21-Input_Dados!H$19)/(Parametros!$C$21-Parametros!$B$21)*100)))</f>
        <v/>
      </c>
      <c r="F19" s="83">
        <f>IF(Input_Dados!I$19="","",MIN(100,MAX(0,(Parametros!$C$21-Input_Dados!I$19)/(Parametros!$C$21-Parametros!$B$21)*100)))</f>
        <v/>
      </c>
      <c r="G19" s="83">
        <f>IF(Input_Dados!J$19="","",MIN(100,MAX(0,(Parametros!$C$21-Input_Dados!J$19)/(Parametros!$C$21-Parametros!$B$21)*100)))</f>
        <v/>
      </c>
      <c r="H19" s="83">
        <f>IF(Input_Dados!K$19="","",MIN(100,MAX(0,(Parametros!$C$21-Input_Dados!K$19)/(Parametros!$C$21-Parametros!$B$21)*100)))</f>
        <v/>
      </c>
      <c r="I19" s="83">
        <f>IF(Input_Dados!L$19="","",MIN(100,MAX(0,(Parametros!$C$21-Input_Dados!L$19)/(Parametros!$C$21-Parametros!$B$21)*100)))</f>
        <v/>
      </c>
      <c r="J19" s="83">
        <f>IF(Input_Dados!M$19="","",MIN(100,MAX(0,(Parametros!$C$21-Input_Dados!M$19)/(Parametros!$C$21-Parametros!$B$21)*100)))</f>
        <v/>
      </c>
      <c r="K19" s="83">
        <f>IF(Input_Dados!N$19="","",MIN(100,MAX(0,(Parametros!$C$21-Input_Dados!N$19)/(Parametros!$C$21-Parametros!$B$21)*100)))</f>
        <v/>
      </c>
      <c r="L19" s="83">
        <f>IF(Input_Dados!O$19="","",MIN(100,MAX(0,(Parametros!$C$21-Input_Dados!O$19)/(Parametros!$C$21-Parametros!$B$21)*100)))</f>
        <v/>
      </c>
      <c r="M19" s="83">
        <f>IF(Input_Dados!P$19="","",MIN(100,MAX(0,(Parametros!$C$21-Input_Dados!P$19)/(Parametros!$C$21-Parametros!$B$21)*100)))</f>
        <v/>
      </c>
    </row>
    <row r="20" ht="14.25" customHeight="1" s="50">
      <c r="A20" s="80" t="inlineStr">
        <is>
          <t>Taxa de Pobreza (&lt; 2.15 USD/dia)</t>
        </is>
      </c>
      <c r="B20" s="82" t="inlineStr">
        <is>
          <t>-</t>
        </is>
      </c>
      <c r="C20" s="83">
        <f>IF(Input_Dados!F$20="","",MIN(100,MAX(0,(Parametros!$C$22-Input_Dados!F$20)/(Parametros!$C$22-Parametros!$B$22)*100)))</f>
        <v/>
      </c>
      <c r="D20" s="83">
        <f>IF(Input_Dados!G$20="","",MIN(100,MAX(0,(Parametros!$C$22-Input_Dados!G$20)/(Parametros!$C$22-Parametros!$B$22)*100)))</f>
        <v/>
      </c>
      <c r="E20" s="83">
        <f>IF(Input_Dados!H$20="","",MIN(100,MAX(0,(Parametros!$C$22-Input_Dados!H$20)/(Parametros!$C$22-Parametros!$B$22)*100)))</f>
        <v/>
      </c>
      <c r="F20" s="83">
        <f>IF(Input_Dados!I$20="","",MIN(100,MAX(0,(Parametros!$C$22-Input_Dados!I$20)/(Parametros!$C$22-Parametros!$B$22)*100)))</f>
        <v/>
      </c>
      <c r="G20" s="83">
        <f>IF(Input_Dados!J$20="","",MIN(100,MAX(0,(Parametros!$C$22-Input_Dados!J$20)/(Parametros!$C$22-Parametros!$B$22)*100)))</f>
        <v/>
      </c>
      <c r="H20" s="83">
        <f>IF(Input_Dados!K$20="","",MIN(100,MAX(0,(Parametros!$C$22-Input_Dados!K$20)/(Parametros!$C$22-Parametros!$B$22)*100)))</f>
        <v/>
      </c>
      <c r="I20" s="83">
        <f>IF(Input_Dados!L$20="","",MIN(100,MAX(0,(Parametros!$C$22-Input_Dados!L$20)/(Parametros!$C$22-Parametros!$B$22)*100)))</f>
        <v/>
      </c>
      <c r="J20" s="83">
        <f>IF(Input_Dados!M$20="","",MIN(100,MAX(0,(Parametros!$C$22-Input_Dados!M$20)/(Parametros!$C$22-Parametros!$B$22)*100)))</f>
        <v/>
      </c>
      <c r="K20" s="83">
        <f>IF(Input_Dados!N$20="","",MIN(100,MAX(0,(Parametros!$C$22-Input_Dados!N$20)/(Parametros!$C$22-Parametros!$B$22)*100)))</f>
        <v/>
      </c>
      <c r="L20" s="83">
        <f>IF(Input_Dados!O$20="","",MIN(100,MAX(0,(Parametros!$C$22-Input_Dados!O$20)/(Parametros!$C$22-Parametros!$B$22)*100)))</f>
        <v/>
      </c>
      <c r="M20" s="83">
        <f>IF(Input_Dados!P$20="","",MIN(100,MAX(0,(Parametros!$C$22-Input_Dados!P$20)/(Parametros!$C$22-Parametros!$B$22)*100)))</f>
        <v/>
      </c>
    </row>
    <row r="21" ht="14.25" customHeight="1" s="50">
      <c r="A21" s="80" t="inlineStr">
        <is>
          <t>Índice de Gini</t>
        </is>
      </c>
      <c r="B21" s="82" t="inlineStr">
        <is>
          <t>-</t>
        </is>
      </c>
      <c r="C21" s="83">
        <f>IF(Input_Dados!F$21="","",MIN(100,MAX(0,(Parametros!$C$23-Input_Dados!F$21)/(Parametros!$C$23-Parametros!$B$23)*100)))</f>
        <v/>
      </c>
      <c r="D21" s="83">
        <f>IF(Input_Dados!G$21="","",MIN(100,MAX(0,(Parametros!$C$23-Input_Dados!G$21)/(Parametros!$C$23-Parametros!$B$23)*100)))</f>
        <v/>
      </c>
      <c r="E21" s="83">
        <f>IF(Input_Dados!H$21="","",MIN(100,MAX(0,(Parametros!$C$23-Input_Dados!H$21)/(Parametros!$C$23-Parametros!$B$23)*100)))</f>
        <v/>
      </c>
      <c r="F21" s="83">
        <f>IF(Input_Dados!I$21="","",MIN(100,MAX(0,(Parametros!$C$23-Input_Dados!I$21)/(Parametros!$C$23-Parametros!$B$23)*100)))</f>
        <v/>
      </c>
      <c r="G21" s="83">
        <f>IF(Input_Dados!J$21="","",MIN(100,MAX(0,(Parametros!$C$23-Input_Dados!J$21)/(Parametros!$C$23-Parametros!$B$23)*100)))</f>
        <v/>
      </c>
      <c r="H21" s="83">
        <f>IF(Input_Dados!K$21="","",MIN(100,MAX(0,(Parametros!$C$23-Input_Dados!K$21)/(Parametros!$C$23-Parametros!$B$23)*100)))</f>
        <v/>
      </c>
      <c r="I21" s="83">
        <f>IF(Input_Dados!L$21="","",MIN(100,MAX(0,(Parametros!$C$23-Input_Dados!L$21)/(Parametros!$C$23-Parametros!$B$23)*100)))</f>
        <v/>
      </c>
      <c r="J21" s="83">
        <f>IF(Input_Dados!M$21="","",MIN(100,MAX(0,(Parametros!$C$23-Input_Dados!M$21)/(Parametros!$C$23-Parametros!$B$23)*100)))</f>
        <v/>
      </c>
      <c r="K21" s="83">
        <f>IF(Input_Dados!N$21="","",MIN(100,MAX(0,(Parametros!$C$23-Input_Dados!N$21)/(Parametros!$C$23-Parametros!$B$23)*100)))</f>
        <v/>
      </c>
      <c r="L21" s="83">
        <f>IF(Input_Dados!O$21="","",MIN(100,MAX(0,(Parametros!$C$23-Input_Dados!O$21)/(Parametros!$C$23-Parametros!$B$23)*100)))</f>
        <v/>
      </c>
      <c r="M21" s="83">
        <f>IF(Input_Dados!P$21="","",MIN(100,MAX(0,(Parametros!$C$23-Input_Dados!P$21)/(Parametros!$C$23-Parametros!$B$23)*100)))</f>
        <v/>
      </c>
    </row>
    <row r="22" ht="14.25" customHeight="1" s="50">
      <c r="A22" s="80" t="inlineStr">
        <is>
          <t>Cobertura Protecção Social</t>
        </is>
      </c>
      <c r="B22" s="82" t="inlineStr">
        <is>
          <t>+</t>
        </is>
      </c>
      <c r="C22" s="83">
        <f>IF(Input_Dados!F$22="","",MIN(100,MAX(0,(Input_Dados!F$22-Parametros!$B$24)/(Parametros!$C$24-Parametros!$B$24)*100)))</f>
        <v/>
      </c>
      <c r="D22" s="83">
        <f>IF(Input_Dados!G$22="","",MIN(100,MAX(0,(Input_Dados!G$22-Parametros!$B$24)/(Parametros!$C$24-Parametros!$B$24)*100)))</f>
        <v/>
      </c>
      <c r="E22" s="83">
        <f>IF(Input_Dados!H$22="","",MIN(100,MAX(0,(Input_Dados!H$22-Parametros!$B$24)/(Parametros!$C$24-Parametros!$B$24)*100)))</f>
        <v/>
      </c>
      <c r="F22" s="83">
        <f>IF(Input_Dados!I$22="","",MIN(100,MAX(0,(Input_Dados!I$22-Parametros!$B$24)/(Parametros!$C$24-Parametros!$B$24)*100)))</f>
        <v/>
      </c>
      <c r="G22" s="83">
        <f>IF(Input_Dados!J$22="","",MIN(100,MAX(0,(Input_Dados!J$22-Parametros!$B$24)/(Parametros!$C$24-Parametros!$B$24)*100)))</f>
        <v/>
      </c>
      <c r="H22" s="83">
        <f>IF(Input_Dados!K$22="","",MIN(100,MAX(0,(Input_Dados!K$22-Parametros!$B$24)/(Parametros!$C$24-Parametros!$B$24)*100)))</f>
        <v/>
      </c>
      <c r="I22" s="83">
        <f>IF(Input_Dados!L$22="","",MIN(100,MAX(0,(Input_Dados!L$22-Parametros!$B$24)/(Parametros!$C$24-Parametros!$B$24)*100)))</f>
        <v/>
      </c>
      <c r="J22" s="83">
        <f>IF(Input_Dados!M$22="","",MIN(100,MAX(0,(Input_Dados!M$22-Parametros!$B$24)/(Parametros!$C$24-Parametros!$B$24)*100)))</f>
        <v/>
      </c>
      <c r="K22" s="83">
        <f>IF(Input_Dados!N$22="","",MIN(100,MAX(0,(Input_Dados!N$22-Parametros!$B$24)/(Parametros!$C$24-Parametros!$B$24)*100)))</f>
        <v/>
      </c>
      <c r="L22" s="83">
        <f>IF(Input_Dados!O$22="","",MIN(100,MAX(0,(Input_Dados!O$22-Parametros!$B$24)/(Parametros!$C$24-Parametros!$B$24)*100)))</f>
        <v/>
      </c>
      <c r="M22" s="83">
        <f>IF(Input_Dados!P$22="","",MIN(100,MAX(0,(Input_Dados!P$22-Parametros!$B$24)/(Parametros!$C$24-Parametros!$B$24)*100)))</f>
        <v/>
      </c>
    </row>
    <row r="23" ht="14.25" customHeight="1" s="50">
      <c r="A23" s="80" t="inlineStr">
        <is>
          <t>Global Gender Gap Index</t>
        </is>
      </c>
      <c r="B23" s="82" t="inlineStr">
        <is>
          <t>+</t>
        </is>
      </c>
      <c r="C23" s="83">
        <f>IF(Input_Dados!F$23="","",MIN(100,MAX(0,(Input_Dados!F$23-Parametros!$B$25)/(Parametros!$C$25-Parametros!$B$25)*100)))</f>
        <v/>
      </c>
      <c r="D23" s="83">
        <f>IF(Input_Dados!G$23="","",MIN(100,MAX(0,(Input_Dados!G$23-Parametros!$B$25)/(Parametros!$C$25-Parametros!$B$25)*100)))</f>
        <v/>
      </c>
      <c r="E23" s="83">
        <f>IF(Input_Dados!H$23="","",MIN(100,MAX(0,(Input_Dados!H$23-Parametros!$B$25)/(Parametros!$C$25-Parametros!$B$25)*100)))</f>
        <v/>
      </c>
      <c r="F23" s="83">
        <f>IF(Input_Dados!I$23="","",MIN(100,MAX(0,(Input_Dados!I$23-Parametros!$B$25)/(Parametros!$C$25-Parametros!$B$25)*100)))</f>
        <v/>
      </c>
      <c r="G23" s="83">
        <f>IF(Input_Dados!J$23="","",MIN(100,MAX(0,(Input_Dados!J$23-Parametros!$B$25)/(Parametros!$C$25-Parametros!$B$25)*100)))</f>
        <v/>
      </c>
      <c r="H23" s="83">
        <f>IF(Input_Dados!K$23="","",MIN(100,MAX(0,(Input_Dados!K$23-Parametros!$B$25)/(Parametros!$C$25-Parametros!$B$25)*100)))</f>
        <v/>
      </c>
      <c r="I23" s="83">
        <f>IF(Input_Dados!L$23="","",MIN(100,MAX(0,(Input_Dados!L$23-Parametros!$B$25)/(Parametros!$C$25-Parametros!$B$25)*100)))</f>
        <v/>
      </c>
      <c r="J23" s="83">
        <f>IF(Input_Dados!M$23="","",MIN(100,MAX(0,(Input_Dados!M$23-Parametros!$B$25)/(Parametros!$C$25-Parametros!$B$25)*100)))</f>
        <v/>
      </c>
      <c r="K23" s="83">
        <f>IF(Input_Dados!N$23="","",MIN(100,MAX(0,(Input_Dados!N$23-Parametros!$B$25)/(Parametros!$C$25-Parametros!$B$25)*100)))</f>
        <v/>
      </c>
      <c r="L23" s="83">
        <f>IF(Input_Dados!O$23="","",MIN(100,MAX(0,(Input_Dados!O$23-Parametros!$B$25)/(Parametros!$C$25-Parametros!$B$25)*100)))</f>
        <v/>
      </c>
      <c r="M23" s="83">
        <f>IF(Input_Dados!P$23="","",MIN(100,MAX(0,(Input_Dados!P$23-Parametros!$B$25)/(Parametros!$C$25-Parametros!$B$25)*100)))</f>
        <v/>
      </c>
    </row>
    <row r="24" ht="14.25" customHeight="1" s="50">
      <c r="A24" s="80" t="inlineStr">
        <is>
          <t>RNB per Capita (USD)</t>
        </is>
      </c>
      <c r="B24" s="82" t="inlineStr">
        <is>
          <t>+</t>
        </is>
      </c>
      <c r="C24" s="83">
        <f>IF(Input_Dados!F$24="","",MIN(100,MAX(0,(Input_Dados!F$24-Parametros!$B$26)/(Parametros!$C$26-Parametros!$B$26)*100)))</f>
        <v/>
      </c>
      <c r="D24" s="83">
        <f>IF(Input_Dados!G$24="","",MIN(100,MAX(0,(Input_Dados!G$24-Parametros!$B$26)/(Parametros!$C$26-Parametros!$B$26)*100)))</f>
        <v/>
      </c>
      <c r="E24" s="83">
        <f>IF(Input_Dados!H$24="","",MIN(100,MAX(0,(Input_Dados!H$24-Parametros!$B$26)/(Parametros!$C$26-Parametros!$B$26)*100)))</f>
        <v/>
      </c>
      <c r="F24" s="83">
        <f>IF(Input_Dados!I$24="","",MIN(100,MAX(0,(Input_Dados!I$24-Parametros!$B$26)/(Parametros!$C$26-Parametros!$B$26)*100)))</f>
        <v/>
      </c>
      <c r="G24" s="83">
        <f>IF(Input_Dados!J$24="","",MIN(100,MAX(0,(Input_Dados!J$24-Parametros!$B$26)/(Parametros!$C$26-Parametros!$B$26)*100)))</f>
        <v/>
      </c>
      <c r="H24" s="83">
        <f>IF(Input_Dados!K$24="","",MIN(100,MAX(0,(Input_Dados!K$24-Parametros!$B$26)/(Parametros!$C$26-Parametros!$B$26)*100)))</f>
        <v/>
      </c>
      <c r="I24" s="83">
        <f>IF(Input_Dados!L$24="","",MIN(100,MAX(0,(Input_Dados!L$24-Parametros!$B$26)/(Parametros!$C$26-Parametros!$B$26)*100)))</f>
        <v/>
      </c>
      <c r="J24" s="83">
        <f>IF(Input_Dados!M$24="","",MIN(100,MAX(0,(Input_Dados!M$24-Parametros!$B$26)/(Parametros!$C$26-Parametros!$B$26)*100)))</f>
        <v/>
      </c>
      <c r="K24" s="83">
        <f>IF(Input_Dados!N$24="","",MIN(100,MAX(0,(Input_Dados!N$24-Parametros!$B$26)/(Parametros!$C$26-Parametros!$B$26)*100)))</f>
        <v/>
      </c>
      <c r="L24" s="83">
        <f>IF(Input_Dados!O$24="","",MIN(100,MAX(0,(Input_Dados!O$24-Parametros!$B$26)/(Parametros!$C$26-Parametros!$B$26)*100)))</f>
        <v/>
      </c>
      <c r="M24" s="83">
        <f>IF(Input_Dados!P$24="","",MIN(100,MAX(0,(Input_Dados!P$24-Parametros!$B$26)/(Parametros!$C$26-Parametros!$B$26)*100)))</f>
        <v/>
      </c>
    </row>
    <row r="25" ht="14.25" customHeight="1" s="50">
      <c r="A25" s="80" t="inlineStr">
        <is>
          <t>Taxa de Electrificação</t>
        </is>
      </c>
      <c r="B25" s="82" t="inlineStr">
        <is>
          <t>+</t>
        </is>
      </c>
      <c r="C25" s="83">
        <f>IF(Input_Dados!F$25="","",MIN(100,MAX(0,(Input_Dados!F$25-Parametros!$B$27)/(Parametros!$C$27-Parametros!$B$27)*100)))</f>
        <v/>
      </c>
      <c r="D25" s="83">
        <f>IF(Input_Dados!G$25="","",MIN(100,MAX(0,(Input_Dados!G$25-Parametros!$B$27)/(Parametros!$C$27-Parametros!$B$27)*100)))</f>
        <v/>
      </c>
      <c r="E25" s="83">
        <f>IF(Input_Dados!H$25="","",MIN(100,MAX(0,(Input_Dados!H$25-Parametros!$B$27)/(Parametros!$C$27-Parametros!$B$27)*100)))</f>
        <v/>
      </c>
      <c r="F25" s="83">
        <f>IF(Input_Dados!I$25="","",MIN(100,MAX(0,(Input_Dados!I$25-Parametros!$B$27)/(Parametros!$C$27-Parametros!$B$27)*100)))</f>
        <v/>
      </c>
      <c r="G25" s="83">
        <f>IF(Input_Dados!J$25="","",MIN(100,MAX(0,(Input_Dados!J$25-Parametros!$B$27)/(Parametros!$C$27-Parametros!$B$27)*100)))</f>
        <v/>
      </c>
      <c r="H25" s="83">
        <f>IF(Input_Dados!K$25="","",MIN(100,MAX(0,(Input_Dados!K$25-Parametros!$B$27)/(Parametros!$C$27-Parametros!$B$27)*100)))</f>
        <v/>
      </c>
      <c r="I25" s="83">
        <f>IF(Input_Dados!L$25="","",MIN(100,MAX(0,(Input_Dados!L$25-Parametros!$B$27)/(Parametros!$C$27-Parametros!$B$27)*100)))</f>
        <v/>
      </c>
      <c r="J25" s="83">
        <f>IF(Input_Dados!M$25="","",MIN(100,MAX(0,(Input_Dados!M$25-Parametros!$B$27)/(Parametros!$C$27-Parametros!$B$27)*100)))</f>
        <v/>
      </c>
      <c r="K25" s="83">
        <f>IF(Input_Dados!N$25="","",MIN(100,MAX(0,(Input_Dados!N$25-Parametros!$B$27)/(Parametros!$C$27-Parametros!$B$27)*100)))</f>
        <v/>
      </c>
      <c r="L25" s="83">
        <f>IF(Input_Dados!O$25="","",MIN(100,MAX(0,(Input_Dados!O$25-Parametros!$B$27)/(Parametros!$C$27-Parametros!$B$27)*100)))</f>
        <v/>
      </c>
      <c r="M25" s="83">
        <f>IF(Input_Dados!P$25="","",MIN(100,MAX(0,(Input_Dados!P$25-Parametros!$B$27)/(Parametros!$C$27-Parametros!$B$27)*100)))</f>
        <v/>
      </c>
    </row>
    <row r="26" ht="14.25" customHeight="1" s="50">
      <c r="A26" s="80" t="inlineStr">
        <is>
          <t>Acesso a Água Potável</t>
        </is>
      </c>
      <c r="B26" s="82" t="inlineStr">
        <is>
          <t>+</t>
        </is>
      </c>
      <c r="C26" s="83">
        <f>IF(Input_Dados!F$26="","",MIN(100,MAX(0,(Input_Dados!F$26-Parametros!$B$28)/(Parametros!$C$28-Parametros!$B$28)*100)))</f>
        <v/>
      </c>
      <c r="D26" s="83">
        <f>IF(Input_Dados!G$26="","",MIN(100,MAX(0,(Input_Dados!G$26-Parametros!$B$28)/(Parametros!$C$28-Parametros!$B$28)*100)))</f>
        <v/>
      </c>
      <c r="E26" s="83">
        <f>IF(Input_Dados!H$26="","",MIN(100,MAX(0,(Input_Dados!H$26-Parametros!$B$28)/(Parametros!$C$28-Parametros!$B$28)*100)))</f>
        <v/>
      </c>
      <c r="F26" s="83">
        <f>IF(Input_Dados!I$26="","",MIN(100,MAX(0,(Input_Dados!I$26-Parametros!$B$28)/(Parametros!$C$28-Parametros!$B$28)*100)))</f>
        <v/>
      </c>
      <c r="G26" s="83">
        <f>IF(Input_Dados!J$26="","",MIN(100,MAX(0,(Input_Dados!J$26-Parametros!$B$28)/(Parametros!$C$28-Parametros!$B$28)*100)))</f>
        <v/>
      </c>
      <c r="H26" s="83">
        <f>IF(Input_Dados!K$26="","",MIN(100,MAX(0,(Input_Dados!K$26-Parametros!$B$28)/(Parametros!$C$28-Parametros!$B$28)*100)))</f>
        <v/>
      </c>
      <c r="I26" s="83">
        <f>IF(Input_Dados!L$26="","",MIN(100,MAX(0,(Input_Dados!L$26-Parametros!$B$28)/(Parametros!$C$28-Parametros!$B$28)*100)))</f>
        <v/>
      </c>
      <c r="J26" s="83">
        <f>IF(Input_Dados!M$26="","",MIN(100,MAX(0,(Input_Dados!M$26-Parametros!$B$28)/(Parametros!$C$28-Parametros!$B$28)*100)))</f>
        <v/>
      </c>
      <c r="K26" s="83">
        <f>IF(Input_Dados!N$26="","",MIN(100,MAX(0,(Input_Dados!N$26-Parametros!$B$28)/(Parametros!$C$28-Parametros!$B$28)*100)))</f>
        <v/>
      </c>
      <c r="L26" s="83">
        <f>IF(Input_Dados!O$26="","",MIN(100,MAX(0,(Input_Dados!O$26-Parametros!$B$28)/(Parametros!$C$28-Parametros!$B$28)*100)))</f>
        <v/>
      </c>
      <c r="M26" s="83">
        <f>IF(Input_Dados!P$26="","",MIN(100,MAX(0,(Input_Dados!P$26-Parametros!$B$28)/(Parametros!$C$28-Parametros!$B$28)*100)))</f>
        <v/>
      </c>
    </row>
    <row r="27" ht="14.25" customHeight="1" s="50">
      <c r="A27" s="80" t="inlineStr">
        <is>
          <t>Acesso a Saneamento Básico</t>
        </is>
      </c>
      <c r="B27" s="82" t="inlineStr">
        <is>
          <t>+</t>
        </is>
      </c>
      <c r="C27" s="83">
        <f>IF(Input_Dados!F$27="","",MIN(100,MAX(0,(Input_Dados!F$27-Parametros!$B$29)/(Parametros!$C$29-Parametros!$B$29)*100)))</f>
        <v/>
      </c>
      <c r="D27" s="83">
        <f>IF(Input_Dados!G$27="","",MIN(100,MAX(0,(Input_Dados!G$27-Parametros!$B$29)/(Parametros!$C$29-Parametros!$B$29)*100)))</f>
        <v/>
      </c>
      <c r="E27" s="83">
        <f>IF(Input_Dados!H$27="","",MIN(100,MAX(0,(Input_Dados!H$27-Parametros!$B$29)/(Parametros!$C$29-Parametros!$B$29)*100)))</f>
        <v/>
      </c>
      <c r="F27" s="83">
        <f>IF(Input_Dados!I$27="","",MIN(100,MAX(0,(Input_Dados!I$27-Parametros!$B$29)/(Parametros!$C$29-Parametros!$B$29)*100)))</f>
        <v/>
      </c>
      <c r="G27" s="83">
        <f>IF(Input_Dados!J$27="","",MIN(100,MAX(0,(Input_Dados!J$27-Parametros!$B$29)/(Parametros!$C$29-Parametros!$B$29)*100)))</f>
        <v/>
      </c>
      <c r="H27" s="83">
        <f>IF(Input_Dados!K$27="","",MIN(100,MAX(0,(Input_Dados!K$27-Parametros!$B$29)/(Parametros!$C$29-Parametros!$B$29)*100)))</f>
        <v/>
      </c>
      <c r="I27" s="83">
        <f>IF(Input_Dados!L$27="","",MIN(100,MAX(0,(Input_Dados!L$27-Parametros!$B$29)/(Parametros!$C$29-Parametros!$B$29)*100)))</f>
        <v/>
      </c>
      <c r="J27" s="83">
        <f>IF(Input_Dados!M$27="","",MIN(100,MAX(0,(Input_Dados!M$27-Parametros!$B$29)/(Parametros!$C$29-Parametros!$B$29)*100)))</f>
        <v/>
      </c>
      <c r="K27" s="83">
        <f>IF(Input_Dados!N$27="","",MIN(100,MAX(0,(Input_Dados!N$27-Parametros!$B$29)/(Parametros!$C$29-Parametros!$B$29)*100)))</f>
        <v/>
      </c>
      <c r="L27" s="83">
        <f>IF(Input_Dados!O$27="","",MIN(100,MAX(0,(Input_Dados!O$27-Parametros!$B$29)/(Parametros!$C$29-Parametros!$B$29)*100)))</f>
        <v/>
      </c>
      <c r="M27" s="83">
        <f>IF(Input_Dados!P$27="","",MIN(100,MAX(0,(Input_Dados!P$27-Parametros!$B$29)/(Parametros!$C$29-Parametros!$B$29)*100)))</f>
        <v/>
      </c>
    </row>
    <row r="28" ht="14.25" customHeight="1" s="50">
      <c r="A28" s="80" t="inlineStr">
        <is>
          <t>Cobertura de Rede 4G</t>
        </is>
      </c>
      <c r="B28" s="82" t="inlineStr">
        <is>
          <t>+</t>
        </is>
      </c>
      <c r="C28" s="83">
        <f>IF(Input_Dados!F$28="","",MIN(100,MAX(0,(Input_Dados!F$28-Parametros!$B$30)/(Parametros!$C$30-Parametros!$B$30)*100)))</f>
        <v/>
      </c>
      <c r="D28" s="83">
        <f>IF(Input_Dados!G$28="","",MIN(100,MAX(0,(Input_Dados!G$28-Parametros!$B$30)/(Parametros!$C$30-Parametros!$B$30)*100)))</f>
        <v/>
      </c>
      <c r="E28" s="83">
        <f>IF(Input_Dados!H$28="","",MIN(100,MAX(0,(Input_Dados!H$28-Parametros!$B$30)/(Parametros!$C$30-Parametros!$B$30)*100)))</f>
        <v/>
      </c>
      <c r="F28" s="83">
        <f>IF(Input_Dados!I$28="","",MIN(100,MAX(0,(Input_Dados!I$28-Parametros!$B$30)/(Parametros!$C$30-Parametros!$B$30)*100)))</f>
        <v/>
      </c>
      <c r="G28" s="83">
        <f>IF(Input_Dados!J$28="","",MIN(100,MAX(0,(Input_Dados!J$28-Parametros!$B$30)/(Parametros!$C$30-Parametros!$B$30)*100)))</f>
        <v/>
      </c>
      <c r="H28" s="83">
        <f>IF(Input_Dados!K$28="","",MIN(100,MAX(0,(Input_Dados!K$28-Parametros!$B$30)/(Parametros!$C$30-Parametros!$B$30)*100)))</f>
        <v/>
      </c>
      <c r="I28" s="83">
        <f>IF(Input_Dados!L$28="","",MIN(100,MAX(0,(Input_Dados!L$28-Parametros!$B$30)/(Parametros!$C$30-Parametros!$B$30)*100)))</f>
        <v/>
      </c>
      <c r="J28" s="83">
        <f>IF(Input_Dados!M$28="","",MIN(100,MAX(0,(Input_Dados!M$28-Parametros!$B$30)/(Parametros!$C$30-Parametros!$B$30)*100)))</f>
        <v/>
      </c>
      <c r="K28" s="83">
        <f>IF(Input_Dados!N$28="","",MIN(100,MAX(0,(Input_Dados!N$28-Parametros!$B$30)/(Parametros!$C$30-Parametros!$B$30)*100)))</f>
        <v/>
      </c>
      <c r="L28" s="83">
        <f>IF(Input_Dados!O$28="","",MIN(100,MAX(0,(Input_Dados!O$28-Parametros!$B$30)/(Parametros!$C$30-Parametros!$B$30)*100)))</f>
        <v/>
      </c>
      <c r="M28" s="83">
        <f>IF(Input_Dados!P$28="","",MIN(100,MAX(0,(Input_Dados!P$28-Parametros!$B$30)/(Parametros!$C$30-Parametros!$B$30)*100)))</f>
        <v/>
      </c>
    </row>
    <row r="29" ht="14.25" customHeight="1" s="50">
      <c r="A29" s="80" t="inlineStr">
        <is>
          <t>Utilizadores de Internet (%)</t>
        </is>
      </c>
      <c r="B29" s="82" t="inlineStr">
        <is>
          <t>+</t>
        </is>
      </c>
      <c r="C29" s="83">
        <f>IF(Input_Dados!F$29="","",MIN(100,MAX(0,(Input_Dados!F$29-Parametros!$B$31)/(Parametros!$C$31-Parametros!$B$31)*100)))</f>
        <v/>
      </c>
      <c r="D29" s="83">
        <f>IF(Input_Dados!G$29="","",MIN(100,MAX(0,(Input_Dados!G$29-Parametros!$B$31)/(Parametros!$C$31-Parametros!$B$31)*100)))</f>
        <v/>
      </c>
      <c r="E29" s="83">
        <f>IF(Input_Dados!H$29="","",MIN(100,MAX(0,(Input_Dados!H$29-Parametros!$B$31)/(Parametros!$C$31-Parametros!$B$31)*100)))</f>
        <v/>
      </c>
      <c r="F29" s="83">
        <f>IF(Input_Dados!I$29="","",MIN(100,MAX(0,(Input_Dados!I$29-Parametros!$B$31)/(Parametros!$C$31-Parametros!$B$31)*100)))</f>
        <v/>
      </c>
      <c r="G29" s="83">
        <f>IF(Input_Dados!J$29="","",MIN(100,MAX(0,(Input_Dados!J$29-Parametros!$B$31)/(Parametros!$C$31-Parametros!$B$31)*100)))</f>
        <v/>
      </c>
      <c r="H29" s="83">
        <f>IF(Input_Dados!K$29="","",MIN(100,MAX(0,(Input_Dados!K$29-Parametros!$B$31)/(Parametros!$C$31-Parametros!$B$31)*100)))</f>
        <v/>
      </c>
      <c r="I29" s="83">
        <f>IF(Input_Dados!L$29="","",MIN(100,MAX(0,(Input_Dados!L$29-Parametros!$B$31)/(Parametros!$C$31-Parametros!$B$31)*100)))</f>
        <v/>
      </c>
      <c r="J29" s="83">
        <f>IF(Input_Dados!M$29="","",MIN(100,MAX(0,(Input_Dados!M$29-Parametros!$B$31)/(Parametros!$C$31-Parametros!$B$31)*100)))</f>
        <v/>
      </c>
      <c r="K29" s="83">
        <f>IF(Input_Dados!N$29="","",MIN(100,MAX(0,(Input_Dados!N$29-Parametros!$B$31)/(Parametros!$C$31-Parametros!$B$31)*100)))</f>
        <v/>
      </c>
      <c r="L29" s="83">
        <f>IF(Input_Dados!O$29="","",MIN(100,MAX(0,(Input_Dados!O$29-Parametros!$B$31)/(Parametros!$C$31-Parametros!$B$31)*100)))</f>
        <v/>
      </c>
      <c r="M29" s="83">
        <f>IF(Input_Dados!P$29="","",MIN(100,MAX(0,(Input_Dados!P$29-Parametros!$B$31)/(Parametros!$C$31-Parametros!$B$31)*100)))</f>
        <v/>
      </c>
    </row>
    <row r="30" ht="14.25" customHeight="1" s="50">
      <c r="A30" s="80" t="inlineStr">
        <is>
          <t>Densidade Rodoviária (km/1000km²)</t>
        </is>
      </c>
      <c r="B30" s="82" t="inlineStr">
        <is>
          <t>+</t>
        </is>
      </c>
      <c r="C30" s="83">
        <f>IF(Input_Dados!F$30="","",MIN(100,MAX(0,(Input_Dados!F$30-Parametros!$B$32)/(Parametros!$C$32-Parametros!$B$32)*100)))</f>
        <v/>
      </c>
      <c r="D30" s="83">
        <f>IF(Input_Dados!G$30="","",MIN(100,MAX(0,(Input_Dados!G$30-Parametros!$B$32)/(Parametros!$C$32-Parametros!$B$32)*100)))</f>
        <v/>
      </c>
      <c r="E30" s="83">
        <f>IF(Input_Dados!H$30="","",MIN(100,MAX(0,(Input_Dados!H$30-Parametros!$B$32)/(Parametros!$C$32-Parametros!$B$32)*100)))</f>
        <v/>
      </c>
      <c r="F30" s="83">
        <f>IF(Input_Dados!I$30="","",MIN(100,MAX(0,(Input_Dados!I$30-Parametros!$B$32)/(Parametros!$C$32-Parametros!$B$32)*100)))</f>
        <v/>
      </c>
      <c r="G30" s="83">
        <f>IF(Input_Dados!J$30="","",MIN(100,MAX(0,(Input_Dados!J$30-Parametros!$B$32)/(Parametros!$C$32-Parametros!$B$32)*100)))</f>
        <v/>
      </c>
      <c r="H30" s="83">
        <f>IF(Input_Dados!K$30="","",MIN(100,MAX(0,(Input_Dados!K$30-Parametros!$B$32)/(Parametros!$C$32-Parametros!$B$32)*100)))</f>
        <v/>
      </c>
      <c r="I30" s="83">
        <f>IF(Input_Dados!L$30="","",MIN(100,MAX(0,(Input_Dados!L$30-Parametros!$B$32)/(Parametros!$C$32-Parametros!$B$32)*100)))</f>
        <v/>
      </c>
      <c r="J30" s="83">
        <f>IF(Input_Dados!M$30="","",MIN(100,MAX(0,(Input_Dados!M$30-Parametros!$B$32)/(Parametros!$C$32-Parametros!$B$32)*100)))</f>
        <v/>
      </c>
      <c r="K30" s="83">
        <f>IF(Input_Dados!N$30="","",MIN(100,MAX(0,(Input_Dados!N$30-Parametros!$B$32)/(Parametros!$C$32-Parametros!$B$32)*100)))</f>
        <v/>
      </c>
      <c r="L30" s="83">
        <f>IF(Input_Dados!O$30="","",MIN(100,MAX(0,(Input_Dados!O$30-Parametros!$B$32)/(Parametros!$C$32-Parametros!$B$32)*100)))</f>
        <v/>
      </c>
      <c r="M30" s="83">
        <f>IF(Input_Dados!P$30="","",MIN(100,MAX(0,(Input_Dados!P$30-Parametros!$B$32)/(Parametros!$C$32-Parametros!$B$32)*100)))</f>
        <v/>
      </c>
    </row>
    <row r="31" ht="14.25" customHeight="1" s="50">
      <c r="A31" s="80" t="inlineStr">
        <is>
          <t>Taxa de Emprego</t>
        </is>
      </c>
      <c r="B31" s="82" t="inlineStr">
        <is>
          <t>+</t>
        </is>
      </c>
      <c r="C31" s="83">
        <f>IF(Input_Dados!F$31="","",MIN(100,MAX(0,(Input_Dados!F$31-Parametros!$B$33)/(Parametros!$C$33-Parametros!$B$33)*100)))</f>
        <v/>
      </c>
      <c r="D31" s="83">
        <f>IF(Input_Dados!G$31="","",MIN(100,MAX(0,(Input_Dados!G$31-Parametros!$B$33)/(Parametros!$C$33-Parametros!$B$33)*100)))</f>
        <v/>
      </c>
      <c r="E31" s="83">
        <f>IF(Input_Dados!H$31="","",MIN(100,MAX(0,(Input_Dados!H$31-Parametros!$B$33)/(Parametros!$C$33-Parametros!$B$33)*100)))</f>
        <v/>
      </c>
      <c r="F31" s="83">
        <f>IF(Input_Dados!I$31="","",MIN(100,MAX(0,(Input_Dados!I$31-Parametros!$B$33)/(Parametros!$C$33-Parametros!$B$33)*100)))</f>
        <v/>
      </c>
      <c r="G31" s="83">
        <f>IF(Input_Dados!J$31="","",MIN(100,MAX(0,(Input_Dados!J$31-Parametros!$B$33)/(Parametros!$C$33-Parametros!$B$33)*100)))</f>
        <v/>
      </c>
      <c r="H31" s="83">
        <f>IF(Input_Dados!K$31="","",MIN(100,MAX(0,(Input_Dados!K$31-Parametros!$B$33)/(Parametros!$C$33-Parametros!$B$33)*100)))</f>
        <v/>
      </c>
      <c r="I31" s="83">
        <f>IF(Input_Dados!L$31="","",MIN(100,MAX(0,(Input_Dados!L$31-Parametros!$B$33)/(Parametros!$C$33-Parametros!$B$33)*100)))</f>
        <v/>
      </c>
      <c r="J31" s="83">
        <f>IF(Input_Dados!M$31="","",MIN(100,MAX(0,(Input_Dados!M$31-Parametros!$B$33)/(Parametros!$C$33-Parametros!$B$33)*100)))</f>
        <v/>
      </c>
      <c r="K31" s="83">
        <f>IF(Input_Dados!N$31="","",MIN(100,MAX(0,(Input_Dados!N$31-Parametros!$B$33)/(Parametros!$C$33-Parametros!$B$33)*100)))</f>
        <v/>
      </c>
      <c r="L31" s="83">
        <f>IF(Input_Dados!O$31="","",MIN(100,MAX(0,(Input_Dados!O$31-Parametros!$B$33)/(Parametros!$C$33-Parametros!$B$33)*100)))</f>
        <v/>
      </c>
      <c r="M31" s="83">
        <f>IF(Input_Dados!P$31="","",MIN(100,MAX(0,(Input_Dados!P$31-Parametros!$B$33)/(Parametros!$C$33-Parametros!$B$33)*100)))</f>
        <v/>
      </c>
    </row>
    <row r="32" ht="14.25" customHeight="1" s="50">
      <c r="A32" s="80" t="inlineStr">
        <is>
          <t>Taxa de Desemprego</t>
        </is>
      </c>
      <c r="B32" s="82" t="inlineStr">
        <is>
          <t>-</t>
        </is>
      </c>
      <c r="C32" s="83">
        <f>IF(Input_Dados!F$32="","",MIN(100,MAX(0,(Parametros!$C$34-Input_Dados!F$32)/(Parametros!$C$34-Parametros!$B$34)*100)))</f>
        <v/>
      </c>
      <c r="D32" s="83">
        <f>IF(Input_Dados!G$32="","",MIN(100,MAX(0,(Parametros!$C$34-Input_Dados!G$32)/(Parametros!$C$34-Parametros!$B$34)*100)))</f>
        <v/>
      </c>
      <c r="E32" s="83">
        <f>IF(Input_Dados!H$32="","",MIN(100,MAX(0,(Parametros!$C$34-Input_Dados!H$32)/(Parametros!$C$34-Parametros!$B$34)*100)))</f>
        <v/>
      </c>
      <c r="F32" s="83">
        <f>IF(Input_Dados!I$32="","",MIN(100,MAX(0,(Parametros!$C$34-Input_Dados!I$32)/(Parametros!$C$34-Parametros!$B$34)*100)))</f>
        <v/>
      </c>
      <c r="G32" s="83">
        <f>IF(Input_Dados!J$32="","",MIN(100,MAX(0,(Parametros!$C$34-Input_Dados!J$32)/(Parametros!$C$34-Parametros!$B$34)*100)))</f>
        <v/>
      </c>
      <c r="H32" s="83">
        <f>IF(Input_Dados!K$32="","",MIN(100,MAX(0,(Parametros!$C$34-Input_Dados!K$32)/(Parametros!$C$34-Parametros!$B$34)*100)))</f>
        <v/>
      </c>
      <c r="I32" s="83">
        <f>IF(Input_Dados!L$32="","",MIN(100,MAX(0,(Parametros!$C$34-Input_Dados!L$32)/(Parametros!$C$34-Parametros!$B$34)*100)))</f>
        <v/>
      </c>
      <c r="J32" s="83">
        <f>IF(Input_Dados!M$32="","",MIN(100,MAX(0,(Parametros!$C$34-Input_Dados!M$32)/(Parametros!$C$34-Parametros!$B$34)*100)))</f>
        <v/>
      </c>
      <c r="K32" s="83">
        <f>IF(Input_Dados!N$32="","",MIN(100,MAX(0,(Parametros!$C$34-Input_Dados!N$32)/(Parametros!$C$34-Parametros!$B$34)*100)))</f>
        <v/>
      </c>
      <c r="L32" s="83">
        <f>IF(Input_Dados!O$32="","",MIN(100,MAX(0,(Parametros!$C$34-Input_Dados!O$32)/(Parametros!$C$34-Parametros!$B$34)*100)))</f>
        <v/>
      </c>
      <c r="M32" s="83">
        <f>IF(Input_Dados!P$32="","",MIN(100,MAX(0,(Parametros!$C$34-Input_Dados!P$32)/(Parametros!$C$34-Parametros!$B$34)*100)))</f>
        <v/>
      </c>
    </row>
    <row r="33" ht="14.25" customHeight="1" s="50">
      <c r="A33" s="80" t="inlineStr">
        <is>
          <t>Desemprego Juvenil</t>
        </is>
      </c>
      <c r="B33" s="82" t="inlineStr">
        <is>
          <t>-</t>
        </is>
      </c>
      <c r="C33" s="83">
        <f>IF(Input_Dados!F$33="","",MIN(100,MAX(0,(Parametros!$C$35-Input_Dados!F$33)/(Parametros!$C$35-Parametros!$B$35)*100)))</f>
        <v/>
      </c>
      <c r="D33" s="83">
        <f>IF(Input_Dados!G$33="","",MIN(100,MAX(0,(Parametros!$C$35-Input_Dados!G$33)/(Parametros!$C$35-Parametros!$B$35)*100)))</f>
        <v/>
      </c>
      <c r="E33" s="83">
        <f>IF(Input_Dados!H$33="","",MIN(100,MAX(0,(Parametros!$C$35-Input_Dados!H$33)/(Parametros!$C$35-Parametros!$B$35)*100)))</f>
        <v/>
      </c>
      <c r="F33" s="83">
        <f>IF(Input_Dados!I$33="","",MIN(100,MAX(0,(Parametros!$C$35-Input_Dados!I$33)/(Parametros!$C$35-Parametros!$B$35)*100)))</f>
        <v/>
      </c>
      <c r="G33" s="83">
        <f>IF(Input_Dados!J$33="","",MIN(100,MAX(0,(Parametros!$C$35-Input_Dados!J$33)/(Parametros!$C$35-Parametros!$B$35)*100)))</f>
        <v/>
      </c>
      <c r="H33" s="83">
        <f>IF(Input_Dados!K$33="","",MIN(100,MAX(0,(Parametros!$C$35-Input_Dados!K$33)/(Parametros!$C$35-Parametros!$B$35)*100)))</f>
        <v/>
      </c>
      <c r="I33" s="83">
        <f>IF(Input_Dados!L$33="","",MIN(100,MAX(0,(Parametros!$C$35-Input_Dados!L$33)/(Parametros!$C$35-Parametros!$B$35)*100)))</f>
        <v/>
      </c>
      <c r="J33" s="83">
        <f>IF(Input_Dados!M$33="","",MIN(100,MAX(0,(Parametros!$C$35-Input_Dados!M$33)/(Parametros!$C$35-Parametros!$B$35)*100)))</f>
        <v/>
      </c>
      <c r="K33" s="83">
        <f>IF(Input_Dados!N$33="","",MIN(100,MAX(0,(Parametros!$C$35-Input_Dados!N$33)/(Parametros!$C$35-Parametros!$B$35)*100)))</f>
        <v/>
      </c>
      <c r="L33" s="83">
        <f>IF(Input_Dados!O$33="","",MIN(100,MAX(0,(Parametros!$C$35-Input_Dados!O$33)/(Parametros!$C$35-Parametros!$B$35)*100)))</f>
        <v/>
      </c>
      <c r="M33" s="83">
        <f>IF(Input_Dados!P$33="","",MIN(100,MAX(0,(Parametros!$C$35-Input_Dados!P$33)/(Parametros!$C$35-Parametros!$B$35)*100)))</f>
        <v/>
      </c>
    </row>
    <row r="34" ht="14.25" customHeight="1" s="50">
      <c r="A34" s="80" t="inlineStr">
        <is>
          <t>Emprego Informal (%)</t>
        </is>
      </c>
      <c r="B34" s="82" t="inlineStr">
        <is>
          <t>-</t>
        </is>
      </c>
      <c r="C34" s="83">
        <f>IF(Input_Dados!F$34="","",MIN(100,MAX(0,(Parametros!$C$36-Input_Dados!F$34)/(Parametros!$C$36-Parametros!$B$36)*100)))</f>
        <v/>
      </c>
      <c r="D34" s="83">
        <f>IF(Input_Dados!G$34="","",MIN(100,MAX(0,(Parametros!$C$36-Input_Dados!G$34)/(Parametros!$C$36-Parametros!$B$36)*100)))</f>
        <v/>
      </c>
      <c r="E34" s="83">
        <f>IF(Input_Dados!H$34="","",MIN(100,MAX(0,(Parametros!$C$36-Input_Dados!H$34)/(Parametros!$C$36-Parametros!$B$36)*100)))</f>
        <v/>
      </c>
      <c r="F34" s="83">
        <f>IF(Input_Dados!I$34="","",MIN(100,MAX(0,(Parametros!$C$36-Input_Dados!I$34)/(Parametros!$C$36-Parametros!$B$36)*100)))</f>
        <v/>
      </c>
      <c r="G34" s="83">
        <f>IF(Input_Dados!J$34="","",MIN(100,MAX(0,(Parametros!$C$36-Input_Dados!J$34)/(Parametros!$C$36-Parametros!$B$36)*100)))</f>
        <v/>
      </c>
      <c r="H34" s="83">
        <f>IF(Input_Dados!K$34="","",MIN(100,MAX(0,(Parametros!$C$36-Input_Dados!K$34)/(Parametros!$C$36-Parametros!$B$36)*100)))</f>
        <v/>
      </c>
      <c r="I34" s="83">
        <f>IF(Input_Dados!L$34="","",MIN(100,MAX(0,(Parametros!$C$36-Input_Dados!L$34)/(Parametros!$C$36-Parametros!$B$36)*100)))</f>
        <v/>
      </c>
      <c r="J34" s="83">
        <f>IF(Input_Dados!M$34="","",MIN(100,MAX(0,(Parametros!$C$36-Input_Dados!M$34)/(Parametros!$C$36-Parametros!$B$36)*100)))</f>
        <v/>
      </c>
      <c r="K34" s="83">
        <f>IF(Input_Dados!N$34="","",MIN(100,MAX(0,(Parametros!$C$36-Input_Dados!N$34)/(Parametros!$C$36-Parametros!$B$36)*100)))</f>
        <v/>
      </c>
      <c r="L34" s="83">
        <f>IF(Input_Dados!O$34="","",MIN(100,MAX(0,(Parametros!$C$36-Input_Dados!O$34)/(Parametros!$C$36-Parametros!$B$36)*100)))</f>
        <v/>
      </c>
      <c r="M34" s="83">
        <f>IF(Input_Dados!P$34="","",MIN(100,MAX(0,(Parametros!$C$36-Input_Dados!P$34)/(Parametros!$C$36-Parametros!$B$36)*100)))</f>
        <v/>
      </c>
    </row>
    <row r="35" ht="14.25" customHeight="1" s="50">
      <c r="A35" s="80" t="inlineStr">
        <is>
          <t>Taxa de Formalização</t>
        </is>
      </c>
      <c r="B35" s="82" t="inlineStr">
        <is>
          <t>+</t>
        </is>
      </c>
      <c r="C35" s="83">
        <f>IF(Input_Dados!F$35="","",MIN(100,MAX(0,(Input_Dados!F$35-Parametros!$B$37)/(Parametros!$C$37-Parametros!$B$37)*100)))</f>
        <v/>
      </c>
      <c r="D35" s="83">
        <f>IF(Input_Dados!G$35="","",MIN(100,MAX(0,(Input_Dados!G$35-Parametros!$B$37)/(Parametros!$C$37-Parametros!$B$37)*100)))</f>
        <v/>
      </c>
      <c r="E35" s="83">
        <f>IF(Input_Dados!H$35="","",MIN(100,MAX(0,(Input_Dados!H$35-Parametros!$B$37)/(Parametros!$C$37-Parametros!$B$37)*100)))</f>
        <v/>
      </c>
      <c r="F35" s="83">
        <f>IF(Input_Dados!I$35="","",MIN(100,MAX(0,(Input_Dados!I$35-Parametros!$B$37)/(Parametros!$C$37-Parametros!$B$37)*100)))</f>
        <v/>
      </c>
      <c r="G35" s="83">
        <f>IF(Input_Dados!J$35="","",MIN(100,MAX(0,(Input_Dados!J$35-Parametros!$B$37)/(Parametros!$C$37-Parametros!$B$37)*100)))</f>
        <v/>
      </c>
      <c r="H35" s="83">
        <f>IF(Input_Dados!K$35="","",MIN(100,MAX(0,(Input_Dados!K$35-Parametros!$B$37)/(Parametros!$C$37-Parametros!$B$37)*100)))</f>
        <v/>
      </c>
      <c r="I35" s="83">
        <f>IF(Input_Dados!L$35="","",MIN(100,MAX(0,(Input_Dados!L$35-Parametros!$B$37)/(Parametros!$C$37-Parametros!$B$37)*100)))</f>
        <v/>
      </c>
      <c r="J35" s="83">
        <f>IF(Input_Dados!M$35="","",MIN(100,MAX(0,(Input_Dados!M$35-Parametros!$B$37)/(Parametros!$C$37-Parametros!$B$37)*100)))</f>
        <v/>
      </c>
      <c r="K35" s="83">
        <f>IF(Input_Dados!N$35="","",MIN(100,MAX(0,(Input_Dados!N$35-Parametros!$B$37)/(Parametros!$C$37-Parametros!$B$37)*100)))</f>
        <v/>
      </c>
      <c r="L35" s="83">
        <f>IF(Input_Dados!O$35="","",MIN(100,MAX(0,(Input_Dados!O$35-Parametros!$B$37)/(Parametros!$C$37-Parametros!$B$37)*100)))</f>
        <v/>
      </c>
      <c r="M35" s="83">
        <f>IF(Input_Dados!P$35="","",MIN(100,MAX(0,(Input_Dados!P$35-Parametros!$B$37)/(Parametros!$C$37-Parametros!$B$37)*100)))</f>
        <v/>
      </c>
    </row>
    <row r="36" ht="14.25" customHeight="1" s="50">
      <c r="A36" s="80" t="inlineStr">
        <is>
          <t>Crescimento da Produtividade</t>
        </is>
      </c>
      <c r="B36" s="82" t="inlineStr">
        <is>
          <t>+</t>
        </is>
      </c>
      <c r="C36" s="83">
        <f>IF(Input_Dados!F$36="","",MIN(100,MAX(0,(Input_Dados!F$36-Parametros!$B$38)/(Parametros!$C$38-Parametros!$B$38)*100)))</f>
        <v/>
      </c>
      <c r="D36" s="83">
        <f>IF(Input_Dados!G$36="","",MIN(100,MAX(0,(Input_Dados!G$36-Parametros!$B$38)/(Parametros!$C$38-Parametros!$B$38)*100)))</f>
        <v/>
      </c>
      <c r="E36" s="83">
        <f>IF(Input_Dados!H$36="","",MIN(100,MAX(0,(Input_Dados!H$36-Parametros!$B$38)/(Parametros!$C$38-Parametros!$B$38)*100)))</f>
        <v/>
      </c>
      <c r="F36" s="83">
        <f>IF(Input_Dados!I$36="","",MIN(100,MAX(0,(Input_Dados!I$36-Parametros!$B$38)/(Parametros!$C$38-Parametros!$B$38)*100)))</f>
        <v/>
      </c>
      <c r="G36" s="83">
        <f>IF(Input_Dados!J$36="","",MIN(100,MAX(0,(Input_Dados!J$36-Parametros!$B$38)/(Parametros!$C$38-Parametros!$B$38)*100)))</f>
        <v/>
      </c>
      <c r="H36" s="83">
        <f>IF(Input_Dados!K$36="","",MIN(100,MAX(0,(Input_Dados!K$36-Parametros!$B$38)/(Parametros!$C$38-Parametros!$B$38)*100)))</f>
        <v/>
      </c>
      <c r="I36" s="83">
        <f>IF(Input_Dados!L$36="","",MIN(100,MAX(0,(Input_Dados!L$36-Parametros!$B$38)/(Parametros!$C$38-Parametros!$B$38)*100)))</f>
        <v/>
      </c>
      <c r="J36" s="83">
        <f>IF(Input_Dados!M$36="","",MIN(100,MAX(0,(Input_Dados!M$36-Parametros!$B$38)/(Parametros!$C$38-Parametros!$B$38)*100)))</f>
        <v/>
      </c>
      <c r="K36" s="83">
        <f>IF(Input_Dados!N$36="","",MIN(100,MAX(0,(Input_Dados!N$36-Parametros!$B$38)/(Parametros!$C$38-Parametros!$B$38)*100)))</f>
        <v/>
      </c>
      <c r="L36" s="83">
        <f>IF(Input_Dados!O$36="","",MIN(100,MAX(0,(Input_Dados!O$36-Parametros!$B$38)/(Parametros!$C$38-Parametros!$B$38)*100)))</f>
        <v/>
      </c>
      <c r="M36" s="83">
        <f>IF(Input_Dados!P$36="","",MIN(100,MAX(0,(Input_Dados!P$36-Parametros!$B$38)/(Parametros!$C$38-Parametros!$B$38)*100)))</f>
        <v/>
      </c>
    </row>
    <row r="37" ht="14.25" customHeight="1" s="50">
      <c r="A37" s="80" t="inlineStr">
        <is>
          <t>Índice Global Seg. Alimentar</t>
        </is>
      </c>
      <c r="B37" s="82" t="inlineStr">
        <is>
          <t>+</t>
        </is>
      </c>
      <c r="C37" s="83">
        <f>IF(Input_Dados!F$37="","",MIN(100,MAX(0,(Input_Dados!F$37-Parametros!$B$39)/(Parametros!$C$39-Parametros!$B$39)*100)))</f>
        <v/>
      </c>
      <c r="D37" s="83">
        <f>IF(Input_Dados!G$37="","",MIN(100,MAX(0,(Input_Dados!G$37-Parametros!$B$39)/(Parametros!$C$39-Parametros!$B$39)*100)))</f>
        <v/>
      </c>
      <c r="E37" s="83">
        <f>IF(Input_Dados!H$37="","",MIN(100,MAX(0,(Input_Dados!H$37-Parametros!$B$39)/(Parametros!$C$39-Parametros!$B$39)*100)))</f>
        <v/>
      </c>
      <c r="F37" s="83">
        <f>IF(Input_Dados!I$37="","",MIN(100,MAX(0,(Input_Dados!I$37-Parametros!$B$39)/(Parametros!$C$39-Parametros!$B$39)*100)))</f>
        <v/>
      </c>
      <c r="G37" s="83">
        <f>IF(Input_Dados!J$37="","",MIN(100,MAX(0,(Input_Dados!J$37-Parametros!$B$39)/(Parametros!$C$39-Parametros!$B$39)*100)))</f>
        <v/>
      </c>
      <c r="H37" s="83">
        <f>IF(Input_Dados!K$37="","",MIN(100,MAX(0,(Input_Dados!K$37-Parametros!$B$39)/(Parametros!$C$39-Parametros!$B$39)*100)))</f>
        <v/>
      </c>
      <c r="I37" s="83">
        <f>IF(Input_Dados!L$37="","",MIN(100,MAX(0,(Input_Dados!L$37-Parametros!$B$39)/(Parametros!$C$39-Parametros!$B$39)*100)))</f>
        <v/>
      </c>
      <c r="J37" s="83">
        <f>IF(Input_Dados!M$37="","",MIN(100,MAX(0,(Input_Dados!M$37-Parametros!$B$39)/(Parametros!$C$39-Parametros!$B$39)*100)))</f>
        <v/>
      </c>
      <c r="K37" s="83">
        <f>IF(Input_Dados!N$37="","",MIN(100,MAX(0,(Input_Dados!N$37-Parametros!$B$39)/(Parametros!$C$39-Parametros!$B$39)*100)))</f>
        <v/>
      </c>
      <c r="L37" s="83">
        <f>IF(Input_Dados!O$37="","",MIN(100,MAX(0,(Input_Dados!O$37-Parametros!$B$39)/(Parametros!$C$39-Parametros!$B$39)*100)))</f>
        <v/>
      </c>
      <c r="M37" s="83">
        <f>IF(Input_Dados!P$37="","",MIN(100,MAX(0,(Input_Dados!P$37-Parametros!$B$39)/(Parametros!$C$39-Parametros!$B$39)*100)))</f>
        <v/>
      </c>
    </row>
    <row r="38" ht="14.25" customHeight="1" s="50">
      <c r="A38" s="80" t="inlineStr">
        <is>
          <t>Prevalência de Desnutrição</t>
        </is>
      </c>
      <c r="B38" s="82" t="inlineStr">
        <is>
          <t>-</t>
        </is>
      </c>
      <c r="C38" s="83">
        <f>IF(Input_Dados!F$38="","",MIN(100,MAX(0,(Parametros!$C$40-Input_Dados!F$38)/(Parametros!$C$40-Parametros!$B$40)*100)))</f>
        <v/>
      </c>
      <c r="D38" s="83">
        <f>IF(Input_Dados!G$38="","",MIN(100,MAX(0,(Parametros!$C$40-Input_Dados!G$38)/(Parametros!$C$40-Parametros!$B$40)*100)))</f>
        <v/>
      </c>
      <c r="E38" s="83">
        <f>IF(Input_Dados!H$38="","",MIN(100,MAX(0,(Parametros!$C$40-Input_Dados!H$38)/(Parametros!$C$40-Parametros!$B$40)*100)))</f>
        <v/>
      </c>
      <c r="F38" s="83">
        <f>IF(Input_Dados!I$38="","",MIN(100,MAX(0,(Parametros!$C$40-Input_Dados!I$38)/(Parametros!$C$40-Parametros!$B$40)*100)))</f>
        <v/>
      </c>
      <c r="G38" s="83">
        <f>IF(Input_Dados!J$38="","",MIN(100,MAX(0,(Parametros!$C$40-Input_Dados!J$38)/(Parametros!$C$40-Parametros!$B$40)*100)))</f>
        <v/>
      </c>
      <c r="H38" s="83">
        <f>IF(Input_Dados!K$38="","",MIN(100,MAX(0,(Parametros!$C$40-Input_Dados!K$38)/(Parametros!$C$40-Parametros!$B$40)*100)))</f>
        <v/>
      </c>
      <c r="I38" s="83">
        <f>IF(Input_Dados!L$38="","",MIN(100,MAX(0,(Parametros!$C$40-Input_Dados!L$38)/(Parametros!$C$40-Parametros!$B$40)*100)))</f>
        <v/>
      </c>
      <c r="J38" s="83">
        <f>IF(Input_Dados!M$38="","",MIN(100,MAX(0,(Parametros!$C$40-Input_Dados!M$38)/(Parametros!$C$40-Parametros!$B$40)*100)))</f>
        <v/>
      </c>
      <c r="K38" s="83">
        <f>IF(Input_Dados!N$38="","",MIN(100,MAX(0,(Parametros!$C$40-Input_Dados!N$38)/(Parametros!$C$40-Parametros!$B$40)*100)))</f>
        <v/>
      </c>
      <c r="L38" s="83">
        <f>IF(Input_Dados!O$38="","",MIN(100,MAX(0,(Parametros!$C$40-Input_Dados!O$38)/(Parametros!$C$40-Parametros!$B$40)*100)))</f>
        <v/>
      </c>
      <c r="M38" s="83">
        <f>IF(Input_Dados!P$38="","",MIN(100,MAX(0,(Parametros!$C$40-Input_Dados!P$38)/(Parametros!$C$40-Parametros!$B$40)*100)))</f>
        <v/>
      </c>
    </row>
    <row r="39" ht="14.25" customHeight="1" s="50">
      <c r="A39" s="80" t="inlineStr">
        <is>
          <t>Mortalidade Materna (por 100k)</t>
        </is>
      </c>
      <c r="B39" s="82" t="inlineStr">
        <is>
          <t>-</t>
        </is>
      </c>
      <c r="C39" s="83">
        <f>IF(Input_Dados!F$39="","",MIN(100,MAX(0,(Parametros!$C$41-Input_Dados!F$39)/(Parametros!$C$41-Parametros!$B$41)*100)))</f>
        <v/>
      </c>
      <c r="D39" s="83">
        <f>IF(Input_Dados!G$39="","",MIN(100,MAX(0,(Parametros!$C$41-Input_Dados!G$39)/(Parametros!$C$41-Parametros!$B$41)*100)))</f>
        <v/>
      </c>
      <c r="E39" s="83">
        <f>IF(Input_Dados!H$39="","",MIN(100,MAX(0,(Parametros!$C$41-Input_Dados!H$39)/(Parametros!$C$41-Parametros!$B$41)*100)))</f>
        <v/>
      </c>
      <c r="F39" s="83">
        <f>IF(Input_Dados!I$39="","",MIN(100,MAX(0,(Parametros!$C$41-Input_Dados!I$39)/(Parametros!$C$41-Parametros!$B$41)*100)))</f>
        <v/>
      </c>
      <c r="G39" s="83">
        <f>IF(Input_Dados!J$39="","",MIN(100,MAX(0,(Parametros!$C$41-Input_Dados!J$39)/(Parametros!$C$41-Parametros!$B$41)*100)))</f>
        <v/>
      </c>
      <c r="H39" s="83">
        <f>IF(Input_Dados!K$39="","",MIN(100,MAX(0,(Parametros!$C$41-Input_Dados!K$39)/(Parametros!$C$41-Parametros!$B$41)*100)))</f>
        <v/>
      </c>
      <c r="I39" s="83">
        <f>IF(Input_Dados!L$39="","",MIN(100,MAX(0,(Parametros!$C$41-Input_Dados!L$39)/(Parametros!$C$41-Parametros!$B$41)*100)))</f>
        <v/>
      </c>
      <c r="J39" s="83">
        <f>IF(Input_Dados!M$39="","",MIN(100,MAX(0,(Parametros!$C$41-Input_Dados!M$39)/(Parametros!$C$41-Parametros!$B$41)*100)))</f>
        <v/>
      </c>
      <c r="K39" s="83">
        <f>IF(Input_Dados!N$39="","",MIN(100,MAX(0,(Parametros!$C$41-Input_Dados!N$39)/(Parametros!$C$41-Parametros!$B$41)*100)))</f>
        <v/>
      </c>
      <c r="L39" s="83">
        <f>IF(Input_Dados!O$39="","",MIN(100,MAX(0,(Parametros!$C$41-Input_Dados!O$39)/(Parametros!$C$41-Parametros!$B$41)*100)))</f>
        <v/>
      </c>
      <c r="M39" s="83">
        <f>IF(Input_Dados!P$39="","",MIN(100,MAX(0,(Parametros!$C$41-Input_Dados!P$39)/(Parametros!$C$41-Parametros!$B$41)*100)))</f>
        <v/>
      </c>
    </row>
    <row r="40" ht="14.25" customHeight="1" s="50">
      <c r="A40" s="80" t="inlineStr">
        <is>
          <t>Despesas Saúde (% PIB)</t>
        </is>
      </c>
      <c r="B40" s="82" t="inlineStr">
        <is>
          <t>+</t>
        </is>
      </c>
      <c r="C40" s="83">
        <f>IF(Input_Dados!F$40="","",MIN(100,MAX(0,(Input_Dados!F$40-Parametros!$B$42)/(Parametros!$C$42-Parametros!$B$42)*100)))</f>
        <v/>
      </c>
      <c r="D40" s="83">
        <f>IF(Input_Dados!G$40="","",MIN(100,MAX(0,(Input_Dados!G$40-Parametros!$B$42)/(Parametros!$C$42-Parametros!$B$42)*100)))</f>
        <v/>
      </c>
      <c r="E40" s="83">
        <f>IF(Input_Dados!H$40="","",MIN(100,MAX(0,(Input_Dados!H$40-Parametros!$B$42)/(Parametros!$C$42-Parametros!$B$42)*100)))</f>
        <v/>
      </c>
      <c r="F40" s="83">
        <f>IF(Input_Dados!I$40="","",MIN(100,MAX(0,(Input_Dados!I$40-Parametros!$B$42)/(Parametros!$C$42-Parametros!$B$42)*100)))</f>
        <v/>
      </c>
      <c r="G40" s="83">
        <f>IF(Input_Dados!J$40="","",MIN(100,MAX(0,(Input_Dados!J$40-Parametros!$B$42)/(Parametros!$C$42-Parametros!$B$42)*100)))</f>
        <v/>
      </c>
      <c r="H40" s="83">
        <f>IF(Input_Dados!K$40="","",MIN(100,MAX(0,(Input_Dados!K$40-Parametros!$B$42)/(Parametros!$C$42-Parametros!$B$42)*100)))</f>
        <v/>
      </c>
      <c r="I40" s="83">
        <f>IF(Input_Dados!L$40="","",MIN(100,MAX(0,(Input_Dados!L$40-Parametros!$B$42)/(Parametros!$C$42-Parametros!$B$42)*100)))</f>
        <v/>
      </c>
      <c r="J40" s="83">
        <f>IF(Input_Dados!M$40="","",MIN(100,MAX(0,(Input_Dados!M$40-Parametros!$B$42)/(Parametros!$C$42-Parametros!$B$42)*100)))</f>
        <v/>
      </c>
      <c r="K40" s="83">
        <f>IF(Input_Dados!N$40="","",MIN(100,MAX(0,(Input_Dados!N$40-Parametros!$B$42)/(Parametros!$C$42-Parametros!$B$42)*100)))</f>
        <v/>
      </c>
      <c r="L40" s="83">
        <f>IF(Input_Dados!O$40="","",MIN(100,MAX(0,(Input_Dados!O$40-Parametros!$B$42)/(Parametros!$C$42-Parametros!$B$42)*100)))</f>
        <v/>
      </c>
      <c r="M40" s="83">
        <f>IF(Input_Dados!P$40="","",MIN(100,MAX(0,(Input_Dados!P$40-Parametros!$B$42)/(Parametros!$C$42-Parametros!$B$42)*100)))</f>
        <v/>
      </c>
    </row>
    <row r="41" ht="14.25" customHeight="1" s="50">
      <c r="A41" s="80" t="inlineStr">
        <is>
          <t>Camas Hospitalares (por 1000)</t>
        </is>
      </c>
      <c r="B41" s="82" t="inlineStr">
        <is>
          <t>+</t>
        </is>
      </c>
      <c r="C41" s="83">
        <f>IF(Input_Dados!F$41="","",MIN(100,MAX(0,(Input_Dados!F$41-Parametros!$B$43)/(Parametros!$C$43-Parametros!$B$43)*100)))</f>
        <v/>
      </c>
      <c r="D41" s="83">
        <f>IF(Input_Dados!G$41="","",MIN(100,MAX(0,(Input_Dados!G$41-Parametros!$B$43)/(Parametros!$C$43-Parametros!$B$43)*100)))</f>
        <v/>
      </c>
      <c r="E41" s="83">
        <f>IF(Input_Dados!H$41="","",MIN(100,MAX(0,(Input_Dados!H$41-Parametros!$B$43)/(Parametros!$C$43-Parametros!$B$43)*100)))</f>
        <v/>
      </c>
      <c r="F41" s="83">
        <f>IF(Input_Dados!I$41="","",MIN(100,MAX(0,(Input_Dados!I$41-Parametros!$B$43)/(Parametros!$C$43-Parametros!$B$43)*100)))</f>
        <v/>
      </c>
      <c r="G41" s="83">
        <f>IF(Input_Dados!J$41="","",MIN(100,MAX(0,(Input_Dados!J$41-Parametros!$B$43)/(Parametros!$C$43-Parametros!$B$43)*100)))</f>
        <v/>
      </c>
      <c r="H41" s="83">
        <f>IF(Input_Dados!K$41="","",MIN(100,MAX(0,(Input_Dados!K$41-Parametros!$B$43)/(Parametros!$C$43-Parametros!$B$43)*100)))</f>
        <v/>
      </c>
      <c r="I41" s="83">
        <f>IF(Input_Dados!L$41="","",MIN(100,MAX(0,(Input_Dados!L$41-Parametros!$B$43)/(Parametros!$C$43-Parametros!$B$43)*100)))</f>
        <v/>
      </c>
      <c r="J41" s="83">
        <f>IF(Input_Dados!M$41="","",MIN(100,MAX(0,(Input_Dados!M$41-Parametros!$B$43)/(Parametros!$C$43-Parametros!$B$43)*100)))</f>
        <v/>
      </c>
      <c r="K41" s="83">
        <f>IF(Input_Dados!N$41="","",MIN(100,MAX(0,(Input_Dados!N$41-Parametros!$B$43)/(Parametros!$C$43-Parametros!$B$43)*100)))</f>
        <v/>
      </c>
      <c r="L41" s="83">
        <f>IF(Input_Dados!O$41="","",MIN(100,MAX(0,(Input_Dados!O$41-Parametros!$B$43)/(Parametros!$C$43-Parametros!$B$43)*100)))</f>
        <v/>
      </c>
      <c r="M41" s="83">
        <f>IF(Input_Dados!P$41="","",MIN(100,MAX(0,(Input_Dados!P$41-Parametros!$B$43)/(Parametros!$C$43-Parametros!$B$43)*100)))</f>
        <v/>
      </c>
    </row>
    <row r="42" ht="14.25" customHeight="1" s="50">
      <c r="A42" s="80" t="inlineStr">
        <is>
          <t>Cobertura Vacinal (%)</t>
        </is>
      </c>
      <c r="B42" s="82" t="inlineStr">
        <is>
          <t>+</t>
        </is>
      </c>
      <c r="C42" s="83">
        <f>IF(Input_Dados!F$42="","",MIN(100,MAX(0,(Input_Dados!F$42-Parametros!$B$44)/(Parametros!$C$44-Parametros!$B$44)*100)))</f>
        <v/>
      </c>
      <c r="D42" s="83">
        <f>IF(Input_Dados!G$42="","",MIN(100,MAX(0,(Input_Dados!G$42-Parametros!$B$44)/(Parametros!$C$44-Parametros!$B$44)*100)))</f>
        <v/>
      </c>
      <c r="E42" s="83">
        <f>IF(Input_Dados!H$42="","",MIN(100,MAX(0,(Input_Dados!H$42-Parametros!$B$44)/(Parametros!$C$44-Parametros!$B$44)*100)))</f>
        <v/>
      </c>
      <c r="F42" s="83">
        <f>IF(Input_Dados!I$42="","",MIN(100,MAX(0,(Input_Dados!I$42-Parametros!$B$44)/(Parametros!$C$44-Parametros!$B$44)*100)))</f>
        <v/>
      </c>
      <c r="G42" s="83">
        <f>IF(Input_Dados!J$42="","",MIN(100,MAX(0,(Input_Dados!J$42-Parametros!$B$44)/(Parametros!$C$44-Parametros!$B$44)*100)))</f>
        <v/>
      </c>
      <c r="H42" s="83">
        <f>IF(Input_Dados!K$42="","",MIN(100,MAX(0,(Input_Dados!K$42-Parametros!$B$44)/(Parametros!$C$44-Parametros!$B$44)*100)))</f>
        <v/>
      </c>
      <c r="I42" s="83">
        <f>IF(Input_Dados!L$42="","",MIN(100,MAX(0,(Input_Dados!L$42-Parametros!$B$44)/(Parametros!$C$44-Parametros!$B$44)*100)))</f>
        <v/>
      </c>
      <c r="J42" s="83">
        <f>IF(Input_Dados!M$42="","",MIN(100,MAX(0,(Input_Dados!M$42-Parametros!$B$44)/(Parametros!$C$44-Parametros!$B$44)*100)))</f>
        <v/>
      </c>
      <c r="K42" s="83">
        <f>IF(Input_Dados!N$42="","",MIN(100,MAX(0,(Input_Dados!N$42-Parametros!$B$44)/(Parametros!$C$44-Parametros!$B$44)*100)))</f>
        <v/>
      </c>
      <c r="L42" s="83">
        <f>IF(Input_Dados!O$42="","",MIN(100,MAX(0,(Input_Dados!O$42-Parametros!$B$44)/(Parametros!$C$44-Parametros!$B$44)*100)))</f>
        <v/>
      </c>
      <c r="M42" s="83">
        <f>IF(Input_Dados!P$42="","",MIN(100,MAX(0,(Input_Dados!P$42-Parametros!$B$44)/(Parametros!$C$44-Parametros!$B$44)*100)))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DBEEF4"/>
    <outlinePr summaryBelow="1" summaryRight="1"/>
    <pageSetUpPr fitToPage="0"/>
  </sheetPr>
  <dimension ref="A1:L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" activeCellId="0" sqref="B3"/>
    </sheetView>
  </sheetViews>
  <sheetFormatPr baseColWidth="8" defaultColWidth="8.53515625" defaultRowHeight="14.25" zeroHeight="0" outlineLevelRow="0"/>
  <cols>
    <col width="35" customWidth="1" style="49" min="1" max="1"/>
    <col width="12" customWidth="1" style="49" min="2" max="12"/>
  </cols>
  <sheetData>
    <row r="1" ht="14.25" customHeight="1" s="50">
      <c r="A1" s="56" t="inlineStr">
        <is>
          <t>Subíndice</t>
        </is>
      </c>
      <c r="B1" s="56" t="inlineStr">
        <is>
          <t>2015</t>
        </is>
      </c>
      <c r="C1" s="56" t="inlineStr">
        <is>
          <t>2016</t>
        </is>
      </c>
      <c r="D1" s="56" t="inlineStr">
        <is>
          <t>2017</t>
        </is>
      </c>
      <c r="E1" s="56" t="inlineStr">
        <is>
          <t>2018</t>
        </is>
      </c>
      <c r="F1" s="56" t="inlineStr">
        <is>
          <t>2019</t>
        </is>
      </c>
      <c r="G1" s="56" t="inlineStr">
        <is>
          <t>2020</t>
        </is>
      </c>
      <c r="H1" s="56" t="inlineStr">
        <is>
          <t>2021</t>
        </is>
      </c>
      <c r="I1" s="56" t="inlineStr">
        <is>
          <t>2022</t>
        </is>
      </c>
      <c r="J1" s="56" t="inlineStr">
        <is>
          <t>2023</t>
        </is>
      </c>
      <c r="K1" s="56" t="inlineStr">
        <is>
          <t>2024</t>
        </is>
      </c>
      <c r="L1" s="56" t="inlineStr">
        <is>
          <t>2025</t>
        </is>
      </c>
    </row>
    <row r="2" ht="14.25" customHeight="1" s="50">
      <c r="A2" s="84" t="inlineStr">
        <is>
          <t>1. Governança e Estado de Direito</t>
        </is>
      </c>
      <c r="B2" s="83">
        <f>IF(SUMPRODUCT((Normalizacao!C$2:C$6&lt;&gt;"")*1)&lt;Parametros!$B$46*5,"",SUMPRODUCT(IFERROR(Normalizacao!C$2:C$6*Parametros!$E$4:$E$8,0))/SUMPRODUCT((Normalizacao!C$2:C$6&lt;&gt;"")*Parametros!$E$4:$E$8))</f>
        <v/>
      </c>
      <c r="C2" s="83">
        <f>IF(SUMPRODUCT((Normalizacao!D$2:D$6&lt;&gt;"")*1)&lt;Parametros!$B$46*5,"",SUMPRODUCT(IFERROR(Normalizacao!D$2:D$6*Parametros!$E$4:$E$8,0))/SUMPRODUCT((Normalizacao!D$2:D$6&lt;&gt;"")*Parametros!$E$4:$E$8))</f>
        <v/>
      </c>
      <c r="D2" s="83">
        <f>IF(SUMPRODUCT((Normalizacao!E$2:E$6&lt;&gt;"")*1)&lt;Parametros!$B$46*5,"",SUMPRODUCT(IFERROR(Normalizacao!E$2:E$6*Parametros!$E$4:$E$8,0))/SUMPRODUCT((Normalizacao!E$2:E$6&lt;&gt;"")*Parametros!$E$4:$E$8))</f>
        <v/>
      </c>
      <c r="E2" s="83">
        <f>IF(SUMPRODUCT((Normalizacao!F$2:F$6&lt;&gt;"")*1)&lt;Parametros!$B$46*5,"",SUMPRODUCT(IFERROR(Normalizacao!F$2:F$6*Parametros!$E$4:$E$8,0))/SUMPRODUCT((Normalizacao!F$2:F$6&lt;&gt;"")*Parametros!$E$4:$E$8))</f>
        <v/>
      </c>
      <c r="F2" s="83">
        <f>IF(SUMPRODUCT((Normalizacao!G$2:G$6&lt;&gt;"")*1)&lt;Parametros!$B$46*5,"",SUMPRODUCT(IFERROR(Normalizacao!G$2:G$6*Parametros!$E$4:$E$8,0))/SUMPRODUCT((Normalizacao!G$2:G$6&lt;&gt;"")*Parametros!$E$4:$E$8))</f>
        <v/>
      </c>
      <c r="G2" s="83">
        <f>IF(SUMPRODUCT((Normalizacao!H$2:H$6&lt;&gt;"")*1)&lt;Parametros!$B$46*5,"",SUMPRODUCT(IFERROR(Normalizacao!H$2:H$6*Parametros!$E$4:$E$8,0))/SUMPRODUCT((Normalizacao!H$2:H$6&lt;&gt;"")*Parametros!$E$4:$E$8))</f>
        <v/>
      </c>
      <c r="H2" s="83">
        <f>IF(SUMPRODUCT((Normalizacao!I$2:I$6&lt;&gt;"")*1)&lt;Parametros!$B$46*5,"",SUMPRODUCT(IFERROR(Normalizacao!I$2:I$6*Parametros!$E$4:$E$8,0))/SUMPRODUCT((Normalizacao!I$2:I$6&lt;&gt;"")*Parametros!$E$4:$E$8))</f>
        <v/>
      </c>
      <c r="I2" s="83">
        <f>IF(SUMPRODUCT((Normalizacao!J$2:J$6&lt;&gt;"")*1)&lt;Parametros!$B$46*5,"",SUMPRODUCT(IFERROR(Normalizacao!J$2:J$6*Parametros!$E$4:$E$8,0))/SUMPRODUCT((Normalizacao!J$2:J$6&lt;&gt;"")*Parametros!$E$4:$E$8))</f>
        <v/>
      </c>
      <c r="J2" s="83">
        <f>IF(SUMPRODUCT((Normalizacao!K$2:K$6&lt;&gt;"")*1)&lt;Parametros!$B$46*5,"",SUMPRODUCT(IFERROR(Normalizacao!K$2:K$6*Parametros!$E$4:$E$8,0))/SUMPRODUCT((Normalizacao!K$2:K$6&lt;&gt;"")*Parametros!$E$4:$E$8))</f>
        <v/>
      </c>
      <c r="K2" s="83">
        <f>IF(SUMPRODUCT((Normalizacao!L$2:L$6&lt;&gt;"")*1)&lt;Parametros!$B$46*5,"",SUMPRODUCT(IFERROR(Normalizacao!L$2:L$6*Parametros!$E$4:$E$8,0))/SUMPRODUCT((Normalizacao!L$2:L$6&lt;&gt;"")*Parametros!$E$4:$E$8))</f>
        <v/>
      </c>
      <c r="L2" s="83">
        <f>IF(SUMPRODUCT((Normalizacao!M$2:M$6&lt;&gt;"")*1)&lt;Parametros!$B$46*5,"",SUMPRODUCT(IFERROR(Normalizacao!M$2:M$6*Parametros!$E$4:$E$8,0))/SUMPRODUCT((Normalizacao!M$2:M$6&lt;&gt;"")*Parametros!$E$4:$E$8))</f>
        <v/>
      </c>
    </row>
    <row r="3" ht="14.25" customHeight="1" s="50">
      <c r="A3" s="85" t="inlineStr">
        <is>
          <t>2. Estabilidade Macroeconómica</t>
        </is>
      </c>
      <c r="B3" s="83">
        <f>IF(SUMPRODUCT((Normalizacao!C$7:C$13&lt;&gt;"")*1)&lt;Parametros!$B$46*7,"",SUMPRODUCT(IFERROR(Normalizacao!C$7:C$13*Parametros!$E$9:$E$15,0))/SUMPRODUCT((Normalizacao!C$7:C$13&lt;&gt;"")*Parametros!$E$9:$E$15))</f>
        <v/>
      </c>
      <c r="C3" s="83">
        <f>IF(SUMPRODUCT((Normalizacao!D$7:D$13&lt;&gt;"")*1)&lt;Parametros!$B$46*7,"",SUMPRODUCT(IFERROR(Normalizacao!D$7:D$13*Parametros!$E$9:$E$15,0))/SUMPRODUCT((Normalizacao!D$7:D$13&lt;&gt;"")*Parametros!$E$9:$E$15))</f>
        <v/>
      </c>
      <c r="D3" s="83">
        <f>IF(SUMPRODUCT((Normalizacao!E$7:E$13&lt;&gt;"")*1)&lt;Parametros!$B$46*7,"",SUMPRODUCT(IFERROR(Normalizacao!E$7:E$13*Parametros!$E$9:$E$15,0))/SUMPRODUCT((Normalizacao!E$7:E$13&lt;&gt;"")*Parametros!$E$9:$E$15))</f>
        <v/>
      </c>
      <c r="E3" s="83">
        <f>IF(SUMPRODUCT((Normalizacao!F$7:F$13&lt;&gt;"")*1)&lt;Parametros!$B$46*7,"",SUMPRODUCT(IFERROR(Normalizacao!F$7:F$13*Parametros!$E$9:$E$15,0))/SUMPRODUCT((Normalizacao!F$7:F$13&lt;&gt;"")*Parametros!$E$9:$E$15))</f>
        <v/>
      </c>
      <c r="F3" s="83">
        <f>IF(SUMPRODUCT((Normalizacao!G$7:G$13&lt;&gt;"")*1)&lt;Parametros!$B$46*7,"",SUMPRODUCT(IFERROR(Normalizacao!G$7:G$13*Parametros!$E$9:$E$15,0))/SUMPRODUCT((Normalizacao!G$7:G$13&lt;&gt;"")*Parametros!$E$9:$E$15))</f>
        <v/>
      </c>
      <c r="G3" s="83">
        <f>IF(SUMPRODUCT((Normalizacao!H$7:H$13&lt;&gt;"")*1)&lt;Parametros!$B$46*7,"",SUMPRODUCT(IFERROR(Normalizacao!H$7:H$13*Parametros!$E$9:$E$15,0))/SUMPRODUCT((Normalizacao!H$7:H$13&lt;&gt;"")*Parametros!$E$9:$E$15))</f>
        <v/>
      </c>
      <c r="H3" s="83">
        <f>IF(SUMPRODUCT((Normalizacao!I$7:I$13&lt;&gt;"")*1)&lt;Parametros!$B$46*7,"",SUMPRODUCT(IFERROR(Normalizacao!I$7:I$13*Parametros!$E$9:$E$15,0))/SUMPRODUCT((Normalizacao!I$7:I$13&lt;&gt;"")*Parametros!$E$9:$E$15))</f>
        <v/>
      </c>
      <c r="I3" s="83">
        <f>IF(SUMPRODUCT((Normalizacao!J$7:J$13&lt;&gt;"")*1)&lt;Parametros!$B$46*7,"",SUMPRODUCT(IFERROR(Normalizacao!J$7:J$13*Parametros!$E$9:$E$15,0))/SUMPRODUCT((Normalizacao!J$7:J$13&lt;&gt;"")*Parametros!$E$9:$E$15))</f>
        <v/>
      </c>
      <c r="J3" s="83">
        <f>IF(SUMPRODUCT((Normalizacao!K$7:K$13&lt;&gt;"")*1)&lt;Parametros!$B$46*7,"",SUMPRODUCT(IFERROR(Normalizacao!K$7:K$13*Parametros!$E$9:$E$15,0))/SUMPRODUCT((Normalizacao!K$7:K$13&lt;&gt;"")*Parametros!$E$9:$E$15))</f>
        <v/>
      </c>
      <c r="K3" s="83">
        <f>IF(SUMPRODUCT((Normalizacao!L$7:L$13&lt;&gt;"")*1)&lt;Parametros!$B$46*7,"",SUMPRODUCT(IFERROR(Normalizacao!L$7:L$13*Parametros!$E$9:$E$15,0))/SUMPRODUCT((Normalizacao!L$7:L$13&lt;&gt;"")*Parametros!$E$9:$E$15))</f>
        <v/>
      </c>
      <c r="L3" s="83">
        <f>IF(SUMPRODUCT((Normalizacao!M$7:M$13&lt;&gt;"")*1)&lt;Parametros!$B$46*7,"",SUMPRODUCT(IFERROR(Normalizacao!M$7:M$13*Parametros!$E$9:$E$15,0))/SUMPRODUCT((Normalizacao!M$7:M$13&lt;&gt;"")*Parametros!$E$9:$E$15))</f>
        <v/>
      </c>
    </row>
    <row r="4" ht="14.25" customHeight="1" s="50">
      <c r="A4" s="84" t="inlineStr">
        <is>
          <t>3. Capital Humano</t>
        </is>
      </c>
      <c r="B4" s="83">
        <f>IF(SUMPRODUCT((Normalizacao!C$14:C$19&lt;&gt;"")*1)&lt;Parametros!$B$46*6,"",SUMPRODUCT(IFERROR(Normalizacao!C$14:C$19*Parametros!$E$16:$E$21,0))/SUMPRODUCT((Normalizacao!C$14:C$19&lt;&gt;"")*Parametros!$E$16:$E$21))</f>
        <v/>
      </c>
      <c r="C4" s="83">
        <f>IF(SUMPRODUCT((Normalizacao!D$14:D$19&lt;&gt;"")*1)&lt;Parametros!$B$46*6,"",SUMPRODUCT(IFERROR(Normalizacao!D$14:D$19*Parametros!$E$16:$E$21,0))/SUMPRODUCT((Normalizacao!D$14:D$19&lt;&gt;"")*Parametros!$E$16:$E$21))</f>
        <v/>
      </c>
      <c r="D4" s="83">
        <f>IF(SUMPRODUCT((Normalizacao!E$14:E$19&lt;&gt;"")*1)&lt;Parametros!$B$46*6,"",SUMPRODUCT(IFERROR(Normalizacao!E$14:E$19*Parametros!$E$16:$E$21,0))/SUMPRODUCT((Normalizacao!E$14:E$19&lt;&gt;"")*Parametros!$E$16:$E$21))</f>
        <v/>
      </c>
      <c r="E4" s="83">
        <f>IF(SUMPRODUCT((Normalizacao!F$14:F$19&lt;&gt;"")*1)&lt;Parametros!$B$46*6,"",SUMPRODUCT(IFERROR(Normalizacao!F$14:F$19*Parametros!$E$16:$E$21,0))/SUMPRODUCT((Normalizacao!F$14:F$19&lt;&gt;"")*Parametros!$E$16:$E$21))</f>
        <v/>
      </c>
      <c r="F4" s="83">
        <f>IF(SUMPRODUCT((Normalizacao!G$14:G$19&lt;&gt;"")*1)&lt;Parametros!$B$46*6,"",SUMPRODUCT(IFERROR(Normalizacao!G$14:G$19*Parametros!$E$16:$E$21,0))/SUMPRODUCT((Normalizacao!G$14:G$19&lt;&gt;"")*Parametros!$E$16:$E$21))</f>
        <v/>
      </c>
      <c r="G4" s="83">
        <f>IF(SUMPRODUCT((Normalizacao!H$14:H$19&lt;&gt;"")*1)&lt;Parametros!$B$46*6,"",SUMPRODUCT(IFERROR(Normalizacao!H$14:H$19*Parametros!$E$16:$E$21,0))/SUMPRODUCT((Normalizacao!H$14:H$19&lt;&gt;"")*Parametros!$E$16:$E$21))</f>
        <v/>
      </c>
      <c r="H4" s="83">
        <f>IF(SUMPRODUCT((Normalizacao!I$14:I$19&lt;&gt;"")*1)&lt;Parametros!$B$46*6,"",SUMPRODUCT(IFERROR(Normalizacao!I$14:I$19*Parametros!$E$16:$E$21,0))/SUMPRODUCT((Normalizacao!I$14:I$19&lt;&gt;"")*Parametros!$E$16:$E$21))</f>
        <v/>
      </c>
      <c r="I4" s="83">
        <f>IF(SUMPRODUCT((Normalizacao!J$14:J$19&lt;&gt;"")*1)&lt;Parametros!$B$46*6,"",SUMPRODUCT(IFERROR(Normalizacao!J$14:J$19*Parametros!$E$16:$E$21,0))/SUMPRODUCT((Normalizacao!J$14:J$19&lt;&gt;"")*Parametros!$E$16:$E$21))</f>
        <v/>
      </c>
      <c r="J4" s="83">
        <f>IF(SUMPRODUCT((Normalizacao!K$14:K$19&lt;&gt;"")*1)&lt;Parametros!$B$46*6,"",SUMPRODUCT(IFERROR(Normalizacao!K$14:K$19*Parametros!$E$16:$E$21,0))/SUMPRODUCT((Normalizacao!K$14:K$19&lt;&gt;"")*Parametros!$E$16:$E$21))</f>
        <v/>
      </c>
      <c r="K4" s="83">
        <f>IF(SUMPRODUCT((Normalizacao!L$14:L$19&lt;&gt;"")*1)&lt;Parametros!$B$46*6,"",SUMPRODUCT(IFERROR(Normalizacao!L$14:L$19*Parametros!$E$16:$E$21,0))/SUMPRODUCT((Normalizacao!L$14:L$19&lt;&gt;"")*Parametros!$E$16:$E$21))</f>
        <v/>
      </c>
      <c r="L4" s="83">
        <f>IF(SUMPRODUCT((Normalizacao!M$14:M$19&lt;&gt;"")*1)&lt;Parametros!$B$46*6,"",SUMPRODUCT(IFERROR(Normalizacao!M$14:M$19*Parametros!$E$16:$E$21,0))/SUMPRODUCT((Normalizacao!M$14:M$19&lt;&gt;"")*Parametros!$E$16:$E$21))</f>
        <v/>
      </c>
    </row>
    <row r="5" ht="14.25" customHeight="1" s="50">
      <c r="A5" s="85" t="inlineStr">
        <is>
          <t>4. Inclusão Social e Protecção</t>
        </is>
      </c>
      <c r="B5" s="83">
        <f>IF(SUMPRODUCT((Normalizacao!C$20:C$24&lt;&gt;"")*1)&lt;Parametros!$B$46*5,"",SUMPRODUCT(IFERROR(Normalizacao!C$20:C$24*Parametros!$E$22:$E$26,0))/SUMPRODUCT((Normalizacao!C$20:C$24&lt;&gt;"")*Parametros!$E$22:$E$26))</f>
        <v/>
      </c>
      <c r="C5" s="83">
        <f>IF(SUMPRODUCT((Normalizacao!D$20:D$24&lt;&gt;"")*1)&lt;Parametros!$B$46*5,"",SUMPRODUCT(IFERROR(Normalizacao!D$20:D$24*Parametros!$E$22:$E$26,0))/SUMPRODUCT((Normalizacao!D$20:D$24&lt;&gt;"")*Parametros!$E$22:$E$26))</f>
        <v/>
      </c>
      <c r="D5" s="83">
        <f>IF(SUMPRODUCT((Normalizacao!E$20:E$24&lt;&gt;"")*1)&lt;Parametros!$B$46*5,"",SUMPRODUCT(IFERROR(Normalizacao!E$20:E$24*Parametros!$E$22:$E$26,0))/SUMPRODUCT((Normalizacao!E$20:E$24&lt;&gt;"")*Parametros!$E$22:$E$26))</f>
        <v/>
      </c>
      <c r="E5" s="83">
        <f>IF(SUMPRODUCT((Normalizacao!F$20:F$24&lt;&gt;"")*1)&lt;Parametros!$B$46*5,"",SUMPRODUCT(IFERROR(Normalizacao!F$20:F$24*Parametros!$E$22:$E$26,0))/SUMPRODUCT((Normalizacao!F$20:F$24&lt;&gt;"")*Parametros!$E$22:$E$26))</f>
        <v/>
      </c>
      <c r="F5" s="83">
        <f>IF(SUMPRODUCT((Normalizacao!G$20:G$24&lt;&gt;"")*1)&lt;Parametros!$B$46*5,"",SUMPRODUCT(IFERROR(Normalizacao!G$20:G$24*Parametros!$E$22:$E$26,0))/SUMPRODUCT((Normalizacao!G$20:G$24&lt;&gt;"")*Parametros!$E$22:$E$26))</f>
        <v/>
      </c>
      <c r="G5" s="83">
        <f>IF(SUMPRODUCT((Normalizacao!H$20:H$24&lt;&gt;"")*1)&lt;Parametros!$B$46*5,"",SUMPRODUCT(IFERROR(Normalizacao!H$20:H$24*Parametros!$E$22:$E$26,0))/SUMPRODUCT((Normalizacao!H$20:H$24&lt;&gt;"")*Parametros!$E$22:$E$26))</f>
        <v/>
      </c>
      <c r="H5" s="83">
        <f>IF(SUMPRODUCT((Normalizacao!I$20:I$24&lt;&gt;"")*1)&lt;Parametros!$B$46*5,"",SUMPRODUCT(IFERROR(Normalizacao!I$20:I$24*Parametros!$E$22:$E$26,0))/SUMPRODUCT((Normalizacao!I$20:I$24&lt;&gt;"")*Parametros!$E$22:$E$26))</f>
        <v/>
      </c>
      <c r="I5" s="83">
        <f>IF(SUMPRODUCT((Normalizacao!J$20:J$24&lt;&gt;"")*1)&lt;Parametros!$B$46*5,"",SUMPRODUCT(IFERROR(Normalizacao!J$20:J$24*Parametros!$E$22:$E$26,0))/SUMPRODUCT((Normalizacao!J$20:J$24&lt;&gt;"")*Parametros!$E$22:$E$26))</f>
        <v/>
      </c>
      <c r="J5" s="83">
        <f>IF(SUMPRODUCT((Normalizacao!K$20:K$24&lt;&gt;"")*1)&lt;Parametros!$B$46*5,"",SUMPRODUCT(IFERROR(Normalizacao!K$20:K$24*Parametros!$E$22:$E$26,0))/SUMPRODUCT((Normalizacao!K$20:K$24&lt;&gt;"")*Parametros!$E$22:$E$26))</f>
        <v/>
      </c>
      <c r="K5" s="83">
        <f>IF(SUMPRODUCT((Normalizacao!L$20:L$24&lt;&gt;"")*1)&lt;Parametros!$B$46*5,"",SUMPRODUCT(IFERROR(Normalizacao!L$20:L$24*Parametros!$E$22:$E$26,0))/SUMPRODUCT((Normalizacao!L$20:L$24&lt;&gt;"")*Parametros!$E$22:$E$26))</f>
        <v/>
      </c>
      <c r="L5" s="83">
        <f>IF(SUMPRODUCT((Normalizacao!M$20:M$24&lt;&gt;"")*1)&lt;Parametros!$B$46*5,"",SUMPRODUCT(IFERROR(Normalizacao!M$20:M$24*Parametros!$E$22:$E$26,0))/SUMPRODUCT((Normalizacao!M$20:M$24&lt;&gt;"")*Parametros!$E$22:$E$26))</f>
        <v/>
      </c>
    </row>
    <row r="6" ht="14.25" customHeight="1" s="50">
      <c r="A6" s="84" t="inlineStr">
        <is>
          <t>5. Infraestruturas e Serviços</t>
        </is>
      </c>
      <c r="B6" s="83">
        <f>IF(SUMPRODUCT((Normalizacao!C$25:C$30&lt;&gt;"")*1)&lt;Parametros!$B$46*6,"",SUMPRODUCT(IFERROR(Normalizacao!C$25:C$30*Parametros!$E$27:$E$32,0))/SUMPRODUCT((Normalizacao!C$25:C$30&lt;&gt;"")*Parametros!$E$27:$E$32))</f>
        <v/>
      </c>
      <c r="C6" s="83">
        <f>IF(SUMPRODUCT((Normalizacao!D$25:D$30&lt;&gt;"")*1)&lt;Parametros!$B$46*6,"",SUMPRODUCT(IFERROR(Normalizacao!D$25:D$30*Parametros!$E$27:$E$32,0))/SUMPRODUCT((Normalizacao!D$25:D$30&lt;&gt;"")*Parametros!$E$27:$E$32))</f>
        <v/>
      </c>
      <c r="D6" s="83">
        <f>IF(SUMPRODUCT((Normalizacao!E$25:E$30&lt;&gt;"")*1)&lt;Parametros!$B$46*6,"",SUMPRODUCT(IFERROR(Normalizacao!E$25:E$30*Parametros!$E$27:$E$32,0))/SUMPRODUCT((Normalizacao!E$25:E$30&lt;&gt;"")*Parametros!$E$27:$E$32))</f>
        <v/>
      </c>
      <c r="E6" s="83">
        <f>IF(SUMPRODUCT((Normalizacao!F$25:F$30&lt;&gt;"")*1)&lt;Parametros!$B$46*6,"",SUMPRODUCT(IFERROR(Normalizacao!F$25:F$30*Parametros!$E$27:$E$32,0))/SUMPRODUCT((Normalizacao!F$25:F$30&lt;&gt;"")*Parametros!$E$27:$E$32))</f>
        <v/>
      </c>
      <c r="F6" s="83">
        <f>IF(SUMPRODUCT((Normalizacao!G$25:G$30&lt;&gt;"")*1)&lt;Parametros!$B$46*6,"",SUMPRODUCT(IFERROR(Normalizacao!G$25:G$30*Parametros!$E$27:$E$32,0))/SUMPRODUCT((Normalizacao!G$25:G$30&lt;&gt;"")*Parametros!$E$27:$E$32))</f>
        <v/>
      </c>
      <c r="G6" s="83">
        <f>IF(SUMPRODUCT((Normalizacao!H$25:H$30&lt;&gt;"")*1)&lt;Parametros!$B$46*6,"",SUMPRODUCT(IFERROR(Normalizacao!H$25:H$30*Parametros!$E$27:$E$32,0))/SUMPRODUCT((Normalizacao!H$25:H$30&lt;&gt;"")*Parametros!$E$27:$E$32))</f>
        <v/>
      </c>
      <c r="H6" s="83">
        <f>IF(SUMPRODUCT((Normalizacao!I$25:I$30&lt;&gt;"")*1)&lt;Parametros!$B$46*6,"",SUMPRODUCT(IFERROR(Normalizacao!I$25:I$30*Parametros!$E$27:$E$32,0))/SUMPRODUCT((Normalizacao!I$25:I$30&lt;&gt;"")*Parametros!$E$27:$E$32))</f>
        <v/>
      </c>
      <c r="I6" s="83">
        <f>IF(SUMPRODUCT((Normalizacao!J$25:J$30&lt;&gt;"")*1)&lt;Parametros!$B$46*6,"",SUMPRODUCT(IFERROR(Normalizacao!J$25:J$30*Parametros!$E$27:$E$32,0))/SUMPRODUCT((Normalizacao!J$25:J$30&lt;&gt;"")*Parametros!$E$27:$E$32))</f>
        <v/>
      </c>
      <c r="J6" s="83">
        <f>IF(SUMPRODUCT((Normalizacao!K$25:K$30&lt;&gt;"")*1)&lt;Parametros!$B$46*6,"",SUMPRODUCT(IFERROR(Normalizacao!K$25:K$30*Parametros!$E$27:$E$32,0))/SUMPRODUCT((Normalizacao!K$25:K$30&lt;&gt;"")*Parametros!$E$27:$E$32))</f>
        <v/>
      </c>
      <c r="K6" s="83">
        <f>IF(SUMPRODUCT((Normalizacao!L$25:L$30&lt;&gt;"")*1)&lt;Parametros!$B$46*6,"",SUMPRODUCT(IFERROR(Normalizacao!L$25:L$30*Parametros!$E$27:$E$32,0))/SUMPRODUCT((Normalizacao!L$25:L$30&lt;&gt;"")*Parametros!$E$27:$E$32))</f>
        <v/>
      </c>
      <c r="L6" s="83">
        <f>IF(SUMPRODUCT((Normalizacao!M$25:M$30&lt;&gt;"")*1)&lt;Parametros!$B$46*6,"",SUMPRODUCT(IFERROR(Normalizacao!M$25:M$30*Parametros!$E$27:$E$32,0))/SUMPRODUCT((Normalizacao!M$25:M$30&lt;&gt;"")*Parametros!$E$27:$E$32))</f>
        <v/>
      </c>
    </row>
    <row r="7" ht="14.25" customHeight="1" s="50">
      <c r="A7" s="85" t="inlineStr">
        <is>
          <t>6. Mercado de Trabalho</t>
        </is>
      </c>
      <c r="B7" s="83">
        <f>IF(SUMPRODUCT((Normalizacao!C$31:C$36&lt;&gt;"")*1)&lt;Parametros!$B$46*6,"",SUMPRODUCT(IFERROR(Normalizacao!C$31:C$36*Parametros!$E$33:$E$38,0))/SUMPRODUCT((Normalizacao!C$31:C$36&lt;&gt;"")*Parametros!$E$33:$E$38))</f>
        <v/>
      </c>
      <c r="C7" s="83">
        <f>IF(SUMPRODUCT((Normalizacao!D$31:D$36&lt;&gt;"")*1)&lt;Parametros!$B$46*6,"",SUMPRODUCT(IFERROR(Normalizacao!D$31:D$36*Parametros!$E$33:$E$38,0))/SUMPRODUCT((Normalizacao!D$31:D$36&lt;&gt;"")*Parametros!$E$33:$E$38))</f>
        <v/>
      </c>
      <c r="D7" s="83">
        <f>IF(SUMPRODUCT((Normalizacao!E$31:E$36&lt;&gt;"")*1)&lt;Parametros!$B$46*6,"",SUMPRODUCT(IFERROR(Normalizacao!E$31:E$36*Parametros!$E$33:$E$38,0))/SUMPRODUCT((Normalizacao!E$31:E$36&lt;&gt;"")*Parametros!$E$33:$E$38))</f>
        <v/>
      </c>
      <c r="E7" s="83">
        <f>IF(SUMPRODUCT((Normalizacao!F$31:F$36&lt;&gt;"")*1)&lt;Parametros!$B$46*6,"",SUMPRODUCT(IFERROR(Normalizacao!F$31:F$36*Parametros!$E$33:$E$38,0))/SUMPRODUCT((Normalizacao!F$31:F$36&lt;&gt;"")*Parametros!$E$33:$E$38))</f>
        <v/>
      </c>
      <c r="F7" s="83">
        <f>IF(SUMPRODUCT((Normalizacao!G$31:G$36&lt;&gt;"")*1)&lt;Parametros!$B$46*6,"",SUMPRODUCT(IFERROR(Normalizacao!G$31:G$36*Parametros!$E$33:$E$38,0))/SUMPRODUCT((Normalizacao!G$31:G$36&lt;&gt;"")*Parametros!$E$33:$E$38))</f>
        <v/>
      </c>
      <c r="G7" s="83">
        <f>IF(SUMPRODUCT((Normalizacao!H$31:H$36&lt;&gt;"")*1)&lt;Parametros!$B$46*6,"",SUMPRODUCT(IFERROR(Normalizacao!H$31:H$36*Parametros!$E$33:$E$38,0))/SUMPRODUCT((Normalizacao!H$31:H$36&lt;&gt;"")*Parametros!$E$33:$E$38))</f>
        <v/>
      </c>
      <c r="H7" s="83">
        <f>IF(SUMPRODUCT((Normalizacao!I$31:I$36&lt;&gt;"")*1)&lt;Parametros!$B$46*6,"",SUMPRODUCT(IFERROR(Normalizacao!I$31:I$36*Parametros!$E$33:$E$38,0))/SUMPRODUCT((Normalizacao!I$31:I$36&lt;&gt;"")*Parametros!$E$33:$E$38))</f>
        <v/>
      </c>
      <c r="I7" s="83">
        <f>IF(SUMPRODUCT((Normalizacao!J$31:J$36&lt;&gt;"")*1)&lt;Parametros!$B$46*6,"",SUMPRODUCT(IFERROR(Normalizacao!J$31:J$36*Parametros!$E$33:$E$38,0))/SUMPRODUCT((Normalizacao!J$31:J$36&lt;&gt;"")*Parametros!$E$33:$E$38))</f>
        <v/>
      </c>
      <c r="J7" s="83">
        <f>IF(SUMPRODUCT((Normalizacao!K$31:K$36&lt;&gt;"")*1)&lt;Parametros!$B$46*6,"",SUMPRODUCT(IFERROR(Normalizacao!K$31:K$36*Parametros!$E$33:$E$38,0))/SUMPRODUCT((Normalizacao!K$31:K$36&lt;&gt;"")*Parametros!$E$33:$E$38))</f>
        <v/>
      </c>
      <c r="K7" s="83">
        <f>IF(SUMPRODUCT((Normalizacao!L$31:L$36&lt;&gt;"")*1)&lt;Parametros!$B$46*6,"",SUMPRODUCT(IFERROR(Normalizacao!L$31:L$36*Parametros!$E$33:$E$38,0))/SUMPRODUCT((Normalizacao!L$31:L$36&lt;&gt;"")*Parametros!$E$33:$E$38))</f>
        <v/>
      </c>
      <c r="L7" s="83">
        <f>IF(SUMPRODUCT((Normalizacao!M$31:M$36&lt;&gt;"")*1)&lt;Parametros!$B$46*6,"",SUMPRODUCT(IFERROR(Normalizacao!M$31:M$36*Parametros!$E$33:$E$38,0))/SUMPRODUCT((Normalizacao!M$31:M$36&lt;&gt;"")*Parametros!$E$33:$E$38))</f>
        <v/>
      </c>
    </row>
    <row r="8" ht="14.25" customHeight="1" s="50">
      <c r="A8" s="84" t="inlineStr">
        <is>
          <t>7. Segurança Alimentar e Saúde</t>
        </is>
      </c>
      <c r="B8" s="83">
        <f>IF(SUMPRODUCT((Normalizacao!C$37:C$42&lt;&gt;"")*1)&lt;Parametros!$B$46*6,"",SUMPRODUCT(IFERROR(Normalizacao!C$37:C$42*Parametros!$E$39:$E$44,0))/SUMPRODUCT((Normalizacao!C$37:C$42&lt;&gt;"")*Parametros!$E$39:$E$44))</f>
        <v/>
      </c>
      <c r="C8" s="83">
        <f>IF(SUMPRODUCT((Normalizacao!D$37:D$42&lt;&gt;"")*1)&lt;Parametros!$B$46*6,"",SUMPRODUCT(IFERROR(Normalizacao!D$37:D$42*Parametros!$E$39:$E$44,0))/SUMPRODUCT((Normalizacao!D$37:D$42&lt;&gt;"")*Parametros!$E$39:$E$44))</f>
        <v/>
      </c>
      <c r="D8" s="83">
        <f>IF(SUMPRODUCT((Normalizacao!E$37:E$42&lt;&gt;"")*1)&lt;Parametros!$B$46*6,"",SUMPRODUCT(IFERROR(Normalizacao!E$37:E$42*Parametros!$E$39:$E$44,0))/SUMPRODUCT((Normalizacao!E$37:E$42&lt;&gt;"")*Parametros!$E$39:$E$44))</f>
        <v/>
      </c>
      <c r="E8" s="83">
        <f>IF(SUMPRODUCT((Normalizacao!F$37:F$42&lt;&gt;"")*1)&lt;Parametros!$B$46*6,"",SUMPRODUCT(IFERROR(Normalizacao!F$37:F$42*Parametros!$E$39:$E$44,0))/SUMPRODUCT((Normalizacao!F$37:F$42&lt;&gt;"")*Parametros!$E$39:$E$44))</f>
        <v/>
      </c>
      <c r="F8" s="83">
        <f>IF(SUMPRODUCT((Normalizacao!G$37:G$42&lt;&gt;"")*1)&lt;Parametros!$B$46*6,"",SUMPRODUCT(IFERROR(Normalizacao!G$37:G$42*Parametros!$E$39:$E$44,0))/SUMPRODUCT((Normalizacao!G$37:G$42&lt;&gt;"")*Parametros!$E$39:$E$44))</f>
        <v/>
      </c>
      <c r="G8" s="83">
        <f>IF(SUMPRODUCT((Normalizacao!H$37:H$42&lt;&gt;"")*1)&lt;Parametros!$B$46*6,"",SUMPRODUCT(IFERROR(Normalizacao!H$37:H$42*Parametros!$E$39:$E$44,0))/SUMPRODUCT((Normalizacao!H$37:H$42&lt;&gt;"")*Parametros!$E$39:$E$44))</f>
        <v/>
      </c>
      <c r="H8" s="83">
        <f>IF(SUMPRODUCT((Normalizacao!I$37:I$42&lt;&gt;"")*1)&lt;Parametros!$B$46*6,"",SUMPRODUCT(IFERROR(Normalizacao!I$37:I$42*Parametros!$E$39:$E$44,0))/SUMPRODUCT((Normalizacao!I$37:I$42&lt;&gt;"")*Parametros!$E$39:$E$44))</f>
        <v/>
      </c>
      <c r="I8" s="83">
        <f>IF(SUMPRODUCT((Normalizacao!J$37:J$42&lt;&gt;"")*1)&lt;Parametros!$B$46*6,"",SUMPRODUCT(IFERROR(Normalizacao!J$37:J$42*Parametros!$E$39:$E$44,0))/SUMPRODUCT((Normalizacao!J$37:J$42&lt;&gt;"")*Parametros!$E$39:$E$44))</f>
        <v/>
      </c>
      <c r="J8" s="83">
        <f>IF(SUMPRODUCT((Normalizacao!K$37:K$42&lt;&gt;"")*1)&lt;Parametros!$B$46*6,"",SUMPRODUCT(IFERROR(Normalizacao!K$37:K$42*Parametros!$E$39:$E$44,0))/SUMPRODUCT((Normalizacao!K$37:K$42&lt;&gt;"")*Parametros!$E$39:$E$44))</f>
        <v/>
      </c>
      <c r="K8" s="83">
        <f>IF(SUMPRODUCT((Normalizacao!L$37:L$42&lt;&gt;"")*1)&lt;Parametros!$B$46*6,"",SUMPRODUCT(IFERROR(Normalizacao!L$37:L$42*Parametros!$E$39:$E$44,0))/SUMPRODUCT((Normalizacao!L$37:L$42&lt;&gt;"")*Parametros!$E$39:$E$44))</f>
        <v/>
      </c>
      <c r="L8" s="83">
        <f>IF(SUMPRODUCT((Normalizacao!M$37:M$42&lt;&gt;"")*1)&lt;Parametros!$B$46*6,"",SUMPRODUCT(IFERROR(Normalizacao!M$37:M$42*Parametros!$E$39:$E$44,0))/SUMPRODUCT((Normalizacao!M$37:M$42&lt;&gt;"")*Parametros!$E$39:$E$44))</f>
        <v/>
      </c>
    </row>
    <row r="10" ht="14.25" customHeight="1" s="50">
      <c r="A10" s="55" t="inlineStr">
        <is>
          <t>DIAGNÓSTICO DE COBERTURA (nº de indicadores com dados / total)</t>
        </is>
      </c>
    </row>
    <row r="11" ht="14.25" customHeight="1" s="50">
      <c r="A11" s="55" t="inlineStr">
        <is>
          <t>Subíndice</t>
        </is>
      </c>
      <c r="B11" s="55" t="inlineStr">
        <is>
          <t>2015</t>
        </is>
      </c>
      <c r="C11" s="55" t="inlineStr">
        <is>
          <t>2016</t>
        </is>
      </c>
      <c r="D11" s="55" t="inlineStr">
        <is>
          <t>2017</t>
        </is>
      </c>
      <c r="E11" s="55" t="inlineStr">
        <is>
          <t>2018</t>
        </is>
      </c>
      <c r="F11" s="55" t="inlineStr">
        <is>
          <t>2019</t>
        </is>
      </c>
      <c r="G11" s="55" t="inlineStr">
        <is>
          <t>2020</t>
        </is>
      </c>
      <c r="H11" s="55" t="inlineStr">
        <is>
          <t>2021</t>
        </is>
      </c>
      <c r="I11" s="55" t="inlineStr">
        <is>
          <t>2022</t>
        </is>
      </c>
      <c r="J11" s="55" t="inlineStr">
        <is>
          <t>2023</t>
        </is>
      </c>
      <c r="K11" s="55" t="inlineStr">
        <is>
          <t>2024</t>
        </is>
      </c>
      <c r="L11" s="55" t="inlineStr">
        <is>
          <t>2025</t>
        </is>
      </c>
    </row>
    <row r="12" ht="14.25" customHeight="1" s="50">
      <c r="A12" s="49" t="inlineStr">
        <is>
          <t>1. Governança e Estado de Direito</t>
        </is>
      </c>
      <c r="B12" s="49">
        <f>SUMPRODUCT((Normalizacao!C$2:C$6&lt;&gt;"")*1)&amp;"/5"</f>
        <v/>
      </c>
      <c r="C12" s="49">
        <f>SUMPRODUCT((Normalizacao!D$2:D$6&lt;&gt;"")*1)&amp;"/5"</f>
        <v/>
      </c>
      <c r="D12" s="49">
        <f>SUMPRODUCT((Normalizacao!E$2:E$6&lt;&gt;"")*1)&amp;"/5"</f>
        <v/>
      </c>
      <c r="E12" s="49">
        <f>SUMPRODUCT((Normalizacao!F$2:F$6&lt;&gt;"")*1)&amp;"/5"</f>
        <v/>
      </c>
      <c r="F12" s="49">
        <f>SUMPRODUCT((Normalizacao!G$2:G$6&lt;&gt;"")*1)&amp;"/5"</f>
        <v/>
      </c>
      <c r="G12" s="49">
        <f>SUMPRODUCT((Normalizacao!H$2:H$6&lt;&gt;"")*1)&amp;"/5"</f>
        <v/>
      </c>
      <c r="H12" s="49">
        <f>SUMPRODUCT((Normalizacao!I$2:I$6&lt;&gt;"")*1)&amp;"/5"</f>
        <v/>
      </c>
      <c r="I12" s="49">
        <f>SUMPRODUCT((Normalizacao!J$2:J$6&lt;&gt;"")*1)&amp;"/5"</f>
        <v/>
      </c>
      <c r="J12" s="49">
        <f>SUMPRODUCT((Normalizacao!K$2:K$6&lt;&gt;"")*1)&amp;"/5"</f>
        <v/>
      </c>
      <c r="K12" s="49">
        <f>SUMPRODUCT((Normalizacao!L$2:L$6&lt;&gt;"")*1)&amp;"/5"</f>
        <v/>
      </c>
      <c r="L12" s="49">
        <f>SUMPRODUCT((Normalizacao!M$2:M$6&lt;&gt;"")*1)&amp;"/5"</f>
        <v/>
      </c>
    </row>
    <row r="13" ht="14.25" customHeight="1" s="50">
      <c r="A13" s="49" t="inlineStr">
        <is>
          <t>2. Estabilidade Macroeconómica</t>
        </is>
      </c>
      <c r="B13" s="49">
        <f>SUMPRODUCT((Normalizacao!C$7:C$13&lt;&gt;"")*1)&amp;"/7"</f>
        <v/>
      </c>
      <c r="C13" s="49">
        <f>SUMPRODUCT((Normalizacao!D$7:D$13&lt;&gt;"")*1)&amp;"/7"</f>
        <v/>
      </c>
      <c r="D13" s="49">
        <f>SUMPRODUCT((Normalizacao!E$7:E$13&lt;&gt;"")*1)&amp;"/7"</f>
        <v/>
      </c>
      <c r="E13" s="49">
        <f>SUMPRODUCT((Normalizacao!F$7:F$13&lt;&gt;"")*1)&amp;"/7"</f>
        <v/>
      </c>
      <c r="F13" s="49">
        <f>SUMPRODUCT((Normalizacao!G$7:G$13&lt;&gt;"")*1)&amp;"/7"</f>
        <v/>
      </c>
      <c r="G13" s="49">
        <f>SUMPRODUCT((Normalizacao!H$7:H$13&lt;&gt;"")*1)&amp;"/7"</f>
        <v/>
      </c>
      <c r="H13" s="49">
        <f>SUMPRODUCT((Normalizacao!I$7:I$13&lt;&gt;"")*1)&amp;"/7"</f>
        <v/>
      </c>
      <c r="I13" s="49">
        <f>SUMPRODUCT((Normalizacao!J$7:J$13&lt;&gt;"")*1)&amp;"/7"</f>
        <v/>
      </c>
      <c r="J13" s="49">
        <f>SUMPRODUCT((Normalizacao!K$7:K$13&lt;&gt;"")*1)&amp;"/7"</f>
        <v/>
      </c>
      <c r="K13" s="49">
        <f>SUMPRODUCT((Normalizacao!L$7:L$13&lt;&gt;"")*1)&amp;"/7"</f>
        <v/>
      </c>
      <c r="L13" s="49">
        <f>SUMPRODUCT((Normalizacao!M$7:M$13&lt;&gt;"")*1)&amp;"/7"</f>
        <v/>
      </c>
    </row>
    <row r="14" ht="14.25" customHeight="1" s="50">
      <c r="A14" s="49" t="inlineStr">
        <is>
          <t>3. Capital Humano</t>
        </is>
      </c>
      <c r="B14" s="49">
        <f>SUMPRODUCT((Normalizacao!C$14:C$19&lt;&gt;"")*1)&amp;"/6"</f>
        <v/>
      </c>
      <c r="C14" s="49">
        <f>SUMPRODUCT((Normalizacao!D$14:D$19&lt;&gt;"")*1)&amp;"/6"</f>
        <v/>
      </c>
      <c r="D14" s="49">
        <f>SUMPRODUCT((Normalizacao!E$14:E$19&lt;&gt;"")*1)&amp;"/6"</f>
        <v/>
      </c>
      <c r="E14" s="49">
        <f>SUMPRODUCT((Normalizacao!F$14:F$19&lt;&gt;"")*1)&amp;"/6"</f>
        <v/>
      </c>
      <c r="F14" s="49">
        <f>SUMPRODUCT((Normalizacao!G$14:G$19&lt;&gt;"")*1)&amp;"/6"</f>
        <v/>
      </c>
      <c r="G14" s="49">
        <f>SUMPRODUCT((Normalizacao!H$14:H$19&lt;&gt;"")*1)&amp;"/6"</f>
        <v/>
      </c>
      <c r="H14" s="49">
        <f>SUMPRODUCT((Normalizacao!I$14:I$19&lt;&gt;"")*1)&amp;"/6"</f>
        <v/>
      </c>
      <c r="I14" s="49">
        <f>SUMPRODUCT((Normalizacao!J$14:J$19&lt;&gt;"")*1)&amp;"/6"</f>
        <v/>
      </c>
      <c r="J14" s="49">
        <f>SUMPRODUCT((Normalizacao!K$14:K$19&lt;&gt;"")*1)&amp;"/6"</f>
        <v/>
      </c>
      <c r="K14" s="49">
        <f>SUMPRODUCT((Normalizacao!L$14:L$19&lt;&gt;"")*1)&amp;"/6"</f>
        <v/>
      </c>
      <c r="L14" s="49">
        <f>SUMPRODUCT((Normalizacao!M$14:M$19&lt;&gt;"")*1)&amp;"/6"</f>
        <v/>
      </c>
    </row>
    <row r="15" ht="14.25" customHeight="1" s="50">
      <c r="A15" s="49" t="inlineStr">
        <is>
          <t>4. Inclusão Social e Protecção</t>
        </is>
      </c>
      <c r="B15" s="49">
        <f>SUMPRODUCT((Normalizacao!C$20:C$24&lt;&gt;"")*1)&amp;"/5"</f>
        <v/>
      </c>
      <c r="C15" s="49">
        <f>SUMPRODUCT((Normalizacao!D$20:D$24&lt;&gt;"")*1)&amp;"/5"</f>
        <v/>
      </c>
      <c r="D15" s="49">
        <f>SUMPRODUCT((Normalizacao!E$20:E$24&lt;&gt;"")*1)&amp;"/5"</f>
        <v/>
      </c>
      <c r="E15" s="49">
        <f>SUMPRODUCT((Normalizacao!F$20:F$24&lt;&gt;"")*1)&amp;"/5"</f>
        <v/>
      </c>
      <c r="F15" s="49">
        <f>SUMPRODUCT((Normalizacao!G$20:G$24&lt;&gt;"")*1)&amp;"/5"</f>
        <v/>
      </c>
      <c r="G15" s="49">
        <f>SUMPRODUCT((Normalizacao!H$20:H$24&lt;&gt;"")*1)&amp;"/5"</f>
        <v/>
      </c>
      <c r="H15" s="49">
        <f>SUMPRODUCT((Normalizacao!I$20:I$24&lt;&gt;"")*1)&amp;"/5"</f>
        <v/>
      </c>
      <c r="I15" s="49">
        <f>SUMPRODUCT((Normalizacao!J$20:J$24&lt;&gt;"")*1)&amp;"/5"</f>
        <v/>
      </c>
      <c r="J15" s="49">
        <f>SUMPRODUCT((Normalizacao!K$20:K$24&lt;&gt;"")*1)&amp;"/5"</f>
        <v/>
      </c>
      <c r="K15" s="49">
        <f>SUMPRODUCT((Normalizacao!L$20:L$24&lt;&gt;"")*1)&amp;"/5"</f>
        <v/>
      </c>
      <c r="L15" s="49">
        <f>SUMPRODUCT((Normalizacao!M$20:M$24&lt;&gt;"")*1)&amp;"/5"</f>
        <v/>
      </c>
    </row>
    <row r="16" ht="14.25" customHeight="1" s="50">
      <c r="A16" s="49" t="inlineStr">
        <is>
          <t>5. Infraestruturas e Serviços</t>
        </is>
      </c>
      <c r="B16" s="49">
        <f>SUMPRODUCT((Normalizacao!C$25:C$30&lt;&gt;"")*1)&amp;"/6"</f>
        <v/>
      </c>
      <c r="C16" s="49">
        <f>SUMPRODUCT((Normalizacao!D$25:D$30&lt;&gt;"")*1)&amp;"/6"</f>
        <v/>
      </c>
      <c r="D16" s="49">
        <f>SUMPRODUCT((Normalizacao!E$25:E$30&lt;&gt;"")*1)&amp;"/6"</f>
        <v/>
      </c>
      <c r="E16" s="49">
        <f>SUMPRODUCT((Normalizacao!F$25:F$30&lt;&gt;"")*1)&amp;"/6"</f>
        <v/>
      </c>
      <c r="F16" s="49">
        <f>SUMPRODUCT((Normalizacao!G$25:G$30&lt;&gt;"")*1)&amp;"/6"</f>
        <v/>
      </c>
      <c r="G16" s="49">
        <f>SUMPRODUCT((Normalizacao!H$25:H$30&lt;&gt;"")*1)&amp;"/6"</f>
        <v/>
      </c>
      <c r="H16" s="49">
        <f>SUMPRODUCT((Normalizacao!I$25:I$30&lt;&gt;"")*1)&amp;"/6"</f>
        <v/>
      </c>
      <c r="I16" s="49">
        <f>SUMPRODUCT((Normalizacao!J$25:J$30&lt;&gt;"")*1)&amp;"/6"</f>
        <v/>
      </c>
      <c r="J16" s="49">
        <f>SUMPRODUCT((Normalizacao!K$25:K$30&lt;&gt;"")*1)&amp;"/6"</f>
        <v/>
      </c>
      <c r="K16" s="49">
        <f>SUMPRODUCT((Normalizacao!L$25:L$30&lt;&gt;"")*1)&amp;"/6"</f>
        <v/>
      </c>
      <c r="L16" s="49">
        <f>SUMPRODUCT((Normalizacao!M$25:M$30&lt;&gt;"")*1)&amp;"/6"</f>
        <v/>
      </c>
    </row>
    <row r="17" ht="14.25" customHeight="1" s="50">
      <c r="A17" s="49" t="inlineStr">
        <is>
          <t>6. Mercado de Trabalho</t>
        </is>
      </c>
      <c r="B17" s="49">
        <f>SUMPRODUCT((Normalizacao!C$31:C$36&lt;&gt;"")*1)&amp;"/6"</f>
        <v/>
      </c>
      <c r="C17" s="49">
        <f>SUMPRODUCT((Normalizacao!D$31:D$36&lt;&gt;"")*1)&amp;"/6"</f>
        <v/>
      </c>
      <c r="D17" s="49">
        <f>SUMPRODUCT((Normalizacao!E$31:E$36&lt;&gt;"")*1)&amp;"/6"</f>
        <v/>
      </c>
      <c r="E17" s="49">
        <f>SUMPRODUCT((Normalizacao!F$31:F$36&lt;&gt;"")*1)&amp;"/6"</f>
        <v/>
      </c>
      <c r="F17" s="49">
        <f>SUMPRODUCT((Normalizacao!G$31:G$36&lt;&gt;"")*1)&amp;"/6"</f>
        <v/>
      </c>
      <c r="G17" s="49">
        <f>SUMPRODUCT((Normalizacao!H$31:H$36&lt;&gt;"")*1)&amp;"/6"</f>
        <v/>
      </c>
      <c r="H17" s="49">
        <f>SUMPRODUCT((Normalizacao!I$31:I$36&lt;&gt;"")*1)&amp;"/6"</f>
        <v/>
      </c>
      <c r="I17" s="49">
        <f>SUMPRODUCT((Normalizacao!J$31:J$36&lt;&gt;"")*1)&amp;"/6"</f>
        <v/>
      </c>
      <c r="J17" s="49">
        <f>SUMPRODUCT((Normalizacao!K$31:K$36&lt;&gt;"")*1)&amp;"/6"</f>
        <v/>
      </c>
      <c r="K17" s="49">
        <f>SUMPRODUCT((Normalizacao!L$31:L$36&lt;&gt;"")*1)&amp;"/6"</f>
        <v/>
      </c>
      <c r="L17" s="49">
        <f>SUMPRODUCT((Normalizacao!M$31:M$36&lt;&gt;"")*1)&amp;"/6"</f>
        <v/>
      </c>
    </row>
    <row r="18" ht="14.25" customHeight="1" s="50">
      <c r="A18" s="49" t="inlineStr">
        <is>
          <t>7. Segurança Alimentar e Saúde</t>
        </is>
      </c>
      <c r="B18" s="49">
        <f>SUMPRODUCT((Normalizacao!C$37:C$42&lt;&gt;"")*1)&amp;"/6"</f>
        <v/>
      </c>
      <c r="C18" s="49">
        <f>SUMPRODUCT((Normalizacao!D$37:D$42&lt;&gt;"")*1)&amp;"/6"</f>
        <v/>
      </c>
      <c r="D18" s="49">
        <f>SUMPRODUCT((Normalizacao!E$37:E$42&lt;&gt;"")*1)&amp;"/6"</f>
        <v/>
      </c>
      <c r="E18" s="49">
        <f>SUMPRODUCT((Normalizacao!F$37:F$42&lt;&gt;"")*1)&amp;"/6"</f>
        <v/>
      </c>
      <c r="F18" s="49">
        <f>SUMPRODUCT((Normalizacao!G$37:G$42&lt;&gt;"")*1)&amp;"/6"</f>
        <v/>
      </c>
      <c r="G18" s="49">
        <f>SUMPRODUCT((Normalizacao!H$37:H$42&lt;&gt;"")*1)&amp;"/6"</f>
        <v/>
      </c>
      <c r="H18" s="49">
        <f>SUMPRODUCT((Normalizacao!I$37:I$42&lt;&gt;"")*1)&amp;"/6"</f>
        <v/>
      </c>
      <c r="I18" s="49">
        <f>SUMPRODUCT((Normalizacao!J$37:J$42&lt;&gt;"")*1)&amp;"/6"</f>
        <v/>
      </c>
      <c r="J18" s="49">
        <f>SUMPRODUCT((Normalizacao!K$37:K$42&lt;&gt;"")*1)&amp;"/6"</f>
        <v/>
      </c>
      <c r="K18" s="49">
        <f>SUMPRODUCT((Normalizacao!L$37:L$42&lt;&gt;"")*1)&amp;"/6"</f>
        <v/>
      </c>
      <c r="L18" s="49">
        <f>SUMPRODUCT((Normalizacao!M$37:M$42&lt;&gt;"")*1)&amp;"/6"</f>
        <v/>
      </c>
    </row>
    <row r="20" ht="14.25" customHeight="1" s="50">
      <c r="A20" s="55" t="inlineStr">
        <is>
          <t>Subíndices com dados (de 7)</t>
        </is>
      </c>
      <c r="B20" s="49">
        <f>SUMPRODUCT((B2:B8&lt;&gt;"")*1)</f>
        <v/>
      </c>
      <c r="C20" s="49">
        <f>SUMPRODUCT((C2:C8&lt;&gt;"")*1)</f>
        <v/>
      </c>
      <c r="D20" s="49">
        <f>SUMPRODUCT((D2:D8&lt;&gt;"")*1)</f>
        <v/>
      </c>
      <c r="E20" s="49">
        <f>SUMPRODUCT((E2:E8&lt;&gt;"")*1)</f>
        <v/>
      </c>
      <c r="F20" s="49">
        <f>SUMPRODUCT((F2:F8&lt;&gt;"")*1)</f>
        <v/>
      </c>
      <c r="G20" s="49">
        <f>SUMPRODUCT((G2:G8&lt;&gt;"")*1)</f>
        <v/>
      </c>
      <c r="H20" s="49">
        <f>SUMPRODUCT((H2:H8&lt;&gt;"")*1)</f>
        <v/>
      </c>
      <c r="I20" s="49">
        <f>SUMPRODUCT((I2:I8&lt;&gt;"")*1)</f>
        <v/>
      </c>
      <c r="J20" s="49">
        <f>SUMPRODUCT((J2:J8&lt;&gt;"")*1)</f>
        <v/>
      </c>
      <c r="K20" s="49">
        <f>SUMPRODUCT((K2:K8&lt;&gt;"")*1)</f>
        <v/>
      </c>
      <c r="L20" s="49">
        <f>SUMPRODUCT((L2:L8&lt;&gt;"")*1)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DBEEF4"/>
    <outlinePr summaryBelow="1" summaryRight="1"/>
    <pageSetUpPr fitToPage="0"/>
  </sheetPr>
  <dimension ref="B2:U7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V42" activeCellId="0" sqref="V42"/>
    </sheetView>
  </sheetViews>
  <sheetFormatPr baseColWidth="8" defaultColWidth="8.53515625" defaultRowHeight="14.25" zeroHeight="0" outlineLevelRow="0"/>
  <cols>
    <col width="35" customWidth="1" style="49" min="3" max="3"/>
    <col width="8" customWidth="1" style="49" min="4" max="4"/>
    <col width="12" customWidth="1" style="49" min="5" max="15"/>
    <col width="5.53" customWidth="1" style="49" min="20" max="20"/>
  </cols>
  <sheetData>
    <row r="2" ht="19.5" customHeight="1" s="50">
      <c r="C2" s="86" t="inlineStr">
        <is>
          <t>EVOLUÇÃO DO ÍNDICE DE DESENVOLVIMENTO DE ANGOLA (IGDA-BDA)</t>
        </is>
      </c>
    </row>
    <row r="4" ht="14.25" customHeight="1" s="50">
      <c r="C4" s="56" t="inlineStr">
        <is>
          <t>Componente</t>
        </is>
      </c>
      <c r="D4" s="56" t="inlineStr">
        <is>
          <t>Peso</t>
        </is>
      </c>
      <c r="E4" s="56" t="inlineStr">
        <is>
          <t>2015</t>
        </is>
      </c>
      <c r="F4" s="56" t="inlineStr">
        <is>
          <t>2016</t>
        </is>
      </c>
      <c r="G4" s="56" t="inlineStr">
        <is>
          <t>2017</t>
        </is>
      </c>
      <c r="H4" s="56" t="inlineStr">
        <is>
          <t>2018</t>
        </is>
      </c>
      <c r="I4" s="56" t="inlineStr">
        <is>
          <t>2019</t>
        </is>
      </c>
      <c r="J4" s="56" t="inlineStr">
        <is>
          <t>2020</t>
        </is>
      </c>
      <c r="K4" s="56" t="inlineStr">
        <is>
          <t>2021</t>
        </is>
      </c>
      <c r="L4" s="56" t="inlineStr">
        <is>
          <t>2022</t>
        </is>
      </c>
      <c r="M4" s="56" t="inlineStr">
        <is>
          <t>2023</t>
        </is>
      </c>
      <c r="N4" s="56" t="inlineStr">
        <is>
          <t>2024</t>
        </is>
      </c>
      <c r="O4" s="56" t="inlineStr">
        <is>
          <t>2025</t>
        </is>
      </c>
    </row>
    <row r="5" ht="14.25" customHeight="1" s="50">
      <c r="C5" s="77" t="inlineStr">
        <is>
          <t>1. Governança e Estado de Direito</t>
        </is>
      </c>
      <c r="D5" s="87">
        <f>Parametros!B52</f>
        <v/>
      </c>
      <c r="E5" s="83">
        <f>Subindices!B$2</f>
        <v/>
      </c>
      <c r="F5" s="83">
        <f>Subindices!C$2</f>
        <v/>
      </c>
      <c r="G5" s="83">
        <f>Subindices!D$2</f>
        <v/>
      </c>
      <c r="H5" s="83">
        <f>Subindices!E$2</f>
        <v/>
      </c>
      <c r="I5" s="83">
        <f>Subindices!F$2</f>
        <v/>
      </c>
      <c r="J5" s="83">
        <f>Subindices!G$2</f>
        <v/>
      </c>
      <c r="K5" s="83">
        <f>Subindices!H$2</f>
        <v/>
      </c>
      <c r="L5" s="83">
        <f>Subindices!I$2</f>
        <v/>
      </c>
      <c r="M5" s="83">
        <f>Subindices!J$2</f>
        <v/>
      </c>
      <c r="N5" s="83">
        <f>Subindices!K$2</f>
        <v/>
      </c>
      <c r="O5" s="83">
        <f>Subindices!L$2</f>
        <v/>
      </c>
    </row>
    <row r="6" ht="14.25" customHeight="1" s="50">
      <c r="C6" s="77" t="inlineStr">
        <is>
          <t>2. Estabilidade Macroeconómica</t>
        </is>
      </c>
      <c r="D6" s="87">
        <f>Parametros!B53</f>
        <v/>
      </c>
      <c r="E6" s="83">
        <f>Subindices!B$3</f>
        <v/>
      </c>
      <c r="F6" s="83">
        <f>Subindices!C$3</f>
        <v/>
      </c>
      <c r="G6" s="83">
        <f>Subindices!D$3</f>
        <v/>
      </c>
      <c r="H6" s="83">
        <f>Subindices!E$3</f>
        <v/>
      </c>
      <c r="I6" s="83">
        <f>Subindices!F$3</f>
        <v/>
      </c>
      <c r="J6" s="83">
        <f>Subindices!G$3</f>
        <v/>
      </c>
      <c r="K6" s="83">
        <f>Subindices!H$3</f>
        <v/>
      </c>
      <c r="L6" s="83">
        <f>Subindices!I$3</f>
        <v/>
      </c>
      <c r="M6" s="83">
        <f>Subindices!J$3</f>
        <v/>
      </c>
      <c r="N6" s="83">
        <f>Subindices!K$3</f>
        <v/>
      </c>
      <c r="O6" s="83">
        <f>Subindices!L$3</f>
        <v/>
      </c>
    </row>
    <row r="7" ht="14.25" customHeight="1" s="50">
      <c r="C7" s="77" t="inlineStr">
        <is>
          <t>3. Capital Humano</t>
        </is>
      </c>
      <c r="D7" s="87">
        <f>Parametros!B54</f>
        <v/>
      </c>
      <c r="E7" s="83">
        <f>Subindices!B$4</f>
        <v/>
      </c>
      <c r="F7" s="83">
        <f>Subindices!C$4</f>
        <v/>
      </c>
      <c r="G7" s="83">
        <f>Subindices!D$4</f>
        <v/>
      </c>
      <c r="H7" s="83">
        <f>Subindices!E$4</f>
        <v/>
      </c>
      <c r="I7" s="83">
        <f>Subindices!F$4</f>
        <v/>
      </c>
      <c r="J7" s="83">
        <f>Subindices!G$4</f>
        <v/>
      </c>
      <c r="K7" s="83">
        <f>Subindices!H$4</f>
        <v/>
      </c>
      <c r="L7" s="83">
        <f>Subindices!I$4</f>
        <v/>
      </c>
      <c r="M7" s="83">
        <f>Subindices!J$4</f>
        <v/>
      </c>
      <c r="N7" s="83">
        <f>Subindices!K$4</f>
        <v/>
      </c>
      <c r="O7" s="83">
        <f>Subindices!L$4</f>
        <v/>
      </c>
    </row>
    <row r="8" ht="14.25" customHeight="1" s="50">
      <c r="C8" s="77" t="inlineStr">
        <is>
          <t>4. Inclusão Social e Protecção</t>
        </is>
      </c>
      <c r="D8" s="87">
        <f>Parametros!B55</f>
        <v/>
      </c>
      <c r="E8" s="83">
        <f>Subindices!B$5</f>
        <v/>
      </c>
      <c r="F8" s="83">
        <f>Subindices!C$5</f>
        <v/>
      </c>
      <c r="G8" s="83">
        <f>Subindices!D$5</f>
        <v/>
      </c>
      <c r="H8" s="83">
        <f>Subindices!E$5</f>
        <v/>
      </c>
      <c r="I8" s="83">
        <f>Subindices!F$5</f>
        <v/>
      </c>
      <c r="J8" s="83">
        <f>Subindices!G$5</f>
        <v/>
      </c>
      <c r="K8" s="83">
        <f>Subindices!H$5</f>
        <v/>
      </c>
      <c r="L8" s="83">
        <f>Subindices!I$5</f>
        <v/>
      </c>
      <c r="M8" s="83">
        <f>Subindices!J$5</f>
        <v/>
      </c>
      <c r="N8" s="83">
        <f>Subindices!K$5</f>
        <v/>
      </c>
      <c r="O8" s="83">
        <f>Subindices!L$5</f>
        <v/>
      </c>
    </row>
    <row r="9" ht="14.25" customHeight="1" s="50">
      <c r="C9" s="77" t="inlineStr">
        <is>
          <t>5. Infraestruturas e Serviços</t>
        </is>
      </c>
      <c r="D9" s="87">
        <f>Parametros!B56</f>
        <v/>
      </c>
      <c r="E9" s="83">
        <f>Subindices!B$6</f>
        <v/>
      </c>
      <c r="F9" s="83">
        <f>Subindices!C$6</f>
        <v/>
      </c>
      <c r="G9" s="83">
        <f>Subindices!D$6</f>
        <v/>
      </c>
      <c r="H9" s="83">
        <f>Subindices!E$6</f>
        <v/>
      </c>
      <c r="I9" s="83">
        <f>Subindices!F$6</f>
        <v/>
      </c>
      <c r="J9" s="83">
        <f>Subindices!G$6</f>
        <v/>
      </c>
      <c r="K9" s="83">
        <f>Subindices!H$6</f>
        <v/>
      </c>
      <c r="L9" s="83">
        <f>Subindices!I$6</f>
        <v/>
      </c>
      <c r="M9" s="83">
        <f>Subindices!J$6</f>
        <v/>
      </c>
      <c r="N9" s="83">
        <f>Subindices!K$6</f>
        <v/>
      </c>
      <c r="O9" s="83">
        <f>Subindices!L$6</f>
        <v/>
      </c>
    </row>
    <row r="10" ht="14.25" customHeight="1" s="50">
      <c r="C10" s="77" t="inlineStr">
        <is>
          <t>6. Mercado de Trabalho</t>
        </is>
      </c>
      <c r="D10" s="87">
        <f>Parametros!B57</f>
        <v/>
      </c>
      <c r="E10" s="83">
        <f>Subindices!B$7</f>
        <v/>
      </c>
      <c r="F10" s="83">
        <f>Subindices!C$7</f>
        <v/>
      </c>
      <c r="G10" s="83">
        <f>Subindices!D$7</f>
        <v/>
      </c>
      <c r="H10" s="83">
        <f>Subindices!E$7</f>
        <v/>
      </c>
      <c r="I10" s="83">
        <f>Subindices!F$7</f>
        <v/>
      </c>
      <c r="J10" s="83">
        <f>Subindices!G$7</f>
        <v/>
      </c>
      <c r="K10" s="83">
        <f>Subindices!H$7</f>
        <v/>
      </c>
      <c r="L10" s="83">
        <f>Subindices!I$7</f>
        <v/>
      </c>
      <c r="M10" s="83">
        <f>Subindices!J$7</f>
        <v/>
      </c>
      <c r="N10" s="83">
        <f>Subindices!K$7</f>
        <v/>
      </c>
      <c r="O10" s="83">
        <f>Subindices!L$7</f>
        <v/>
      </c>
    </row>
    <row r="11" ht="14.25" customHeight="1" s="50">
      <c r="C11" s="77" t="inlineStr">
        <is>
          <t>7. Segurança Alimentar e Saúde</t>
        </is>
      </c>
      <c r="D11" s="87">
        <f>Parametros!B58</f>
        <v/>
      </c>
      <c r="E11" s="83">
        <f>Subindices!B$8</f>
        <v/>
      </c>
      <c r="F11" s="83">
        <f>Subindices!C$8</f>
        <v/>
      </c>
      <c r="G11" s="83">
        <f>Subindices!D$8</f>
        <v/>
      </c>
      <c r="H11" s="83">
        <f>Subindices!E$8</f>
        <v/>
      </c>
      <c r="I11" s="83">
        <f>Subindices!F$8</f>
        <v/>
      </c>
      <c r="J11" s="83">
        <f>Subindices!G$8</f>
        <v/>
      </c>
      <c r="K11" s="83">
        <f>Subindices!H$8</f>
        <v/>
      </c>
      <c r="L11" s="83">
        <f>Subindices!I$8</f>
        <v/>
      </c>
      <c r="M11" s="83">
        <f>Subindices!J$8</f>
        <v/>
      </c>
      <c r="N11" s="83">
        <f>Subindices!K$8</f>
        <v/>
      </c>
      <c r="O11" s="83">
        <f>Subindices!L$8</f>
        <v/>
      </c>
    </row>
    <row r="13" ht="15" customHeight="1" s="50">
      <c r="C13" s="88" t="inlineStr">
        <is>
          <t>EVOLUÇÃO DO IGDA-BDA (Índice Global)</t>
        </is>
      </c>
      <c r="D13" s="89" t="n"/>
      <c r="E13" s="90">
        <f>IF(SUMPRODUCT((E5:E11&lt;&gt;"")*1)&lt;Parametros!$B$47,"",IF(SUMPRODUCT((E5:E11&lt;&gt;"")*(E5:E11&lt;=0))&gt;0,0,EXP(SUMPRODUCT(IFERROR(LN(E5:E11)*$D$5:$D$11,0))/SUMPRODUCT((E5:E11&lt;&gt;"")*$D$5:$D$11))))</f>
        <v/>
      </c>
      <c r="F13" s="90">
        <f>IF(SUMPRODUCT((F5:F11&lt;&gt;"")*1)&lt;Parametros!$B$47,"",IF(SUMPRODUCT((F5:F11&lt;&gt;"")*(F5:F11&lt;=0))&gt;0,0,EXP(SUMPRODUCT(IFERROR(LN(F5:F11)*$D$5:$D$11,0))/SUMPRODUCT((F5:F11&lt;&gt;"")*$D$5:$D$11))))</f>
        <v/>
      </c>
      <c r="G13" s="90">
        <f>IF(SUMPRODUCT((G5:G11&lt;&gt;"")*1)&lt;Parametros!$B$47,"",IF(SUMPRODUCT((G5:G11&lt;&gt;"")*(G5:G11&lt;=0))&gt;0,0,EXP(SUMPRODUCT(IFERROR(LN(G5:G11)*$D$5:$D$11,0))/SUMPRODUCT((G5:G11&lt;&gt;"")*$D$5:$D$11))))</f>
        <v/>
      </c>
      <c r="H13" s="90">
        <f>IF(SUMPRODUCT((H5:H11&lt;&gt;"")*1)&lt;Parametros!$B$47,"",IF(SUMPRODUCT((H5:H11&lt;&gt;"")*(H5:H11&lt;=0))&gt;0,0,EXP(SUMPRODUCT(IFERROR(LN(H5:H11)*$D$5:$D$11,0))/SUMPRODUCT((H5:H11&lt;&gt;"")*$D$5:$D$11))))</f>
        <v/>
      </c>
      <c r="I13" s="90">
        <f>IF(SUMPRODUCT((I5:I11&lt;&gt;"")*1)&lt;Parametros!$B$47,"",IF(SUMPRODUCT((I5:I11&lt;&gt;"")*(I5:I11&lt;=0))&gt;0,0,EXP(SUMPRODUCT(IFERROR(LN(I5:I11)*$D$5:$D$11,0))/SUMPRODUCT((I5:I11&lt;&gt;"")*$D$5:$D$11))))</f>
        <v/>
      </c>
      <c r="J13" s="90">
        <f>IF(SUMPRODUCT((J5:J11&lt;&gt;"")*1)&lt;Parametros!$B$47,"",IF(SUMPRODUCT((J5:J11&lt;&gt;"")*(J5:J11&lt;=0))&gt;0,0,EXP(SUMPRODUCT(IFERROR(LN(J5:J11)*$D$5:$D$11,0))/SUMPRODUCT((J5:J11&lt;&gt;"")*$D$5:$D$11))))</f>
        <v/>
      </c>
      <c r="K13" s="90">
        <f>IF(SUMPRODUCT((K5:K11&lt;&gt;"")*1)&lt;Parametros!$B$47,"",IF(SUMPRODUCT((K5:K11&lt;&gt;"")*(K5:K11&lt;=0))&gt;0,0,EXP(SUMPRODUCT(IFERROR(LN(K5:K11)*$D$5:$D$11,0))/SUMPRODUCT((K5:K11&lt;&gt;"")*$D$5:$D$11))))</f>
        <v/>
      </c>
      <c r="L13" s="90">
        <f>IF(SUMPRODUCT((L5:L11&lt;&gt;"")*1)&lt;Parametros!$B$47,"",IF(SUMPRODUCT((L5:L11&lt;&gt;"")*(L5:L11&lt;=0))&gt;0,0,EXP(SUMPRODUCT(IFERROR(LN(L5:L11)*$D$5:$D$11,0))/SUMPRODUCT((L5:L11&lt;&gt;"")*$D$5:$D$11))))</f>
        <v/>
      </c>
      <c r="M13" s="90">
        <f>IF(SUMPRODUCT((M5:M11&lt;&gt;"")*1)&lt;Parametros!$B$47,"",IF(SUMPRODUCT((M5:M11&lt;&gt;"")*(M5:M11&lt;=0))&gt;0,0,EXP(SUMPRODUCT(IFERROR(LN(M5:M11)*$D$5:$D$11,0))/SUMPRODUCT((M5:M11&lt;&gt;"")*$D$5:$D$11))))</f>
        <v/>
      </c>
      <c r="N13" s="90">
        <f>IF(SUMPRODUCT((N5:N11&lt;&gt;"")*1)&lt;Parametros!$B$47,"",IF(SUMPRODUCT((N5:N11&lt;&gt;"")*(N5:N11&lt;=0))&gt;0,0,EXP(SUMPRODUCT(IFERROR(LN(N5:N11)*$D$5:$D$11,0))/SUMPRODUCT((N5:N11&lt;&gt;"")*$D$5:$D$11))))</f>
        <v/>
      </c>
      <c r="O13" s="90">
        <f>IF(SUMPRODUCT((O5:O11&lt;&gt;"")*1)&lt;Parametros!$B$47,"",IF(SUMPRODUCT((O5:O11&lt;&gt;"")*(O5:O11&lt;=0))&gt;0,0,EXP(SUMPRODUCT(IFERROR(LN(O5:O11)*$D$5:$D$11,0))/SUMPRODUCT((O5:O11&lt;&gt;"")*$D$5:$D$11))))</f>
        <v/>
      </c>
    </row>
    <row r="14" ht="14.25" customHeight="1" s="50">
      <c r="E14" s="91">
        <f>IF(E13="","",IF(E13&gt;=70,"Bom",IF(E13&gt;=50,"Moderado","Fraco")))</f>
        <v/>
      </c>
      <c r="F14" s="91">
        <f>IF(F13="","",IF(F13&gt;=70,"Bom",IF(F13&gt;=50,"Moderado","Fraco")))</f>
        <v/>
      </c>
      <c r="G14" s="91">
        <f>IF(G13="","",IF(G13&gt;=70,"Bom",IF(G13&gt;=50,"Moderado","Fraco")))</f>
        <v/>
      </c>
      <c r="H14" s="91">
        <f>IF(H13="","",IF(H13&gt;=70,"Bom",IF(H13&gt;=50,"Moderado","Fraco")))</f>
        <v/>
      </c>
      <c r="I14" s="91">
        <f>IF(I13="","",IF(I13&gt;=70,"Bom",IF(I13&gt;=50,"Moderado","Fraco")))</f>
        <v/>
      </c>
      <c r="J14" s="91">
        <f>IF(J13="","",IF(J13&gt;=70,"Bom",IF(J13&gt;=50,"Moderado","Fraco")))</f>
        <v/>
      </c>
      <c r="K14" s="91">
        <f>IF(K13="","",IF(K13&gt;=70,"Bom",IF(K13&gt;=50,"Moderado","Fraco")))</f>
        <v/>
      </c>
      <c r="L14" s="91">
        <f>IF(L13="","",IF(L13&gt;=70,"Bom",IF(L13&gt;=50,"Moderado","Fraco")))</f>
        <v/>
      </c>
      <c r="M14" s="91">
        <f>IF(M13="","",IF(M13&gt;=70,"Bom",IF(M13&gt;=50,"Moderado","Fraco")))</f>
        <v/>
      </c>
      <c r="N14" s="91">
        <f>IF(N13="","",IF(N13&gt;=70,"Bom",IF(N13&gt;=50,"Moderado","Fraco")))</f>
        <v/>
      </c>
      <c r="O14" s="91">
        <f>IF(O13="","",IF(O13&gt;=70,"Bom",IF(O13&gt;=50,"Moderado","Fraco")))</f>
        <v/>
      </c>
    </row>
    <row r="15" ht="14.25" customHeight="1" s="50">
      <c r="C15" s="92" t="inlineStr">
        <is>
          <t>Variação Anual (p.p.)</t>
        </is>
      </c>
      <c r="F15" s="93">
        <f>IF(OR(F13="",E13=""),"",F13-E13)</f>
        <v/>
      </c>
      <c r="G15" s="93">
        <f>IF(OR(G13="",F13=""),"",G13-F13)</f>
        <v/>
      </c>
      <c r="H15" s="93">
        <f>IF(OR(H13="",G13=""),"",H13-G13)</f>
        <v/>
      </c>
      <c r="I15" s="93">
        <f>IF(OR(I13="",H13=""),"",I13-H13)</f>
        <v/>
      </c>
      <c r="J15" s="93">
        <f>IF(OR(J13="",I13=""),"",J13-I13)</f>
        <v/>
      </c>
      <c r="K15" s="93">
        <f>IF(OR(K13="",J13=""),"",K13-J13)</f>
        <v/>
      </c>
      <c r="L15" s="93">
        <f>IF(OR(L13="",K13=""),"",L13-K13)</f>
        <v/>
      </c>
      <c r="M15" s="93">
        <f>IF(OR(M13="",L13=""),"",M13-L13)</f>
        <v/>
      </c>
      <c r="N15" s="93">
        <f>IF(OR(N13="",M13=""),"",N13-M13)</f>
        <v/>
      </c>
      <c r="O15" s="93">
        <f>IF(OR(O13="",N13=""),"",O13-N13)</f>
        <v/>
      </c>
    </row>
    <row r="16" ht="15" customHeight="1" s="50">
      <c r="C16" s="53" t="inlineStr">
        <is>
          <t>SEMÁFORO DE DESEMPENHO</t>
        </is>
      </c>
    </row>
    <row r="17" ht="14.25" customHeight="1" s="50">
      <c r="C17" s="49" t="inlineStr">
        <is>
          <t>≥ 70: Bom | 50-70: Moderado | &lt; 50: Fraco</t>
        </is>
      </c>
    </row>
    <row r="20" ht="14.25" customHeight="1" s="50">
      <c r="B20" s="94" t="n"/>
      <c r="C20" s="94" t="n"/>
      <c r="D20" s="94" t="n"/>
      <c r="E20" s="94" t="n"/>
      <c r="F20" s="94" t="n"/>
      <c r="G20" s="94" t="n"/>
      <c r="H20" s="94" t="n"/>
      <c r="I20" s="94" t="n"/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</row>
    <row r="21" ht="14.25" customHeight="1" s="50">
      <c r="B21" s="94" t="n"/>
      <c r="C21" s="94" t="n"/>
      <c r="D21" s="94" t="n"/>
      <c r="E21" s="94" t="n"/>
      <c r="F21" s="94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4" t="n"/>
      <c r="U21" s="94" t="n"/>
    </row>
    <row r="22" ht="3.75" customHeight="1" s="50">
      <c r="B22" s="94" t="n"/>
      <c r="C22" s="94" t="n"/>
      <c r="D22" s="94" t="n"/>
      <c r="E22" s="94" t="n"/>
      <c r="F22" s="94" t="n"/>
      <c r="G22" s="94" t="n"/>
      <c r="H22" s="94" t="n"/>
      <c r="I22" s="94" t="n"/>
      <c r="J22" s="94" t="n"/>
      <c r="K22" s="94" t="n"/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</row>
    <row r="23" ht="18.75" customHeight="1" s="50">
      <c r="B23" s="94" t="n"/>
      <c r="C23" s="94" t="n"/>
      <c r="D23" s="94" t="n"/>
      <c r="E23" s="94" t="n"/>
      <c r="F23" s="94" t="n"/>
      <c r="G23" s="94" t="n"/>
      <c r="H23" s="94" t="n"/>
      <c r="I23" s="94" t="n"/>
      <c r="J23" s="94" t="n"/>
      <c r="K23" s="94" t="n"/>
      <c r="L23" s="94" t="n"/>
      <c r="M23" s="94" t="n"/>
      <c r="N23" s="94" t="n"/>
      <c r="O23" s="94" t="n"/>
      <c r="P23" s="94" t="n"/>
      <c r="Q23" s="94" t="n"/>
      <c r="R23" s="94" t="n"/>
      <c r="S23" s="94" t="n"/>
      <c r="T23" s="94" t="n"/>
      <c r="U23" s="94" t="n"/>
    </row>
    <row r="24" ht="18.75" customHeight="1" s="50">
      <c r="B24" s="94" t="n"/>
      <c r="C24" s="94" t="n"/>
      <c r="D24" s="94" t="n"/>
      <c r="E24" s="94" t="n"/>
      <c r="F24" s="94" t="n"/>
      <c r="G24" s="94" t="n"/>
      <c r="H24" s="94" t="n"/>
      <c r="I24" s="94" t="n"/>
      <c r="J24" s="94" t="n"/>
      <c r="K24" s="94" t="n"/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</row>
    <row r="25" ht="18.75" customHeight="1" s="50">
      <c r="B25" s="94" t="n"/>
      <c r="C25" s="94" t="n"/>
      <c r="D25" s="94" t="n"/>
      <c r="E25" s="94" t="n"/>
      <c r="F25" s="94" t="n"/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  <c r="U25" s="94" t="n"/>
    </row>
    <row r="26" ht="18.75" customHeight="1" s="50">
      <c r="B26" s="94" t="n"/>
      <c r="C26" s="94" t="n"/>
      <c r="D26" s="94" t="n"/>
      <c r="E26" s="94" t="n"/>
      <c r="F26" s="94" t="n"/>
      <c r="G26" s="94" t="n"/>
      <c r="H26" s="94" t="n"/>
      <c r="I26" s="94" t="n"/>
      <c r="J26" s="94" t="n"/>
      <c r="K26" s="94" t="n"/>
      <c r="L26" s="94" t="n"/>
      <c r="M26" s="94" t="n"/>
      <c r="N26" s="94" t="n"/>
      <c r="O26" s="94" t="n"/>
      <c r="P26" s="94" t="n"/>
      <c r="Q26" s="94" t="n"/>
      <c r="R26" s="94" t="n"/>
      <c r="S26" s="94" t="n"/>
      <c r="T26" s="94" t="n"/>
      <c r="U26" s="94" t="n"/>
    </row>
    <row r="27" ht="18.75" customHeight="1" s="50"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</row>
    <row r="28" ht="18.75" customHeight="1" s="50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</row>
    <row r="29" ht="18.75" customHeight="1" s="50">
      <c r="B29" s="94" t="n"/>
      <c r="C29" s="94" t="n"/>
      <c r="D29" s="94" t="n"/>
      <c r="E29" s="94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94" t="n"/>
      <c r="P29" s="94" t="n"/>
      <c r="Q29" s="94" t="n"/>
      <c r="R29" s="94" t="n"/>
      <c r="S29" s="94" t="n"/>
      <c r="T29" s="94" t="n"/>
      <c r="U29" s="94" t="n"/>
    </row>
    <row r="30" ht="18.75" customHeight="1" s="50">
      <c r="B30" s="94" t="n"/>
      <c r="C30" s="94" t="n"/>
      <c r="D30" s="94" t="n"/>
      <c r="E30" s="94" t="n"/>
      <c r="F30" s="94" t="n"/>
      <c r="G30" s="94" t="n"/>
      <c r="H30" s="94" t="n"/>
      <c r="I30" s="94" t="n"/>
      <c r="J30" s="94" t="n"/>
      <c r="K30" s="94" t="n"/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</row>
    <row r="31" ht="18.75" customHeight="1" s="50">
      <c r="B31" s="94" t="n"/>
      <c r="C31" s="94" t="n"/>
      <c r="D31" s="94" t="n"/>
      <c r="E31" s="94" t="n"/>
      <c r="F31" s="94" t="n"/>
      <c r="G31" s="94" t="n"/>
      <c r="H31" s="94" t="n"/>
      <c r="I31" s="94" t="n"/>
      <c r="J31" s="94" t="n"/>
      <c r="K31" s="94" t="n"/>
      <c r="L31" s="94" t="n"/>
      <c r="M31" s="94" t="n"/>
      <c r="N31" s="94" t="n"/>
      <c r="O31" s="94" t="n"/>
      <c r="P31" s="94" t="n"/>
      <c r="Q31" s="94" t="n"/>
      <c r="R31" s="94" t="n"/>
      <c r="S31" s="94" t="n"/>
      <c r="T31" s="94" t="n"/>
      <c r="U31" s="94" t="n"/>
    </row>
    <row r="32" ht="18.75" customHeight="1" s="50">
      <c r="B32" s="94" t="n"/>
      <c r="C32" s="94" t="n"/>
      <c r="D32" s="94" t="n"/>
      <c r="E32" s="94" t="n"/>
      <c r="F32" s="94" t="n"/>
      <c r="G32" s="94" t="n"/>
      <c r="H32" s="94" t="n"/>
      <c r="I32" s="94" t="n"/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</row>
    <row r="33" ht="18.75" customHeight="1" s="50">
      <c r="B33" s="94" t="n"/>
      <c r="C33" s="94" t="n"/>
      <c r="D33" s="94" t="n"/>
      <c r="E33" s="94" t="n"/>
      <c r="F33" s="94" t="n"/>
      <c r="G33" s="94" t="n"/>
      <c r="H33" s="94" t="n"/>
      <c r="I33" s="94" t="n"/>
      <c r="J33" s="94" t="n"/>
      <c r="K33" s="94" t="n"/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</row>
    <row r="34" ht="18.75" customHeight="1" s="50">
      <c r="B34" s="94" t="n"/>
      <c r="C34" s="94" t="n"/>
      <c r="D34" s="94" t="n"/>
      <c r="E34" s="94" t="n"/>
      <c r="F34" s="94" t="n"/>
      <c r="G34" s="94" t="n"/>
      <c r="H34" s="94" t="n"/>
      <c r="I34" s="94" t="n"/>
      <c r="J34" s="94" t="n"/>
      <c r="K34" s="94" t="n"/>
      <c r="L34" s="94" t="n"/>
      <c r="M34" s="94" t="n"/>
      <c r="N34" s="94" t="n"/>
      <c r="O34" s="94" t="n"/>
      <c r="P34" s="94" t="n"/>
      <c r="Q34" s="94" t="n"/>
      <c r="R34" s="94" t="n"/>
      <c r="S34" s="94" t="n"/>
      <c r="T34" s="94" t="n"/>
      <c r="U34" s="94" t="n"/>
    </row>
    <row r="35" ht="18.75" customHeight="1" s="50">
      <c r="B35" s="94" t="n"/>
      <c r="C35" s="94" t="n"/>
      <c r="D35" s="94" t="n"/>
      <c r="E35" s="94" t="n"/>
      <c r="F35" s="94" t="n"/>
      <c r="G35" s="94" t="n"/>
      <c r="H35" s="94" t="n"/>
      <c r="I35" s="94" t="n"/>
      <c r="J35" s="94" t="n"/>
      <c r="K35" s="94" t="n"/>
      <c r="L35" s="94" t="n"/>
      <c r="M35" s="94" t="n"/>
      <c r="N35" s="94" t="n"/>
      <c r="O35" s="94" t="n"/>
      <c r="P35" s="94" t="n"/>
      <c r="Q35" s="94" t="n"/>
      <c r="R35" s="94" t="n"/>
      <c r="S35" s="94" t="n"/>
      <c r="T35" s="94" t="n"/>
      <c r="U35" s="94" t="n"/>
    </row>
    <row r="36" ht="14.25" customHeight="1" s="50">
      <c r="B36" s="94" t="n"/>
      <c r="C36" s="94" t="n"/>
      <c r="D36" s="94" t="n"/>
      <c r="E36" s="94" t="n"/>
      <c r="F36" s="94" t="n"/>
      <c r="G36" s="94" t="n"/>
      <c r="H36" s="94" t="n"/>
      <c r="I36" s="94" t="n"/>
      <c r="J36" s="94" t="n"/>
      <c r="K36" s="94" t="n"/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</row>
    <row r="37" ht="14.25" customHeight="1" s="50">
      <c r="B37" s="94" t="n"/>
      <c r="C37" s="94" t="n"/>
      <c r="D37" s="94" t="n"/>
      <c r="E37" s="94" t="n"/>
      <c r="F37" s="94" t="n"/>
      <c r="G37" s="94" t="n"/>
      <c r="H37" s="94" t="n"/>
      <c r="I37" s="94" t="n"/>
      <c r="J37" s="94" t="n"/>
      <c r="K37" s="94" t="n"/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</row>
    <row r="38" ht="14.25" customHeight="1" s="50">
      <c r="B38" s="94" t="n"/>
      <c r="C38" s="94" t="n"/>
      <c r="D38" s="94" t="n"/>
      <c r="E38" s="94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</row>
    <row r="39" ht="14.25" customHeight="1" s="50">
      <c r="B39" s="94" t="n"/>
      <c r="C39" s="94" t="n"/>
      <c r="D39" s="94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</row>
    <row r="41" ht="19.5" customHeight="1" s="50">
      <c r="B41" s="86" t="inlineStr">
        <is>
          <t xml:space="preserve">EVOLUÇÃO DOS SUB ÍNDICES </t>
        </is>
      </c>
    </row>
    <row r="43" ht="14.25" customHeight="1" s="50"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</row>
    <row r="44" ht="14.25" customHeight="1" s="50"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</row>
    <row r="45" ht="14.25" customHeight="1" s="50"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</row>
    <row r="46" ht="14.25" customHeight="1" s="50"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</row>
    <row r="47" ht="14.25" customHeight="1" s="50"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</row>
    <row r="48" ht="14.25" customHeight="1" s="50"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</row>
    <row r="49" ht="14.25" customHeight="1" s="50"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</row>
    <row r="50" ht="14.25" customHeight="1" s="50"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</row>
    <row r="51" ht="14.25" customHeight="1" s="50"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</row>
    <row r="52" ht="14.25" customHeight="1" s="50"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</row>
    <row r="53" ht="14.25" customHeight="1" s="50"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</row>
    <row r="54" ht="14.25" customHeight="1" s="50"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</row>
    <row r="55" ht="14.25" customHeight="1" s="50"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</row>
    <row r="56" ht="14.25" customHeight="1" s="50"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</row>
    <row r="57" ht="14.25" customHeight="1" s="50"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</row>
    <row r="58" ht="14.25" customHeight="1" s="50"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</row>
    <row r="59" ht="14.25" customHeight="1" s="50"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</row>
    <row r="60" ht="14.25" customHeight="1" s="50"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</row>
    <row r="61" ht="14.25" customHeight="1" s="50"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</row>
    <row r="62" ht="14.25" customHeight="1" s="50"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</row>
    <row r="63" ht="14.25" customHeight="1" s="50"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</row>
    <row r="64" ht="14.25" customHeight="1" s="50"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</row>
    <row r="65" ht="14.25" customHeight="1" s="50"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</row>
    <row r="66" ht="14.25" customHeight="1" s="50"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</row>
    <row r="67" ht="14.25" customHeight="1" s="50"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</row>
    <row r="68" ht="14.25" customHeight="1" s="50"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</row>
    <row r="69" ht="14.25" customHeight="1" s="50"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</row>
    <row r="70" ht="14.25" customHeight="1" s="50"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</row>
    <row r="71" ht="14.25" customHeight="1" s="50"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</row>
    <row r="72" ht="14.25" customHeight="1" s="50"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</row>
    <row r="73" ht="14.25" customHeight="1" s="50"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</row>
    <row r="74" ht="14.25" customHeight="1" s="50"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</row>
    <row r="75" ht="14.25" customHeight="1" s="50"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</row>
    <row r="76" ht="14.25" customHeight="1" s="50"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</row>
    <row r="77" ht="14.25" customHeight="1" s="50"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</row>
  </sheetData>
  <mergeCells count="2">
    <mergeCell ref="B41:U41"/>
    <mergeCell ref="C2:N2"/>
  </mergeCells>
  <conditionalFormatting sqref="F15:O15">
    <cfRule type="cellIs" rank="0" priority="2" equalAverage="0" operator="lessThan" aboveAverage="0" dxfId="0" text="" percent="0" bottom="0">
      <formula>0</formula>
    </cfRule>
    <cfRule type="cellIs" rank="0" priority="3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50" min="1" max="1"/>
    <col width="18" customWidth="1" style="50" min="2" max="2"/>
    <col width="58" customWidth="1" style="50" min="3" max="3"/>
    <col width="58" customWidth="1" style="50" min="4" max="4"/>
    <col width="58" customWidth="1" style="50" min="5" max="5"/>
  </cols>
  <sheetData>
    <row r="1">
      <c r="A1" s="97" t="inlineStr">
        <is>
          <t>Diagnóstico de lacunas do IGDA-BDA</t>
        </is>
      </c>
    </row>
    <row r="2">
      <c r="A2" s="98" t="inlineStr">
        <is>
          <t>Cobertura calculada apenas sobre as colunas 2015-2025 da folha Input_Dados. A coluna Q foi tratada como notas/fonte, não como série anual.</t>
        </is>
      </c>
    </row>
    <row r="4">
      <c r="A4" s="99" t="inlineStr">
        <is>
          <t>Dimensão</t>
        </is>
      </c>
      <c r="B4" s="99" t="inlineStr">
        <is>
          <t>Nº indicadores atuais</t>
        </is>
      </c>
      <c r="C4" s="99" t="inlineStr">
        <is>
          <t>Indicadores sem dados 2015-2025</t>
        </is>
      </c>
      <c r="D4" s="99" t="inlineStr">
        <is>
          <t>Indicadores com baixa cobertura (&lt;6/11)</t>
        </is>
      </c>
      <c r="E4" s="99" t="inlineStr">
        <is>
          <t>Observação</t>
        </is>
      </c>
    </row>
    <row r="5">
      <c r="A5" s="100" t="inlineStr">
        <is>
          <t>1. Governança</t>
        </is>
      </c>
      <c r="B5" s="100" t="n">
        <v>5</v>
      </c>
      <c r="C5" s="100" t="inlineStr">
        <is>
          <t>Nenhum</t>
        </is>
      </c>
      <c r="D5" s="100" t="inlineStr">
        <is>
          <t>Nenhum</t>
        </is>
      </c>
      <c r="E5" s="100" t="inlineStr">
        <is>
          <t>Cobertura razoável; sugerem-se indicadores concorrentes para robustez metodológica.</t>
        </is>
      </c>
    </row>
    <row r="6">
      <c r="A6" s="100" t="inlineStr">
        <is>
          <t>2. Macroeconomia</t>
        </is>
      </c>
      <c r="B6" s="100" t="n">
        <v>7</v>
      </c>
      <c r="C6" s="100" t="inlineStr">
        <is>
          <t>IDE não-petrolífero (% PIB)</t>
        </is>
      </c>
      <c r="D6" s="100" t="inlineStr">
        <is>
          <t>Nenhum</t>
        </is>
      </c>
      <c r="E6" s="100" t="inlineStr">
        <is>
          <t>Reforçar com substitutos internacionais e/ou séries nacionais administrativas.</t>
        </is>
      </c>
    </row>
    <row r="7">
      <c r="A7" s="100" t="inlineStr">
        <is>
          <t>3. Capital Humano</t>
        </is>
      </c>
      <c r="B7" s="100" t="n">
        <v>6</v>
      </c>
      <c r="C7" s="100" t="inlineStr">
        <is>
          <t>Taxa de Alfabetização (+15 anos); Taxa de Matrícula (primário); Anos Médios de Escolaridade</t>
        </is>
      </c>
      <c r="D7" s="100" t="inlineStr">
        <is>
          <t>Nenhum</t>
        </is>
      </c>
      <c r="E7" s="100" t="inlineStr">
        <is>
          <t>Reforçar com substitutos internacionais e/ou séries nacionais administrativas.</t>
        </is>
      </c>
    </row>
    <row r="8">
      <c r="A8" s="100" t="inlineStr">
        <is>
          <t>4. Inclusão Social</t>
        </is>
      </c>
      <c r="B8" s="100" t="n">
        <v>5</v>
      </c>
      <c r="C8" s="100" t="inlineStr">
        <is>
          <t>Cobertura Protecção Social</t>
        </is>
      </c>
      <c r="D8" s="100" t="inlineStr">
        <is>
          <t>Taxa de Pobreza (&lt; 2.15 USD/dia) (1/11); Índice de Gini (1/11)</t>
        </is>
      </c>
      <c r="E8" s="100" t="inlineStr">
        <is>
          <t>Reforçar com substitutos internacionais e/ou séries nacionais administrativas.</t>
        </is>
      </c>
    </row>
    <row r="9">
      <c r="A9" s="100" t="inlineStr">
        <is>
          <t>5. Infraestruturas</t>
        </is>
      </c>
      <c r="B9" s="100" t="n">
        <v>6</v>
      </c>
      <c r="C9" s="100" t="inlineStr">
        <is>
          <t>Cobertura de Rede 4G</t>
        </is>
      </c>
      <c r="D9" s="100" t="inlineStr">
        <is>
          <t>Nenhum</t>
        </is>
      </c>
      <c r="E9" s="100" t="inlineStr">
        <is>
          <t>Reforçar com substitutos internacionais e/ou séries nacionais administrativas.</t>
        </is>
      </c>
    </row>
    <row r="10">
      <c r="A10" s="100" t="inlineStr">
        <is>
          <t>6. Mercado Trabalho</t>
        </is>
      </c>
      <c r="B10" s="100" t="n">
        <v>6</v>
      </c>
      <c r="C10" s="100" t="inlineStr">
        <is>
          <t>Desemprego Juvenil (15-25); Crescimento da Produtividade</t>
        </is>
      </c>
      <c r="D10" s="100" t="inlineStr">
        <is>
          <t>Nenhum</t>
        </is>
      </c>
      <c r="E10" s="100" t="inlineStr">
        <is>
          <t>Reforçar com substitutos internacionais e/ou séries nacionais administrativas.</t>
        </is>
      </c>
    </row>
    <row r="11">
      <c r="A11" s="100" t="inlineStr">
        <is>
          <t>7. Seg. Alimentar/Saúde</t>
        </is>
      </c>
      <c r="B11" s="100" t="n">
        <v>6</v>
      </c>
      <c r="C11" s="100" t="inlineStr">
        <is>
          <t>Nenhum</t>
        </is>
      </c>
      <c r="D11" s="100" t="inlineStr">
        <is>
          <t>Índice Global Seg. Alimentar (3/11); Camas Hospitalares (por 1000) (2/11)</t>
        </is>
      </c>
      <c r="E11" s="100" t="inlineStr">
        <is>
          <t>Reforçar com substitutos internacionais e/ou séries nacionais administrativas.</t>
        </is>
      </c>
    </row>
  </sheetData>
  <autoFilter ref="A4:E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50" min="1" max="1"/>
    <col width="42" customWidth="1" style="50" min="2" max="2"/>
    <col width="20" customWidth="1" style="50" min="3" max="3"/>
    <col width="18" customWidth="1" style="50" min="4" max="4"/>
    <col width="52" customWidth="1" style="50" min="5" max="5"/>
    <col width="24" customWidth="1" style="50" min="6" max="6"/>
    <col width="58" customWidth="1" style="50" min="7" max="7"/>
    <col width="18" customWidth="1" style="50" min="8" max="8"/>
    <col width="10" customWidth="1" style="50" min="9" max="9"/>
    <col width="14" customWidth="1" style="50" min="10" max="10"/>
    <col width="14" customWidth="1" style="50" min="11" max="11"/>
    <col width="18" customWidth="1" style="50" min="12" max="12"/>
    <col width="12" customWidth="1" style="50" min="13" max="13"/>
    <col width="12" customWidth="1" style="50" min="14" max="14"/>
    <col width="18" customWidth="1" style="50" min="15" max="15"/>
    <col width="18" customWidth="1" style="50" min="16" max="16"/>
    <col width="72" customWidth="1" style="50" min="17" max="17"/>
  </cols>
  <sheetData>
    <row r="1" ht="24" customHeight="1" s="50">
      <c r="A1" s="97" t="inlineStr">
        <is>
          <t>Indicadores concorrentes/candidatos para reforçar o IGDA-BDA</t>
        </is>
      </c>
    </row>
    <row r="2" ht="40" customHeight="1" s="50">
      <c r="A2" s="98" t="inlineStr">
        <is>
          <t>Estas linhas são sugestões metodológicas. Para entrarem no cálculo, devem ser copiadas para Input_Dados, Parametros e Normalizacao, ajustando os intervalos dos subíndices.</t>
        </is>
      </c>
    </row>
    <row r="3" ht="24" customHeight="1" s="50">
      <c r="A3" s="101" t="inlineStr">
        <is>
          <t>Fontes priorizadas: Banco Mundial/WDI/WGI, PNUD/HDR, OIT/ILOSTAT, ITU, FAO/FAOSTAT, OMS/WHO, UNICEF/JMP, INE/BNA/MEP/MINFIN para séries nacionais.</t>
        </is>
      </c>
    </row>
    <row r="4" ht="30" customHeight="1" s="50">
      <c r="A4" s="102" t="inlineStr">
        <is>
          <t>Dimensão</t>
        </is>
      </c>
      <c r="B4" s="102" t="inlineStr">
        <is>
          <t>Indicador sugerido</t>
        </is>
      </c>
      <c r="C4" s="102" t="inlineStr">
        <is>
          <t>Tipo</t>
        </is>
      </c>
      <c r="D4" s="102" t="inlineStr">
        <is>
          <t>Código</t>
        </is>
      </c>
      <c r="E4" s="102" t="inlineStr">
        <is>
          <t>Nome oficial/API</t>
        </is>
      </c>
      <c r="F4" s="102" t="inlineStr">
        <is>
          <t>Fonte</t>
        </is>
      </c>
      <c r="G4" s="102" t="inlineStr">
        <is>
          <t>Fonte_URL</t>
        </is>
      </c>
      <c r="H4" s="102" t="inlineStr">
        <is>
          <t>Unidade</t>
        </is>
      </c>
      <c r="I4" s="102" t="inlineStr">
        <is>
          <t>Sentido</t>
        </is>
      </c>
      <c r="J4" s="102" t="inlineStr">
        <is>
          <t>Mín. sugerido</t>
        </is>
      </c>
      <c r="K4" s="102" t="inlineStr">
        <is>
          <t>Máx. sugerido</t>
        </is>
      </c>
      <c r="L4" s="102" t="inlineStr">
        <is>
          <t>Meta 2027 sugerida</t>
        </is>
      </c>
      <c r="M4" s="102" t="inlineStr">
        <is>
          <t>Peso sugerido</t>
        </is>
      </c>
      <c r="N4" s="102" t="inlineStr">
        <is>
          <t>Prioridade</t>
        </is>
      </c>
      <c r="O4" s="102" t="inlineStr">
        <is>
          <t>Cobertura AGO 2015-2025</t>
        </is>
      </c>
      <c r="P4" s="102" t="inlineStr">
        <is>
          <t>Último ano com dado</t>
        </is>
      </c>
      <c r="Q4" s="102" t="inlineStr">
        <is>
          <t>Racional / uso recomendado</t>
        </is>
      </c>
    </row>
    <row r="5" ht="30" customHeight="1" s="50">
      <c r="A5" s="103" t="inlineStr">
        <is>
          <t>1. Governança e Estado de Direito</t>
        </is>
      </c>
      <c r="B5" s="103" t="inlineStr">
        <is>
          <t>WGI - Controlo da Corrupção</t>
        </is>
      </c>
      <c r="C5" s="103" t="inlineStr">
        <is>
          <t>Substituto/Complementar</t>
        </is>
      </c>
      <c r="D5" s="103" t="inlineStr">
        <is>
          <t>CC.EST</t>
        </is>
      </c>
      <c r="E5" s="103" t="inlineStr">
        <is>
          <t>Control of Corruption: Estimate</t>
        </is>
      </c>
      <c r="F5" s="103" t="inlineStr">
        <is>
          <t>WGI/Banco Mundial</t>
        </is>
      </c>
      <c r="G5" s="103" t="inlineStr">
        <is>
          <t>https://datacatalog.worldbank.org/search/dataset/0038026/worldwide-governance-indicators</t>
        </is>
      </c>
      <c r="H5" s="103" t="inlineStr">
        <is>
          <t>-2.5 a 2.5</t>
        </is>
      </c>
      <c r="I5" s="103" t="inlineStr">
        <is>
          <t>+</t>
        </is>
      </c>
      <c r="J5" s="103" t="n">
        <v>-2.5</v>
      </c>
      <c r="K5" s="103" t="n">
        <v>2.5</v>
      </c>
      <c r="L5" s="103" t="n">
        <v>0</v>
      </c>
      <c r="M5" s="103" t="n">
        <v>1</v>
      </c>
      <c r="N5" s="104" t="inlineStr">
        <is>
          <t>Alta</t>
        </is>
      </c>
      <c r="O5" s="103" t="inlineStr">
        <is>
          <t>10/11 (WGI 2015-2024)</t>
        </is>
      </c>
      <c r="P5" s="103" t="n">
        <v>2024</v>
      </c>
      <c r="Q5" s="103" t="inlineStr">
        <is>
          <t>Complementa o CPI com uma medida anual comparável e alinhada com os restantes WGI. Cobertura estimada pela periodicidade WGI; o endpoint WDI simples não devolve esta série.</t>
        </is>
      </c>
    </row>
    <row r="6" ht="30" customHeight="1" s="50">
      <c r="A6" s="103" t="inlineStr">
        <is>
          <t>1. Governança e Estado de Direito</t>
        </is>
      </c>
      <c r="B6" s="103" t="inlineStr">
        <is>
          <t>WGI - Qualidade Regulatória</t>
        </is>
      </c>
      <c r="C6" s="103" t="inlineStr">
        <is>
          <t>Substituto</t>
        </is>
      </c>
      <c r="D6" s="103" t="inlineStr">
        <is>
          <t>RQ.EST</t>
        </is>
      </c>
      <c r="E6" s="103" t="inlineStr">
        <is>
          <t>Regulatory Quality: Estimate</t>
        </is>
      </c>
      <c r="F6" s="103" t="inlineStr">
        <is>
          <t>WGI/Banco Mundial</t>
        </is>
      </c>
      <c r="G6" s="103" t="inlineStr">
        <is>
          <t>https://datacatalog.worldbank.org/search/dataset/0038026/worldwide-governance-indicators</t>
        </is>
      </c>
      <c r="H6" s="103" t="inlineStr">
        <is>
          <t>-2.5 a 2.5</t>
        </is>
      </c>
      <c r="I6" s="103" t="inlineStr">
        <is>
          <t>+</t>
        </is>
      </c>
      <c r="J6" s="103" t="n">
        <v>-2.5</v>
      </c>
      <c r="K6" s="103" t="n">
        <v>2.5</v>
      </c>
      <c r="L6" s="103" t="n">
        <v>0</v>
      </c>
      <c r="M6" s="103" t="n">
        <v>1</v>
      </c>
      <c r="N6" s="104" t="inlineStr">
        <is>
          <t>Alta</t>
        </is>
      </c>
      <c r="O6" s="103" t="inlineStr">
        <is>
          <t>10/11 (WGI 2015-2024)</t>
        </is>
      </c>
      <c r="P6" s="103" t="n">
        <v>2024</v>
      </c>
      <c r="Q6" s="103" t="inlineStr">
        <is>
          <t>Bom substituto para Doing Business, que foi descontinuado. Cobertura estimada pela periodicidade WGI; o endpoint WDI simples não devolve esta série.</t>
        </is>
      </c>
    </row>
    <row r="7" ht="30" customHeight="1" s="50">
      <c r="A7" s="103" t="inlineStr">
        <is>
          <t>1. Governança e Estado de Direito</t>
        </is>
      </c>
      <c r="B7" s="103" t="inlineStr">
        <is>
          <t>WGI - Voz e Responsabilização</t>
        </is>
      </c>
      <c r="C7" s="103" t="inlineStr">
        <is>
          <t>Complementar</t>
        </is>
      </c>
      <c r="D7" s="103" t="inlineStr">
        <is>
          <t>VA.EST</t>
        </is>
      </c>
      <c r="E7" s="103" t="inlineStr">
        <is>
          <t>Voice and Accountability: Estimate</t>
        </is>
      </c>
      <c r="F7" s="103" t="inlineStr">
        <is>
          <t>WGI/Banco Mundial</t>
        </is>
      </c>
      <c r="G7" s="103" t="inlineStr">
        <is>
          <t>https://datacatalog.worldbank.org/search/dataset/0038026/worldwide-governance-indicators</t>
        </is>
      </c>
      <c r="H7" s="103" t="inlineStr">
        <is>
          <t>-2.5 a 2.5</t>
        </is>
      </c>
      <c r="I7" s="103" t="inlineStr">
        <is>
          <t>+</t>
        </is>
      </c>
      <c r="J7" s="103" t="n">
        <v>-2.5</v>
      </c>
      <c r="K7" s="103" t="n">
        <v>2.5</v>
      </c>
      <c r="L7" s="103" t="n">
        <v>0</v>
      </c>
      <c r="M7" s="103" t="n">
        <v>1</v>
      </c>
      <c r="N7" s="105" t="inlineStr">
        <is>
          <t>Média</t>
        </is>
      </c>
      <c r="O7" s="103" t="inlineStr">
        <is>
          <t>10/11 (WGI 2015-2024)</t>
        </is>
      </c>
      <c r="P7" s="103" t="n">
        <v>2024</v>
      </c>
      <c r="Q7" s="103" t="inlineStr">
        <is>
          <t>Acrescenta dimensão de responsabilização pública e participação. Cobertura estimada pela periodicidade WGI; o endpoint WDI simples não devolve esta série.</t>
        </is>
      </c>
    </row>
    <row r="8" ht="30" customHeight="1" s="50">
      <c r="A8" s="103" t="inlineStr">
        <is>
          <t>1. Governança e Estado de Direito</t>
        </is>
      </c>
      <c r="B8" s="103" t="inlineStr">
        <is>
          <t>Índice Ibrahim - Governação Global</t>
        </is>
      </c>
      <c r="C8" s="103" t="inlineStr">
        <is>
          <t>Complementar</t>
        </is>
      </c>
      <c r="D8" s="103" t="inlineStr"/>
      <c r="E8" s="103" t="inlineStr"/>
      <c r="F8" s="103" t="inlineStr">
        <is>
          <t>Mo Ibrahim Foundation</t>
        </is>
      </c>
      <c r="G8" s="103" t="inlineStr">
        <is>
          <t>https://iiag.online/</t>
        </is>
      </c>
      <c r="H8" s="103" t="inlineStr">
        <is>
          <t>0-100</t>
        </is>
      </c>
      <c r="I8" s="103" t="inlineStr">
        <is>
          <t>+</t>
        </is>
      </c>
      <c r="J8" s="103" t="n">
        <v>0</v>
      </c>
      <c r="K8" s="103" t="n">
        <v>100</v>
      </c>
      <c r="L8" s="103" t="n">
        <v>55</v>
      </c>
      <c r="M8" s="103" t="n">
        <v>1</v>
      </c>
      <c r="N8" s="104" t="inlineStr">
        <is>
          <t>Alta</t>
        </is>
      </c>
      <c r="O8" s="103" t="inlineStr"/>
      <c r="P8" s="103" t="inlineStr"/>
      <c r="Q8" s="103" t="inlineStr">
        <is>
          <t>Benchmark africano com várias dimensões institucionais.</t>
        </is>
      </c>
    </row>
    <row r="9" ht="30" customHeight="1" s="50">
      <c r="A9" s="103" t="inlineStr">
        <is>
          <t>1. Governança e Estado de Direito</t>
        </is>
      </c>
      <c r="B9" s="103" t="inlineStr">
        <is>
          <t>Índice Ibrahim - Segurança e Estado de Direito</t>
        </is>
      </c>
      <c r="C9" s="103" t="inlineStr">
        <is>
          <t>Complementar</t>
        </is>
      </c>
      <c r="D9" s="103" t="inlineStr"/>
      <c r="E9" s="103" t="inlineStr"/>
      <c r="F9" s="103" t="inlineStr">
        <is>
          <t>Mo Ibrahim Foundation</t>
        </is>
      </c>
      <c r="G9" s="103" t="inlineStr">
        <is>
          <t>https://iiag.online/</t>
        </is>
      </c>
      <c r="H9" s="103" t="inlineStr">
        <is>
          <t>0-100</t>
        </is>
      </c>
      <c r="I9" s="103" t="inlineStr">
        <is>
          <t>+</t>
        </is>
      </c>
      <c r="J9" s="103" t="n">
        <v>0</v>
      </c>
      <c r="K9" s="103" t="n">
        <v>100</v>
      </c>
      <c r="L9" s="103" t="n">
        <v>55</v>
      </c>
      <c r="M9" s="103" t="n">
        <v>1</v>
      </c>
      <c r="N9" s="105" t="inlineStr">
        <is>
          <t>Média</t>
        </is>
      </c>
      <c r="O9" s="103" t="inlineStr"/>
      <c r="P9" s="103" t="inlineStr"/>
      <c r="Q9" s="103" t="inlineStr">
        <is>
          <t>Aproxima governança de segurança, justiça e direitos no contexto africano.</t>
        </is>
      </c>
    </row>
    <row r="10" ht="30" customHeight="1" s="50">
      <c r="A10" s="103" t="inlineStr">
        <is>
          <t>1. Governança e Estado de Direito</t>
        </is>
      </c>
      <c r="B10" s="103" t="inlineStr">
        <is>
          <t>Open Budget Index</t>
        </is>
      </c>
      <c r="C10" s="103" t="inlineStr">
        <is>
          <t>Complementar</t>
        </is>
      </c>
      <c r="D10" s="103" t="inlineStr"/>
      <c r="E10" s="103" t="inlineStr"/>
      <c r="F10" s="103" t="inlineStr">
        <is>
          <t>International Budget Partnership</t>
        </is>
      </c>
      <c r="G10" s="103" t="inlineStr">
        <is>
          <t>https://internationalbudget.org/open-budget-survey/</t>
        </is>
      </c>
      <c r="H10" s="103" t="inlineStr">
        <is>
          <t>0-100</t>
        </is>
      </c>
      <c r="I10" s="103" t="inlineStr">
        <is>
          <t>+</t>
        </is>
      </c>
      <c r="J10" s="103" t="n">
        <v>0</v>
      </c>
      <c r="K10" s="103" t="n">
        <v>100</v>
      </c>
      <c r="L10" s="103" t="n">
        <v>50</v>
      </c>
      <c r="M10" s="103" t="n">
        <v>1</v>
      </c>
      <c r="N10" s="105" t="inlineStr">
        <is>
          <t>Média</t>
        </is>
      </c>
      <c r="O10" s="103" t="inlineStr"/>
      <c r="P10" s="103" t="inlineStr"/>
      <c r="Q10" s="103" t="inlineStr">
        <is>
          <t>Mede transparência orçamental, relevante para responsabilização fiscal.</t>
        </is>
      </c>
    </row>
    <row r="11" ht="30" customHeight="1" s="50">
      <c r="A11" s="103" t="inlineStr">
        <is>
          <t>1. Governança e Estado de Direito</t>
        </is>
      </c>
      <c r="B11" s="103" t="inlineStr">
        <is>
          <t>Empresas solicitadas a fazer pagamentos informais</t>
        </is>
      </c>
      <c r="C11" s="103" t="inlineStr">
        <is>
          <t>Complementar</t>
        </is>
      </c>
      <c r="D11" s="103" t="inlineStr"/>
      <c r="E11" s="103" t="inlineStr"/>
      <c r="F11" s="103" t="inlineStr">
        <is>
          <t>World Bank Enterprise Surveys</t>
        </is>
      </c>
      <c r="G11" s="103" t="inlineStr">
        <is>
          <t>https://www.enterprisesurveys.org/</t>
        </is>
      </c>
      <c r="H11" s="103" t="inlineStr">
        <is>
          <t>%</t>
        </is>
      </c>
      <c r="I11" s="103" t="inlineStr">
        <is>
          <t>-</t>
        </is>
      </c>
      <c r="J11" s="103" t="n">
        <v>0</v>
      </c>
      <c r="K11" s="103" t="n">
        <v>100</v>
      </c>
      <c r="L11" s="103" t="n">
        <v>10</v>
      </c>
      <c r="M11" s="103" t="n">
        <v>1</v>
      </c>
      <c r="N11" s="105" t="inlineStr">
        <is>
          <t>Média</t>
        </is>
      </c>
      <c r="O11" s="103" t="inlineStr"/>
      <c r="P11" s="103" t="inlineStr"/>
      <c r="Q11" s="103" t="inlineStr">
        <is>
          <t>Capta corrupção administrativa sentida pelas empresas.</t>
        </is>
      </c>
    </row>
    <row r="12" ht="30" customHeight="1" s="50">
      <c r="A12" s="103" t="inlineStr">
        <is>
          <t>1. Governança e Estado de Direito</t>
        </is>
      </c>
      <c r="B12" s="103" t="inlineStr">
        <is>
          <t>Statistical Performance Index - score geral</t>
        </is>
      </c>
      <c r="C12" s="103" t="inlineStr">
        <is>
          <t>Complementar</t>
        </is>
      </c>
      <c r="D12" s="103" t="inlineStr">
        <is>
          <t>IQ.SPI.OVRL</t>
        </is>
      </c>
      <c r="E12" s="103" t="inlineStr">
        <is>
          <t>Statistical performance indicators (SPI): Overall score (scale 0-100)</t>
        </is>
      </c>
      <c r="F12" s="103" t="inlineStr">
        <is>
          <t>Banco Mundial</t>
        </is>
      </c>
      <c r="G12" s="103" t="inlineStr">
        <is>
          <t>https://data.worldbank.org/indicator/IQ.SPI.OVRL?locations=AO</t>
        </is>
      </c>
      <c r="H12" s="103" t="inlineStr">
        <is>
          <t>0-100</t>
        </is>
      </c>
      <c r="I12" s="103" t="inlineStr">
        <is>
          <t>+</t>
        </is>
      </c>
      <c r="J12" s="103" t="n">
        <v>0</v>
      </c>
      <c r="K12" s="103" t="n">
        <v>100</v>
      </c>
      <c r="L12" s="103" t="n">
        <v>65</v>
      </c>
      <c r="M12" s="103" t="n">
        <v>1</v>
      </c>
      <c r="N12" s="105" t="inlineStr">
        <is>
          <t>Média</t>
        </is>
      </c>
      <c r="O12" s="103" t="inlineStr">
        <is>
          <t>9/11</t>
        </is>
      </c>
      <c r="P12" s="103" t="inlineStr">
        <is>
          <t>2024</t>
        </is>
      </c>
      <c r="Q12" s="103" t="inlineStr">
        <is>
          <t>Mede capacidade estatística, útil para qualidade de políticas públicas e monitorização.</t>
        </is>
      </c>
    </row>
    <row r="13" ht="30" customHeight="1" s="50">
      <c r="A13" s="103" t="inlineStr">
        <is>
          <t>2. Estabilidade Macroeconómica</t>
        </is>
      </c>
      <c r="B13" s="103" t="inlineStr">
        <is>
          <t>Saldo da conta corrente (% PIB)</t>
        </is>
      </c>
      <c r="C13" s="103" t="inlineStr">
        <is>
          <t>Complementar</t>
        </is>
      </c>
      <c r="D13" s="103" t="inlineStr">
        <is>
          <t>BN.CAB.XOKA.GD.ZS</t>
        </is>
      </c>
      <c r="E13" s="103" t="inlineStr">
        <is>
          <t>Current account balance (% of GDP)</t>
        </is>
      </c>
      <c r="F13" s="103" t="inlineStr">
        <is>
          <t>Banco Mundial/WDI</t>
        </is>
      </c>
      <c r="G13" s="103" t="inlineStr">
        <is>
          <t>https://data.worldbank.org/indicator/BN.CAB.XOKA.GD.ZS?locations=AO</t>
        </is>
      </c>
      <c r="H13" s="103" t="inlineStr">
        <is>
          <t>%</t>
        </is>
      </c>
      <c r="I13" s="103" t="inlineStr">
        <is>
          <t>+</t>
        </is>
      </c>
      <c r="J13" s="103" t="n">
        <v>-30</v>
      </c>
      <c r="K13" s="103" t="n">
        <v>30</v>
      </c>
      <c r="L13" s="103" t="n">
        <v>0</v>
      </c>
      <c r="M13" s="103" t="n">
        <v>1</v>
      </c>
      <c r="N13" s="104" t="inlineStr">
        <is>
          <t>Alta</t>
        </is>
      </c>
      <c r="O13" s="103" t="inlineStr">
        <is>
          <t>10/11</t>
        </is>
      </c>
      <c r="P13" s="103" t="inlineStr">
        <is>
          <t>2024</t>
        </is>
      </c>
      <c r="Q13" s="103" t="inlineStr">
        <is>
          <t>Acrescenta sustentabilidade externa, ausente do subíndice atual.</t>
        </is>
      </c>
    </row>
    <row r="14" ht="30" customHeight="1" s="50">
      <c r="A14" s="103" t="inlineStr">
        <is>
          <t>2. Estabilidade Macroeconómica</t>
        </is>
      </c>
      <c r="B14" s="103" t="inlineStr">
        <is>
          <t>Receita fiscal (% PIB)</t>
        </is>
      </c>
      <c r="C14" s="103" t="inlineStr">
        <is>
          <t>Complementar</t>
        </is>
      </c>
      <c r="D14" s="103" t="inlineStr">
        <is>
          <t>GC.TAX.TOTL.GD.ZS</t>
        </is>
      </c>
      <c r="E14" s="103" t="inlineStr">
        <is>
          <t>Tax revenue (% of GDP)</t>
        </is>
      </c>
      <c r="F14" s="103" t="inlineStr">
        <is>
          <t>Banco Mundial/WDI</t>
        </is>
      </c>
      <c r="G14" s="103" t="inlineStr">
        <is>
          <t>https://data.worldbank.org/indicator/GC.TAX.TOTL.GD.ZS?locations=AO</t>
        </is>
      </c>
      <c r="H14" s="103" t="inlineStr">
        <is>
          <t>%</t>
        </is>
      </c>
      <c r="I14" s="103" t="inlineStr">
        <is>
          <t>+</t>
        </is>
      </c>
      <c r="J14" s="103" t="n">
        <v>0</v>
      </c>
      <c r="K14" s="103" t="n">
        <v>40</v>
      </c>
      <c r="L14" s="103" t="n">
        <v>18</v>
      </c>
      <c r="M14" s="103" t="n">
        <v>1</v>
      </c>
      <c r="N14" s="104" t="inlineStr">
        <is>
          <t>Alta</t>
        </is>
      </c>
      <c r="O14" s="103" t="inlineStr">
        <is>
          <t>10/11</t>
        </is>
      </c>
      <c r="P14" s="103" t="inlineStr">
        <is>
          <t>2024</t>
        </is>
      </c>
      <c r="Q14" s="103" t="inlineStr">
        <is>
          <t>Capta capacidade interna de financiamento do Estado.</t>
        </is>
      </c>
    </row>
    <row r="15" ht="30" customHeight="1" s="50">
      <c r="A15" s="103" t="inlineStr">
        <is>
          <t>2. Estabilidade Macroeconómica</t>
        </is>
      </c>
      <c r="B15" s="103" t="inlineStr">
        <is>
          <t>IDE líquido total (% PIB)</t>
        </is>
      </c>
      <c r="C15" s="103" t="inlineStr">
        <is>
          <t>Substituto</t>
        </is>
      </c>
      <c r="D15" s="103" t="inlineStr">
        <is>
          <t>BX.KLT.DINV.WD.GD.ZS</t>
        </is>
      </c>
      <c r="E15" s="103" t="inlineStr">
        <is>
          <t>Foreign direct investment, net inflows (% of GDP)</t>
        </is>
      </c>
      <c r="F15" s="103" t="inlineStr">
        <is>
          <t>Banco Mundial/WDI</t>
        </is>
      </c>
      <c r="G15" s="103" t="inlineStr">
        <is>
          <t>https://data.worldbank.org/indicator/BX.KLT.DINV.WD.GD.ZS?locations=AO</t>
        </is>
      </c>
      <c r="H15" s="103" t="inlineStr">
        <is>
          <t>%</t>
        </is>
      </c>
      <c r="I15" s="103" t="inlineStr">
        <is>
          <t>+</t>
        </is>
      </c>
      <c r="J15" s="103" t="n">
        <v>-10</v>
      </c>
      <c r="K15" s="103" t="n">
        <v>20</v>
      </c>
      <c r="L15" s="103" t="n">
        <v>5</v>
      </c>
      <c r="M15" s="103" t="n">
        <v>1</v>
      </c>
      <c r="N15" s="104" t="inlineStr">
        <is>
          <t>Alta</t>
        </is>
      </c>
      <c r="O15" s="103" t="inlineStr">
        <is>
          <t>10/11</t>
        </is>
      </c>
      <c r="P15" s="103" t="inlineStr">
        <is>
          <t>2024</t>
        </is>
      </c>
      <c r="Q15" s="103" t="inlineStr">
        <is>
          <t>Substitui provisoriamente o IDE não-petrolífero quando a série setorial estiver vazia.</t>
        </is>
      </c>
    </row>
    <row r="16" ht="30" customHeight="1" s="50">
      <c r="A16" s="103" t="inlineStr">
        <is>
          <t>2. Estabilidade Macroeconómica</t>
        </is>
      </c>
      <c r="B16" s="103" t="inlineStr">
        <is>
          <t>Rendas petrolíferas (% PIB)</t>
        </is>
      </c>
      <c r="C16" s="103" t="inlineStr">
        <is>
          <t>Complementar</t>
        </is>
      </c>
      <c r="D16" s="103" t="inlineStr">
        <is>
          <t>NY.GDP.PETR.RT.ZS</t>
        </is>
      </c>
      <c r="E16" s="103" t="inlineStr">
        <is>
          <t>Oil rents (% of GDP)</t>
        </is>
      </c>
      <c r="F16" s="103" t="inlineStr">
        <is>
          <t>Banco Mundial/WDI</t>
        </is>
      </c>
      <c r="G16" s="103" t="inlineStr">
        <is>
          <t>https://data.worldbank.org/indicator/NY.GDP.PETR.RT.ZS?locations=AO</t>
        </is>
      </c>
      <c r="H16" s="103" t="inlineStr">
        <is>
          <t>%</t>
        </is>
      </c>
      <c r="I16" s="103" t="inlineStr">
        <is>
          <t>-</t>
        </is>
      </c>
      <c r="J16" s="103" t="n">
        <v>0</v>
      </c>
      <c r="K16" s="103" t="n">
        <v>60</v>
      </c>
      <c r="L16" s="103" t="n">
        <v>15</v>
      </c>
      <c r="M16" s="103" t="n">
        <v>1</v>
      </c>
      <c r="N16" s="104" t="inlineStr">
        <is>
          <t>Alta</t>
        </is>
      </c>
      <c r="O16" s="103" t="inlineStr">
        <is>
          <t>7/11</t>
        </is>
      </c>
      <c r="P16" s="103" t="inlineStr">
        <is>
          <t>2021</t>
        </is>
      </c>
      <c r="Q16" s="103" t="inlineStr">
        <is>
          <t>Proxy de dependência petrolífera; menor dependência é melhor para diversificação.</t>
        </is>
      </c>
    </row>
    <row r="17" ht="30" customHeight="1" s="50">
      <c r="A17" s="103" t="inlineStr">
        <is>
          <t>2. Estabilidade Macroeconómica</t>
        </is>
      </c>
      <c r="B17" s="103" t="inlineStr">
        <is>
          <t>Exportações de bens e serviços (% PIB)</t>
        </is>
      </c>
      <c r="C17" s="103" t="inlineStr">
        <is>
          <t>Complementar</t>
        </is>
      </c>
      <c r="D17" s="103" t="inlineStr">
        <is>
          <t>NE.EXP.GNFS.ZS</t>
        </is>
      </c>
      <c r="E17" s="103" t="inlineStr">
        <is>
          <t>Exports of goods and services (% of GDP)</t>
        </is>
      </c>
      <c r="F17" s="103" t="inlineStr">
        <is>
          <t>Banco Mundial/WDI</t>
        </is>
      </c>
      <c r="G17" s="103" t="inlineStr">
        <is>
          <t>https://data.worldbank.org/indicator/NE.EXP.GNFS.ZS?locations=AO</t>
        </is>
      </c>
      <c r="H17" s="103" t="inlineStr">
        <is>
          <t>%</t>
        </is>
      </c>
      <c r="I17" s="103" t="inlineStr">
        <is>
          <t>+</t>
        </is>
      </c>
      <c r="J17" s="103" t="n">
        <v>0</v>
      </c>
      <c r="K17" s="103" t="n">
        <v>100</v>
      </c>
      <c r="L17" s="103" t="n">
        <v>40</v>
      </c>
      <c r="M17" s="103" t="n">
        <v>1</v>
      </c>
      <c r="N17" s="105" t="inlineStr">
        <is>
          <t>Média</t>
        </is>
      </c>
      <c r="O17" s="103" t="inlineStr">
        <is>
          <t>10/11</t>
        </is>
      </c>
      <c r="P17" s="103" t="inlineStr">
        <is>
          <t>2024</t>
        </is>
      </c>
      <c r="Q17" s="103" t="inlineStr">
        <is>
          <t>Acompanha abertura e capacidade exportadora, mas deve ser lido com composição setorial.</t>
        </is>
      </c>
    </row>
    <row r="18" ht="30" customHeight="1" s="50">
      <c r="A18" s="103" t="inlineStr">
        <is>
          <t>2. Estabilidade Macroeconómica</t>
        </is>
      </c>
      <c r="B18" s="103" t="inlineStr">
        <is>
          <t>Reservas internacionais em meses de importações</t>
        </is>
      </c>
      <c r="C18" s="103" t="inlineStr">
        <is>
          <t>Substituto</t>
        </is>
      </c>
      <c r="D18" s="103" t="inlineStr">
        <is>
          <t>FI.RES.TOTL.MO</t>
        </is>
      </c>
      <c r="E18" s="103" t="inlineStr">
        <is>
          <t>Total reserves in months of imports</t>
        </is>
      </c>
      <c r="F18" s="103" t="inlineStr">
        <is>
          <t>Banco Mundial/WDI</t>
        </is>
      </c>
      <c r="G18" s="103" t="inlineStr">
        <is>
          <t>https://data.worldbank.org/indicator/FI.RES.TOTL.MO?locations=AO</t>
        </is>
      </c>
      <c r="H18" s="103" t="inlineStr">
        <is>
          <t>Meses</t>
        </is>
      </c>
      <c r="I18" s="103" t="inlineStr">
        <is>
          <t>+</t>
        </is>
      </c>
      <c r="J18" s="103" t="n">
        <v>0</v>
      </c>
      <c r="K18" s="103" t="n">
        <v>12</v>
      </c>
      <c r="L18" s="103" t="n">
        <v>6</v>
      </c>
      <c r="M18" s="103" t="n">
        <v>1</v>
      </c>
      <c r="N18" s="104" t="inlineStr">
        <is>
          <t>Alta</t>
        </is>
      </c>
      <c r="O18" s="103" t="inlineStr">
        <is>
          <t>10/11</t>
        </is>
      </c>
      <c r="P18" s="103" t="inlineStr">
        <is>
          <t>2024</t>
        </is>
      </c>
      <c r="Q18" s="103" t="inlineStr">
        <is>
          <t>Pode substituir o cálculo manual atualmente colocado abaixo da tabela.</t>
        </is>
      </c>
    </row>
    <row r="19" ht="30" customHeight="1" s="50">
      <c r="A19" s="103" t="inlineStr">
        <is>
          <t>2. Estabilidade Macroeconómica</t>
        </is>
      </c>
      <c r="B19" s="103" t="inlineStr">
        <is>
          <t>Crédito doméstico ao setor privado (% PIB)</t>
        </is>
      </c>
      <c r="C19" s="103" t="inlineStr">
        <is>
          <t>Complementar</t>
        </is>
      </c>
      <c r="D19" s="103" t="inlineStr">
        <is>
          <t>FS.AST.PRVT.GD.ZS</t>
        </is>
      </c>
      <c r="E19" s="103" t="inlineStr">
        <is>
          <t>Domestic credit to private sector (% of GDP)</t>
        </is>
      </c>
      <c r="F19" s="103" t="inlineStr">
        <is>
          <t>Banco Mundial/WDI</t>
        </is>
      </c>
      <c r="G19" s="103" t="inlineStr">
        <is>
          <t>https://data.worldbank.org/indicator/FS.AST.PRVT.GD.ZS?locations=AO</t>
        </is>
      </c>
      <c r="H19" s="103" t="inlineStr">
        <is>
          <t>%</t>
        </is>
      </c>
      <c r="I19" s="103" t="inlineStr">
        <is>
          <t>+</t>
        </is>
      </c>
      <c r="J19" s="103" t="n">
        <v>0</v>
      </c>
      <c r="K19" s="103" t="n">
        <v>100</v>
      </c>
      <c r="L19" s="103" t="n">
        <v>35</v>
      </c>
      <c r="M19" s="103" t="n">
        <v>1</v>
      </c>
      <c r="N19" s="105" t="inlineStr">
        <is>
          <t>Média</t>
        </is>
      </c>
      <c r="O19" s="103" t="inlineStr">
        <is>
          <t>10/11</t>
        </is>
      </c>
      <c r="P19" s="103" t="inlineStr">
        <is>
          <t>2024</t>
        </is>
      </c>
      <c r="Q19" s="103" t="inlineStr">
        <is>
          <t>Acrescenta profundidade financeira e apoio ao investimento privado.</t>
        </is>
      </c>
    </row>
    <row r="20" ht="30" customHeight="1" s="50">
      <c r="A20" s="103" t="inlineStr">
        <is>
          <t>2. Estabilidade Macroeconómica</t>
        </is>
      </c>
      <c r="B20" s="103" t="inlineStr">
        <is>
          <t>Crescimento do PIB não petrolífero</t>
        </is>
      </c>
      <c r="C20" s="103" t="inlineStr">
        <is>
          <t>Complementar</t>
        </is>
      </c>
      <c r="D20" s="103" t="inlineStr"/>
      <c r="E20" s="103" t="inlineStr"/>
      <c r="F20" s="103" t="inlineStr">
        <is>
          <t>INE/MEP/BNA</t>
        </is>
      </c>
      <c r="G20" s="103" t="inlineStr">
        <is>
          <t>https://www.ine.gov.ao/</t>
        </is>
      </c>
      <c r="H20" s="103" t="inlineStr">
        <is>
          <t>%</t>
        </is>
      </c>
      <c r="I20" s="103" t="inlineStr">
        <is>
          <t>+</t>
        </is>
      </c>
      <c r="J20" s="103" t="n">
        <v>-10</v>
      </c>
      <c r="K20" s="103" t="n">
        <v>15</v>
      </c>
      <c r="L20" s="103" t="n">
        <v>5</v>
      </c>
      <c r="M20" s="103" t="n">
        <v>1</v>
      </c>
      <c r="N20" s="104" t="inlineStr">
        <is>
          <t>Alta</t>
        </is>
      </c>
      <c r="O20" s="103" t="inlineStr"/>
      <c r="P20" s="103" t="inlineStr"/>
      <c r="Q20" s="103" t="inlineStr">
        <is>
          <t>Mais alinhado com a diversificação económica do que o PIB total.</t>
        </is>
      </c>
    </row>
    <row r="21" ht="30" customHeight="1" s="50">
      <c r="A21" s="103" t="inlineStr">
        <is>
          <t>2. Estabilidade Macroeconómica</t>
        </is>
      </c>
      <c r="B21" s="103" t="inlineStr">
        <is>
          <t>Volatilidade da taxa de câmbio nominal</t>
        </is>
      </c>
      <c r="C21" s="103" t="inlineStr">
        <is>
          <t>Complementar</t>
        </is>
      </c>
      <c r="D21" s="103" t="inlineStr">
        <is>
          <t>PA.NUS.FCRF</t>
        </is>
      </c>
      <c r="E21" s="103" t="inlineStr">
        <is>
          <t>Official exchange rate (LCU per US$, period average)</t>
        </is>
      </c>
      <c r="F21" s="103" t="inlineStr">
        <is>
          <t>Banco Mundial/WDI ou BNA</t>
        </is>
      </c>
      <c r="G21" s="103" t="inlineStr">
        <is>
          <t>https://data.worldbank.org/indicator/PA.NUS.FCRF?locations=AO</t>
        </is>
      </c>
      <c r="H21" s="103" t="inlineStr">
        <is>
          <t>% variação anual</t>
        </is>
      </c>
      <c r="I21" s="103" t="inlineStr">
        <is>
          <t>-</t>
        </is>
      </c>
      <c r="J21" s="103" t="n">
        <v>0</v>
      </c>
      <c r="K21" s="103" t="n">
        <v>80</v>
      </c>
      <c r="L21" s="103" t="n">
        <v>10</v>
      </c>
      <c r="M21" s="103" t="n">
        <v>1</v>
      </c>
      <c r="N21" s="105" t="inlineStr">
        <is>
          <t>Média</t>
        </is>
      </c>
      <c r="O21" s="103" t="inlineStr">
        <is>
          <t>10/11</t>
        </is>
      </c>
      <c r="P21" s="103" t="inlineStr">
        <is>
          <t>2024</t>
        </is>
      </c>
      <c r="Q21" s="103" t="inlineStr">
        <is>
          <t>Capta instabilidade cambial que afeta preços, dívida e importações.</t>
        </is>
      </c>
    </row>
    <row r="22" ht="30" customHeight="1" s="50">
      <c r="A22" s="103" t="inlineStr">
        <is>
          <t>3. Capital Humano</t>
        </is>
      </c>
      <c r="B22" s="103" t="inlineStr">
        <is>
          <t>Taxa de alfabetização adulta</t>
        </is>
      </c>
      <c r="C22" s="103" t="inlineStr">
        <is>
          <t>Substituto</t>
        </is>
      </c>
      <c r="D22" s="103" t="inlineStr">
        <is>
          <t>SE.ADT.LITR.ZS</t>
        </is>
      </c>
      <c r="E22" s="103" t="inlineStr">
        <is>
          <t>Literacy rate, adult total (% of people ages 15 and above)</t>
        </is>
      </c>
      <c r="F22" s="103" t="inlineStr">
        <is>
          <t>Banco Mundial/UNESCO</t>
        </is>
      </c>
      <c r="G22" s="103" t="inlineStr">
        <is>
          <t>https://data.worldbank.org/indicator/SE.ADT.LITR.ZS?locations=AO</t>
        </is>
      </c>
      <c r="H22" s="103" t="inlineStr">
        <is>
          <t>%</t>
        </is>
      </c>
      <c r="I22" s="103" t="inlineStr">
        <is>
          <t>+</t>
        </is>
      </c>
      <c r="J22" s="103" t="n">
        <v>0</v>
      </c>
      <c r="K22" s="103" t="n">
        <v>100</v>
      </c>
      <c r="L22" s="103" t="n">
        <v>75</v>
      </c>
      <c r="M22" s="103" t="n">
        <v>1</v>
      </c>
      <c r="N22" s="104" t="inlineStr">
        <is>
          <t>Alta</t>
        </is>
      </c>
      <c r="O22" s="103" t="inlineStr">
        <is>
          <t>2/11</t>
        </is>
      </c>
      <c r="P22" s="103" t="inlineStr">
        <is>
          <t>2023</t>
        </is>
      </c>
      <c r="Q22" s="103" t="inlineStr">
        <is>
          <t>Preenche a linha existente com fonte internacional comparável.</t>
        </is>
      </c>
    </row>
    <row r="23" ht="30" customHeight="1" s="50">
      <c r="A23" s="103" t="inlineStr">
        <is>
          <t>3. Capital Humano</t>
        </is>
      </c>
      <c r="B23" s="103" t="inlineStr">
        <is>
          <t>Taxa de conclusão do ensino primário</t>
        </is>
      </c>
      <c r="C23" s="103" t="inlineStr">
        <is>
          <t>Complementar</t>
        </is>
      </c>
      <c r="D23" s="103" t="inlineStr">
        <is>
          <t>SE.PRM.CMPT.ZS</t>
        </is>
      </c>
      <c r="E23" s="103" t="inlineStr">
        <is>
          <t>Primary completion rate, total (% of relevant age group)</t>
        </is>
      </c>
      <c r="F23" s="103" t="inlineStr">
        <is>
          <t>Banco Mundial/UNESCO</t>
        </is>
      </c>
      <c r="G23" s="103" t="inlineStr">
        <is>
          <t>https://data.worldbank.org/indicator/SE.PRM.CMPT.ZS?locations=AO</t>
        </is>
      </c>
      <c r="H23" s="103" t="inlineStr">
        <is>
          <t>%</t>
        </is>
      </c>
      <c r="I23" s="103" t="inlineStr">
        <is>
          <t>+</t>
        </is>
      </c>
      <c r="J23" s="103" t="n">
        <v>0</v>
      </c>
      <c r="K23" s="103" t="n">
        <v>100</v>
      </c>
      <c r="L23" s="103" t="n">
        <v>90</v>
      </c>
      <c r="M23" s="103" t="n">
        <v>1</v>
      </c>
      <c r="N23" s="104" t="inlineStr">
        <is>
          <t>Alta</t>
        </is>
      </c>
      <c r="O23" s="103" t="inlineStr">
        <is>
          <t>2/11</t>
        </is>
      </c>
      <c r="P23" s="103" t="inlineStr">
        <is>
          <t>2023</t>
        </is>
      </c>
      <c r="Q23" s="103" t="inlineStr">
        <is>
          <t>Mais robusta que matrícula para medir progressão efetiva.</t>
        </is>
      </c>
    </row>
    <row r="24" ht="30" customHeight="1" s="50">
      <c r="A24" s="103" t="inlineStr">
        <is>
          <t>3. Capital Humano</t>
        </is>
      </c>
      <c r="B24" s="103" t="inlineStr">
        <is>
          <t>Matrícula no ensino secundário, bruta</t>
        </is>
      </c>
      <c r="C24" s="103" t="inlineStr">
        <is>
          <t>Complementar</t>
        </is>
      </c>
      <c r="D24" s="103" t="inlineStr">
        <is>
          <t>SE.SEC.ENRR</t>
        </is>
      </c>
      <c r="E24" s="103" t="inlineStr">
        <is>
          <t>School enrollment, secondary (% gross)</t>
        </is>
      </c>
      <c r="F24" s="103" t="inlineStr">
        <is>
          <t>Banco Mundial/UNESCO</t>
        </is>
      </c>
      <c r="G24" s="103" t="inlineStr">
        <is>
          <t>https://data.worldbank.org/indicator/SE.SEC.ENRR?locations=AO</t>
        </is>
      </c>
      <c r="H24" s="103" t="inlineStr">
        <is>
          <t>%</t>
        </is>
      </c>
      <c r="I24" s="103" t="inlineStr">
        <is>
          <t>+</t>
        </is>
      </c>
      <c r="J24" s="103" t="n">
        <v>0</v>
      </c>
      <c r="K24" s="103" t="n">
        <v>150</v>
      </c>
      <c r="L24" s="103" t="n">
        <v>80</v>
      </c>
      <c r="M24" s="103" t="n">
        <v>1</v>
      </c>
      <c r="N24" s="104" t="inlineStr">
        <is>
          <t>Alta</t>
        </is>
      </c>
      <c r="O24" s="103" t="inlineStr">
        <is>
          <t>3/11</t>
        </is>
      </c>
      <c r="P24" s="103" t="inlineStr">
        <is>
          <t>2023</t>
        </is>
      </c>
      <c r="Q24" s="103" t="inlineStr">
        <is>
          <t>Captura continuidade pós-primária.</t>
        </is>
      </c>
    </row>
    <row r="25" ht="30" customHeight="1" s="50">
      <c r="A25" s="103" t="inlineStr">
        <is>
          <t>3. Capital Humano</t>
        </is>
      </c>
      <c r="B25" s="103" t="inlineStr">
        <is>
          <t>Matrícula no ensino terciário, bruta</t>
        </is>
      </c>
      <c r="C25" s="103" t="inlineStr">
        <is>
          <t>Complementar</t>
        </is>
      </c>
      <c r="D25" s="103" t="inlineStr">
        <is>
          <t>SE.TER.ENRR</t>
        </is>
      </c>
      <c r="E25" s="103" t="inlineStr">
        <is>
          <t>School enrollment, tertiary (% gross)</t>
        </is>
      </c>
      <c r="F25" s="103" t="inlineStr">
        <is>
          <t>Banco Mundial/UNESCO</t>
        </is>
      </c>
      <c r="G25" s="103" t="inlineStr">
        <is>
          <t>https://data.worldbank.org/indicator/SE.TER.ENRR?locations=AO</t>
        </is>
      </c>
      <c r="H25" s="103" t="inlineStr">
        <is>
          <t>%</t>
        </is>
      </c>
      <c r="I25" s="103" t="inlineStr">
        <is>
          <t>+</t>
        </is>
      </c>
      <c r="J25" s="103" t="n">
        <v>0</v>
      </c>
      <c r="K25" s="103" t="n">
        <v>100</v>
      </c>
      <c r="L25" s="103" t="n">
        <v>20</v>
      </c>
      <c r="M25" s="103" t="n">
        <v>1</v>
      </c>
      <c r="N25" s="105" t="inlineStr">
        <is>
          <t>Média</t>
        </is>
      </c>
      <c r="O25" s="103" t="inlineStr">
        <is>
          <t>4/11</t>
        </is>
      </c>
      <c r="P25" s="103" t="inlineStr">
        <is>
          <t>2024</t>
        </is>
      </c>
      <c r="Q25" s="103" t="inlineStr">
        <is>
          <t>Ajuda a medir formação avançada e capacidade técnica.</t>
        </is>
      </c>
    </row>
    <row r="26" ht="30" customHeight="1" s="50">
      <c r="A26" s="103" t="inlineStr">
        <is>
          <t>3. Capital Humano</t>
        </is>
      </c>
      <c r="B26" s="103" t="inlineStr">
        <is>
          <t>Despesa pública em educação (% PIB)</t>
        </is>
      </c>
      <c r="C26" s="103" t="inlineStr">
        <is>
          <t>Complementar</t>
        </is>
      </c>
      <c r="D26" s="103" t="inlineStr">
        <is>
          <t>SE.XPD.TOTL.GD.ZS</t>
        </is>
      </c>
      <c r="E26" s="103" t="inlineStr">
        <is>
          <t>Government expenditure on education, total (% of GDP)</t>
        </is>
      </c>
      <c r="F26" s="103" t="inlineStr">
        <is>
          <t>Banco Mundial/UNESCO</t>
        </is>
      </c>
      <c r="G26" s="103" t="inlineStr">
        <is>
          <t>https://data.worldbank.org/indicator/SE.XPD.TOTL.GD.ZS?locations=AO</t>
        </is>
      </c>
      <c r="H26" s="103" t="inlineStr">
        <is>
          <t>%</t>
        </is>
      </c>
      <c r="I26" s="103" t="inlineStr">
        <is>
          <t>+</t>
        </is>
      </c>
      <c r="J26" s="103" t="n">
        <v>0</v>
      </c>
      <c r="K26" s="103" t="n">
        <v>10</v>
      </c>
      <c r="L26" s="103" t="n">
        <v>5</v>
      </c>
      <c r="M26" s="103" t="n">
        <v>1</v>
      </c>
      <c r="N26" s="105" t="inlineStr">
        <is>
          <t>Média</t>
        </is>
      </c>
      <c r="O26" s="103" t="inlineStr">
        <is>
          <t>9/11</t>
        </is>
      </c>
      <c r="P26" s="103" t="inlineStr">
        <is>
          <t>2023</t>
        </is>
      </c>
      <c r="Q26" s="103" t="inlineStr">
        <is>
          <t>Input de política pública; deve ser combinado com resultados de aprendizagem.</t>
        </is>
      </c>
    </row>
    <row r="27" ht="30" customHeight="1" s="50">
      <c r="A27" s="103" t="inlineStr">
        <is>
          <t>3. Capital Humano</t>
        </is>
      </c>
      <c r="B27" s="103" t="inlineStr">
        <is>
          <t>Learning poverty - crianças sem proficiência mínima de leitura</t>
        </is>
      </c>
      <c r="C27" s="103" t="inlineStr">
        <is>
          <t>Complementar</t>
        </is>
      </c>
      <c r="D27" s="103" t="inlineStr">
        <is>
          <t>SE.LPV.PRIM</t>
        </is>
      </c>
      <c r="E27" s="103" t="inlineStr">
        <is>
          <t>Learning poverty: Share of Children at the End-of-Primary age below minimum reading proficiency adjusted by Out-of-School Children (%)</t>
        </is>
      </c>
      <c r="F27" s="103" t="inlineStr">
        <is>
          <t>Banco Mundial/UNESCO</t>
        </is>
      </c>
      <c r="G27" s="103" t="inlineStr">
        <is>
          <t>https://data.worldbank.org/indicator/SE.LPV.PRIM?locations=AO</t>
        </is>
      </c>
      <c r="H27" s="103" t="inlineStr">
        <is>
          <t>%</t>
        </is>
      </c>
      <c r="I27" s="103" t="inlineStr">
        <is>
          <t>-</t>
        </is>
      </c>
      <c r="J27" s="103" t="n">
        <v>0</v>
      </c>
      <c r="K27" s="103" t="n">
        <v>100</v>
      </c>
      <c r="L27" s="103" t="n">
        <v>50</v>
      </c>
      <c r="M27" s="103" t="n">
        <v>1</v>
      </c>
      <c r="N27" s="106" t="inlineStr">
        <is>
          <t>Baixa</t>
        </is>
      </c>
      <c r="O27" s="103" t="inlineStr">
        <is>
          <t>0/11</t>
        </is>
      </c>
      <c r="P27" s="103" t="inlineStr"/>
      <c r="Q27" s="103" t="inlineStr">
        <is>
          <t>Mede aprendizagem, não apenas acesso à escola. Usar como benchmark de qualidade; a cobertura anual para Angola é limitada.</t>
        </is>
      </c>
    </row>
    <row r="28" ht="30" customHeight="1" s="50">
      <c r="A28" s="103" t="inlineStr">
        <is>
          <t>3. Capital Humano</t>
        </is>
      </c>
      <c r="B28" s="103" t="inlineStr">
        <is>
          <t>Rácio alunos/professor no primário</t>
        </is>
      </c>
      <c r="C28" s="103" t="inlineStr">
        <is>
          <t>Complementar</t>
        </is>
      </c>
      <c r="D28" s="103" t="inlineStr">
        <is>
          <t>SE.PRM.ENRL.TC.ZS</t>
        </is>
      </c>
      <c r="E28" s="103" t="inlineStr">
        <is>
          <t>Pupil-teacher ratio, primary</t>
        </is>
      </c>
      <c r="F28" s="103" t="inlineStr">
        <is>
          <t>Banco Mundial/UNESCO</t>
        </is>
      </c>
      <c r="G28" s="103" t="inlineStr">
        <is>
          <t>https://data.worldbank.org/indicator/SE.PRM.ENRL.TC.ZS?locations=AO</t>
        </is>
      </c>
      <c r="H28" s="103" t="inlineStr">
        <is>
          <t>Alunos por professor</t>
        </is>
      </c>
      <c r="I28" s="103" t="inlineStr">
        <is>
          <t>-</t>
        </is>
      </c>
      <c r="J28" s="103" t="n">
        <v>10</v>
      </c>
      <c r="K28" s="103" t="n">
        <v>80</v>
      </c>
      <c r="L28" s="103" t="n">
        <v>35</v>
      </c>
      <c r="M28" s="103" t="n">
        <v>1</v>
      </c>
      <c r="N28" s="105" t="inlineStr">
        <is>
          <t>Média</t>
        </is>
      </c>
      <c r="O28" s="103" t="inlineStr">
        <is>
          <t>1/11</t>
        </is>
      </c>
      <c r="P28" s="103" t="inlineStr">
        <is>
          <t>2015</t>
        </is>
      </c>
      <c r="Q28" s="103" t="inlineStr">
        <is>
          <t>Proxy simples de pressão sobre qualidade de ensino.</t>
        </is>
      </c>
    </row>
    <row r="29" ht="30" customHeight="1" s="50">
      <c r="A29" s="103" t="inlineStr">
        <is>
          <t>3. Capital Humano</t>
        </is>
      </c>
      <c r="B29" s="103" t="inlineStr">
        <is>
          <t>Índice de Capital Humano</t>
        </is>
      </c>
      <c r="C29" s="103" t="inlineStr">
        <is>
          <t>Complementar</t>
        </is>
      </c>
      <c r="D29" s="103" t="inlineStr">
        <is>
          <t>HD.HCI.OVRL</t>
        </is>
      </c>
      <c r="E29" s="103" t="inlineStr">
        <is>
          <t>Human Capital Index (HCI) (scale 0-1)</t>
        </is>
      </c>
      <c r="F29" s="103" t="inlineStr">
        <is>
          <t>Banco Mundial</t>
        </is>
      </c>
      <c r="G29" s="103" t="inlineStr">
        <is>
          <t>https://data.worldbank.org/indicator/HD.HCI.OVRL?locations=AO</t>
        </is>
      </c>
      <c r="H29" s="103" t="inlineStr">
        <is>
          <t>0-1</t>
        </is>
      </c>
      <c r="I29" s="103" t="inlineStr">
        <is>
          <t>+</t>
        </is>
      </c>
      <c r="J29" s="103" t="n">
        <v>0</v>
      </c>
      <c r="K29" s="103" t="n">
        <v>1</v>
      </c>
      <c r="L29" s="103" t="n">
        <v>0.5</v>
      </c>
      <c r="M29" s="103" t="n">
        <v>1</v>
      </c>
      <c r="N29" s="106" t="inlineStr">
        <is>
          <t>Baixa</t>
        </is>
      </c>
      <c r="O29" s="103" t="inlineStr">
        <is>
          <t>3/11</t>
        </is>
      </c>
      <c r="P29" s="103" t="inlineStr">
        <is>
          <t>2020</t>
        </is>
      </c>
      <c r="Q29" s="103" t="inlineStr">
        <is>
          <t>Útil como benchmark, mas menos anual do que os restantes indicadores.</t>
        </is>
      </c>
    </row>
    <row r="30" ht="30" customHeight="1" s="50">
      <c r="A30" s="103" t="inlineStr">
        <is>
          <t>3. Capital Humano</t>
        </is>
      </c>
      <c r="B30" s="103" t="inlineStr">
        <is>
          <t>Anos esperados de escolaridade</t>
        </is>
      </c>
      <c r="C30" s="103" t="inlineStr">
        <is>
          <t>Substituto</t>
        </is>
      </c>
      <c r="D30" s="103" t="inlineStr"/>
      <c r="E30" s="103" t="inlineStr"/>
      <c r="F30" s="103" t="inlineStr">
        <is>
          <t>PNUD/HDR</t>
        </is>
      </c>
      <c r="G30" s="103" t="inlineStr">
        <is>
          <t>https://hdr.undp.org/data-center</t>
        </is>
      </c>
      <c r="H30" s="103" t="inlineStr">
        <is>
          <t>Anos</t>
        </is>
      </c>
      <c r="I30" s="103" t="inlineStr">
        <is>
          <t>+</t>
        </is>
      </c>
      <c r="J30" s="103" t="n">
        <v>0</v>
      </c>
      <c r="K30" s="103" t="n">
        <v>18</v>
      </c>
      <c r="L30" s="103" t="n">
        <v>12</v>
      </c>
      <c r="M30" s="103" t="n">
        <v>1</v>
      </c>
      <c r="N30" s="104" t="inlineStr">
        <is>
          <t>Alta</t>
        </is>
      </c>
      <c r="O30" s="103" t="inlineStr"/>
      <c r="P30" s="103" t="inlineStr"/>
      <c r="Q30" s="103" t="inlineStr">
        <is>
          <t>Substitui ou complementa anos médios de escolaridade quando a série nacional estiver vazia.</t>
        </is>
      </c>
    </row>
    <row r="31" ht="30" customHeight="1" s="50">
      <c r="A31" s="103" t="inlineStr">
        <is>
          <t>4. Inclusão Social e Protecção</t>
        </is>
      </c>
      <c r="B31" s="103" t="inlineStr">
        <is>
          <t>Pobreza pela linha nacional</t>
        </is>
      </c>
      <c r="C31" s="103" t="inlineStr">
        <is>
          <t>Substituto</t>
        </is>
      </c>
      <c r="D31" s="103" t="inlineStr">
        <is>
          <t>SI.POV.NAHC</t>
        </is>
      </c>
      <c r="E31" s="103" t="inlineStr">
        <is>
          <t>Poverty headcount ratio at national poverty lines (% of population)</t>
        </is>
      </c>
      <c r="F31" s="103" t="inlineStr">
        <is>
          <t>Banco Mundial/PIP</t>
        </is>
      </c>
      <c r="G31" s="103" t="inlineStr">
        <is>
          <t>https://data.worldbank.org/indicator/SI.POV.NAHC?locations=AO</t>
        </is>
      </c>
      <c r="H31" s="103" t="inlineStr">
        <is>
          <t>%</t>
        </is>
      </c>
      <c r="I31" s="103" t="inlineStr">
        <is>
          <t>-</t>
        </is>
      </c>
      <c r="J31" s="103" t="n">
        <v>0</v>
      </c>
      <c r="K31" s="103" t="n">
        <v>80</v>
      </c>
      <c r="L31" s="103" t="n">
        <v>30</v>
      </c>
      <c r="M31" s="103" t="n">
        <v>1</v>
      </c>
      <c r="N31" s="104" t="inlineStr">
        <is>
          <t>Alta</t>
        </is>
      </c>
      <c r="O31" s="103" t="inlineStr">
        <is>
          <t>1/11</t>
        </is>
      </c>
      <c r="P31" s="103" t="inlineStr">
        <is>
          <t>2018</t>
        </is>
      </c>
      <c r="Q31" s="103" t="inlineStr">
        <is>
          <t>Mais diretamente ligada à linha oficial de pobreza do país.</t>
        </is>
      </c>
    </row>
    <row r="32" ht="30" customHeight="1" s="50">
      <c r="A32" s="103" t="inlineStr">
        <is>
          <t>4. Inclusão Social e Protecção</t>
        </is>
      </c>
      <c r="B32" s="103" t="inlineStr">
        <is>
          <t>Pobreza internacional a 3,00 USD/dia, PPP 2021</t>
        </is>
      </c>
      <c r="C32" s="103" t="inlineStr">
        <is>
          <t>Substituto</t>
        </is>
      </c>
      <c r="D32" s="103" t="inlineStr">
        <is>
          <t>SI.POV.DDAY</t>
        </is>
      </c>
      <c r="E32" s="103" t="inlineStr">
        <is>
          <t>Poverty headcount ratio at $3.00 a day (2021 PPP) (% of population)</t>
        </is>
      </c>
      <c r="F32" s="103" t="inlineStr">
        <is>
          <t>Banco Mundial/PIP</t>
        </is>
      </c>
      <c r="G32" s="103" t="inlineStr">
        <is>
          <t>https://data.worldbank.org/indicator/SI.POV.DDAY?locations=AO</t>
        </is>
      </c>
      <c r="H32" s="103" t="inlineStr">
        <is>
          <t>%</t>
        </is>
      </c>
      <c r="I32" s="103" t="inlineStr">
        <is>
          <t>-</t>
        </is>
      </c>
      <c r="J32" s="103" t="n">
        <v>0</v>
      </c>
      <c r="K32" s="103" t="n">
        <v>90</v>
      </c>
      <c r="L32" s="103" t="n">
        <v>40</v>
      </c>
      <c r="M32" s="103" t="n">
        <v>1</v>
      </c>
      <c r="N32" s="104" t="inlineStr">
        <is>
          <t>Alta</t>
        </is>
      </c>
      <c r="O32" s="103" t="inlineStr">
        <is>
          <t>1/11</t>
        </is>
      </c>
      <c r="P32" s="103" t="inlineStr">
        <is>
          <t>2018</t>
        </is>
      </c>
      <c r="Q32" s="103" t="inlineStr">
        <is>
          <t>Atualiza a referência internacional que substituiu linhas PPP antigas.</t>
        </is>
      </c>
    </row>
    <row r="33" ht="30" customHeight="1" s="50">
      <c r="A33" s="103" t="inlineStr">
        <is>
          <t>4. Inclusão Social e Protecção</t>
        </is>
      </c>
      <c r="B33" s="103" t="inlineStr">
        <is>
          <t>Índice de Gini</t>
        </is>
      </c>
      <c r="C33" s="103" t="inlineStr">
        <is>
          <t>Substituto</t>
        </is>
      </c>
      <c r="D33" s="103" t="inlineStr">
        <is>
          <t>SI.POV.GINI</t>
        </is>
      </c>
      <c r="E33" s="103" t="inlineStr">
        <is>
          <t>Gini index</t>
        </is>
      </c>
      <c r="F33" s="103" t="inlineStr">
        <is>
          <t>Banco Mundial/PIP</t>
        </is>
      </c>
      <c r="G33" s="103" t="inlineStr">
        <is>
          <t>https://data.worldbank.org/indicator/SI.POV.GINI?locations=AO</t>
        </is>
      </c>
      <c r="H33" s="103" t="inlineStr">
        <is>
          <t>0-100</t>
        </is>
      </c>
      <c r="I33" s="103" t="inlineStr">
        <is>
          <t>-</t>
        </is>
      </c>
      <c r="J33" s="103" t="n">
        <v>0</v>
      </c>
      <c r="K33" s="103" t="n">
        <v>70</v>
      </c>
      <c r="L33" s="103" t="n">
        <v>40</v>
      </c>
      <c r="M33" s="103" t="n">
        <v>1</v>
      </c>
      <c r="N33" s="104" t="inlineStr">
        <is>
          <t>Alta</t>
        </is>
      </c>
      <c r="O33" s="103" t="inlineStr">
        <is>
          <t>1/11</t>
        </is>
      </c>
      <c r="P33" s="103" t="inlineStr">
        <is>
          <t>2018</t>
        </is>
      </c>
      <c r="Q33" s="103" t="inlineStr">
        <is>
          <t>Mantém comparabilidade internacional para desigualdade.</t>
        </is>
      </c>
    </row>
    <row r="34" ht="30" customHeight="1" s="50">
      <c r="A34" s="103" t="inlineStr">
        <is>
          <t>4. Inclusão Social e Protecção</t>
        </is>
      </c>
      <c r="B34" s="103" t="inlineStr">
        <is>
          <t>Quota de rendimento dos 20% mais pobres</t>
        </is>
      </c>
      <c r="C34" s="103" t="inlineStr">
        <is>
          <t>Complementar</t>
        </is>
      </c>
      <c r="D34" s="103" t="inlineStr">
        <is>
          <t>SI.DST.FRST.20</t>
        </is>
      </c>
      <c r="E34" s="103" t="inlineStr">
        <is>
          <t>Income share held by lowest 20%</t>
        </is>
      </c>
      <c r="F34" s="103" t="inlineStr">
        <is>
          <t>Banco Mundial/PIP</t>
        </is>
      </c>
      <c r="G34" s="103" t="inlineStr">
        <is>
          <t>https://data.worldbank.org/indicator/SI.DST.FRST.20?locations=AO</t>
        </is>
      </c>
      <c r="H34" s="103" t="inlineStr">
        <is>
          <t>%</t>
        </is>
      </c>
      <c r="I34" s="103" t="inlineStr">
        <is>
          <t>+</t>
        </is>
      </c>
      <c r="J34" s="103" t="n">
        <v>0</v>
      </c>
      <c r="K34" s="103" t="n">
        <v>20</v>
      </c>
      <c r="L34" s="103" t="n">
        <v>7</v>
      </c>
      <c r="M34" s="103" t="n">
        <v>1</v>
      </c>
      <c r="N34" s="105" t="inlineStr">
        <is>
          <t>Média</t>
        </is>
      </c>
      <c r="O34" s="103" t="inlineStr">
        <is>
          <t>1/11</t>
        </is>
      </c>
      <c r="P34" s="103" t="inlineStr">
        <is>
          <t>2018</t>
        </is>
      </c>
      <c r="Q34" s="103" t="inlineStr">
        <is>
          <t>Lê inclusão distributiva de forma complementar ao Gini.</t>
        </is>
      </c>
    </row>
    <row r="35" ht="30" customHeight="1" s="50">
      <c r="A35" s="103" t="inlineStr">
        <is>
          <t>4. Inclusão Social e Protecção</t>
        </is>
      </c>
      <c r="B35" s="103" t="inlineStr">
        <is>
          <t>Cobertura de proteção social da população</t>
        </is>
      </c>
      <c r="C35" s="103" t="inlineStr">
        <is>
          <t>Substituto</t>
        </is>
      </c>
      <c r="D35" s="103" t="inlineStr"/>
      <c r="E35" s="103" t="inlineStr"/>
      <c r="F35" s="103" t="inlineStr">
        <is>
          <t>Banco Mundial ASPIRE/OIT</t>
        </is>
      </c>
      <c r="G35" s="103" t="inlineStr">
        <is>
          <t>https://www.worldbank.org/en/data/datatopics/aspire</t>
        </is>
      </c>
      <c r="H35" s="103" t="inlineStr">
        <is>
          <t>%</t>
        </is>
      </c>
      <c r="I35" s="103" t="inlineStr">
        <is>
          <t>+</t>
        </is>
      </c>
      <c r="J35" s="103" t="n">
        <v>0</v>
      </c>
      <c r="K35" s="103" t="n">
        <v>100</v>
      </c>
      <c r="L35" s="103" t="n">
        <v>40</v>
      </c>
      <c r="M35" s="103" t="n">
        <v>1</v>
      </c>
      <c r="N35" s="104" t="inlineStr">
        <is>
          <t>Alta</t>
        </is>
      </c>
      <c r="O35" s="103" t="inlineStr"/>
      <c r="P35" s="103" t="inlineStr"/>
      <c r="Q35" s="103" t="inlineStr">
        <is>
          <t>Preenche a lacuna existente de proteção social se houver série ASPIRE/OIT ou INSS.</t>
        </is>
      </c>
    </row>
    <row r="36" ht="30" customHeight="1" s="50">
      <c r="A36" s="103" t="inlineStr">
        <is>
          <t>4. Inclusão Social e Protecção</t>
        </is>
      </c>
      <c r="B36" s="103" t="inlineStr">
        <is>
          <t>Índice de Pobreza Multidimensional - incidência</t>
        </is>
      </c>
      <c r="C36" s="103" t="inlineStr">
        <is>
          <t>Complementar</t>
        </is>
      </c>
      <c r="D36" s="103" t="inlineStr"/>
      <c r="E36" s="103" t="inlineStr"/>
      <c r="F36" s="103" t="inlineStr">
        <is>
          <t>PNUD/OPHI</t>
        </is>
      </c>
      <c r="G36" s="103" t="inlineStr">
        <is>
          <t>https://hdr.undp.org/data-center/thematic-composite-indices</t>
        </is>
      </c>
      <c r="H36" s="103" t="inlineStr">
        <is>
          <t>%</t>
        </is>
      </c>
      <c r="I36" s="103" t="inlineStr">
        <is>
          <t>-</t>
        </is>
      </c>
      <c r="J36" s="103" t="n">
        <v>0</v>
      </c>
      <c r="K36" s="103" t="n">
        <v>80</v>
      </c>
      <c r="L36" s="103" t="n">
        <v>25</v>
      </c>
      <c r="M36" s="103" t="n">
        <v>1</v>
      </c>
      <c r="N36" s="105" t="inlineStr">
        <is>
          <t>Média</t>
        </is>
      </c>
      <c r="O36" s="103" t="inlineStr"/>
      <c r="P36" s="103" t="inlineStr"/>
      <c r="Q36" s="103" t="inlineStr">
        <is>
          <t>Capta privações simultâneas além de rendimento.</t>
        </is>
      </c>
    </row>
    <row r="37" ht="30" customHeight="1" s="50">
      <c r="A37" s="103" t="inlineStr">
        <is>
          <t>4. Inclusão Social e Protecção</t>
        </is>
      </c>
      <c r="B37" s="103" t="inlineStr">
        <is>
          <t>Jovens NEET</t>
        </is>
      </c>
      <c r="C37" s="103" t="inlineStr">
        <is>
          <t>Complementar</t>
        </is>
      </c>
      <c r="D37" s="103" t="inlineStr">
        <is>
          <t>SL.UEM.NEET.ZS</t>
        </is>
      </c>
      <c r="E37" s="103" t="inlineStr">
        <is>
          <t>Share of youth not in education, employment or training, total (% of youth population)</t>
        </is>
      </c>
      <c r="F37" s="103" t="inlineStr">
        <is>
          <t>Banco Mundial/OIT</t>
        </is>
      </c>
      <c r="G37" s="103" t="inlineStr">
        <is>
          <t>https://data.worldbank.org/indicator/SL.UEM.NEET.ZS?locations=AO</t>
        </is>
      </c>
      <c r="H37" s="103" t="inlineStr">
        <is>
          <t>%</t>
        </is>
      </c>
      <c r="I37" s="103" t="inlineStr">
        <is>
          <t>-</t>
        </is>
      </c>
      <c r="J37" s="103" t="n">
        <v>0</v>
      </c>
      <c r="K37" s="103" t="n">
        <v>70</v>
      </c>
      <c r="L37" s="103" t="n">
        <v>30</v>
      </c>
      <c r="M37" s="103" t="n">
        <v>1</v>
      </c>
      <c r="N37" s="104" t="inlineStr">
        <is>
          <t>Alta</t>
        </is>
      </c>
      <c r="O37" s="103" t="inlineStr">
        <is>
          <t>6/11</t>
        </is>
      </c>
      <c r="P37" s="103" t="inlineStr">
        <is>
          <t>2024</t>
        </is>
      </c>
      <c r="Q37" s="103" t="inlineStr">
        <is>
          <t>Forte indicador de exclusão de jovens.</t>
        </is>
      </c>
    </row>
    <row r="38" ht="30" customHeight="1" s="50">
      <c r="A38" s="103" t="inlineStr">
        <is>
          <t>4. Inclusão Social e Protecção</t>
        </is>
      </c>
      <c r="B38" s="103" t="inlineStr">
        <is>
          <t>Mulheres no parlamento</t>
        </is>
      </c>
      <c r="C38" s="103" t="inlineStr">
        <is>
          <t>Complementar</t>
        </is>
      </c>
      <c r="D38" s="103" t="inlineStr">
        <is>
          <t>SG.GEN.PARL.ZS</t>
        </is>
      </c>
      <c r="E38" s="103" t="inlineStr">
        <is>
          <t>Proportion of seats held by women in national parliaments (%)</t>
        </is>
      </c>
      <c r="F38" s="103" t="inlineStr">
        <is>
          <t>Banco Mundial/IPU</t>
        </is>
      </c>
      <c r="G38" s="103" t="inlineStr">
        <is>
          <t>https://data.worldbank.org/indicator/SG.GEN.PARL.ZS?locations=AO</t>
        </is>
      </c>
      <c r="H38" s="103" t="inlineStr">
        <is>
          <t>%</t>
        </is>
      </c>
      <c r="I38" s="103" t="inlineStr">
        <is>
          <t>+</t>
        </is>
      </c>
      <c r="J38" s="103" t="n">
        <v>0</v>
      </c>
      <c r="K38" s="103" t="n">
        <v>60</v>
      </c>
      <c r="L38" s="103" t="n">
        <v>35</v>
      </c>
      <c r="M38" s="103" t="n">
        <v>1</v>
      </c>
      <c r="N38" s="105" t="inlineStr">
        <is>
          <t>Média</t>
        </is>
      </c>
      <c r="O38" s="103" t="inlineStr">
        <is>
          <t>11/11</t>
        </is>
      </c>
      <c r="P38" s="103" t="inlineStr">
        <is>
          <t>2025</t>
        </is>
      </c>
      <c r="Q38" s="103" t="inlineStr">
        <is>
          <t>Mede inclusão política de género.</t>
        </is>
      </c>
    </row>
    <row r="39" ht="30" customHeight="1" s="50">
      <c r="A39" s="103" t="inlineStr">
        <is>
          <t>4. Inclusão Social e Protecção</t>
        </is>
      </c>
      <c r="B39" s="103" t="inlineStr">
        <is>
          <t>Participação feminina na força de trabalho</t>
        </is>
      </c>
      <c r="C39" s="103" t="inlineStr">
        <is>
          <t>Complementar</t>
        </is>
      </c>
      <c r="D39" s="103" t="inlineStr">
        <is>
          <t>SL.TLF.CACT.FE.ZS</t>
        </is>
      </c>
      <c r="E39" s="103" t="inlineStr">
        <is>
          <t>Labor force participation rate, female (% of female population ages 15+) (modeled ILO estimate)</t>
        </is>
      </c>
      <c r="F39" s="103" t="inlineStr">
        <is>
          <t>Banco Mundial/OIT</t>
        </is>
      </c>
      <c r="G39" s="103" t="inlineStr">
        <is>
          <t>https://data.worldbank.org/indicator/SL.TLF.CACT.FE.ZS?locations=AO</t>
        </is>
      </c>
      <c r="H39" s="103" t="inlineStr">
        <is>
          <t>%</t>
        </is>
      </c>
      <c r="I39" s="103" t="inlineStr">
        <is>
          <t>+</t>
        </is>
      </c>
      <c r="J39" s="103" t="n">
        <v>0</v>
      </c>
      <c r="K39" s="103" t="n">
        <v>100</v>
      </c>
      <c r="L39" s="103" t="n">
        <v>65</v>
      </c>
      <c r="M39" s="103" t="n">
        <v>1</v>
      </c>
      <c r="N39" s="105" t="inlineStr">
        <is>
          <t>Média</t>
        </is>
      </c>
      <c r="O39" s="103" t="inlineStr">
        <is>
          <t>11/11</t>
        </is>
      </c>
      <c r="P39" s="103" t="inlineStr">
        <is>
          <t>2025</t>
        </is>
      </c>
      <c r="Q39" s="103" t="inlineStr">
        <is>
          <t>Complementa o Global Gender Gap com uma métrica económica anual.</t>
        </is>
      </c>
    </row>
    <row r="40" ht="30" customHeight="1" s="50">
      <c r="A40" s="103" t="inlineStr">
        <is>
          <t>4. Inclusão Social e Protecção</t>
        </is>
      </c>
      <c r="B40" s="103" t="inlineStr">
        <is>
          <t>Registo de nascimento completo</t>
        </is>
      </c>
      <c r="C40" s="103" t="inlineStr">
        <is>
          <t>Complementar</t>
        </is>
      </c>
      <c r="D40" s="103" t="inlineStr">
        <is>
          <t>SP.REG.BRTH.ZS</t>
        </is>
      </c>
      <c r="E40" s="103" t="inlineStr">
        <is>
          <t>Completeness of birth registration (%)</t>
        </is>
      </c>
      <c r="F40" s="103" t="inlineStr">
        <is>
          <t>Banco Mundial/UNICEF</t>
        </is>
      </c>
      <c r="G40" s="103" t="inlineStr">
        <is>
          <t>https://data.worldbank.org/indicator/SP.REG.BRTH.ZS?locations=AO</t>
        </is>
      </c>
      <c r="H40" s="103" t="inlineStr">
        <is>
          <t>%</t>
        </is>
      </c>
      <c r="I40" s="103" t="inlineStr">
        <is>
          <t>+</t>
        </is>
      </c>
      <c r="J40" s="103" t="n">
        <v>0</v>
      </c>
      <c r="K40" s="103" t="n">
        <v>100</v>
      </c>
      <c r="L40" s="103" t="n">
        <v>80</v>
      </c>
      <c r="M40" s="103" t="n">
        <v>1</v>
      </c>
      <c r="N40" s="105" t="inlineStr">
        <is>
          <t>Média</t>
        </is>
      </c>
      <c r="O40" s="103" t="inlineStr">
        <is>
          <t>1/11</t>
        </is>
      </c>
      <c r="P40" s="103" t="inlineStr">
        <is>
          <t>2016</t>
        </is>
      </c>
      <c r="Q40" s="103" t="inlineStr">
        <is>
          <t>Proxy de inclusão administrativa e acesso a direitos básicos.</t>
        </is>
      </c>
    </row>
    <row r="41" ht="30" customHeight="1" s="50">
      <c r="A41" s="103" t="inlineStr">
        <is>
          <t>5. Infraestruturas e Serviços</t>
        </is>
      </c>
      <c r="B41" s="103" t="inlineStr">
        <is>
          <t>Acesso rural à eletricidade</t>
        </is>
      </c>
      <c r="C41" s="103" t="inlineStr">
        <is>
          <t>Complementar</t>
        </is>
      </c>
      <c r="D41" s="103" t="inlineStr">
        <is>
          <t>EG.ELC.ACCS.RU.ZS</t>
        </is>
      </c>
      <c r="E41" s="103" t="inlineStr">
        <is>
          <t>Access to electricity, rural (% of rural population)</t>
        </is>
      </c>
      <c r="F41" s="103" t="inlineStr">
        <is>
          <t>Banco Mundial/IEA</t>
        </is>
      </c>
      <c r="G41" s="103" t="inlineStr">
        <is>
          <t>https://data.worldbank.org/indicator/EG.ELC.ACCS.RU.ZS?locations=AO</t>
        </is>
      </c>
      <c r="H41" s="103" t="inlineStr">
        <is>
          <t>%</t>
        </is>
      </c>
      <c r="I41" s="103" t="inlineStr">
        <is>
          <t>+</t>
        </is>
      </c>
      <c r="J41" s="103" t="n">
        <v>0</v>
      </c>
      <c r="K41" s="103" t="n">
        <v>100</v>
      </c>
      <c r="L41" s="103" t="n">
        <v>50</v>
      </c>
      <c r="M41" s="103" t="n">
        <v>1</v>
      </c>
      <c r="N41" s="104" t="inlineStr">
        <is>
          <t>Alta</t>
        </is>
      </c>
      <c r="O41" s="103" t="inlineStr">
        <is>
          <t>2/11</t>
        </is>
      </c>
      <c r="P41" s="103" t="inlineStr">
        <is>
          <t>2018</t>
        </is>
      </c>
      <c r="Q41" s="103" t="inlineStr">
        <is>
          <t>Evidencia desigualdade territorial no acesso à energia.</t>
        </is>
      </c>
    </row>
    <row r="42" ht="30" customHeight="1" s="50">
      <c r="A42" s="103" t="inlineStr">
        <is>
          <t>5. Infraestruturas e Serviços</t>
        </is>
      </c>
      <c r="B42" s="103" t="inlineStr">
        <is>
          <t>Acesso a energia limpa para cozinhar</t>
        </is>
      </c>
      <c r="C42" s="103" t="inlineStr">
        <is>
          <t>Complementar</t>
        </is>
      </c>
      <c r="D42" s="103" t="inlineStr">
        <is>
          <t>EG.CFT.ACCS.ZS</t>
        </is>
      </c>
      <c r="E42" s="103" t="inlineStr">
        <is>
          <t>Access to clean fuels and technologies for cooking (% of population)</t>
        </is>
      </c>
      <c r="F42" s="103" t="inlineStr">
        <is>
          <t>Banco Mundial/OMS</t>
        </is>
      </c>
      <c r="G42" s="103" t="inlineStr">
        <is>
          <t>https://data.worldbank.org/indicator/EG.CFT.ACCS.ZS?locations=AO</t>
        </is>
      </c>
      <c r="H42" s="103" t="inlineStr">
        <is>
          <t>%</t>
        </is>
      </c>
      <c r="I42" s="103" t="inlineStr">
        <is>
          <t>+</t>
        </is>
      </c>
      <c r="J42" s="103" t="n">
        <v>0</v>
      </c>
      <c r="K42" s="103" t="n">
        <v>100</v>
      </c>
      <c r="L42" s="103" t="n">
        <v>35</v>
      </c>
      <c r="M42" s="103" t="n">
        <v>1</v>
      </c>
      <c r="N42" s="104" t="inlineStr">
        <is>
          <t>Alta</t>
        </is>
      </c>
      <c r="O42" s="103" t="inlineStr">
        <is>
          <t>9/11</t>
        </is>
      </c>
      <c r="P42" s="103" t="inlineStr">
        <is>
          <t>2023</t>
        </is>
      </c>
      <c r="Q42" s="103" t="inlineStr">
        <is>
          <t>Indicador de infraestrutura doméstica com impacto ambiental e de saúde.</t>
        </is>
      </c>
    </row>
    <row r="43" ht="30" customHeight="1" s="50">
      <c r="A43" s="103" t="inlineStr">
        <is>
          <t>5. Infraestruturas e Serviços</t>
        </is>
      </c>
      <c r="B43" s="103" t="inlineStr">
        <is>
          <t>Perdas de transmissão e distribuição elétrica</t>
        </is>
      </c>
      <c r="C43" s="103" t="inlineStr">
        <is>
          <t>Complementar</t>
        </is>
      </c>
      <c r="D43" s="103" t="inlineStr">
        <is>
          <t>EG.ELC.LOSS.ZS</t>
        </is>
      </c>
      <c r="E43" s="103" t="inlineStr">
        <is>
          <t>Electric power transmission and distribution losses (% of output)</t>
        </is>
      </c>
      <c r="F43" s="103" t="inlineStr">
        <is>
          <t>Banco Mundial/IEA</t>
        </is>
      </c>
      <c r="G43" s="103" t="inlineStr">
        <is>
          <t>https://data.worldbank.org/indicator/EG.ELC.LOSS.ZS?locations=AO</t>
        </is>
      </c>
      <c r="H43" s="103" t="inlineStr">
        <is>
          <t>%</t>
        </is>
      </c>
      <c r="I43" s="103" t="inlineStr">
        <is>
          <t>-</t>
        </is>
      </c>
      <c r="J43" s="103" t="n">
        <v>0</v>
      </c>
      <c r="K43" s="103" t="n">
        <v>60</v>
      </c>
      <c r="L43" s="103" t="n">
        <v>15</v>
      </c>
      <c r="M43" s="103" t="n">
        <v>1</v>
      </c>
      <c r="N43" s="105" t="inlineStr">
        <is>
          <t>Média</t>
        </is>
      </c>
      <c r="O43" s="103" t="inlineStr">
        <is>
          <t>9/11</t>
        </is>
      </c>
      <c r="P43" s="103" t="inlineStr">
        <is>
          <t>2023</t>
        </is>
      </c>
      <c r="Q43" s="103" t="inlineStr">
        <is>
          <t>Mede eficiência da rede elétrica, não apenas acesso.</t>
        </is>
      </c>
    </row>
    <row r="44" ht="30" customHeight="1" s="50">
      <c r="A44" s="103" t="inlineStr">
        <is>
          <t>5. Infraestruturas e Serviços</t>
        </is>
      </c>
      <c r="B44" s="103" t="inlineStr">
        <is>
          <t>Subscrições móveis por 100 habitantes</t>
        </is>
      </c>
      <c r="C44" s="103" t="inlineStr">
        <is>
          <t>Substituto/Complementar</t>
        </is>
      </c>
      <c r="D44" s="103" t="inlineStr">
        <is>
          <t>IT.CEL.SETS.P2</t>
        </is>
      </c>
      <c r="E44" s="103" t="inlineStr">
        <is>
          <t>Mobile cellular subscriptions (per 100 people)</t>
        </is>
      </c>
      <c r="F44" s="103" t="inlineStr">
        <is>
          <t>Banco Mundial/ITU</t>
        </is>
      </c>
      <c r="G44" s="103" t="inlineStr">
        <is>
          <t>https://data.worldbank.org/indicator/IT.CEL.SETS.P2?locations=AO</t>
        </is>
      </c>
      <c r="H44" s="103" t="inlineStr">
        <is>
          <t>por 100 hab.</t>
        </is>
      </c>
      <c r="I44" s="103" t="inlineStr">
        <is>
          <t>+</t>
        </is>
      </c>
      <c r="J44" s="103" t="n">
        <v>0</v>
      </c>
      <c r="K44" s="103" t="n">
        <v>160</v>
      </c>
      <c r="L44" s="103" t="n">
        <v>100</v>
      </c>
      <c r="M44" s="103" t="n">
        <v>1</v>
      </c>
      <c r="N44" s="104" t="inlineStr">
        <is>
          <t>Alta</t>
        </is>
      </c>
      <c r="O44" s="103" t="inlineStr">
        <is>
          <t>10/11</t>
        </is>
      </c>
      <c r="P44" s="103" t="inlineStr">
        <is>
          <t>2024</t>
        </is>
      </c>
      <c r="Q44" s="103" t="inlineStr">
        <is>
          <t>Alternativa anual à cobertura 4G quando a série INACOM estiver incompleta.</t>
        </is>
      </c>
    </row>
    <row r="45" ht="30" customHeight="1" s="50">
      <c r="A45" s="103" t="inlineStr">
        <is>
          <t>5. Infraestruturas e Serviços</t>
        </is>
      </c>
      <c r="B45" s="103" t="inlineStr">
        <is>
          <t>Banda larga fixa por 100 habitantes</t>
        </is>
      </c>
      <c r="C45" s="103" t="inlineStr">
        <is>
          <t>Complementar</t>
        </is>
      </c>
      <c r="D45" s="103" t="inlineStr">
        <is>
          <t>IT.NET.BBND.P2</t>
        </is>
      </c>
      <c r="E45" s="103" t="inlineStr">
        <is>
          <t>Fixed broadband subscriptions (per 100 people)</t>
        </is>
      </c>
      <c r="F45" s="103" t="inlineStr">
        <is>
          <t>Banco Mundial/ITU</t>
        </is>
      </c>
      <c r="G45" s="103" t="inlineStr">
        <is>
          <t>https://data.worldbank.org/indicator/IT.NET.BBND.P2?locations=AO</t>
        </is>
      </c>
      <c r="H45" s="103" t="inlineStr">
        <is>
          <t>por 100 hab.</t>
        </is>
      </c>
      <c r="I45" s="103" t="inlineStr">
        <is>
          <t>+</t>
        </is>
      </c>
      <c r="J45" s="103" t="n">
        <v>0</v>
      </c>
      <c r="K45" s="103" t="n">
        <v>50</v>
      </c>
      <c r="L45" s="103" t="n">
        <v>8</v>
      </c>
      <c r="M45" s="103" t="n">
        <v>1</v>
      </c>
      <c r="N45" s="105" t="inlineStr">
        <is>
          <t>Média</t>
        </is>
      </c>
      <c r="O45" s="103" t="inlineStr">
        <is>
          <t>10/11</t>
        </is>
      </c>
      <c r="P45" s="103" t="inlineStr">
        <is>
          <t>2024</t>
        </is>
      </c>
      <c r="Q45" s="103" t="inlineStr">
        <is>
          <t>Mede infraestrutura digital fixa, distinta do uso de internet.</t>
        </is>
      </c>
    </row>
    <row r="46" ht="30" customHeight="1" s="50">
      <c r="A46" s="103" t="inlineStr">
        <is>
          <t>5. Infraestruturas e Serviços</t>
        </is>
      </c>
      <c r="B46" s="103" t="inlineStr">
        <is>
          <t>Preço de cabaz móvel-banda larga (% RNB per capita)</t>
        </is>
      </c>
      <c r="C46" s="103" t="inlineStr">
        <is>
          <t>Complementar</t>
        </is>
      </c>
      <c r="D46" s="103" t="inlineStr"/>
      <c r="E46" s="103" t="inlineStr"/>
      <c r="F46" s="103" t="inlineStr">
        <is>
          <t>ITU DataHub</t>
        </is>
      </c>
      <c r="G46" s="103" t="inlineStr">
        <is>
          <t>https://datahub.itu.int/</t>
        </is>
      </c>
      <c r="H46" s="103" t="inlineStr">
        <is>
          <t>% RNB per capita</t>
        </is>
      </c>
      <c r="I46" s="103" t="inlineStr">
        <is>
          <t>-</t>
        </is>
      </c>
      <c r="J46" s="103" t="n">
        <v>0</v>
      </c>
      <c r="K46" s="103" t="n">
        <v>30</v>
      </c>
      <c r="L46" s="103" t="n">
        <v>5</v>
      </c>
      <c r="M46" s="103" t="n">
        <v>1</v>
      </c>
      <c r="N46" s="105" t="inlineStr">
        <is>
          <t>Média</t>
        </is>
      </c>
      <c r="O46" s="103" t="inlineStr"/>
      <c r="P46" s="103" t="inlineStr"/>
      <c r="Q46" s="103" t="inlineStr">
        <is>
          <t>Capta acessibilidade económica da conectividade.</t>
        </is>
      </c>
    </row>
    <row r="47" ht="30" customHeight="1" s="50">
      <c r="A47" s="103" t="inlineStr">
        <is>
          <t>5. Infraestruturas e Serviços</t>
        </is>
      </c>
      <c r="B47" s="103" t="inlineStr">
        <is>
          <t>Água potável básica - população total</t>
        </is>
      </c>
      <c r="C47" s="103" t="inlineStr">
        <is>
          <t>Substituto</t>
        </is>
      </c>
      <c r="D47" s="103" t="inlineStr">
        <is>
          <t>SH.H2O.BASW.ZS</t>
        </is>
      </c>
      <c r="E47" s="103" t="inlineStr">
        <is>
          <t>People using at least basic drinking water services (% of population)</t>
        </is>
      </c>
      <c r="F47" s="103" t="inlineStr">
        <is>
          <t>Banco Mundial/JMP</t>
        </is>
      </c>
      <c r="G47" s="103" t="inlineStr">
        <is>
          <t>https://data.worldbank.org/indicator/SH.H2O.BASW.ZS?locations=AO</t>
        </is>
      </c>
      <c r="H47" s="103" t="inlineStr">
        <is>
          <t>%</t>
        </is>
      </c>
      <c r="I47" s="103" t="inlineStr">
        <is>
          <t>+</t>
        </is>
      </c>
      <c r="J47" s="103" t="n">
        <v>0</v>
      </c>
      <c r="K47" s="103" t="n">
        <v>100</v>
      </c>
      <c r="L47" s="103" t="n">
        <v>70</v>
      </c>
      <c r="M47" s="103" t="n">
        <v>1</v>
      </c>
      <c r="N47" s="104" t="inlineStr">
        <is>
          <t>Alta</t>
        </is>
      </c>
      <c r="O47" s="103" t="inlineStr">
        <is>
          <t>10/11</t>
        </is>
      </c>
      <c r="P47" s="103" t="inlineStr">
        <is>
          <t>2024</t>
        </is>
      </c>
      <c r="Q47" s="103" t="inlineStr">
        <is>
          <t>Fonte comparável para preencher/validar a linha de água potável.</t>
        </is>
      </c>
    </row>
    <row r="48" ht="30" customHeight="1" s="50">
      <c r="A48" s="103" t="inlineStr">
        <is>
          <t>5. Infraestruturas e Serviços</t>
        </is>
      </c>
      <c r="B48" s="103" t="inlineStr">
        <is>
          <t>Saneamento básico - população total</t>
        </is>
      </c>
      <c r="C48" s="103" t="inlineStr">
        <is>
          <t>Substituto</t>
        </is>
      </c>
      <c r="D48" s="103" t="inlineStr">
        <is>
          <t>SH.STA.BASS.ZS</t>
        </is>
      </c>
      <c r="E48" s="103" t="inlineStr">
        <is>
          <t>People using at least basic sanitation services (% of population)</t>
        </is>
      </c>
      <c r="F48" s="103" t="inlineStr">
        <is>
          <t>Banco Mundial/JMP</t>
        </is>
      </c>
      <c r="G48" s="103" t="inlineStr">
        <is>
          <t>https://data.worldbank.org/indicator/SH.STA.BASS.ZS?locations=AO</t>
        </is>
      </c>
      <c r="H48" s="103" t="inlineStr">
        <is>
          <t>%</t>
        </is>
      </c>
      <c r="I48" s="103" t="inlineStr">
        <is>
          <t>+</t>
        </is>
      </c>
      <c r="J48" s="103" t="n">
        <v>0</v>
      </c>
      <c r="K48" s="103" t="n">
        <v>100</v>
      </c>
      <c r="L48" s="103" t="n">
        <v>60</v>
      </c>
      <c r="M48" s="103" t="n">
        <v>1</v>
      </c>
      <c r="N48" s="104" t="inlineStr">
        <is>
          <t>Alta</t>
        </is>
      </c>
      <c r="O48" s="103" t="inlineStr">
        <is>
          <t>8/11</t>
        </is>
      </c>
      <c r="P48" s="103" t="inlineStr">
        <is>
          <t>2022</t>
        </is>
      </c>
      <c r="Q48" s="103" t="inlineStr">
        <is>
          <t>Fonte comparável para preencher/validar saneamento.</t>
        </is>
      </c>
    </row>
    <row r="49" ht="30" customHeight="1" s="50">
      <c r="A49" s="103" t="inlineStr">
        <is>
          <t>5. Infraestruturas e Serviços</t>
        </is>
      </c>
      <c r="B49" s="103" t="inlineStr">
        <is>
          <t>Estradas pavimentadas (% total)</t>
        </is>
      </c>
      <c r="C49" s="103" t="inlineStr">
        <is>
          <t>Complementar</t>
        </is>
      </c>
      <c r="D49" s="103" t="inlineStr">
        <is>
          <t>IS.ROD.PAVE.ZS</t>
        </is>
      </c>
      <c r="E49" s="103" t="inlineStr">
        <is>
          <t>Roads, paved (% of total roads)</t>
        </is>
      </c>
      <c r="F49" s="103" t="inlineStr">
        <is>
          <t>Banco Mundial/WDI</t>
        </is>
      </c>
      <c r="G49" s="103" t="inlineStr">
        <is>
          <t>https://data.worldbank.org/indicator/IS.ROD.PAVE.ZS?locations=AO</t>
        </is>
      </c>
      <c r="H49" s="103" t="inlineStr">
        <is>
          <t>%</t>
        </is>
      </c>
      <c r="I49" s="103" t="inlineStr">
        <is>
          <t>+</t>
        </is>
      </c>
      <c r="J49" s="103" t="n">
        <v>0</v>
      </c>
      <c r="K49" s="103" t="n">
        <v>100</v>
      </c>
      <c r="L49" s="103" t="n">
        <v>30</v>
      </c>
      <c r="M49" s="103" t="n">
        <v>1</v>
      </c>
      <c r="N49" s="105" t="inlineStr">
        <is>
          <t>Média</t>
        </is>
      </c>
      <c r="O49" s="103" t="inlineStr">
        <is>
          <t>3/11</t>
        </is>
      </c>
      <c r="P49" s="103" t="inlineStr">
        <is>
          <t>2001</t>
        </is>
      </c>
      <c r="Q49" s="103" t="inlineStr">
        <is>
          <t>Complementa densidade rodoviária com qualidade da rede.</t>
        </is>
      </c>
    </row>
    <row r="50" ht="30" customHeight="1" s="50">
      <c r="A50" s="103" t="inlineStr">
        <is>
          <t>5. Infraestruturas e Serviços</t>
        </is>
      </c>
      <c r="B50" s="103" t="inlineStr">
        <is>
          <t>Logistics Performance Index - geral</t>
        </is>
      </c>
      <c r="C50" s="103" t="inlineStr">
        <is>
          <t>Complementar</t>
        </is>
      </c>
      <c r="D50" s="103" t="inlineStr">
        <is>
          <t>LP.LPI.OVRL.XQ</t>
        </is>
      </c>
      <c r="E50" s="103" t="inlineStr">
        <is>
          <t>Logistics performance index: Overall (1=low to 5=high)</t>
        </is>
      </c>
      <c r="F50" s="103" t="inlineStr">
        <is>
          <t>Banco Mundial/LPI</t>
        </is>
      </c>
      <c r="G50" s="103" t="inlineStr">
        <is>
          <t>https://data.worldbank.org/indicator/LP.LPI.OVRL.XQ?locations=AO</t>
        </is>
      </c>
      <c r="H50" s="103" t="inlineStr">
        <is>
          <t>1-5</t>
        </is>
      </c>
      <c r="I50" s="103" t="inlineStr">
        <is>
          <t>+</t>
        </is>
      </c>
      <c r="J50" s="103" t="n">
        <v>1</v>
      </c>
      <c r="K50" s="103" t="n">
        <v>5</v>
      </c>
      <c r="L50" s="103" t="n">
        <v>3</v>
      </c>
      <c r="M50" s="103" t="n">
        <v>1</v>
      </c>
      <c r="N50" s="106" t="inlineStr">
        <is>
          <t>Baixa</t>
        </is>
      </c>
      <c r="O50" s="103" t="inlineStr">
        <is>
          <t>3/11</t>
        </is>
      </c>
      <c r="P50" s="103" t="inlineStr">
        <is>
          <t>2022</t>
        </is>
      </c>
      <c r="Q50" s="103" t="inlineStr">
        <is>
          <t>Indicador sintético de logística; útil, mas não anual.</t>
        </is>
      </c>
    </row>
    <row r="51" ht="30" customHeight="1" s="50">
      <c r="A51" s="103" t="inlineStr">
        <is>
          <t>6. Mercado de Trabalho</t>
        </is>
      </c>
      <c r="B51" s="103" t="inlineStr">
        <is>
          <t>Emprego/população 15+</t>
        </is>
      </c>
      <c r="C51" s="103" t="inlineStr">
        <is>
          <t>Substituto</t>
        </is>
      </c>
      <c r="D51" s="103" t="inlineStr">
        <is>
          <t>SL.EMP.TOTL.SP.ZS</t>
        </is>
      </c>
      <c r="E51" s="103" t="inlineStr">
        <is>
          <t>Employment to population ratio, 15+, total (%) (modeled ILO estimate)</t>
        </is>
      </c>
      <c r="F51" s="103" t="inlineStr">
        <is>
          <t>Banco Mundial/OIT</t>
        </is>
      </c>
      <c r="G51" s="103" t="inlineStr">
        <is>
          <t>https://data.worldbank.org/indicator/SL.EMP.TOTL.SP.ZS?locations=AO</t>
        </is>
      </c>
      <c r="H51" s="103" t="inlineStr">
        <is>
          <t>%</t>
        </is>
      </c>
      <c r="I51" s="103" t="inlineStr">
        <is>
          <t>+</t>
        </is>
      </c>
      <c r="J51" s="103" t="n">
        <v>0</v>
      </c>
      <c r="K51" s="103" t="n">
        <v>100</v>
      </c>
      <c r="L51" s="103" t="n">
        <v>65</v>
      </c>
      <c r="M51" s="103" t="n">
        <v>1</v>
      </c>
      <c r="N51" s="104" t="inlineStr">
        <is>
          <t>Alta</t>
        </is>
      </c>
      <c r="O51" s="103" t="inlineStr">
        <is>
          <t>11/11</t>
        </is>
      </c>
      <c r="P51" s="103" t="inlineStr">
        <is>
          <t>2025</t>
        </is>
      </c>
      <c r="Q51" s="103" t="inlineStr">
        <is>
          <t>Série internacional para validar a taxa de emprego.</t>
        </is>
      </c>
    </row>
    <row r="52" ht="30" customHeight="1" s="50">
      <c r="A52" s="103" t="inlineStr">
        <is>
          <t>6. Mercado de Trabalho</t>
        </is>
      </c>
      <c r="B52" s="103" t="inlineStr">
        <is>
          <t>Desemprego total modelado OIT</t>
        </is>
      </c>
      <c r="C52" s="103" t="inlineStr">
        <is>
          <t>Substituto</t>
        </is>
      </c>
      <c r="D52" s="103" t="inlineStr">
        <is>
          <t>SL.UEM.TOTL.ZS</t>
        </is>
      </c>
      <c r="E52" s="103" t="inlineStr">
        <is>
          <t>Unemployment, total (% of total labor force) (modeled ILO estimate)</t>
        </is>
      </c>
      <c r="F52" s="103" t="inlineStr">
        <is>
          <t>Banco Mundial/OIT</t>
        </is>
      </c>
      <c r="G52" s="103" t="inlineStr">
        <is>
          <t>https://data.worldbank.org/indicator/SL.UEM.TOTL.ZS?locations=AO</t>
        </is>
      </c>
      <c r="H52" s="103" t="inlineStr">
        <is>
          <t>%</t>
        </is>
      </c>
      <c r="I52" s="103" t="inlineStr">
        <is>
          <t>-</t>
        </is>
      </c>
      <c r="J52" s="103" t="n">
        <v>0</v>
      </c>
      <c r="K52" s="103" t="n">
        <v>50</v>
      </c>
      <c r="L52" s="103" t="n">
        <v>15</v>
      </c>
      <c r="M52" s="103" t="n">
        <v>1</v>
      </c>
      <c r="N52" s="104" t="inlineStr">
        <is>
          <t>Alta</t>
        </is>
      </c>
      <c r="O52" s="103" t="inlineStr">
        <is>
          <t>11/11</t>
        </is>
      </c>
      <c r="P52" s="103" t="inlineStr">
        <is>
          <t>2025</t>
        </is>
      </c>
      <c r="Q52" s="103" t="inlineStr">
        <is>
          <t>Série anual comparável para anos sem inquérito nacional.</t>
        </is>
      </c>
    </row>
    <row r="53" ht="30" customHeight="1" s="50">
      <c r="A53" s="103" t="inlineStr">
        <is>
          <t>6. Mercado de Trabalho</t>
        </is>
      </c>
      <c r="B53" s="103" t="inlineStr">
        <is>
          <t>Desemprego juvenil 15-24</t>
        </is>
      </c>
      <c r="C53" s="103" t="inlineStr">
        <is>
          <t>Substituto</t>
        </is>
      </c>
      <c r="D53" s="103" t="inlineStr">
        <is>
          <t>SL.UEM.1524.ZS</t>
        </is>
      </c>
      <c r="E53" s="103" t="inlineStr">
        <is>
          <t>Unemployment, youth total (% of total labor force ages 15-24) (modeled ILO estimate)</t>
        </is>
      </c>
      <c r="F53" s="103" t="inlineStr">
        <is>
          <t>Banco Mundial/OIT</t>
        </is>
      </c>
      <c r="G53" s="103" t="inlineStr">
        <is>
          <t>https://data.worldbank.org/indicator/SL.UEM.1524.ZS?locations=AO</t>
        </is>
      </c>
      <c r="H53" s="103" t="inlineStr">
        <is>
          <t>%</t>
        </is>
      </c>
      <c r="I53" s="103" t="inlineStr">
        <is>
          <t>-</t>
        </is>
      </c>
      <c r="J53" s="103" t="n">
        <v>0</v>
      </c>
      <c r="K53" s="103" t="n">
        <v>70</v>
      </c>
      <c r="L53" s="103" t="n">
        <v>30</v>
      </c>
      <c r="M53" s="103" t="n">
        <v>1</v>
      </c>
      <c r="N53" s="104" t="inlineStr">
        <is>
          <t>Alta</t>
        </is>
      </c>
      <c r="O53" s="103" t="inlineStr">
        <is>
          <t>11/11</t>
        </is>
      </c>
      <c r="P53" s="103" t="inlineStr">
        <is>
          <t>2025</t>
        </is>
      </c>
      <c r="Q53" s="103" t="inlineStr">
        <is>
          <t>Preenche a lacuna existente de desemprego juvenil.</t>
        </is>
      </c>
    </row>
    <row r="54" ht="30" customHeight="1" s="50">
      <c r="A54" s="103" t="inlineStr">
        <is>
          <t>6. Mercado de Trabalho</t>
        </is>
      </c>
      <c r="B54" s="103" t="inlineStr">
        <is>
          <t>Participação na força de trabalho</t>
        </is>
      </c>
      <c r="C54" s="103" t="inlineStr">
        <is>
          <t>Complementar</t>
        </is>
      </c>
      <c r="D54" s="103" t="inlineStr">
        <is>
          <t>SL.TLF.CACT.ZS</t>
        </is>
      </c>
      <c r="E54" s="103" t="inlineStr">
        <is>
          <t>Labor force participation rate, total (% of total population ages 15+) (modeled ILO estimate)</t>
        </is>
      </c>
      <c r="F54" s="103" t="inlineStr">
        <is>
          <t>Banco Mundial/OIT</t>
        </is>
      </c>
      <c r="G54" s="103" t="inlineStr">
        <is>
          <t>https://data.worldbank.org/indicator/SL.TLF.CACT.ZS?locations=AO</t>
        </is>
      </c>
      <c r="H54" s="103" t="inlineStr">
        <is>
          <t>%</t>
        </is>
      </c>
      <c r="I54" s="103" t="inlineStr">
        <is>
          <t>+</t>
        </is>
      </c>
      <c r="J54" s="103" t="n">
        <v>0</v>
      </c>
      <c r="K54" s="103" t="n">
        <v>100</v>
      </c>
      <c r="L54" s="103" t="n">
        <v>70</v>
      </c>
      <c r="M54" s="103" t="n">
        <v>1</v>
      </c>
      <c r="N54" s="104" t="inlineStr">
        <is>
          <t>Alta</t>
        </is>
      </c>
      <c r="O54" s="103" t="inlineStr">
        <is>
          <t>11/11</t>
        </is>
      </c>
      <c r="P54" s="103" t="inlineStr">
        <is>
          <t>2025</t>
        </is>
      </c>
      <c r="Q54" s="103" t="inlineStr">
        <is>
          <t>Ajuda a interpretar desemprego junto com atividade laboral.</t>
        </is>
      </c>
    </row>
    <row r="55" ht="30" customHeight="1" s="50">
      <c r="A55" s="103" t="inlineStr">
        <is>
          <t>6. Mercado de Trabalho</t>
        </is>
      </c>
      <c r="B55" s="103" t="inlineStr">
        <is>
          <t>Emprego vulnerável</t>
        </is>
      </c>
      <c r="C55" s="103" t="inlineStr">
        <is>
          <t>Complementar</t>
        </is>
      </c>
      <c r="D55" s="103" t="inlineStr">
        <is>
          <t>SL.EMP.VULN.ZS</t>
        </is>
      </c>
      <c r="E55" s="103" t="inlineStr">
        <is>
          <t>Vulnerable employment, total (% of total employment) (modeled ILO estimate)</t>
        </is>
      </c>
      <c r="F55" s="103" t="inlineStr">
        <is>
          <t>Banco Mundial/OIT</t>
        </is>
      </c>
      <c r="G55" s="103" t="inlineStr">
        <is>
          <t>https://data.worldbank.org/indicator/SL.EMP.VULN.ZS?locations=AO</t>
        </is>
      </c>
      <c r="H55" s="103" t="inlineStr">
        <is>
          <t>%</t>
        </is>
      </c>
      <c r="I55" s="103" t="inlineStr">
        <is>
          <t>-</t>
        </is>
      </c>
      <c r="J55" s="103" t="n">
        <v>0</v>
      </c>
      <c r="K55" s="103" t="n">
        <v>100</v>
      </c>
      <c r="L55" s="103" t="n">
        <v>50</v>
      </c>
      <c r="M55" s="103" t="n">
        <v>1</v>
      </c>
      <c r="N55" s="104" t="inlineStr">
        <is>
          <t>Alta</t>
        </is>
      </c>
      <c r="O55" s="103" t="inlineStr">
        <is>
          <t>11/11</t>
        </is>
      </c>
      <c r="P55" s="103" t="inlineStr">
        <is>
          <t>2025</t>
        </is>
      </c>
      <c r="Q55" s="103" t="inlineStr">
        <is>
          <t>Qualidade do emprego; boa alternativa a informalidade quando esta estiver incompleta.</t>
        </is>
      </c>
    </row>
    <row r="56" ht="30" customHeight="1" s="50">
      <c r="A56" s="103" t="inlineStr">
        <is>
          <t>6. Mercado de Trabalho</t>
        </is>
      </c>
      <c r="B56" s="103" t="inlineStr">
        <is>
          <t>Trabalhadores assalariados</t>
        </is>
      </c>
      <c r="C56" s="103" t="inlineStr">
        <is>
          <t>Complementar</t>
        </is>
      </c>
      <c r="D56" s="103" t="inlineStr">
        <is>
          <t>SL.EMP.WORK.ZS</t>
        </is>
      </c>
      <c r="E56" s="103" t="inlineStr">
        <is>
          <t>Wage and salaried workers, total (% of total employment) (modeled ILO estimate)</t>
        </is>
      </c>
      <c r="F56" s="103" t="inlineStr">
        <is>
          <t>Banco Mundial/OIT</t>
        </is>
      </c>
      <c r="G56" s="103" t="inlineStr">
        <is>
          <t>https://data.worldbank.org/indicator/SL.EMP.WORK.ZS?locations=AO</t>
        </is>
      </c>
      <c r="H56" s="103" t="inlineStr">
        <is>
          <t>% emprego total</t>
        </is>
      </c>
      <c r="I56" s="103" t="inlineStr">
        <is>
          <t>+</t>
        </is>
      </c>
      <c r="J56" s="103" t="n">
        <v>0</v>
      </c>
      <c r="K56" s="103" t="n">
        <v>100</v>
      </c>
      <c r="L56" s="103" t="n">
        <v>50</v>
      </c>
      <c r="M56" s="103" t="n">
        <v>1</v>
      </c>
      <c r="N56" s="104" t="inlineStr">
        <is>
          <t>Alta</t>
        </is>
      </c>
      <c r="O56" s="103" t="inlineStr">
        <is>
          <t>11/11</t>
        </is>
      </c>
      <c r="P56" s="103" t="inlineStr">
        <is>
          <t>2025</t>
        </is>
      </c>
      <c r="Q56" s="103" t="inlineStr">
        <is>
          <t>Proxy de formalização/estrutura moderna do emprego.</t>
        </is>
      </c>
    </row>
    <row r="57" ht="30" customHeight="1" s="50">
      <c r="A57" s="103" t="inlineStr">
        <is>
          <t>6. Mercado de Trabalho</t>
        </is>
      </c>
      <c r="B57" s="103" t="inlineStr">
        <is>
          <t>Emprego na agricultura</t>
        </is>
      </c>
      <c r="C57" s="103" t="inlineStr">
        <is>
          <t>Complementar</t>
        </is>
      </c>
      <c r="D57" s="103" t="inlineStr">
        <is>
          <t>SL.AGR.EMPL.ZS</t>
        </is>
      </c>
      <c r="E57" s="103" t="inlineStr">
        <is>
          <t>Employment in agriculture (% of total employment) (modeled ILO estimate)</t>
        </is>
      </c>
      <c r="F57" s="103" t="inlineStr">
        <is>
          <t>Banco Mundial/OIT</t>
        </is>
      </c>
      <c r="G57" s="103" t="inlineStr">
        <is>
          <t>https://data.worldbank.org/indicator/SL.AGR.EMPL.ZS?locations=AO</t>
        </is>
      </c>
      <c r="H57" s="103" t="inlineStr">
        <is>
          <t>% emprego total</t>
        </is>
      </c>
      <c r="I57" s="103" t="inlineStr">
        <is>
          <t>-</t>
        </is>
      </c>
      <c r="J57" s="103" t="n">
        <v>0</v>
      </c>
      <c r="K57" s="103" t="n">
        <v>100</v>
      </c>
      <c r="L57" s="103" t="n">
        <v>35</v>
      </c>
      <c r="M57" s="103" t="n">
        <v>1</v>
      </c>
      <c r="N57" s="105" t="inlineStr">
        <is>
          <t>Média</t>
        </is>
      </c>
      <c r="O57" s="103" t="inlineStr">
        <is>
          <t>11/11</t>
        </is>
      </c>
      <c r="P57" s="103" t="inlineStr">
        <is>
          <t>2025</t>
        </is>
      </c>
      <c r="Q57" s="103" t="inlineStr">
        <is>
          <t>Proxy de transformação estrutural; deve ser lido com produtividade agrícola.</t>
        </is>
      </c>
    </row>
    <row r="58" ht="30" customHeight="1" s="50">
      <c r="A58" s="103" t="inlineStr">
        <is>
          <t>6. Mercado de Trabalho</t>
        </is>
      </c>
      <c r="B58" s="103" t="inlineStr">
        <is>
          <t>PIB por pessoa empregada</t>
        </is>
      </c>
      <c r="C58" s="103" t="inlineStr">
        <is>
          <t>Substituto</t>
        </is>
      </c>
      <c r="D58" s="103" t="inlineStr">
        <is>
          <t>SL.GDP.PCAP.EM.KD</t>
        </is>
      </c>
      <c r="E58" s="103" t="inlineStr">
        <is>
          <t>GDP per person employed (constant 2021 PPP $)</t>
        </is>
      </c>
      <c r="F58" s="103" t="inlineStr">
        <is>
          <t>Banco Mundial/OIT</t>
        </is>
      </c>
      <c r="G58" s="103" t="inlineStr">
        <is>
          <t>https://data.worldbank.org/indicator/SL.GDP.PCAP.EM.KD?locations=AO</t>
        </is>
      </c>
      <c r="H58" s="103" t="inlineStr">
        <is>
          <t>USD PPP constantes</t>
        </is>
      </c>
      <c r="I58" s="103" t="inlineStr">
        <is>
          <t>+</t>
        </is>
      </c>
      <c r="J58" s="103" t="n">
        <v>1000</v>
      </c>
      <c r="K58" s="103" t="n">
        <v>50000</v>
      </c>
      <c r="L58" s="103" t="n">
        <v>12000</v>
      </c>
      <c r="M58" s="103" t="n">
        <v>1</v>
      </c>
      <c r="N58" s="104" t="inlineStr">
        <is>
          <t>Alta</t>
        </is>
      </c>
      <c r="O58" s="103" t="inlineStr">
        <is>
          <t>10/11</t>
        </is>
      </c>
      <c r="P58" s="103" t="inlineStr">
        <is>
          <t>2024</t>
        </is>
      </c>
      <c r="Q58" s="103" t="inlineStr">
        <is>
          <t>Preenche crescimento de produtividade com uma medida de nível anual.</t>
        </is>
      </c>
    </row>
    <row r="59" ht="30" customHeight="1" s="50">
      <c r="A59" s="103" t="inlineStr">
        <is>
          <t>6. Mercado de Trabalho</t>
        </is>
      </c>
      <c r="B59" s="103" t="inlineStr">
        <is>
          <t>Jovens NEET</t>
        </is>
      </c>
      <c r="C59" s="103" t="inlineStr">
        <is>
          <t>Complementar</t>
        </is>
      </c>
      <c r="D59" s="103" t="inlineStr">
        <is>
          <t>SL.UEM.NEET.ZS</t>
        </is>
      </c>
      <c r="E59" s="103" t="inlineStr">
        <is>
          <t>Share of youth not in education, employment or training, total (% of youth population)</t>
        </is>
      </c>
      <c r="F59" s="103" t="inlineStr">
        <is>
          <t>Banco Mundial/OIT</t>
        </is>
      </c>
      <c r="G59" s="103" t="inlineStr">
        <is>
          <t>https://data.worldbank.org/indicator/SL.UEM.NEET.ZS?locations=AO</t>
        </is>
      </c>
      <c r="H59" s="103" t="inlineStr">
        <is>
          <t>%</t>
        </is>
      </c>
      <c r="I59" s="103" t="inlineStr">
        <is>
          <t>-</t>
        </is>
      </c>
      <c r="J59" s="103" t="n">
        <v>0</v>
      </c>
      <c r="K59" s="103" t="n">
        <v>70</v>
      </c>
      <c r="L59" s="103" t="n">
        <v>25</v>
      </c>
      <c r="M59" s="103" t="n">
        <v>1</v>
      </c>
      <c r="N59" s="104" t="inlineStr">
        <is>
          <t>Alta</t>
        </is>
      </c>
      <c r="O59" s="103" t="inlineStr">
        <is>
          <t>6/11</t>
        </is>
      </c>
      <c r="P59" s="103" t="inlineStr">
        <is>
          <t>2024</t>
        </is>
      </c>
      <c r="Q59" s="103" t="inlineStr">
        <is>
          <t>Indicador concorrente do desemprego juvenil porque inclui jovens fora da força de trabalho.</t>
        </is>
      </c>
    </row>
    <row r="60" ht="30" customHeight="1" s="50">
      <c r="A60" s="103" t="inlineStr">
        <is>
          <t>6. Mercado de Trabalho</t>
        </is>
      </c>
      <c r="B60" s="103" t="inlineStr">
        <is>
          <t>Emprego informal fora da agricultura</t>
        </is>
      </c>
      <c r="C60" s="103" t="inlineStr">
        <is>
          <t>Complementar</t>
        </is>
      </c>
      <c r="D60" s="103" t="inlineStr"/>
      <c r="E60" s="103" t="inlineStr"/>
      <c r="F60" s="103" t="inlineStr">
        <is>
          <t>INE/OIT ILOSTAT</t>
        </is>
      </c>
      <c r="G60" s="103" t="inlineStr">
        <is>
          <t>https://ilostat.ilo.org/data/</t>
        </is>
      </c>
      <c r="H60" s="103" t="inlineStr">
        <is>
          <t>% emprego</t>
        </is>
      </c>
      <c r="I60" s="103" t="inlineStr">
        <is>
          <t>-</t>
        </is>
      </c>
      <c r="J60" s="103" t="n">
        <v>0</v>
      </c>
      <c r="K60" s="103" t="n">
        <v>100</v>
      </c>
      <c r="L60" s="103" t="n">
        <v>55</v>
      </c>
      <c r="M60" s="103" t="n">
        <v>1</v>
      </c>
      <c r="N60" s="104" t="inlineStr">
        <is>
          <t>Alta</t>
        </is>
      </c>
      <c r="O60" s="103" t="inlineStr"/>
      <c r="P60" s="103" t="inlineStr"/>
      <c r="Q60" s="103" t="inlineStr">
        <is>
          <t>Mantém a dimensão de informalidade, idealmente com microdados/inquéritos nacionais.</t>
        </is>
      </c>
    </row>
    <row r="61" ht="30" customHeight="1" s="50">
      <c r="A61" s="103" t="inlineStr">
        <is>
          <t>7. Segurança Alimentar e Saúde</t>
        </is>
      </c>
      <c r="B61" s="103" t="inlineStr">
        <is>
          <t>Insegurança alimentar moderada ou severa</t>
        </is>
      </c>
      <c r="C61" s="103" t="inlineStr">
        <is>
          <t>Substituto/Complementar</t>
        </is>
      </c>
      <c r="D61" s="103" t="inlineStr">
        <is>
          <t>SN.ITK.MSFI.ZS</t>
        </is>
      </c>
      <c r="E61" s="103" t="inlineStr">
        <is>
          <t>Prevalence of moderate or severe food insecurity in the population (%)</t>
        </is>
      </c>
      <c r="F61" s="103" t="inlineStr">
        <is>
          <t>Banco Mundial/FAO</t>
        </is>
      </c>
      <c r="G61" s="103" t="inlineStr">
        <is>
          <t>https://data.worldbank.org/indicator/SN.ITK.MSFI.ZS?locations=AO</t>
        </is>
      </c>
      <c r="H61" s="103" t="inlineStr">
        <is>
          <t>%</t>
        </is>
      </c>
      <c r="I61" s="103" t="inlineStr">
        <is>
          <t>-</t>
        </is>
      </c>
      <c r="J61" s="103" t="n">
        <v>0</v>
      </c>
      <c r="K61" s="103" t="n">
        <v>100</v>
      </c>
      <c r="L61" s="103" t="n">
        <v>45</v>
      </c>
      <c r="M61" s="103" t="n">
        <v>1</v>
      </c>
      <c r="N61" s="104" t="inlineStr">
        <is>
          <t>Alta</t>
        </is>
      </c>
      <c r="O61" s="103" t="inlineStr">
        <is>
          <t>3/11</t>
        </is>
      </c>
      <c r="P61" s="103" t="inlineStr">
        <is>
          <t>2021</t>
        </is>
      </c>
      <c r="Q61" s="103" t="inlineStr">
        <is>
          <t>Alternativa aberta ao índice proprietário de segurança alimentar.</t>
        </is>
      </c>
    </row>
    <row r="62" ht="30" customHeight="1" s="50">
      <c r="A62" s="103" t="inlineStr">
        <is>
          <t>7. Segurança Alimentar e Saúde</t>
        </is>
      </c>
      <c r="B62" s="103" t="inlineStr">
        <is>
          <t>Prevalência de subalimentação</t>
        </is>
      </c>
      <c r="C62" s="103" t="inlineStr">
        <is>
          <t>Substituto</t>
        </is>
      </c>
      <c r="D62" s="103" t="inlineStr">
        <is>
          <t>SN.ITK.DEFC.ZS</t>
        </is>
      </c>
      <c r="E62" s="103" t="inlineStr">
        <is>
          <t>Prevalence of undernourishment (% of population)</t>
        </is>
      </c>
      <c r="F62" s="103" t="inlineStr">
        <is>
          <t>Banco Mundial/FAO</t>
        </is>
      </c>
      <c r="G62" s="103" t="inlineStr">
        <is>
          <t>https://data.worldbank.org/indicator/SN.ITK.DEFC.ZS?locations=AO</t>
        </is>
      </c>
      <c r="H62" s="103" t="inlineStr">
        <is>
          <t>%</t>
        </is>
      </c>
      <c r="I62" s="103" t="inlineStr">
        <is>
          <t>-</t>
        </is>
      </c>
      <c r="J62" s="103" t="n">
        <v>0</v>
      </c>
      <c r="K62" s="103" t="n">
        <v>60</v>
      </c>
      <c r="L62" s="103" t="n">
        <v>20</v>
      </c>
      <c r="M62" s="103" t="n">
        <v>1</v>
      </c>
      <c r="N62" s="104" t="inlineStr">
        <is>
          <t>Alta</t>
        </is>
      </c>
      <c r="O62" s="103" t="inlineStr">
        <is>
          <t>9/11</t>
        </is>
      </c>
      <c r="P62" s="103" t="inlineStr">
        <is>
          <t>2023</t>
        </is>
      </c>
      <c r="Q62" s="103" t="inlineStr">
        <is>
          <t>Série FAO comparável para segurança alimentar.</t>
        </is>
      </c>
    </row>
    <row r="63" ht="30" customHeight="1" s="50">
      <c r="A63" s="103" t="inlineStr">
        <is>
          <t>7. Segurança Alimentar e Saúde</t>
        </is>
      </c>
      <c r="B63" s="103" t="inlineStr">
        <is>
          <t>Atraso de crescimento infantil</t>
        </is>
      </c>
      <c r="C63" s="103" t="inlineStr">
        <is>
          <t>Complementar</t>
        </is>
      </c>
      <c r="D63" s="103" t="inlineStr">
        <is>
          <t>SH.STA.STNT.ZS</t>
        </is>
      </c>
      <c r="E63" s="103" t="inlineStr">
        <is>
          <t>Prevalence of stunting, height for age (% of children under 5)</t>
        </is>
      </c>
      <c r="F63" s="103" t="inlineStr">
        <is>
          <t>Banco Mundial/OMS/UNICEF</t>
        </is>
      </c>
      <c r="G63" s="103" t="inlineStr">
        <is>
          <t>https://data.worldbank.org/indicator/SH.STA.STNT.ZS?locations=AO</t>
        </is>
      </c>
      <c r="H63" s="103" t="inlineStr">
        <is>
          <t>% crianças &lt;5</t>
        </is>
      </c>
      <c r="I63" s="103" t="inlineStr">
        <is>
          <t>-</t>
        </is>
      </c>
      <c r="J63" s="103" t="n">
        <v>0</v>
      </c>
      <c r="K63" s="103" t="n">
        <v>60</v>
      </c>
      <c r="L63" s="103" t="n">
        <v>25</v>
      </c>
      <c r="M63" s="103" t="n">
        <v>1</v>
      </c>
      <c r="N63" s="105" t="inlineStr">
        <is>
          <t>Média</t>
        </is>
      </c>
      <c r="O63" s="103" t="inlineStr">
        <is>
          <t>1/11</t>
        </is>
      </c>
      <c r="P63" s="103" t="inlineStr">
        <is>
          <t>2015</t>
        </is>
      </c>
      <c r="Q63" s="103" t="inlineStr">
        <is>
          <t>Mede nutrição crónica infantil.</t>
        </is>
      </c>
    </row>
    <row r="64" ht="30" customHeight="1" s="50">
      <c r="A64" s="103" t="inlineStr">
        <is>
          <t>7. Segurança Alimentar e Saúde</t>
        </is>
      </c>
      <c r="B64" s="103" t="inlineStr">
        <is>
          <t>Emaciação infantil</t>
        </is>
      </c>
      <c r="C64" s="103" t="inlineStr">
        <is>
          <t>Complementar</t>
        </is>
      </c>
      <c r="D64" s="103" t="inlineStr">
        <is>
          <t>SH.STA.WAST.ZS</t>
        </is>
      </c>
      <c r="E64" s="103" t="inlineStr">
        <is>
          <t>Prevalence of wasting, weight for height (% of children under 5)</t>
        </is>
      </c>
      <c r="F64" s="103" t="inlineStr">
        <is>
          <t>Banco Mundial/OMS/UNICEF</t>
        </is>
      </c>
      <c r="G64" s="103" t="inlineStr">
        <is>
          <t>https://data.worldbank.org/indicator/SH.STA.WAST.ZS?locations=AO</t>
        </is>
      </c>
      <c r="H64" s="103" t="inlineStr">
        <is>
          <t>% crianças &lt;5</t>
        </is>
      </c>
      <c r="I64" s="103" t="inlineStr">
        <is>
          <t>-</t>
        </is>
      </c>
      <c r="J64" s="103" t="n">
        <v>0</v>
      </c>
      <c r="K64" s="103" t="n">
        <v>25</v>
      </c>
      <c r="L64" s="103" t="n">
        <v>5</v>
      </c>
      <c r="M64" s="103" t="n">
        <v>1</v>
      </c>
      <c r="N64" s="105" t="inlineStr">
        <is>
          <t>Média</t>
        </is>
      </c>
      <c r="O64" s="103" t="inlineStr">
        <is>
          <t>1/11</t>
        </is>
      </c>
      <c r="P64" s="103" t="inlineStr">
        <is>
          <t>2015</t>
        </is>
      </c>
      <c r="Q64" s="103" t="inlineStr">
        <is>
          <t>Mede nutrição aguda e choque alimentar/saúde.</t>
        </is>
      </c>
    </row>
    <row r="65" ht="30" customHeight="1" s="50">
      <c r="A65" s="103" t="inlineStr">
        <is>
          <t>7. Segurança Alimentar e Saúde</t>
        </is>
      </c>
      <c r="B65" s="103" t="inlineStr">
        <is>
          <t>Mortalidade de menores de 5 anos</t>
        </is>
      </c>
      <c r="C65" s="103" t="inlineStr">
        <is>
          <t>Complementar</t>
        </is>
      </c>
      <c r="D65" s="103" t="inlineStr">
        <is>
          <t>SH.DYN.MORT</t>
        </is>
      </c>
      <c r="E65" s="103" t="inlineStr">
        <is>
          <t>Mortality rate, under-5 (per 1,000 live births)</t>
        </is>
      </c>
      <c r="F65" s="103" t="inlineStr">
        <is>
          <t>Banco Mundial/UNICEF</t>
        </is>
      </c>
      <c r="G65" s="103" t="inlineStr">
        <is>
          <t>https://data.worldbank.org/indicator/SH.DYN.MORT?locations=AO</t>
        </is>
      </c>
      <c r="H65" s="103" t="inlineStr">
        <is>
          <t>por 1000</t>
        </is>
      </c>
      <c r="I65" s="103" t="inlineStr">
        <is>
          <t>-</t>
        </is>
      </c>
      <c r="J65" s="103" t="n">
        <v>0</v>
      </c>
      <c r="K65" s="103" t="n">
        <v>200</v>
      </c>
      <c r="L65" s="103" t="n">
        <v>50</v>
      </c>
      <c r="M65" s="103" t="n">
        <v>1</v>
      </c>
      <c r="N65" s="104" t="inlineStr">
        <is>
          <t>Alta</t>
        </is>
      </c>
      <c r="O65" s="103" t="inlineStr">
        <is>
          <t>10/11</t>
        </is>
      </c>
      <c r="P65" s="103" t="inlineStr">
        <is>
          <t>2024</t>
        </is>
      </c>
      <c r="Q65" s="103" t="inlineStr">
        <is>
          <t>Mais abrangente que mortalidade infantil isolada.</t>
        </is>
      </c>
    </row>
    <row r="66" ht="30" customHeight="1" s="50">
      <c r="A66" s="103" t="inlineStr">
        <is>
          <t>7. Segurança Alimentar e Saúde</t>
        </is>
      </c>
      <c r="B66" s="103" t="inlineStr">
        <is>
          <t>Cobertura universal de saúde - UHC service coverage index</t>
        </is>
      </c>
      <c r="C66" s="103" t="inlineStr">
        <is>
          <t>Complementar</t>
        </is>
      </c>
      <c r="D66" s="103" t="inlineStr">
        <is>
          <t>SH.UHC.SRVS.CV.XD</t>
        </is>
      </c>
      <c r="E66" s="103" t="inlineStr">
        <is>
          <t>UHC service coverage index</t>
        </is>
      </c>
      <c r="F66" s="103" t="inlineStr">
        <is>
          <t>Banco Mundial/OMS</t>
        </is>
      </c>
      <c r="G66" s="103" t="inlineStr">
        <is>
          <t>https://data.worldbank.org/indicator/SH.UHC.SRVS.CV.XD?locations=AO</t>
        </is>
      </c>
      <c r="H66" s="103" t="inlineStr">
        <is>
          <t>0-100</t>
        </is>
      </c>
      <c r="I66" s="103" t="inlineStr">
        <is>
          <t>+</t>
        </is>
      </c>
      <c r="J66" s="103" t="n">
        <v>0</v>
      </c>
      <c r="K66" s="103" t="n">
        <v>100</v>
      </c>
      <c r="L66" s="103" t="n">
        <v>55</v>
      </c>
      <c r="M66" s="103" t="n">
        <v>1</v>
      </c>
      <c r="N66" s="106" t="inlineStr">
        <is>
          <t>Baixa</t>
        </is>
      </c>
      <c r="O66" s="103" t="inlineStr">
        <is>
          <t>0/11</t>
        </is>
      </c>
      <c r="P66" s="103" t="inlineStr"/>
      <c r="Q66" s="103" t="inlineStr">
        <is>
          <t>Sintetiza cobertura efetiva de serviços essenciais. Usar como benchmark de qualidade; a cobertura anual para Angola é limitada.</t>
        </is>
      </c>
    </row>
    <row r="67" ht="30" customHeight="1" s="50">
      <c r="A67" s="103" t="inlineStr">
        <is>
          <t>7. Segurança Alimentar e Saúde</t>
        </is>
      </c>
      <c r="B67" s="103" t="inlineStr">
        <is>
          <t>Vacinação DPT</t>
        </is>
      </c>
      <c r="C67" s="103" t="inlineStr">
        <is>
          <t>Substituto/Complementar</t>
        </is>
      </c>
      <c r="D67" s="103" t="inlineStr">
        <is>
          <t>SH.IMM.IDPT</t>
        </is>
      </c>
      <c r="E67" s="103" t="inlineStr">
        <is>
          <t>Immunization, DPT (% of children ages 12-23 months)</t>
        </is>
      </c>
      <c r="F67" s="103" t="inlineStr">
        <is>
          <t>Banco Mundial/OMS/UNICEF</t>
        </is>
      </c>
      <c r="G67" s="103" t="inlineStr">
        <is>
          <t>https://data.worldbank.org/indicator/SH.IMM.IDPT?locations=AO</t>
        </is>
      </c>
      <c r="H67" s="103" t="inlineStr">
        <is>
          <t>% crianças 12-23m</t>
        </is>
      </c>
      <c r="I67" s="103" t="inlineStr">
        <is>
          <t>+</t>
        </is>
      </c>
      <c r="J67" s="103" t="n">
        <v>0</v>
      </c>
      <c r="K67" s="103" t="n">
        <v>100</v>
      </c>
      <c r="L67" s="103" t="n">
        <v>85</v>
      </c>
      <c r="M67" s="103" t="n">
        <v>1</v>
      </c>
      <c r="N67" s="104" t="inlineStr">
        <is>
          <t>Alta</t>
        </is>
      </c>
      <c r="O67" s="103" t="inlineStr">
        <is>
          <t>10/11</t>
        </is>
      </c>
      <c r="P67" s="103" t="inlineStr">
        <is>
          <t>2024</t>
        </is>
      </c>
      <c r="Q67" s="103" t="inlineStr">
        <is>
          <t>Pode complementar a cobertura vacinal geral com indicador padronizado.</t>
        </is>
      </c>
    </row>
    <row r="68" ht="30" customHeight="1" s="50">
      <c r="A68" s="103" t="inlineStr">
        <is>
          <t>7. Segurança Alimentar e Saúde</t>
        </is>
      </c>
      <c r="B68" s="103" t="inlineStr">
        <is>
          <t>Despesa corrente em saúde (% PIB)</t>
        </is>
      </c>
      <c r="C68" s="103" t="inlineStr">
        <is>
          <t>Substituto</t>
        </is>
      </c>
      <c r="D68" s="103" t="inlineStr">
        <is>
          <t>SH.XPD.CHEX.GD.ZS</t>
        </is>
      </c>
      <c r="E68" s="103" t="inlineStr">
        <is>
          <t>Current health expenditure (% of GDP)</t>
        </is>
      </c>
      <c r="F68" s="103" t="inlineStr">
        <is>
          <t>Banco Mundial/OMS</t>
        </is>
      </c>
      <c r="G68" s="103" t="inlineStr">
        <is>
          <t>https://data.worldbank.org/indicator/SH.XPD.CHEX.GD.ZS?locations=AO</t>
        </is>
      </c>
      <c r="H68" s="103" t="inlineStr">
        <is>
          <t>%</t>
        </is>
      </c>
      <c r="I68" s="103" t="inlineStr">
        <is>
          <t>+</t>
        </is>
      </c>
      <c r="J68" s="103" t="n">
        <v>0</v>
      </c>
      <c r="K68" s="103" t="n">
        <v>15</v>
      </c>
      <c r="L68" s="103" t="n">
        <v>5</v>
      </c>
      <c r="M68" s="103" t="n">
        <v>1</v>
      </c>
      <c r="N68" s="104" t="inlineStr">
        <is>
          <t>Alta</t>
        </is>
      </c>
      <c r="O68" s="103" t="inlineStr">
        <is>
          <t>9/11</t>
        </is>
      </c>
      <c r="P68" s="103" t="inlineStr">
        <is>
          <t>2023</t>
        </is>
      </c>
      <c r="Q68" s="103" t="inlineStr">
        <is>
          <t>Fonte internacional padronizada para a linha já existente.</t>
        </is>
      </c>
    </row>
    <row r="69" ht="30" customHeight="1" s="50">
      <c r="A69" s="103" t="inlineStr">
        <is>
          <t>7. Segurança Alimentar e Saúde</t>
        </is>
      </c>
      <c r="B69" s="103" t="inlineStr">
        <is>
          <t>Médicos por 1000 habitantes</t>
        </is>
      </c>
      <c r="C69" s="103" t="inlineStr">
        <is>
          <t>Complementar</t>
        </is>
      </c>
      <c r="D69" s="103" t="inlineStr">
        <is>
          <t>SH.MED.PHYS.ZS</t>
        </is>
      </c>
      <c r="E69" s="103" t="inlineStr">
        <is>
          <t>Physicians (per 1,000 people)</t>
        </is>
      </c>
      <c r="F69" s="103" t="inlineStr">
        <is>
          <t>Banco Mundial/OMS</t>
        </is>
      </c>
      <c r="G69" s="103" t="inlineStr">
        <is>
          <t>https://data.worldbank.org/indicator/SH.MED.PHYS.ZS?locations=AO</t>
        </is>
      </c>
      <c r="H69" s="103" t="inlineStr">
        <is>
          <t>por 1000</t>
        </is>
      </c>
      <c r="I69" s="103" t="inlineStr">
        <is>
          <t>+</t>
        </is>
      </c>
      <c r="J69" s="103" t="n">
        <v>0</v>
      </c>
      <c r="K69" s="103" t="n">
        <v>5</v>
      </c>
      <c r="L69" s="103" t="n">
        <v>1</v>
      </c>
      <c r="M69" s="103" t="n">
        <v>1</v>
      </c>
      <c r="N69" s="105" t="inlineStr">
        <is>
          <t>Média</t>
        </is>
      </c>
      <c r="O69" s="103" t="inlineStr">
        <is>
          <t>3/11</t>
        </is>
      </c>
      <c r="P69" s="103" t="inlineStr">
        <is>
          <t>2022</t>
        </is>
      </c>
      <c r="Q69" s="103" t="inlineStr">
        <is>
          <t>Complementa camas hospitalares com capacidade humana do sistema.</t>
        </is>
      </c>
    </row>
    <row r="70" ht="30" customHeight="1" s="50">
      <c r="A70" s="103" t="inlineStr">
        <is>
          <t>7. Segurança Alimentar e Saúde</t>
        </is>
      </c>
      <c r="B70" s="103" t="inlineStr">
        <is>
          <t>Camas hospitalares por 1000 habitantes</t>
        </is>
      </c>
      <c r="C70" s="103" t="inlineStr">
        <is>
          <t>Substituto</t>
        </is>
      </c>
      <c r="D70" s="103" t="inlineStr">
        <is>
          <t>SH.MED.BEDS.ZS</t>
        </is>
      </c>
      <c r="E70" s="103" t="inlineStr">
        <is>
          <t>Hospital beds (per 1,000 people)</t>
        </is>
      </c>
      <c r="F70" s="103" t="inlineStr">
        <is>
          <t>Banco Mundial/OMS</t>
        </is>
      </c>
      <c r="G70" s="103" t="inlineStr">
        <is>
          <t>https://data.worldbank.org/indicator/SH.MED.BEDS.ZS?locations=AO</t>
        </is>
      </c>
      <c r="H70" s="103" t="inlineStr">
        <is>
          <t>por 1000</t>
        </is>
      </c>
      <c r="I70" s="103" t="inlineStr">
        <is>
          <t>+</t>
        </is>
      </c>
      <c r="J70" s="103" t="n">
        <v>0</v>
      </c>
      <c r="K70" s="103" t="n">
        <v>10</v>
      </c>
      <c r="L70" s="103" t="n">
        <v>2</v>
      </c>
      <c r="M70" s="103" t="n">
        <v>1</v>
      </c>
      <c r="N70" s="104" t="inlineStr">
        <is>
          <t>Alta</t>
        </is>
      </c>
      <c r="O70" s="103" t="inlineStr">
        <is>
          <t>1/11</t>
        </is>
      </c>
      <c r="P70" s="103" t="inlineStr">
        <is>
          <t>2019</t>
        </is>
      </c>
      <c r="Q70" s="103" t="inlineStr">
        <is>
          <t>Fonte alternativa para preencher a série com baixa cobertura.</t>
        </is>
      </c>
    </row>
    <row r="71" ht="30" customHeight="1" s="50">
      <c r="A71" s="103" t="inlineStr">
        <is>
          <t>7. Segurança Alimentar e Saúde</t>
        </is>
      </c>
      <c r="B71" s="103" t="inlineStr">
        <is>
          <t>Índice de produção alimentar</t>
        </is>
      </c>
      <c r="C71" s="103" t="inlineStr">
        <is>
          <t>Complementar</t>
        </is>
      </c>
      <c r="D71" s="103" t="inlineStr">
        <is>
          <t>AG.PRD.FOOD.XD</t>
        </is>
      </c>
      <c r="E71" s="103" t="inlineStr">
        <is>
          <t>Food production index (2014-2016 = 100)</t>
        </is>
      </c>
      <c r="F71" s="103" t="inlineStr">
        <is>
          <t>Banco Mundial/FAO</t>
        </is>
      </c>
      <c r="G71" s="103" t="inlineStr">
        <is>
          <t>https://data.worldbank.org/indicator/AG.PRD.FOOD.XD?locations=AO</t>
        </is>
      </c>
      <c r="H71" s="103" t="inlineStr">
        <is>
          <t>2014-2016=100</t>
        </is>
      </c>
      <c r="I71" s="103" t="inlineStr">
        <is>
          <t>+</t>
        </is>
      </c>
      <c r="J71" s="103" t="n">
        <v>50</v>
      </c>
      <c r="K71" s="103" t="n">
        <v>150</v>
      </c>
      <c r="L71" s="103" t="n">
        <v>110</v>
      </c>
      <c r="M71" s="103" t="n">
        <v>1</v>
      </c>
      <c r="N71" s="105" t="inlineStr">
        <is>
          <t>Média</t>
        </is>
      </c>
      <c r="O71" s="103" t="inlineStr">
        <is>
          <t>8/11</t>
        </is>
      </c>
      <c r="P71" s="103" t="inlineStr">
        <is>
          <t>2022</t>
        </is>
      </c>
      <c r="Q71" s="103" t="inlineStr">
        <is>
          <t>Acompanha disponibilidade doméstica de alimentos.</t>
        </is>
      </c>
    </row>
    <row r="72" ht="30" customHeight="1" s="50">
      <c r="A72" s="103" t="inlineStr">
        <is>
          <t>7. Segurança Alimentar e Saúde</t>
        </is>
      </c>
      <c r="B72" s="103" t="inlineStr">
        <is>
          <t>Rendimento cerealífero</t>
        </is>
      </c>
      <c r="C72" s="103" t="inlineStr">
        <is>
          <t>Complementar</t>
        </is>
      </c>
      <c r="D72" s="103" t="inlineStr">
        <is>
          <t>AG.YLD.CREL.KG</t>
        </is>
      </c>
      <c r="E72" s="103" t="inlineStr">
        <is>
          <t>Cereal yield (kg per hectare)</t>
        </is>
      </c>
      <c r="F72" s="103" t="inlineStr">
        <is>
          <t>Banco Mundial/FAO</t>
        </is>
      </c>
      <c r="G72" s="103" t="inlineStr">
        <is>
          <t>https://data.worldbank.org/indicator/AG.YLD.CREL.KG?locations=AO</t>
        </is>
      </c>
      <c r="H72" s="103" t="inlineStr">
        <is>
          <t>kg/ha</t>
        </is>
      </c>
      <c r="I72" s="103" t="inlineStr">
        <is>
          <t>+</t>
        </is>
      </c>
      <c r="J72" s="103" t="n">
        <v>0</v>
      </c>
      <c r="K72" s="103" t="n">
        <v>6000</v>
      </c>
      <c r="L72" s="103" t="n">
        <v>2000</v>
      </c>
      <c r="M72" s="103" t="n">
        <v>1</v>
      </c>
      <c r="N72" s="105" t="inlineStr">
        <is>
          <t>Média</t>
        </is>
      </c>
      <c r="O72" s="103" t="inlineStr">
        <is>
          <t>9/11</t>
        </is>
      </c>
      <c r="P72" s="103" t="inlineStr">
        <is>
          <t>2023</t>
        </is>
      </c>
      <c r="Q72" s="103" t="inlineStr">
        <is>
          <t>Proxy de produtividade agrícola e segurança alimentar.</t>
        </is>
      </c>
    </row>
  </sheetData>
  <autoFilter ref="A4:Q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50" min="1" max="1"/>
    <col width="24" customWidth="1" style="50" min="2" max="2"/>
    <col width="44" customWidth="1" style="50" min="3" max="3"/>
    <col width="22" customWidth="1" style="50" min="4" max="4"/>
    <col width="18" customWidth="1" style="50" min="5" max="5"/>
    <col width="50" customWidth="1" style="50" min="6" max="6"/>
    <col width="26" customWidth="1" style="50" min="7" max="7"/>
    <col width="58" customWidth="1" style="50" min="8" max="8"/>
    <col width="18" customWidth="1" style="50" min="9" max="9"/>
    <col width="10" customWidth="1" style="50" min="10" max="10"/>
    <col width="12" customWidth="1" style="50" min="11" max="11"/>
    <col width="12" customWidth="1" style="50" min="12" max="12"/>
    <col width="14" customWidth="1" style="50" min="13" max="13"/>
    <col width="10" customWidth="1" style="50" min="14" max="14"/>
    <col width="14" customWidth="1" style="50" min="15" max="15"/>
    <col width="36" customWidth="1" style="50" min="16" max="16"/>
    <col width="16" customWidth="1" style="50" min="17" max="17"/>
    <col width="13" customWidth="1" style="50" min="18" max="18"/>
    <col width="13" customWidth="1" style="50" min="19" max="19"/>
    <col width="13" customWidth="1" style="50" min="20" max="20"/>
    <col width="13" customWidth="1" style="50" min="21" max="21"/>
    <col width="13" customWidth="1" style="50" min="22" max="22"/>
    <col width="13" customWidth="1" style="50" min="23" max="23"/>
    <col width="13" customWidth="1" style="50" min="24" max="24"/>
    <col width="13" customWidth="1" style="50" min="25" max="25"/>
    <col width="13" customWidth="1" style="50" min="26" max="26"/>
    <col width="13" customWidth="1" style="50" min="27" max="27"/>
    <col width="13" customWidth="1" style="50" min="28" max="28"/>
    <col width="72" customWidth="1" style="50" min="29" max="29"/>
  </cols>
  <sheetData>
    <row r="1">
      <c r="A1" s="97" t="inlineStr">
        <is>
          <t>Base alargada de indicadores IGDA-BDA</t>
        </is>
      </c>
    </row>
    <row r="2" ht="42" customHeight="1" s="50">
      <c r="A2" s="98" t="inlineStr">
        <is>
          <t>Compila os indicadores atuais e os indicadores sugeridos. Valores automáticos foram recolhidos de fontes abertas estruturadas quando havia código/API; restantes ficam marcados para recolha manual.</t>
        </is>
      </c>
    </row>
    <row r="4">
      <c r="A4" s="99" t="inlineStr">
        <is>
          <t>Dimensão</t>
        </is>
      </c>
      <c r="B4" s="99" t="inlineStr">
        <is>
          <t>Subíndice curto</t>
        </is>
      </c>
      <c r="C4" s="99" t="inlineStr">
        <is>
          <t>Indicador</t>
        </is>
      </c>
      <c r="D4" s="99" t="inlineStr">
        <is>
          <t>Tipo</t>
        </is>
      </c>
      <c r="E4" s="99" t="inlineStr">
        <is>
          <t>Código</t>
        </is>
      </c>
      <c r="F4" s="99" t="inlineStr">
        <is>
          <t>Nome oficial/API</t>
        </is>
      </c>
      <c r="G4" s="99" t="inlineStr">
        <is>
          <t>Fonte</t>
        </is>
      </c>
      <c r="H4" s="99" t="inlineStr">
        <is>
          <t>Fonte_URL</t>
        </is>
      </c>
      <c r="I4" s="99" t="inlineStr">
        <is>
          <t>Unidade</t>
        </is>
      </c>
      <c r="J4" s="99" t="inlineStr">
        <is>
          <t>Sentido</t>
        </is>
      </c>
      <c r="K4" s="99" t="inlineStr">
        <is>
          <t>Mínimo</t>
        </is>
      </c>
      <c r="L4" s="99" t="inlineStr">
        <is>
          <t>Máximo</t>
        </is>
      </c>
      <c r="M4" s="99" t="inlineStr">
        <is>
          <t>Meta 2027</t>
        </is>
      </c>
      <c r="N4" s="99" t="inlineStr">
        <is>
          <t>Peso</t>
        </is>
      </c>
      <c r="O4" s="99" t="inlineStr">
        <is>
          <t>Prioridade</t>
        </is>
      </c>
      <c r="P4" s="99" t="inlineStr">
        <is>
          <t>Estado da série</t>
        </is>
      </c>
      <c r="Q4" s="99" t="inlineStr">
        <is>
          <t>Cobertura 2015-2025</t>
        </is>
      </c>
      <c r="R4" s="99" t="inlineStr">
        <is>
          <t>2015</t>
        </is>
      </c>
      <c r="S4" s="99" t="inlineStr">
        <is>
          <t>2016</t>
        </is>
      </c>
      <c r="T4" s="99" t="inlineStr">
        <is>
          <t>2017</t>
        </is>
      </c>
      <c r="U4" s="99" t="inlineStr">
        <is>
          <t>2018</t>
        </is>
      </c>
      <c r="V4" s="99" t="inlineStr">
        <is>
          <t>2019</t>
        </is>
      </c>
      <c r="W4" s="99" t="inlineStr">
        <is>
          <t>2020</t>
        </is>
      </c>
      <c r="X4" s="99" t="inlineStr">
        <is>
          <t>2021</t>
        </is>
      </c>
      <c r="Y4" s="99" t="inlineStr">
        <is>
          <t>2022</t>
        </is>
      </c>
      <c r="Z4" s="99" t="inlineStr">
        <is>
          <t>2023</t>
        </is>
      </c>
      <c r="AA4" s="99" t="inlineStr">
        <is>
          <t>2024</t>
        </is>
      </c>
      <c r="AB4" s="99" t="inlineStr">
        <is>
          <t>2025</t>
        </is>
      </c>
      <c r="AC4" s="99" t="inlineStr">
        <is>
          <t>Racional / nota</t>
        </is>
      </c>
    </row>
    <row r="5">
      <c r="A5" s="100" t="inlineStr">
        <is>
          <t>1. Governança e Estado de Direito</t>
        </is>
      </c>
      <c r="B5" s="100" t="inlineStr">
        <is>
          <t>1. Governança</t>
        </is>
      </c>
      <c r="C5" s="100" t="inlineStr">
        <is>
          <t>Índice de Percepção da Corrupção</t>
        </is>
      </c>
      <c r="D5" s="110" t="inlineStr">
        <is>
          <t>Atual no modelo</t>
        </is>
      </c>
      <c r="E5" s="100" t="inlineStr"/>
      <c r="F5" s="100" t="inlineStr"/>
      <c r="G5" s="100" t="inlineStr">
        <is>
          <t>Transparency Int.</t>
        </is>
      </c>
      <c r="H5" s="109" t="inlineStr">
        <is>
          <t>Angola - Corruption Perceptions Index 2023 | countryeconomy.com</t>
        </is>
      </c>
      <c r="I5" s="100" t="inlineStr">
        <is>
          <t>0-100</t>
        </is>
      </c>
      <c r="J5" s="100" t="inlineStr">
        <is>
          <t>+</t>
        </is>
      </c>
      <c r="K5" s="100" t="n">
        <v>0</v>
      </c>
      <c r="L5" s="100" t="n">
        <v>100</v>
      </c>
      <c r="M5" s="100" t="n">
        <v>35</v>
      </c>
      <c r="N5" s="100" t="n">
        <v>1</v>
      </c>
      <c r="O5" s="100" t="inlineStr">
        <is>
          <t>Em uso</t>
        </is>
      </c>
      <c r="P5" s="100" t="inlineStr">
        <is>
          <t>Série existente no Input_Dados</t>
        </is>
      </c>
      <c r="Q5" s="100" t="inlineStr">
        <is>
          <t>10/11</t>
        </is>
      </c>
      <c r="R5" s="111" t="n">
        <v>15</v>
      </c>
      <c r="S5" s="111" t="n">
        <v>18</v>
      </c>
      <c r="T5" s="111" t="n">
        <v>19</v>
      </c>
      <c r="U5" s="111" t="n">
        <v>19</v>
      </c>
      <c r="V5" s="111" t="n">
        <v>26</v>
      </c>
      <c r="W5" s="111" t="n">
        <v>27</v>
      </c>
      <c r="X5" s="111" t="n">
        <v>29</v>
      </c>
      <c r="Y5" s="111" t="n">
        <v>33</v>
      </c>
      <c r="Z5" s="111" t="n">
        <v>33</v>
      </c>
      <c r="AA5" s="111" t="n">
        <v>32</v>
      </c>
      <c r="AB5" s="100" t="n"/>
      <c r="AC5" s="100" t="inlineStr">
        <is>
          <t>Indicador já incluído no modelo original.</t>
        </is>
      </c>
    </row>
    <row r="6">
      <c r="A6" s="100" t="inlineStr">
        <is>
          <t>1. Governança e Estado de Direito</t>
        </is>
      </c>
      <c r="B6" s="100" t="inlineStr">
        <is>
          <t>1. Governança</t>
        </is>
      </c>
      <c r="C6" s="100" t="inlineStr">
        <is>
          <t>WGI - Estado de Direito</t>
        </is>
      </c>
      <c r="D6" s="110" t="inlineStr">
        <is>
          <t>Atual no modelo</t>
        </is>
      </c>
      <c r="E6" s="100" t="inlineStr">
        <is>
          <t>RL.EST</t>
        </is>
      </c>
      <c r="F6" s="100" t="inlineStr"/>
      <c r="G6" s="100" t="inlineStr">
        <is>
          <t>Banco Mundial</t>
        </is>
      </c>
      <c r="H6" s="109" t="inlineStr">
        <is>
          <t>Angola's Income Inequality (2018) – Trends &amp; Historical Data</t>
        </is>
      </c>
      <c r="I6" s="100" t="inlineStr">
        <is>
          <t>-2.5 a 2.5</t>
        </is>
      </c>
      <c r="J6" s="100" t="inlineStr">
        <is>
          <t>+</t>
        </is>
      </c>
      <c r="K6" s="100" t="n">
        <v>-2.5</v>
      </c>
      <c r="L6" s="100" t="n">
        <v>2.5</v>
      </c>
      <c r="M6" s="100" t="n">
        <v>0</v>
      </c>
      <c r="N6" s="100" t="n">
        <v>1</v>
      </c>
      <c r="O6" s="100" t="inlineStr">
        <is>
          <t>Em uso</t>
        </is>
      </c>
      <c r="P6" s="100" t="inlineStr">
        <is>
          <t>Série existente no Input_Dados</t>
        </is>
      </c>
      <c r="Q6" s="100" t="inlineStr">
        <is>
          <t>10/11</t>
        </is>
      </c>
      <c r="R6" s="111" t="n">
        <v>-1.3086297</v>
      </c>
      <c r="S6" s="111" t="n">
        <v>-1.3287764</v>
      </c>
      <c r="T6" s="111" t="n">
        <v>-1.3317055</v>
      </c>
      <c r="U6" s="111" t="n">
        <v>-1.1105522</v>
      </c>
      <c r="V6" s="111" t="n">
        <v>-1.0519682</v>
      </c>
      <c r="W6" s="111" t="n">
        <v>-0.9475038</v>
      </c>
      <c r="X6" s="111" t="n">
        <v>-1.0980135</v>
      </c>
      <c r="Y6" s="111" t="n">
        <v>-1.1625439</v>
      </c>
      <c r="Z6" s="111" t="n">
        <v>-1.1944432</v>
      </c>
      <c r="AA6" s="111" t="n">
        <v>-1.1697408</v>
      </c>
      <c r="AB6" s="100" t="n"/>
      <c r="AC6" s="100" t="inlineStr">
        <is>
          <t>Indicador já incluído no modelo original.</t>
        </is>
      </c>
    </row>
    <row r="7">
      <c r="A7" s="100" t="inlineStr">
        <is>
          <t>1. Governança e Estado de Direito</t>
        </is>
      </c>
      <c r="B7" s="100" t="inlineStr">
        <is>
          <t>1. Governança</t>
        </is>
      </c>
      <c r="C7" s="100" t="inlineStr">
        <is>
          <t>WGI - Eficiência do Governo</t>
        </is>
      </c>
      <c r="D7" s="110" t="inlineStr">
        <is>
          <t>Atual no modelo</t>
        </is>
      </c>
      <c r="E7" s="100" t="inlineStr">
        <is>
          <t>GE.EST</t>
        </is>
      </c>
      <c r="F7" s="100" t="inlineStr"/>
      <c r="G7" s="100" t="inlineStr">
        <is>
          <t>Banco Mundial</t>
        </is>
      </c>
      <c r="H7" s="100" t="n"/>
      <c r="I7" s="100" t="inlineStr">
        <is>
          <t>-2.5 a 2.5</t>
        </is>
      </c>
      <c r="J7" s="100" t="inlineStr">
        <is>
          <t>+</t>
        </is>
      </c>
      <c r="K7" s="100" t="n">
        <v>-2.5</v>
      </c>
      <c r="L7" s="100" t="n">
        <v>2.5</v>
      </c>
      <c r="M7" s="100" t="n">
        <v>0</v>
      </c>
      <c r="N7" s="100" t="n">
        <v>1</v>
      </c>
      <c r="O7" s="100" t="inlineStr">
        <is>
          <t>Em uso</t>
        </is>
      </c>
      <c r="P7" s="100" t="inlineStr">
        <is>
          <t>Série existente no Input_Dados</t>
        </is>
      </c>
      <c r="Q7" s="100" t="inlineStr">
        <is>
          <t>10/11</t>
        </is>
      </c>
      <c r="R7" s="111" t="n">
        <v>-0.9378237</v>
      </c>
      <c r="S7" s="111" t="n">
        <v>-0.9493847</v>
      </c>
      <c r="T7" s="111" t="n">
        <v>-0.9681157</v>
      </c>
      <c r="U7" s="111" t="n">
        <v>-0.9784602</v>
      </c>
      <c r="V7" s="111" t="n">
        <v>-0.9116965</v>
      </c>
      <c r="W7" s="111" t="n">
        <v>-1.0163604</v>
      </c>
      <c r="X7" s="111" t="n">
        <v>-0.9347008</v>
      </c>
      <c r="Y7" s="111" t="n">
        <v>-0.8325718</v>
      </c>
      <c r="Z7" s="111" t="n">
        <v>-0.8287026</v>
      </c>
      <c r="AA7" s="111" t="n">
        <v>-0.7851909</v>
      </c>
      <c r="AB7" s="100" t="n"/>
      <c r="AC7" s="100" t="inlineStr">
        <is>
          <t>Indicador já incluído no modelo original.</t>
        </is>
      </c>
    </row>
    <row r="8">
      <c r="A8" s="100" t="inlineStr">
        <is>
          <t>1. Governança e Estado de Direito</t>
        </is>
      </c>
      <c r="B8" s="100" t="inlineStr">
        <is>
          <t>1. Governança</t>
        </is>
      </c>
      <c r="C8" s="100" t="inlineStr">
        <is>
          <t>Estabilidade Política (WGI)</t>
        </is>
      </c>
      <c r="D8" s="110" t="inlineStr">
        <is>
          <t>Atual no modelo</t>
        </is>
      </c>
      <c r="E8" s="100" t="inlineStr">
        <is>
          <t>PV.EST</t>
        </is>
      </c>
      <c r="F8" s="100" t="inlineStr"/>
      <c r="G8" s="100" t="inlineStr">
        <is>
          <t>Banco Mundial</t>
        </is>
      </c>
      <c r="H8" s="100" t="n"/>
      <c r="I8" s="100" t="inlineStr">
        <is>
          <t>-2.5 a 2.5</t>
        </is>
      </c>
      <c r="J8" s="100" t="inlineStr">
        <is>
          <t>+</t>
        </is>
      </c>
      <c r="K8" s="100" t="n">
        <v>-2.5</v>
      </c>
      <c r="L8" s="100" t="n">
        <v>2.5</v>
      </c>
      <c r="M8" s="100" t="n">
        <v>0</v>
      </c>
      <c r="N8" s="100" t="n">
        <v>1</v>
      </c>
      <c r="O8" s="100" t="inlineStr">
        <is>
          <t>Em uso</t>
        </is>
      </c>
      <c r="P8" s="100" t="inlineStr">
        <is>
          <t>Série existente no Input_Dados</t>
        </is>
      </c>
      <c r="Q8" s="100" t="inlineStr">
        <is>
          <t>10/11</t>
        </is>
      </c>
      <c r="R8" s="111" t="n">
        <v>-0.5591026</v>
      </c>
      <c r="S8" s="111" t="n">
        <v>-0.434628</v>
      </c>
      <c r="T8" s="111" t="n">
        <v>-0.5372145</v>
      </c>
      <c r="U8" s="111" t="n">
        <v>-0.4058117</v>
      </c>
      <c r="V8" s="111" t="n">
        <v>-0.4207039</v>
      </c>
      <c r="W8" s="111" t="n">
        <v>-0.6427634</v>
      </c>
      <c r="X8" s="111" t="n">
        <v>-0.7936067999999999</v>
      </c>
      <c r="Y8" s="111" t="n">
        <v>-0.5414068</v>
      </c>
      <c r="Z8" s="111" t="n">
        <v>-0.3131654</v>
      </c>
      <c r="AA8" s="111" t="n">
        <v>-0.5735964</v>
      </c>
      <c r="AB8" s="100" t="n"/>
      <c r="AC8" s="100" t="inlineStr">
        <is>
          <t>Indicador já incluído no modelo original.</t>
        </is>
      </c>
    </row>
    <row r="9">
      <c r="A9" s="100" t="inlineStr">
        <is>
          <t>1. Governança e Estado de Direito</t>
        </is>
      </c>
      <c r="B9" s="100" t="inlineStr">
        <is>
          <t>1. Governança</t>
        </is>
      </c>
      <c r="C9" s="100" t="inlineStr">
        <is>
          <t>Doing Business / Ease of Business</t>
        </is>
      </c>
      <c r="D9" s="110" t="inlineStr">
        <is>
          <t>Atual no modelo</t>
        </is>
      </c>
      <c r="E9" s="100" t="inlineStr"/>
      <c r="F9" s="100" t="inlineStr"/>
      <c r="G9" s="100" t="inlineStr">
        <is>
          <t>Banco Mundial</t>
        </is>
      </c>
      <c r="H9" s="109" t="inlineStr">
        <is>
          <t>Internet Users in Angola | 2025 Trends &amp; Rankings | World View Data</t>
        </is>
      </c>
      <c r="I9" s="100" t="inlineStr">
        <is>
          <t>0-100</t>
        </is>
      </c>
      <c r="J9" s="100" t="inlineStr">
        <is>
          <t>+</t>
        </is>
      </c>
      <c r="K9" s="100" t="n">
        <v>0</v>
      </c>
      <c r="L9" s="100" t="n">
        <v>100</v>
      </c>
      <c r="M9" s="100" t="n">
        <v>55</v>
      </c>
      <c r="N9" s="100" t="n">
        <v>1</v>
      </c>
      <c r="O9" s="100" t="inlineStr">
        <is>
          <t>Em uso</t>
        </is>
      </c>
      <c r="P9" s="100" t="inlineStr">
        <is>
          <t>Série existente no Input_Dados</t>
        </is>
      </c>
      <c r="Q9" s="100" t="inlineStr">
        <is>
          <t>6/11</t>
        </is>
      </c>
      <c r="R9" s="111" t="n">
        <v>37.09</v>
      </c>
      <c r="S9" s="111" t="n">
        <v>38.46</v>
      </c>
      <c r="T9" s="111" t="n">
        <v>38.41</v>
      </c>
      <c r="U9" s="111" t="n">
        <v>41.49</v>
      </c>
      <c r="V9" s="111" t="n">
        <v>43.86</v>
      </c>
      <c r="W9" s="111" t="n">
        <v>41.9</v>
      </c>
      <c r="X9" s="100" t="n"/>
      <c r="Y9" s="100" t="n"/>
      <c r="Z9" s="100" t="n"/>
      <c r="AA9" s="100" t="n"/>
      <c r="AB9" s="100" t="n"/>
      <c r="AC9" s="100" t="inlineStr">
        <is>
          <t>Indicador já incluído no modelo original.</t>
        </is>
      </c>
    </row>
    <row r="10">
      <c r="A10" s="100" t="inlineStr">
        <is>
          <t>1. Governança e Estado de Direito</t>
        </is>
      </c>
      <c r="B10" s="100" t="inlineStr">
        <is>
          <t>1. Governança</t>
        </is>
      </c>
      <c r="C10" s="100" t="inlineStr">
        <is>
          <t>WGI - Controlo da Corrupção</t>
        </is>
      </c>
      <c r="D10" s="112" t="inlineStr">
        <is>
          <t>Substituto/Complementar</t>
        </is>
      </c>
      <c r="E10" s="100" t="inlineStr">
        <is>
          <t>CC.EST</t>
        </is>
      </c>
      <c r="F10" s="100" t="inlineStr">
        <is>
          <t>Control of Corruption: Estimate</t>
        </is>
      </c>
      <c r="G10" s="100" t="inlineStr">
        <is>
          <t>WGI/Banco Mundial</t>
        </is>
      </c>
      <c r="H10" s="109" t="inlineStr">
        <is>
          <t>https://datacatalog.worldbank.org/search/dataset/0038026/worldwide-governance-indicators</t>
        </is>
      </c>
      <c r="I10" s="100" t="inlineStr">
        <is>
          <t>-2.5 a 2.5</t>
        </is>
      </c>
      <c r="J10" s="100" t="inlineStr">
        <is>
          <t>+</t>
        </is>
      </c>
      <c r="K10" s="100" t="n">
        <v>-2.5</v>
      </c>
      <c r="L10" s="100" t="n">
        <v>2.5</v>
      </c>
      <c r="M10" s="100" t="n">
        <v>0</v>
      </c>
      <c r="N10" s="100" t="n">
        <v>1</v>
      </c>
      <c r="O10" s="100" t="inlineStr">
        <is>
          <t>Alta</t>
        </is>
      </c>
      <c r="P10" s="100" t="inlineStr">
        <is>
          <t>Preenchido via WGI 2025 oficial</t>
        </is>
      </c>
      <c r="Q10" s="100" t="inlineStr">
        <is>
          <t>10/11</t>
        </is>
      </c>
      <c r="R10" s="111" t="n">
        <v>-1.4857649</v>
      </c>
      <c r="S10" s="111" t="n">
        <v>-1.4881942</v>
      </c>
      <c r="T10" s="111" t="n">
        <v>-1.4208093</v>
      </c>
      <c r="U10" s="111" t="n">
        <v>-1.181782</v>
      </c>
      <c r="V10" s="111" t="n">
        <v>-0.9647988</v>
      </c>
      <c r="W10" s="111" t="n">
        <v>-0.8918322999999999</v>
      </c>
      <c r="X10" s="111" t="n">
        <v>-0.6416506</v>
      </c>
      <c r="Y10" s="111" t="n">
        <v>-0.6031537</v>
      </c>
      <c r="Z10" s="111" t="n">
        <v>-0.6242518</v>
      </c>
      <c r="AA10" s="111" t="n">
        <v>-0.6225792999999999</v>
      </c>
      <c r="AB10" s="100" t="n"/>
      <c r="AC10" s="100" t="inlineStr">
        <is>
          <t>Complementa o CPI com uma medida anual comparável e alinhada com os restantes WGI. Cobertura estimada pela periodicidade WGI; o endpoint WDI simples não devolve esta série.</t>
        </is>
      </c>
    </row>
    <row r="11">
      <c r="A11" s="100" t="inlineStr">
        <is>
          <t>1. Governança e Estado de Direito</t>
        </is>
      </c>
      <c r="B11" s="100" t="inlineStr">
        <is>
          <t>1. Governança</t>
        </is>
      </c>
      <c r="C11" s="100" t="inlineStr">
        <is>
          <t>WGI - Qualidade Regulatória</t>
        </is>
      </c>
      <c r="D11" s="112" t="inlineStr">
        <is>
          <t>Substituto</t>
        </is>
      </c>
      <c r="E11" s="100" t="inlineStr">
        <is>
          <t>RQ.EST</t>
        </is>
      </c>
      <c r="F11" s="100" t="inlineStr">
        <is>
          <t>Regulatory Quality: Estimate</t>
        </is>
      </c>
      <c r="G11" s="100" t="inlineStr">
        <is>
          <t>WGI/Banco Mundial</t>
        </is>
      </c>
      <c r="H11" s="109" t="inlineStr">
        <is>
          <t>https://datacatalog.worldbank.org/search/dataset/0038026/worldwide-governance-indicators</t>
        </is>
      </c>
      <c r="I11" s="100" t="inlineStr">
        <is>
          <t>-2.5 a 2.5</t>
        </is>
      </c>
      <c r="J11" s="100" t="inlineStr">
        <is>
          <t>+</t>
        </is>
      </c>
      <c r="K11" s="100" t="n">
        <v>-2.5</v>
      </c>
      <c r="L11" s="100" t="n">
        <v>2.5</v>
      </c>
      <c r="M11" s="100" t="n">
        <v>0</v>
      </c>
      <c r="N11" s="100" t="n">
        <v>1</v>
      </c>
      <c r="O11" s="100" t="inlineStr">
        <is>
          <t>Alta</t>
        </is>
      </c>
      <c r="P11" s="100" t="inlineStr">
        <is>
          <t>Preenchido via WGI 2025 oficial</t>
        </is>
      </c>
      <c r="Q11" s="100" t="inlineStr">
        <is>
          <t>10/11</t>
        </is>
      </c>
      <c r="R11" s="111" t="n">
        <v>-1.0904945</v>
      </c>
      <c r="S11" s="111" t="n">
        <v>-1.1804235</v>
      </c>
      <c r="T11" s="111" t="n">
        <v>-1.1799885</v>
      </c>
      <c r="U11" s="111" t="n">
        <v>-1.0624393</v>
      </c>
      <c r="V11" s="111" t="n">
        <v>-0.9960854</v>
      </c>
      <c r="W11" s="111" t="n">
        <v>-1.0388818</v>
      </c>
      <c r="X11" s="111" t="n">
        <v>-0.8486184</v>
      </c>
      <c r="Y11" s="111" t="n">
        <v>-0.8618821</v>
      </c>
      <c r="Z11" s="111" t="n">
        <v>-0.904342</v>
      </c>
      <c r="AA11" s="111" t="n">
        <v>-0.7730199999999999</v>
      </c>
      <c r="AB11" s="100" t="n"/>
      <c r="AC11" s="100" t="inlineStr">
        <is>
          <t>Bom substituto para Doing Business, que foi descontinuado. Cobertura estimada pela periodicidade WGI; o endpoint WDI simples não devolve esta série.</t>
        </is>
      </c>
    </row>
    <row r="12">
      <c r="A12" s="100" t="inlineStr">
        <is>
          <t>1. Governança e Estado de Direito</t>
        </is>
      </c>
      <c r="B12" s="100" t="inlineStr">
        <is>
          <t>1. Governança</t>
        </is>
      </c>
      <c r="C12" s="100" t="inlineStr">
        <is>
          <t>WGI - Voz e Responsabilização</t>
        </is>
      </c>
      <c r="D12" s="112" t="inlineStr">
        <is>
          <t>Complementar</t>
        </is>
      </c>
      <c r="E12" s="100" t="inlineStr">
        <is>
          <t>VA.EST</t>
        </is>
      </c>
      <c r="F12" s="100" t="inlineStr">
        <is>
          <t>Voice and Accountability: Estimate</t>
        </is>
      </c>
      <c r="G12" s="100" t="inlineStr">
        <is>
          <t>WGI/Banco Mundial</t>
        </is>
      </c>
      <c r="H12" s="109" t="inlineStr">
        <is>
          <t>https://datacatalog.worldbank.org/search/dataset/0038026/worldwide-governance-indicators</t>
        </is>
      </c>
      <c r="I12" s="100" t="inlineStr">
        <is>
          <t>-2.5 a 2.5</t>
        </is>
      </c>
      <c r="J12" s="100" t="inlineStr">
        <is>
          <t>+</t>
        </is>
      </c>
      <c r="K12" s="100" t="n">
        <v>-2.5</v>
      </c>
      <c r="L12" s="100" t="n">
        <v>2.5</v>
      </c>
      <c r="M12" s="100" t="n">
        <v>0</v>
      </c>
      <c r="N12" s="100" t="n">
        <v>1</v>
      </c>
      <c r="O12" s="100" t="inlineStr">
        <is>
          <t>Média</t>
        </is>
      </c>
      <c r="P12" s="100" t="inlineStr">
        <is>
          <t>Preenchido via WGI 2025 oficial</t>
        </is>
      </c>
      <c r="Q12" s="100" t="inlineStr">
        <is>
          <t>10/11</t>
        </is>
      </c>
      <c r="R12" s="111" t="n">
        <v>-1.1542998</v>
      </c>
      <c r="S12" s="111" t="n">
        <v>-1.19498</v>
      </c>
      <c r="T12" s="111" t="n">
        <v>-1.131561</v>
      </c>
      <c r="U12" s="111" t="n">
        <v>-1.005668</v>
      </c>
      <c r="V12" s="111" t="n">
        <v>-0.9382176</v>
      </c>
      <c r="W12" s="111" t="n">
        <v>-0.9376897999999999</v>
      </c>
      <c r="X12" s="111" t="n">
        <v>-0.9985084999999999</v>
      </c>
      <c r="Y12" s="111" t="n">
        <v>-1.0480912</v>
      </c>
      <c r="Z12" s="111" t="n">
        <v>-1.020936</v>
      </c>
      <c r="AA12" s="111" t="n">
        <v>-1.0588932</v>
      </c>
      <c r="AB12" s="100" t="n"/>
      <c r="AC12" s="100" t="inlineStr">
        <is>
          <t>Acrescenta dimensão de responsabilização pública e participação. Cobertura estimada pela periodicidade WGI; o endpoint WDI simples não devolve esta série.</t>
        </is>
      </c>
    </row>
    <row r="13">
      <c r="A13" s="100" t="inlineStr">
        <is>
          <t>1. Governança e Estado de Direito</t>
        </is>
      </c>
      <c r="B13" s="100" t="inlineStr">
        <is>
          <t>1. Governança</t>
        </is>
      </c>
      <c r="C13" s="100" t="inlineStr">
        <is>
          <t>Índice Ibrahim - Governação Global</t>
        </is>
      </c>
      <c r="D13" s="112" t="inlineStr">
        <is>
          <t>Complementar</t>
        </is>
      </c>
      <c r="E13" s="100" t="inlineStr"/>
      <c r="F13" s="100" t="inlineStr"/>
      <c r="G13" s="100" t="inlineStr">
        <is>
          <t>Mo Ibrahim Foundation</t>
        </is>
      </c>
      <c r="H13" s="109" t="inlineStr">
        <is>
          <t>https://iiag.online/</t>
        </is>
      </c>
      <c r="I13" s="100" t="inlineStr">
        <is>
          <t>0-100</t>
        </is>
      </c>
      <c r="J13" s="100" t="inlineStr">
        <is>
          <t>+</t>
        </is>
      </c>
      <c r="K13" s="100" t="n">
        <v>0</v>
      </c>
      <c r="L13" s="100" t="n">
        <v>100</v>
      </c>
      <c r="M13" s="100" t="n">
        <v>55</v>
      </c>
      <c r="N13" s="100" t="n">
        <v>1</v>
      </c>
      <c r="O13" s="100" t="inlineStr">
        <is>
          <t>Alta</t>
        </is>
      </c>
      <c r="P13" s="113" t="inlineStr">
        <is>
          <t>Sem código/API; recolha manual</t>
        </is>
      </c>
      <c r="Q13" s="100" t="inlineStr">
        <is>
          <t>0/11</t>
        </is>
      </c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  <c r="AA13" s="100" t="n"/>
      <c r="AB13" s="100" t="n"/>
      <c r="AC13" s="100" t="inlineStr">
        <is>
          <t>Benchmark africano com várias dimensões institucionais.</t>
        </is>
      </c>
    </row>
    <row r="14">
      <c r="A14" s="100" t="inlineStr">
        <is>
          <t>1. Governança e Estado de Direito</t>
        </is>
      </c>
      <c r="B14" s="100" t="inlineStr">
        <is>
          <t>1. Governança</t>
        </is>
      </c>
      <c r="C14" s="100" t="inlineStr">
        <is>
          <t>Índice Ibrahim - Segurança e Estado de Direito</t>
        </is>
      </c>
      <c r="D14" s="112" t="inlineStr">
        <is>
          <t>Complementar</t>
        </is>
      </c>
      <c r="E14" s="100" t="inlineStr"/>
      <c r="F14" s="100" t="inlineStr"/>
      <c r="G14" s="100" t="inlineStr">
        <is>
          <t>Mo Ibrahim Foundation</t>
        </is>
      </c>
      <c r="H14" s="109" t="inlineStr">
        <is>
          <t>https://iiag.online/</t>
        </is>
      </c>
      <c r="I14" s="100" t="inlineStr">
        <is>
          <t>0-100</t>
        </is>
      </c>
      <c r="J14" s="100" t="inlineStr">
        <is>
          <t>+</t>
        </is>
      </c>
      <c r="K14" s="100" t="n">
        <v>0</v>
      </c>
      <c r="L14" s="100" t="n">
        <v>100</v>
      </c>
      <c r="M14" s="100" t="n">
        <v>55</v>
      </c>
      <c r="N14" s="100" t="n">
        <v>1</v>
      </c>
      <c r="O14" s="100" t="inlineStr">
        <is>
          <t>Média</t>
        </is>
      </c>
      <c r="P14" s="113" t="inlineStr">
        <is>
          <t>Sem código/API; recolha manual</t>
        </is>
      </c>
      <c r="Q14" s="100" t="inlineStr">
        <is>
          <t>0/11</t>
        </is>
      </c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  <c r="AA14" s="100" t="n"/>
      <c r="AB14" s="100" t="n"/>
      <c r="AC14" s="100" t="inlineStr">
        <is>
          <t>Aproxima governança de segurança, justiça e direitos no contexto africano.</t>
        </is>
      </c>
    </row>
    <row r="15">
      <c r="A15" s="100" t="inlineStr">
        <is>
          <t>1. Governança e Estado de Direito</t>
        </is>
      </c>
      <c r="B15" s="100" t="inlineStr">
        <is>
          <t>1. Governança</t>
        </is>
      </c>
      <c r="C15" s="100" t="inlineStr">
        <is>
          <t>Open Budget Index</t>
        </is>
      </c>
      <c r="D15" s="112" t="inlineStr">
        <is>
          <t>Complementar</t>
        </is>
      </c>
      <c r="E15" s="100" t="inlineStr"/>
      <c r="F15" s="100" t="inlineStr"/>
      <c r="G15" s="100" t="inlineStr">
        <is>
          <t>International Budget Partnership</t>
        </is>
      </c>
      <c r="H15" s="109" t="inlineStr">
        <is>
          <t>https://internationalbudget.org/open-budget-survey/</t>
        </is>
      </c>
      <c r="I15" s="100" t="inlineStr">
        <is>
          <t>0-100</t>
        </is>
      </c>
      <c r="J15" s="100" t="inlineStr">
        <is>
          <t>+</t>
        </is>
      </c>
      <c r="K15" s="100" t="n">
        <v>0</v>
      </c>
      <c r="L15" s="100" t="n">
        <v>100</v>
      </c>
      <c r="M15" s="100" t="n">
        <v>50</v>
      </c>
      <c r="N15" s="100" t="n">
        <v>1</v>
      </c>
      <c r="O15" s="100" t="inlineStr">
        <is>
          <t>Média</t>
        </is>
      </c>
      <c r="P15" s="113" t="inlineStr">
        <is>
          <t>Sem código/API; recolha manual</t>
        </is>
      </c>
      <c r="Q15" s="100" t="inlineStr">
        <is>
          <t>0/11</t>
        </is>
      </c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  <c r="AA15" s="100" t="n"/>
      <c r="AB15" s="100" t="n"/>
      <c r="AC15" s="100" t="inlineStr">
        <is>
          <t>Mede transparência orçamental, relevante para responsabilização fiscal.</t>
        </is>
      </c>
    </row>
    <row r="16">
      <c r="A16" s="100" t="inlineStr">
        <is>
          <t>1. Governança e Estado de Direito</t>
        </is>
      </c>
      <c r="B16" s="100" t="inlineStr">
        <is>
          <t>1. Governança</t>
        </is>
      </c>
      <c r="C16" s="100" t="inlineStr">
        <is>
          <t>Empresas solicitadas a fazer pagamentos informais</t>
        </is>
      </c>
      <c r="D16" s="112" t="inlineStr">
        <is>
          <t>Complementar</t>
        </is>
      </c>
      <c r="E16" s="100" t="inlineStr"/>
      <c r="F16" s="100" t="inlineStr"/>
      <c r="G16" s="100" t="inlineStr">
        <is>
          <t>World Bank Enterprise Surveys</t>
        </is>
      </c>
      <c r="H16" s="109" t="inlineStr">
        <is>
          <t>https://www.enterprisesurveys.org/</t>
        </is>
      </c>
      <c r="I16" s="100" t="inlineStr">
        <is>
          <t>%</t>
        </is>
      </c>
      <c r="J16" s="100" t="inlineStr">
        <is>
          <t>-</t>
        </is>
      </c>
      <c r="K16" s="100" t="n">
        <v>0</v>
      </c>
      <c r="L16" s="100" t="n">
        <v>100</v>
      </c>
      <c r="M16" s="100" t="n">
        <v>10</v>
      </c>
      <c r="N16" s="100" t="n">
        <v>1</v>
      </c>
      <c r="O16" s="100" t="inlineStr">
        <is>
          <t>Média</t>
        </is>
      </c>
      <c r="P16" s="113" t="inlineStr">
        <is>
          <t>Sem código/API; recolha manual</t>
        </is>
      </c>
      <c r="Q16" s="100" t="inlineStr">
        <is>
          <t>0/11</t>
        </is>
      </c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  <c r="AA16" s="100" t="n"/>
      <c r="AB16" s="100" t="n"/>
      <c r="AC16" s="100" t="inlineStr">
        <is>
          <t>Capta corrupção administrativa sentida pelas empresas.</t>
        </is>
      </c>
    </row>
    <row r="17">
      <c r="A17" s="100" t="inlineStr">
        <is>
          <t>1. Governança e Estado de Direito</t>
        </is>
      </c>
      <c r="B17" s="100" t="inlineStr">
        <is>
          <t>1. Governança</t>
        </is>
      </c>
      <c r="C17" s="100" t="inlineStr">
        <is>
          <t>Statistical Performance Index - score geral</t>
        </is>
      </c>
      <c r="D17" s="112" t="inlineStr">
        <is>
          <t>Complementar</t>
        </is>
      </c>
      <c r="E17" s="100" t="inlineStr">
        <is>
          <t>IQ.SPI.OVRL</t>
        </is>
      </c>
      <c r="F17" s="100" t="inlineStr">
        <is>
          <t>Statistical performance indicators (SPI): Overall score (scale 0-100)</t>
        </is>
      </c>
      <c r="G17" s="100" t="inlineStr">
        <is>
          <t>Banco Mundial</t>
        </is>
      </c>
      <c r="H17" s="109" t="inlineStr">
        <is>
          <t>https://data.worldbank.org/indicator/IQ.SPI.OVRL?locations=AO</t>
        </is>
      </c>
      <c r="I17" s="100" t="inlineStr">
        <is>
          <t>0-100</t>
        </is>
      </c>
      <c r="J17" s="100" t="inlineStr">
        <is>
          <t>+</t>
        </is>
      </c>
      <c r="K17" s="100" t="n">
        <v>0</v>
      </c>
      <c r="L17" s="100" t="n">
        <v>100</v>
      </c>
      <c r="M17" s="100" t="n">
        <v>65</v>
      </c>
      <c r="N17" s="100" t="n">
        <v>1</v>
      </c>
      <c r="O17" s="100" t="inlineStr">
        <is>
          <t>Média</t>
        </is>
      </c>
      <c r="P17" s="100" t="inlineStr">
        <is>
          <t>Preenchido via Banco Mundial API/CSV</t>
        </is>
      </c>
      <c r="Q17" s="100" t="inlineStr">
        <is>
          <t>9/11</t>
        </is>
      </c>
      <c r="R17" s="100" t="n"/>
      <c r="S17" s="111" t="n">
        <v>47.3954166666667</v>
      </c>
      <c r="T17" s="111" t="n">
        <v>48.3595833333333</v>
      </c>
      <c r="U17" s="111" t="n">
        <v>54.5720833333333</v>
      </c>
      <c r="V17" s="111" t="n">
        <v>57.9525</v>
      </c>
      <c r="W17" s="111" t="n">
        <v>59.17</v>
      </c>
      <c r="X17" s="111" t="n">
        <v>56.45625</v>
      </c>
      <c r="Y17" s="111" t="n">
        <v>54.9670833333333</v>
      </c>
      <c r="Z17" s="111" t="n">
        <v>57.5958333333333</v>
      </c>
      <c r="AA17" s="111" t="n">
        <v>58.1520833333333</v>
      </c>
      <c r="AB17" s="100" t="n"/>
      <c r="AC17" s="100" t="inlineStr">
        <is>
          <t>Mede capacidade estatística, útil para qualidade de políticas públicas e monitorização.</t>
        </is>
      </c>
    </row>
    <row r="18">
      <c r="A18" s="100" t="inlineStr">
        <is>
          <t>2. Estabilidade Macroeconómica</t>
        </is>
      </c>
      <c r="B18" s="100" t="inlineStr">
        <is>
          <t>2. Macroeconomia</t>
        </is>
      </c>
      <c r="C18" s="100" t="inlineStr">
        <is>
          <t>Taxa de Crescimento do PIB</t>
        </is>
      </c>
      <c r="D18" s="110" t="inlineStr">
        <is>
          <t>Atual no modelo</t>
        </is>
      </c>
      <c r="E18" s="100" t="inlineStr">
        <is>
          <t>NY.GDP.MKTP.KD.ZG</t>
        </is>
      </c>
      <c r="F18" s="100" t="inlineStr"/>
      <c r="G18" s="100" t="inlineStr">
        <is>
          <t>INE/MEP</t>
        </is>
      </c>
      <c r="H18" s="109" t="inlineStr">
        <is>
          <t>Repositório de Conhecimento Aberto</t>
        </is>
      </c>
      <c r="I18" s="100" t="inlineStr">
        <is>
          <t>%</t>
        </is>
      </c>
      <c r="J18" s="100" t="inlineStr">
        <is>
          <t>+</t>
        </is>
      </c>
      <c r="K18" s="100" t="n">
        <v>-10</v>
      </c>
      <c r="L18" s="100" t="n">
        <v>15</v>
      </c>
      <c r="M18" s="100" t="n">
        <v>5</v>
      </c>
      <c r="N18" s="100" t="n">
        <v>1</v>
      </c>
      <c r="O18" s="100" t="inlineStr">
        <is>
          <t>Em uso</t>
        </is>
      </c>
      <c r="P18" s="100" t="inlineStr">
        <is>
          <t>Série existente no Input_Dados</t>
        </is>
      </c>
      <c r="Q18" s="100" t="inlineStr">
        <is>
          <t>10/11</t>
        </is>
      </c>
      <c r="R18" s="111" t="n">
        <v>0.763177710915002</v>
      </c>
      <c r="S18" s="111" t="n">
        <v>-1.70053036291191</v>
      </c>
      <c r="T18" s="111" t="n">
        <v>-0.149396225572446</v>
      </c>
      <c r="U18" s="111" t="n">
        <v>-0.594411226982544</v>
      </c>
      <c r="V18" s="111" t="n">
        <v>-0.204680245744498</v>
      </c>
      <c r="W18" s="111" t="n">
        <v>-4.04244724639634</v>
      </c>
      <c r="X18" s="111" t="n">
        <v>2.102752519234</v>
      </c>
      <c r="Y18" s="111" t="n">
        <v>4.21600258475125</v>
      </c>
      <c r="Z18" s="111" t="n">
        <v>1.26330814020123</v>
      </c>
      <c r="AA18" s="111" t="n">
        <v>4.42390664406894</v>
      </c>
      <c r="AB18" s="100" t="n"/>
      <c r="AC18" s="100" t="inlineStr">
        <is>
          <t>Indicador já incluído no modelo original.</t>
        </is>
      </c>
    </row>
    <row r="19">
      <c r="A19" s="100" t="inlineStr">
        <is>
          <t>2. Estabilidade Macroeconómica</t>
        </is>
      </c>
      <c r="B19" s="100" t="inlineStr">
        <is>
          <t>2. Macroeconomia</t>
        </is>
      </c>
      <c r="C19" s="100" t="inlineStr">
        <is>
          <t>PIB per Capita (USD)</t>
        </is>
      </c>
      <c r="D19" s="110" t="inlineStr">
        <is>
          <t>Atual no modelo</t>
        </is>
      </c>
      <c r="E19" s="100" t="inlineStr">
        <is>
          <t>NY.GDP.PCAP.CD</t>
        </is>
      </c>
      <c r="F19" s="100" t="inlineStr"/>
      <c r="G19" s="100" t="inlineStr">
        <is>
          <t>INE/MEP</t>
        </is>
      </c>
      <c r="H19" s="100" t="n"/>
      <c r="I19" s="100" t="inlineStr">
        <is>
          <t>USD</t>
        </is>
      </c>
      <c r="J19" s="100" t="inlineStr">
        <is>
          <t>+</t>
        </is>
      </c>
      <c r="K19" s="100" t="n">
        <v>500</v>
      </c>
      <c r="L19" s="100" t="n">
        <v>15000</v>
      </c>
      <c r="M19" s="100" t="n">
        <v>5000</v>
      </c>
      <c r="N19" s="100" t="n">
        <v>1</v>
      </c>
      <c r="O19" s="100" t="inlineStr">
        <is>
          <t>Em uso</t>
        </is>
      </c>
      <c r="P19" s="100" t="inlineStr">
        <is>
          <t>Série existente no Input_Dados</t>
        </is>
      </c>
      <c r="Q19" s="100" t="inlineStr">
        <is>
          <t>10/11</t>
        </is>
      </c>
      <c r="R19" s="111" t="n">
        <v>4400.13408995522</v>
      </c>
      <c r="S19" s="111" t="n">
        <v>4136.77627211431</v>
      </c>
      <c r="T19" s="111" t="n">
        <v>4955.1921569679</v>
      </c>
      <c r="U19" s="111" t="n">
        <v>3214.80179088296</v>
      </c>
      <c r="V19" s="111" t="n">
        <v>2397.76131828422</v>
      </c>
      <c r="W19" s="111" t="n">
        <v>1902.31839616148</v>
      </c>
      <c r="X19" s="111" t="n">
        <v>2990.86034201674</v>
      </c>
      <c r="Y19" s="111" t="n">
        <v>3935.50100865928</v>
      </c>
      <c r="Z19" s="111" t="n">
        <v>2773.00618718299</v>
      </c>
      <c r="AA19" s="111" t="n">
        <v>3181.62426384473</v>
      </c>
      <c r="AB19" s="100" t="n"/>
      <c r="AC19" s="100" t="inlineStr">
        <is>
          <t>Indicador já incluído no modelo original.</t>
        </is>
      </c>
    </row>
    <row r="20">
      <c r="A20" s="100" t="inlineStr">
        <is>
          <t>2. Estabilidade Macroeconómica</t>
        </is>
      </c>
      <c r="B20" s="100" t="inlineStr">
        <is>
          <t>2. Macroeconomia</t>
        </is>
      </c>
      <c r="C20" s="100" t="inlineStr">
        <is>
          <t>Inflação (IPC)</t>
        </is>
      </c>
      <c r="D20" s="110" t="inlineStr">
        <is>
          <t>Atual no modelo</t>
        </is>
      </c>
      <c r="E20" s="100" t="inlineStr">
        <is>
          <t>FP.CPI.TOTL.ZG</t>
        </is>
      </c>
      <c r="F20" s="100" t="inlineStr"/>
      <c r="G20" s="100" t="inlineStr">
        <is>
          <t>INE/BNA</t>
        </is>
      </c>
      <c r="H20" s="100" t="n"/>
      <c r="I20" s="100" t="inlineStr">
        <is>
          <t>%</t>
        </is>
      </c>
      <c r="J20" s="100" t="inlineStr">
        <is>
          <t>-</t>
        </is>
      </c>
      <c r="K20" s="100" t="n">
        <v>0</v>
      </c>
      <c r="L20" s="100" t="n">
        <v>50</v>
      </c>
      <c r="M20" s="100" t="n">
        <v>10</v>
      </c>
      <c r="N20" s="100" t="n">
        <v>1</v>
      </c>
      <c r="O20" s="100" t="inlineStr">
        <is>
          <t>Em uso</t>
        </is>
      </c>
      <c r="P20" s="100" t="inlineStr">
        <is>
          <t>Série existente no Input_Dados</t>
        </is>
      </c>
      <c r="Q20" s="100" t="inlineStr">
        <is>
          <t>11/11</t>
        </is>
      </c>
      <c r="R20" s="111" t="n">
        <v>12.0942682565683</v>
      </c>
      <c r="S20" s="111" t="n">
        <v>41.1211348072546</v>
      </c>
      <c r="T20" s="111" t="n">
        <v>23.6665496721406</v>
      </c>
      <c r="U20" s="111" t="n">
        <v>18.6011046514686</v>
      </c>
      <c r="V20" s="111" t="n">
        <v>16.8972880591422</v>
      </c>
      <c r="W20" s="111" t="n">
        <v>25.0965301660938</v>
      </c>
      <c r="X20" s="111" t="n">
        <v>27.0299437979771</v>
      </c>
      <c r="Y20" s="111" t="n">
        <v>13.8604754279988</v>
      </c>
      <c r="Z20" s="111" t="n">
        <v>20.0071603523629</v>
      </c>
      <c r="AA20" s="111" t="n">
        <v>26.4803389098066</v>
      </c>
      <c r="AB20" s="111" t="n">
        <v>15.6972203105233</v>
      </c>
      <c r="AC20" s="100" t="inlineStr">
        <is>
          <t>Indicador já incluído no modelo original.</t>
        </is>
      </c>
    </row>
    <row r="21">
      <c r="A21" s="100" t="inlineStr">
        <is>
          <t>2. Estabilidade Macroeconómica</t>
        </is>
      </c>
      <c r="B21" s="100" t="inlineStr">
        <is>
          <t>2. Macroeconomia</t>
        </is>
      </c>
      <c r="C21" s="100" t="inlineStr">
        <is>
          <t>Dívida Pública (% do PIB)</t>
        </is>
      </c>
      <c r="D21" s="110" t="inlineStr">
        <is>
          <t>Atual no modelo</t>
        </is>
      </c>
      <c r="E21" s="100" t="inlineStr">
        <is>
          <t>GC.DOD.TOTL.GD.ZS</t>
        </is>
      </c>
      <c r="F21" s="100" t="inlineStr"/>
      <c r="G21" s="100" t="inlineStr">
        <is>
          <t>MINFIN</t>
        </is>
      </c>
      <c r="H21" s="109" t="inlineStr">
        <is>
          <t>PUBLIC DEBT STATISTICAL BULLETIN AS OF []</t>
        </is>
      </c>
      <c r="I21" s="100" t="inlineStr">
        <is>
          <t>%</t>
        </is>
      </c>
      <c r="J21" s="100" t="inlineStr">
        <is>
          <t>-</t>
        </is>
      </c>
      <c r="K21" s="100" t="n">
        <v>0</v>
      </c>
      <c r="L21" s="100" t="n">
        <v>150</v>
      </c>
      <c r="M21" s="100" t="n">
        <v>60</v>
      </c>
      <c r="N21" s="100" t="n">
        <v>1</v>
      </c>
      <c r="O21" s="100" t="inlineStr">
        <is>
          <t>Em uso</t>
        </is>
      </c>
      <c r="P21" s="100" t="inlineStr">
        <is>
          <t>Série existente no Input_Dados</t>
        </is>
      </c>
      <c r="Q21" s="100" t="inlineStr">
        <is>
          <t>11/11</t>
        </is>
      </c>
      <c r="R21" s="111" t="n">
        <v>50</v>
      </c>
      <c r="S21" s="111" t="n">
        <v>67</v>
      </c>
      <c r="T21" s="111" t="n">
        <v>60</v>
      </c>
      <c r="U21" s="111" t="n">
        <v>83</v>
      </c>
      <c r="V21" s="111" t="n">
        <v>101</v>
      </c>
      <c r="W21" s="111" t="n">
        <v>119</v>
      </c>
      <c r="X21" s="111" t="n">
        <v>74</v>
      </c>
      <c r="Y21" s="111" t="n">
        <v>56</v>
      </c>
      <c r="Z21" s="111" t="n">
        <v>72</v>
      </c>
      <c r="AA21" s="111" t="n">
        <v>60</v>
      </c>
      <c r="AB21" s="111" t="n">
        <v>63</v>
      </c>
      <c r="AC21" s="100" t="inlineStr">
        <is>
          <t>Indicador já incluído no modelo original.</t>
        </is>
      </c>
    </row>
    <row r="22">
      <c r="A22" s="100" t="inlineStr">
        <is>
          <t>2. Estabilidade Macroeconómica</t>
        </is>
      </c>
      <c r="B22" s="100" t="inlineStr">
        <is>
          <t>2. Macroeconomia</t>
        </is>
      </c>
      <c r="C22" s="100" t="inlineStr">
        <is>
          <t>Saldo Orçamental (% do PIB)</t>
        </is>
      </c>
      <c r="D22" s="110" t="inlineStr">
        <is>
          <t>Atual no modelo</t>
        </is>
      </c>
      <c r="E22" s="100" t="inlineStr">
        <is>
          <t>GC.BAL.CASH.GD.ZS</t>
        </is>
      </c>
      <c r="F22" s="100" t="inlineStr"/>
      <c r="G22" s="100" t="inlineStr">
        <is>
          <t>MINFIN</t>
        </is>
      </c>
      <c r="H22" s="100" t="n"/>
      <c r="I22" s="100" t="inlineStr">
        <is>
          <t>%</t>
        </is>
      </c>
      <c r="J22" s="100" t="inlineStr">
        <is>
          <t>+</t>
        </is>
      </c>
      <c r="K22" s="100" t="n">
        <v>-15</v>
      </c>
      <c r="L22" s="100" t="n">
        <v>10</v>
      </c>
      <c r="M22" s="100" t="n">
        <v>0</v>
      </c>
      <c r="N22" s="100" t="n">
        <v>1</v>
      </c>
      <c r="O22" s="100" t="inlineStr">
        <is>
          <t>Em uso</t>
        </is>
      </c>
      <c r="P22" s="100" t="inlineStr">
        <is>
          <t>Série existente no Input_Dados</t>
        </is>
      </c>
      <c r="Q22" s="100" t="inlineStr">
        <is>
          <t>11/11</t>
        </is>
      </c>
      <c r="R22" s="111" t="n">
        <v>-2</v>
      </c>
      <c r="S22" s="111" t="n">
        <v>-3</v>
      </c>
      <c r="T22" s="111" t="n">
        <v>1.5</v>
      </c>
      <c r="U22" s="111" t="n">
        <v>-0.5</v>
      </c>
      <c r="V22" s="111" t="n">
        <v>0.5</v>
      </c>
      <c r="W22" s="111" t="n">
        <v>-5</v>
      </c>
      <c r="X22" s="111" t="n">
        <v>1.5</v>
      </c>
      <c r="Y22" s="111" t="n">
        <v>0.7</v>
      </c>
      <c r="Z22" s="111" t="n">
        <v>-1.9</v>
      </c>
      <c r="AA22" s="111" t="n">
        <v>-1.5</v>
      </c>
      <c r="AB22" s="111" t="n">
        <v>-1.65</v>
      </c>
      <c r="AC22" s="100" t="inlineStr">
        <is>
          <t>Indicador já incluído no modelo original.</t>
        </is>
      </c>
    </row>
    <row r="23">
      <c r="A23" s="100" t="inlineStr">
        <is>
          <t>2. Estabilidade Macroeconómica</t>
        </is>
      </c>
      <c r="B23" s="100" t="inlineStr">
        <is>
          <t>2. Macroeconomia</t>
        </is>
      </c>
      <c r="C23" s="100" t="inlineStr">
        <is>
          <t>IDE não-petrolífero (% PIB)</t>
        </is>
      </c>
      <c r="D23" s="110" t="inlineStr">
        <is>
          <t>Atual no modelo</t>
        </is>
      </c>
      <c r="E23" s="100" t="inlineStr"/>
      <c r="F23" s="100" t="inlineStr"/>
      <c r="G23" s="100" t="inlineStr">
        <is>
          <t>AIPEX/BNA</t>
        </is>
      </c>
      <c r="H23" s="100" t="n"/>
      <c r="I23" s="100" t="inlineStr">
        <is>
          <t>%</t>
        </is>
      </c>
      <c r="J23" s="100" t="inlineStr">
        <is>
          <t>+</t>
        </is>
      </c>
      <c r="K23" s="100" t="n">
        <v>0</v>
      </c>
      <c r="L23" s="100" t="n">
        <v>10</v>
      </c>
      <c r="M23" s="100" t="n">
        <v>3</v>
      </c>
      <c r="N23" s="100" t="n">
        <v>1</v>
      </c>
      <c r="O23" s="100" t="inlineStr">
        <is>
          <t>Em uso</t>
        </is>
      </c>
      <c r="P23" s="113" t="inlineStr">
        <is>
          <t>Série existente no Input_Dados</t>
        </is>
      </c>
      <c r="Q23" s="100" t="inlineStr">
        <is>
          <t>0/11</t>
        </is>
      </c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  <c r="AA23" s="100" t="n"/>
      <c r="AB23" s="100" t="n"/>
      <c r="AC23" s="100" t="inlineStr">
        <is>
          <t>Indicador já incluído no modelo original.</t>
        </is>
      </c>
    </row>
    <row r="24">
      <c r="A24" s="100" t="inlineStr">
        <is>
          <t>2. Estabilidade Macroeconómica</t>
        </is>
      </c>
      <c r="B24" s="100" t="inlineStr">
        <is>
          <t>2. Macroeconomia</t>
        </is>
      </c>
      <c r="C24" s="100" t="inlineStr">
        <is>
          <t>Reservas Internacionais (meses)</t>
        </is>
      </c>
      <c r="D24" s="110" t="inlineStr">
        <is>
          <t>Atual no modelo</t>
        </is>
      </c>
      <c r="E24" s="100" t="inlineStr">
        <is>
          <t>FI.RES.TOTL.MO</t>
        </is>
      </c>
      <c r="F24" s="100" t="inlineStr"/>
      <c r="G24" s="100" t="inlineStr">
        <is>
          <t>BNA</t>
        </is>
      </c>
      <c r="H24" s="100" t="n"/>
      <c r="I24" s="100" t="inlineStr">
        <is>
          <t>Meses</t>
        </is>
      </c>
      <c r="J24" s="100" t="inlineStr">
        <is>
          <t>+</t>
        </is>
      </c>
      <c r="K24" s="100" t="n">
        <v>0</v>
      </c>
      <c r="L24" s="100" t="n">
        <v>12</v>
      </c>
      <c r="M24" s="100" t="n">
        <v>6</v>
      </c>
      <c r="N24" s="100" t="n">
        <v>1</v>
      </c>
      <c r="O24" s="100" t="inlineStr">
        <is>
          <t>Em uso</t>
        </is>
      </c>
      <c r="P24" s="100" t="inlineStr">
        <is>
          <t>Série existente no Input_Dados</t>
        </is>
      </c>
      <c r="Q24" s="100" t="inlineStr">
        <is>
          <t>11/11</t>
        </is>
      </c>
      <c r="R24" s="100">
        <f>+F47</f>
        <v/>
      </c>
      <c r="S24" s="100">
        <f>+G47</f>
        <v/>
      </c>
      <c r="T24" s="100">
        <f>+H47</f>
        <v/>
      </c>
      <c r="U24" s="100">
        <f>+I47</f>
        <v/>
      </c>
      <c r="V24" s="100">
        <f>+J47</f>
        <v/>
      </c>
      <c r="W24" s="100">
        <f>+K47</f>
        <v/>
      </c>
      <c r="X24" s="100">
        <f>+L47</f>
        <v/>
      </c>
      <c r="Y24" s="100">
        <f>+M47</f>
        <v/>
      </c>
      <c r="Z24" s="100">
        <f>+N47</f>
        <v/>
      </c>
      <c r="AA24" s="100">
        <f>+O47</f>
        <v/>
      </c>
      <c r="AB24" s="100">
        <f>+P47</f>
        <v/>
      </c>
      <c r="AC24" s="100" t="inlineStr">
        <is>
          <t>Indicador já incluído no modelo original.</t>
        </is>
      </c>
    </row>
    <row r="25">
      <c r="A25" s="100" t="inlineStr">
        <is>
          <t>2. Estabilidade Macroeconómica</t>
        </is>
      </c>
      <c r="B25" s="100" t="inlineStr">
        <is>
          <t>2. Macroeconomia</t>
        </is>
      </c>
      <c r="C25" s="100" t="inlineStr">
        <is>
          <t>Saldo da conta corrente (% PIB)</t>
        </is>
      </c>
      <c r="D25" s="112" t="inlineStr">
        <is>
          <t>Complementar</t>
        </is>
      </c>
      <c r="E25" s="100" t="inlineStr">
        <is>
          <t>BN.CAB.XOKA.GD.ZS</t>
        </is>
      </c>
      <c r="F25" s="100" t="inlineStr">
        <is>
          <t>Current account balance (% of GDP)</t>
        </is>
      </c>
      <c r="G25" s="100" t="inlineStr">
        <is>
          <t>Banco Mundial/WDI</t>
        </is>
      </c>
      <c r="H25" s="109" t="inlineStr">
        <is>
          <t>https://data.worldbank.org/indicator/BN.CAB.XOKA.GD.ZS?locations=AO</t>
        </is>
      </c>
      <c r="I25" s="100" t="inlineStr">
        <is>
          <t>%</t>
        </is>
      </c>
      <c r="J25" s="100" t="inlineStr">
        <is>
          <t>+</t>
        </is>
      </c>
      <c r="K25" s="100" t="n">
        <v>-30</v>
      </c>
      <c r="L25" s="100" t="n">
        <v>30</v>
      </c>
      <c r="M25" s="100" t="n">
        <v>0</v>
      </c>
      <c r="N25" s="100" t="n">
        <v>1</v>
      </c>
      <c r="O25" s="100" t="inlineStr">
        <is>
          <t>Alta</t>
        </is>
      </c>
      <c r="P25" s="100" t="inlineStr">
        <is>
          <t>Preenchido via Banco Mundial API/CSV</t>
        </is>
      </c>
      <c r="Q25" s="100" t="inlineStr">
        <is>
          <t>10/11</t>
        </is>
      </c>
      <c r="R25" s="111" t="n">
        <v>-10.018075447644</v>
      </c>
      <c r="S25" s="111" t="n">
        <v>-5.15244763778543</v>
      </c>
      <c r="T25" s="111" t="n">
        <v>-0.750047560666891</v>
      </c>
      <c r="U25" s="111" t="n">
        <v>8.269886537633869</v>
      </c>
      <c r="V25" s="111" t="n">
        <v>6.36332599336486</v>
      </c>
      <c r="W25" s="111" t="n">
        <v>1.48153175557465</v>
      </c>
      <c r="X25" s="111" t="n">
        <v>10.557440687931</v>
      </c>
      <c r="Y25" s="111" t="n">
        <v>8.96477515056049</v>
      </c>
      <c r="Z25" s="111" t="n">
        <v>3.90508703150085</v>
      </c>
      <c r="AA25" s="111" t="n">
        <v>6.24744044837087</v>
      </c>
      <c r="AB25" s="100" t="n"/>
      <c r="AC25" s="100" t="inlineStr">
        <is>
          <t>Acrescenta sustentabilidade externa, ausente do subíndice atual.</t>
        </is>
      </c>
    </row>
    <row r="26">
      <c r="A26" s="100" t="inlineStr">
        <is>
          <t>2. Estabilidade Macroeconómica</t>
        </is>
      </c>
      <c r="B26" s="100" t="inlineStr">
        <is>
          <t>2. Macroeconomia</t>
        </is>
      </c>
      <c r="C26" s="100" t="inlineStr">
        <is>
          <t>Receita fiscal (% PIB)</t>
        </is>
      </c>
      <c r="D26" s="112" t="inlineStr">
        <is>
          <t>Complementar</t>
        </is>
      </c>
      <c r="E26" s="100" t="inlineStr">
        <is>
          <t>GC.TAX.TOTL.GD.ZS</t>
        </is>
      </c>
      <c r="F26" s="100" t="inlineStr">
        <is>
          <t>Tax revenue (% of GDP)</t>
        </is>
      </c>
      <c r="G26" s="100" t="inlineStr">
        <is>
          <t>Banco Mundial/WDI</t>
        </is>
      </c>
      <c r="H26" s="109" t="inlineStr">
        <is>
          <t>https://data.worldbank.org/indicator/GC.TAX.TOTL.GD.ZS?locations=AO</t>
        </is>
      </c>
      <c r="I26" s="100" t="inlineStr">
        <is>
          <t>%</t>
        </is>
      </c>
      <c r="J26" s="100" t="inlineStr">
        <is>
          <t>+</t>
        </is>
      </c>
      <c r="K26" s="100" t="n">
        <v>0</v>
      </c>
      <c r="L26" s="100" t="n">
        <v>40</v>
      </c>
      <c r="M26" s="100" t="n">
        <v>18</v>
      </c>
      <c r="N26" s="100" t="n">
        <v>1</v>
      </c>
      <c r="O26" s="100" t="inlineStr">
        <is>
          <t>Alta</t>
        </is>
      </c>
      <c r="P26" s="100" t="inlineStr">
        <is>
          <t>Preenchido via Banco Mundial API/CSV</t>
        </is>
      </c>
      <c r="Q26" s="100" t="inlineStr">
        <is>
          <t>10/11</t>
        </is>
      </c>
      <c r="R26" s="111" t="n">
        <v>9.70951386996337</v>
      </c>
      <c r="S26" s="111" t="n">
        <v>8.57578671236085</v>
      </c>
      <c r="T26" s="111" t="n">
        <v>8.05553778621351</v>
      </c>
      <c r="U26" s="111" t="n">
        <v>9.928880234027091</v>
      </c>
      <c r="V26" s="111" t="n">
        <v>11.2888521414133</v>
      </c>
      <c r="W26" s="111" t="n">
        <v>20.5176075923938</v>
      </c>
      <c r="X26" s="111" t="n">
        <v>10.7033300728789</v>
      </c>
      <c r="Y26" s="111" t="n">
        <v>12.7318115289851</v>
      </c>
      <c r="Z26" s="111" t="n">
        <v>8.86912888123549</v>
      </c>
      <c r="AA26" s="111" t="n">
        <v>7.7443637441998</v>
      </c>
      <c r="AB26" s="100" t="n"/>
      <c r="AC26" s="100" t="inlineStr">
        <is>
          <t>Capta capacidade interna de financiamento do Estado.</t>
        </is>
      </c>
    </row>
    <row r="27">
      <c r="A27" s="100" t="inlineStr">
        <is>
          <t>2. Estabilidade Macroeconómica</t>
        </is>
      </c>
      <c r="B27" s="100" t="inlineStr">
        <is>
          <t>2. Macroeconomia</t>
        </is>
      </c>
      <c r="C27" s="100" t="inlineStr">
        <is>
          <t>IDE líquido total (% PIB)</t>
        </is>
      </c>
      <c r="D27" s="112" t="inlineStr">
        <is>
          <t>Substituto</t>
        </is>
      </c>
      <c r="E27" s="100" t="inlineStr">
        <is>
          <t>BX.KLT.DINV.WD.GD.ZS</t>
        </is>
      </c>
      <c r="F27" s="100" t="inlineStr">
        <is>
          <t>Foreign direct investment, net inflows (% of GDP)</t>
        </is>
      </c>
      <c r="G27" s="100" t="inlineStr">
        <is>
          <t>Banco Mundial/WDI</t>
        </is>
      </c>
      <c r="H27" s="109" t="inlineStr">
        <is>
          <t>https://data.worldbank.org/indicator/BX.KLT.DINV.WD.GD.ZS?locations=AO</t>
        </is>
      </c>
      <c r="I27" s="100" t="inlineStr">
        <is>
          <t>%</t>
        </is>
      </c>
      <c r="J27" s="100" t="inlineStr">
        <is>
          <t>+</t>
        </is>
      </c>
      <c r="K27" s="100" t="n">
        <v>-10</v>
      </c>
      <c r="L27" s="100" t="n">
        <v>20</v>
      </c>
      <c r="M27" s="100" t="n">
        <v>5</v>
      </c>
      <c r="N27" s="100" t="n">
        <v>1</v>
      </c>
      <c r="O27" s="100" t="inlineStr">
        <is>
          <t>Alta</t>
        </is>
      </c>
      <c r="P27" s="100" t="inlineStr">
        <is>
          <t>Preenchido via Banco Mundial API/CSV</t>
        </is>
      </c>
      <c r="Q27" s="100" t="inlineStr">
        <is>
          <t>10/11</t>
        </is>
      </c>
      <c r="R27" s="111" t="n">
        <v>9.7795154502448</v>
      </c>
      <c r="S27" s="111" t="n">
        <v>-0.299804386002375</v>
      </c>
      <c r="T27" s="111" t="n">
        <v>-8.766963802081721</v>
      </c>
      <c r="U27" s="111" t="n">
        <v>-7.21246216123288</v>
      </c>
      <c r="V27" s="111" t="n">
        <v>-5.07649440156737</v>
      </c>
      <c r="W27" s="111" t="n">
        <v>-3.17143620765821</v>
      </c>
      <c r="X27" s="111" t="n">
        <v>-5.47403409372737</v>
      </c>
      <c r="Y27" s="111" t="n">
        <v>-5.02899288556058</v>
      </c>
      <c r="Z27" s="111" t="n">
        <v>-1.97786390222726</v>
      </c>
      <c r="AA27" s="111" t="n">
        <v>-1.0986881170909</v>
      </c>
      <c r="AB27" s="100" t="n"/>
      <c r="AC27" s="100" t="inlineStr">
        <is>
          <t>Substitui provisoriamente o IDE não-petrolífero quando a série setorial estiver vazia.</t>
        </is>
      </c>
    </row>
    <row r="28">
      <c r="A28" s="100" t="inlineStr">
        <is>
          <t>2. Estabilidade Macroeconómica</t>
        </is>
      </c>
      <c r="B28" s="100" t="inlineStr">
        <is>
          <t>2. Macroeconomia</t>
        </is>
      </c>
      <c r="C28" s="100" t="inlineStr">
        <is>
          <t>Rendas petrolíferas (% PIB)</t>
        </is>
      </c>
      <c r="D28" s="112" t="inlineStr">
        <is>
          <t>Complementar</t>
        </is>
      </c>
      <c r="E28" s="100" t="inlineStr">
        <is>
          <t>NY.GDP.PETR.RT.ZS</t>
        </is>
      </c>
      <c r="F28" s="100" t="inlineStr">
        <is>
          <t>Oil rents (% of GDP)</t>
        </is>
      </c>
      <c r="G28" s="100" t="inlineStr">
        <is>
          <t>Banco Mundial/WDI</t>
        </is>
      </c>
      <c r="H28" s="109" t="inlineStr">
        <is>
          <t>https://data.worldbank.org/indicator/NY.GDP.PETR.RT.ZS?locations=AO</t>
        </is>
      </c>
      <c r="I28" s="100" t="inlineStr">
        <is>
          <t>%</t>
        </is>
      </c>
      <c r="J28" s="100" t="inlineStr">
        <is>
          <t>-</t>
        </is>
      </c>
      <c r="K28" s="100" t="n">
        <v>0</v>
      </c>
      <c r="L28" s="100" t="n">
        <v>60</v>
      </c>
      <c r="M28" s="100" t="n">
        <v>15</v>
      </c>
      <c r="N28" s="100" t="n">
        <v>1</v>
      </c>
      <c r="O28" s="100" t="inlineStr">
        <is>
          <t>Alta</t>
        </is>
      </c>
      <c r="P28" s="100" t="inlineStr">
        <is>
          <t>Preenchido via Banco Mundial API/CSV</t>
        </is>
      </c>
      <c r="Q28" s="100" t="inlineStr">
        <is>
          <t>7/11</t>
        </is>
      </c>
      <c r="R28" s="111" t="n">
        <v>12.7187303090272</v>
      </c>
      <c r="S28" s="111" t="n">
        <v>19.7483988340046</v>
      </c>
      <c r="T28" s="111" t="n">
        <v>24.7110060055382</v>
      </c>
      <c r="U28" s="111" t="n">
        <v>30.7304027285905</v>
      </c>
      <c r="V28" s="111" t="n">
        <v>27.504828641196</v>
      </c>
      <c r="W28" s="111" t="n">
        <v>18.5719595053837</v>
      </c>
      <c r="X28" s="111" t="n">
        <v>28.2744398825844</v>
      </c>
      <c r="Y28" s="100" t="n"/>
      <c r="Z28" s="100" t="n"/>
      <c r="AA28" s="100" t="n"/>
      <c r="AB28" s="100" t="n"/>
      <c r="AC28" s="100" t="inlineStr">
        <is>
          <t>Proxy de dependência petrolífera; menor dependência é melhor para diversificação.</t>
        </is>
      </c>
    </row>
    <row r="29">
      <c r="A29" s="100" t="inlineStr">
        <is>
          <t>2. Estabilidade Macroeconómica</t>
        </is>
      </c>
      <c r="B29" s="100" t="inlineStr">
        <is>
          <t>2. Macroeconomia</t>
        </is>
      </c>
      <c r="C29" s="100" t="inlineStr">
        <is>
          <t>Exportações de bens e serviços (% PIB)</t>
        </is>
      </c>
      <c r="D29" s="112" t="inlineStr">
        <is>
          <t>Complementar</t>
        </is>
      </c>
      <c r="E29" s="100" t="inlineStr">
        <is>
          <t>NE.EXP.GNFS.ZS</t>
        </is>
      </c>
      <c r="F29" s="100" t="inlineStr">
        <is>
          <t>Exports of goods and services (% of GDP)</t>
        </is>
      </c>
      <c r="G29" s="100" t="inlineStr">
        <is>
          <t>Banco Mundial/WDI</t>
        </is>
      </c>
      <c r="H29" s="109" t="inlineStr">
        <is>
          <t>https://data.worldbank.org/indicator/NE.EXP.GNFS.ZS?locations=AO</t>
        </is>
      </c>
      <c r="I29" s="100" t="inlineStr">
        <is>
          <t>%</t>
        </is>
      </c>
      <c r="J29" s="100" t="inlineStr">
        <is>
          <t>+</t>
        </is>
      </c>
      <c r="K29" s="100" t="n">
        <v>0</v>
      </c>
      <c r="L29" s="100" t="n">
        <v>100</v>
      </c>
      <c r="M29" s="100" t="n">
        <v>40</v>
      </c>
      <c r="N29" s="100" t="n">
        <v>1</v>
      </c>
      <c r="O29" s="100" t="inlineStr">
        <is>
          <t>Média</t>
        </is>
      </c>
      <c r="P29" s="100" t="inlineStr">
        <is>
          <t>Preenchido via Banco Mundial API/CSV</t>
        </is>
      </c>
      <c r="Q29" s="100" t="inlineStr">
        <is>
          <t>10/11</t>
        </is>
      </c>
      <c r="R29" s="111" t="n">
        <v>26.1489317124585</v>
      </c>
      <c r="S29" s="111" t="n">
        <v>24.6591652555406</v>
      </c>
      <c r="T29" s="111" t="n">
        <v>25.4572351848497</v>
      </c>
      <c r="U29" s="111" t="n">
        <v>36.2458951290851</v>
      </c>
      <c r="V29" s="111" t="n">
        <v>37.1603311244083</v>
      </c>
      <c r="W29" s="111" t="n">
        <v>31.5758280076577</v>
      </c>
      <c r="X29" s="111" t="n">
        <v>39.4494840713604</v>
      </c>
      <c r="Y29" s="111" t="n">
        <v>35.1960530217063</v>
      </c>
      <c r="Z29" s="111" t="n">
        <v>32.3263024339928</v>
      </c>
      <c r="AA29" s="111" t="n">
        <v>31.4835234652022</v>
      </c>
      <c r="AB29" s="100" t="n"/>
      <c r="AC29" s="100" t="inlineStr">
        <is>
          <t>Acompanha abertura e capacidade exportadora, mas deve ser lido com composição setorial.</t>
        </is>
      </c>
    </row>
    <row r="30">
      <c r="A30" s="100" t="inlineStr">
        <is>
          <t>2. Estabilidade Macroeconómica</t>
        </is>
      </c>
      <c r="B30" s="100" t="inlineStr">
        <is>
          <t>2. Macroeconomia</t>
        </is>
      </c>
      <c r="C30" s="100" t="inlineStr">
        <is>
          <t>Reservas internacionais em meses de importações</t>
        </is>
      </c>
      <c r="D30" s="112" t="inlineStr">
        <is>
          <t>Substituto</t>
        </is>
      </c>
      <c r="E30" s="100" t="inlineStr">
        <is>
          <t>FI.RES.TOTL.MO</t>
        </is>
      </c>
      <c r="F30" s="100" t="inlineStr">
        <is>
          <t>Total reserves in months of imports</t>
        </is>
      </c>
      <c r="G30" s="100" t="inlineStr">
        <is>
          <t>Banco Mundial/WDI</t>
        </is>
      </c>
      <c r="H30" s="109" t="inlineStr">
        <is>
          <t>https://data.worldbank.org/indicator/FI.RES.TOTL.MO?locations=AO</t>
        </is>
      </c>
      <c r="I30" s="100" t="inlineStr">
        <is>
          <t>Meses</t>
        </is>
      </c>
      <c r="J30" s="100" t="inlineStr">
        <is>
          <t>+</t>
        </is>
      </c>
      <c r="K30" s="100" t="n">
        <v>0</v>
      </c>
      <c r="L30" s="100" t="n">
        <v>12</v>
      </c>
      <c r="M30" s="100" t="n">
        <v>6</v>
      </c>
      <c r="N30" s="100" t="n">
        <v>1</v>
      </c>
      <c r="O30" s="100" t="inlineStr">
        <is>
          <t>Alta</t>
        </is>
      </c>
      <c r="P30" s="100" t="inlineStr">
        <is>
          <t>Preenchido via Banco Mundial API/CSV</t>
        </is>
      </c>
      <c r="Q30" s="100" t="inlineStr">
        <is>
          <t>10/11</t>
        </is>
      </c>
      <c r="R30" s="111" t="n">
        <v>6.48204569064841</v>
      </c>
      <c r="S30" s="111" t="n">
        <v>9.08387120490074</v>
      </c>
      <c r="T30" s="111" t="n">
        <v>5.81818691844858</v>
      </c>
      <c r="U30" s="111" t="n">
        <v>5.4126401540864</v>
      </c>
      <c r="V30" s="111" t="n">
        <v>6.42509428996664</v>
      </c>
      <c r="W30" s="111" t="n">
        <v>8.02614772310759</v>
      </c>
      <c r="X30" s="111" t="n">
        <v>6.94915414648974</v>
      </c>
      <c r="Y30" s="111" t="n">
        <v>4.37683286748628</v>
      </c>
      <c r="Z30" s="111" t="n">
        <v>5.08927113560432</v>
      </c>
      <c r="AA30" s="111" t="n">
        <v>5.51374910579312</v>
      </c>
      <c r="AB30" s="100" t="n"/>
      <c r="AC30" s="100" t="inlineStr">
        <is>
          <t>Pode substituir o cálculo manual atualmente colocado abaixo da tabela.</t>
        </is>
      </c>
    </row>
    <row r="31">
      <c r="A31" s="100" t="inlineStr">
        <is>
          <t>2. Estabilidade Macroeconómica</t>
        </is>
      </c>
      <c r="B31" s="100" t="inlineStr">
        <is>
          <t>2. Macroeconomia</t>
        </is>
      </c>
      <c r="C31" s="100" t="inlineStr">
        <is>
          <t>Crédito doméstico ao setor privado (% PIB)</t>
        </is>
      </c>
      <c r="D31" s="112" t="inlineStr">
        <is>
          <t>Complementar</t>
        </is>
      </c>
      <c r="E31" s="100" t="inlineStr">
        <is>
          <t>FS.AST.PRVT.GD.ZS</t>
        </is>
      </c>
      <c r="F31" s="100" t="inlineStr">
        <is>
          <t>Domestic credit to private sector (% of GDP)</t>
        </is>
      </c>
      <c r="G31" s="100" t="inlineStr">
        <is>
          <t>Banco Mundial/WDI</t>
        </is>
      </c>
      <c r="H31" s="109" t="inlineStr">
        <is>
          <t>https://data.worldbank.org/indicator/FS.AST.PRVT.GD.ZS?locations=AO</t>
        </is>
      </c>
      <c r="I31" s="100" t="inlineStr">
        <is>
          <t>%</t>
        </is>
      </c>
      <c r="J31" s="100" t="inlineStr">
        <is>
          <t>+</t>
        </is>
      </c>
      <c r="K31" s="100" t="n">
        <v>0</v>
      </c>
      <c r="L31" s="100" t="n">
        <v>100</v>
      </c>
      <c r="M31" s="100" t="n">
        <v>35</v>
      </c>
      <c r="N31" s="100" t="n">
        <v>1</v>
      </c>
      <c r="O31" s="100" t="inlineStr">
        <is>
          <t>Média</t>
        </is>
      </c>
      <c r="P31" s="100" t="inlineStr">
        <is>
          <t>Preenchido via Banco Mundial API/CSV</t>
        </is>
      </c>
      <c r="Q31" s="100" t="inlineStr">
        <is>
          <t>10/11</t>
        </is>
      </c>
      <c r="R31" s="111" t="n">
        <v>22.2749280175045</v>
      </c>
      <c r="S31" s="111" t="n">
        <v>18.5908277620868</v>
      </c>
      <c r="T31" s="111" t="n">
        <v>14.84745928119</v>
      </c>
      <c r="U31" s="111" t="n">
        <v>13.256401276638</v>
      </c>
      <c r="V31" s="111" t="n">
        <v>13.4718248959992</v>
      </c>
      <c r="W31" s="111" t="n">
        <v>11.3107531927913</v>
      </c>
      <c r="X31" s="111" t="n">
        <v>8.702496376913841</v>
      </c>
      <c r="Y31" s="111" t="n">
        <v>6.86560736253038</v>
      </c>
      <c r="Z31" s="111" t="n">
        <v>7.56544382086068</v>
      </c>
      <c r="AA31" s="111" t="n">
        <v>7.31668036665318</v>
      </c>
      <c r="AB31" s="100" t="n"/>
      <c r="AC31" s="100" t="inlineStr">
        <is>
          <t>Acrescenta profundidade financeira e apoio ao investimento privado.</t>
        </is>
      </c>
    </row>
    <row r="32">
      <c r="A32" s="100" t="inlineStr">
        <is>
          <t>2. Estabilidade Macroeconómica</t>
        </is>
      </c>
      <c r="B32" s="100" t="inlineStr">
        <is>
          <t>2. Macroeconomia</t>
        </is>
      </c>
      <c r="C32" s="100" t="inlineStr">
        <is>
          <t>Crescimento do PIB não petrolífero</t>
        </is>
      </c>
      <c r="D32" s="112" t="inlineStr">
        <is>
          <t>Complementar</t>
        </is>
      </c>
      <c r="E32" s="100" t="inlineStr"/>
      <c r="F32" s="100" t="inlineStr"/>
      <c r="G32" s="100" t="inlineStr">
        <is>
          <t>INE/MEP/BNA</t>
        </is>
      </c>
      <c r="H32" s="109" t="inlineStr">
        <is>
          <t>https://www.ine.gov.ao/</t>
        </is>
      </c>
      <c r="I32" s="100" t="inlineStr">
        <is>
          <t>%</t>
        </is>
      </c>
      <c r="J32" s="100" t="inlineStr">
        <is>
          <t>+</t>
        </is>
      </c>
      <c r="K32" s="100" t="n">
        <v>-10</v>
      </c>
      <c r="L32" s="100" t="n">
        <v>15</v>
      </c>
      <c r="M32" s="100" t="n">
        <v>5</v>
      </c>
      <c r="N32" s="100" t="n">
        <v>1</v>
      </c>
      <c r="O32" s="100" t="inlineStr">
        <is>
          <t>Alta</t>
        </is>
      </c>
      <c r="P32" s="113" t="inlineStr">
        <is>
          <t>Sem código/API; recolha manual</t>
        </is>
      </c>
      <c r="Q32" s="100" t="inlineStr">
        <is>
          <t>0/11</t>
        </is>
      </c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  <c r="AA32" s="100" t="n"/>
      <c r="AB32" s="100" t="n"/>
      <c r="AC32" s="100" t="inlineStr">
        <is>
          <t>Mais alinhado com a diversificação económica do que o PIB total.</t>
        </is>
      </c>
    </row>
    <row r="33">
      <c r="A33" s="100" t="inlineStr">
        <is>
          <t>2. Estabilidade Macroeconómica</t>
        </is>
      </c>
      <c r="B33" s="100" t="inlineStr">
        <is>
          <t>2. Macroeconomia</t>
        </is>
      </c>
      <c r="C33" s="100" t="inlineStr">
        <is>
          <t>Volatilidade da taxa de câmbio nominal</t>
        </is>
      </c>
      <c r="D33" s="112" t="inlineStr">
        <is>
          <t>Complementar</t>
        </is>
      </c>
      <c r="E33" s="100" t="inlineStr">
        <is>
          <t>PA.NUS.FCRF</t>
        </is>
      </c>
      <c r="F33" s="100" t="inlineStr">
        <is>
          <t>Official exchange rate, annual absolute variation calculated from PA.NUS.FCRF</t>
        </is>
      </c>
      <c r="G33" s="100" t="inlineStr">
        <is>
          <t>Banco Mundial/WDI ou BNA</t>
        </is>
      </c>
      <c r="H33" s="109" t="inlineStr">
        <is>
          <t>https://data.worldbank.org/indicator/PA.NUS.FCRF?locations=AO</t>
        </is>
      </c>
      <c r="I33" s="100" t="inlineStr">
        <is>
          <t>% variação anual</t>
        </is>
      </c>
      <c r="J33" s="100" t="inlineStr">
        <is>
          <t>-</t>
        </is>
      </c>
      <c r="K33" s="100" t="n">
        <v>0</v>
      </c>
      <c r="L33" s="100" t="n">
        <v>80</v>
      </c>
      <c r="M33" s="100" t="n">
        <v>10</v>
      </c>
      <c r="N33" s="100" t="n">
        <v>1</v>
      </c>
      <c r="O33" s="100" t="inlineStr">
        <is>
          <t>Média</t>
        </is>
      </c>
      <c r="P33" s="100" t="inlineStr">
        <is>
          <t>Calculado: variação absoluta anual de PA.NUS.FCRF</t>
        </is>
      </c>
      <c r="Q33" s="100" t="inlineStr">
        <is>
          <t>10/11</t>
        </is>
      </c>
      <c r="R33" s="111" t="n">
        <v>22.13402834371674</v>
      </c>
      <c r="S33" s="111" t="n">
        <v>36.31140901807876</v>
      </c>
      <c r="T33" s="111" t="n">
        <v>1.38064634434687</v>
      </c>
      <c r="U33" s="111" t="n">
        <v>52.39990288905694</v>
      </c>
      <c r="V33" s="111" t="n">
        <v>44.2821878696531</v>
      </c>
      <c r="W33" s="111" t="n">
        <v>58.50270797330421</v>
      </c>
      <c r="X33" s="111" t="n">
        <v>9.197123682385744</v>
      </c>
      <c r="Y33" s="111" t="n">
        <v>27.06098991128023</v>
      </c>
      <c r="Z33" s="111" t="n">
        <v>48.73394680725778</v>
      </c>
      <c r="AA33" s="111" t="n">
        <v>26.98109364367758</v>
      </c>
      <c r="AB33" s="100" t="n"/>
      <c r="AC33" s="100" t="inlineStr">
        <is>
          <t>Capta instabilidade cambial que afeta preços, dívida e importações.</t>
        </is>
      </c>
    </row>
    <row r="34">
      <c r="A34" s="100" t="inlineStr">
        <is>
          <t>3. Capital Humano</t>
        </is>
      </c>
      <c r="B34" s="100" t="inlineStr">
        <is>
          <t>3. Capital Humano</t>
        </is>
      </c>
      <c r="C34" s="100" t="inlineStr">
        <is>
          <t>Índice de Desenvolvimento Humano</t>
        </is>
      </c>
      <c r="D34" s="110" t="inlineStr">
        <is>
          <t>Atual no modelo</t>
        </is>
      </c>
      <c r="E34" s="100" t="inlineStr"/>
      <c r="F34" s="100" t="inlineStr"/>
      <c r="G34" s="100" t="inlineStr">
        <is>
          <t>PNUD</t>
        </is>
      </c>
      <c r="H34" s="109" t="inlineStr">
        <is>
          <t>Relatório do Desenvolvimento Humano (RDH) 2023-2024 | United Nations Development Programme</t>
        </is>
      </c>
      <c r="I34" s="100" t="inlineStr">
        <is>
          <t>0-1</t>
        </is>
      </c>
      <c r="J34" s="100" t="inlineStr">
        <is>
          <t>+</t>
        </is>
      </c>
      <c r="K34" s="100" t="n">
        <v>0</v>
      </c>
      <c r="L34" s="100" t="n">
        <v>1</v>
      </c>
      <c r="M34" s="100" t="n">
        <v>0.6</v>
      </c>
      <c r="N34" s="100" t="n">
        <v>1</v>
      </c>
      <c r="O34" s="100" t="inlineStr">
        <is>
          <t>Em uso</t>
        </is>
      </c>
      <c r="P34" s="100" t="inlineStr">
        <is>
          <t>Série existente no Input_Dados</t>
        </is>
      </c>
      <c r="Q34" s="100" t="inlineStr">
        <is>
          <t>9/11</t>
        </is>
      </c>
      <c r="R34" s="111" t="n">
        <v>0.591</v>
      </c>
      <c r="S34" s="111" t="n">
        <v>0.595</v>
      </c>
      <c r="T34" s="111" t="n">
        <v>0.597</v>
      </c>
      <c r="U34" s="111" t="n">
        <v>0.598</v>
      </c>
      <c r="V34" s="111" t="n">
        <v>0.597</v>
      </c>
      <c r="W34" s="111" t="n">
        <v>0.594</v>
      </c>
      <c r="X34" s="111" t="n">
        <v>0.59</v>
      </c>
      <c r="Y34" s="111" t="n">
        <v>0.591</v>
      </c>
      <c r="Z34" s="111" t="n">
        <v>0.616</v>
      </c>
      <c r="AA34" s="100" t="n"/>
      <c r="AB34" s="100" t="n"/>
      <c r="AC34" s="100" t="inlineStr">
        <is>
          <t>Indicador já incluído no modelo original.</t>
        </is>
      </c>
    </row>
    <row r="35">
      <c r="A35" s="100" t="inlineStr">
        <is>
          <t>3. Capital Humano</t>
        </is>
      </c>
      <c r="B35" s="100" t="inlineStr">
        <is>
          <t>3. Capital Humano</t>
        </is>
      </c>
      <c r="C35" s="100" t="inlineStr">
        <is>
          <t>Esperança Média de Vida</t>
        </is>
      </c>
      <c r="D35" s="110" t="inlineStr">
        <is>
          <t>Atual no modelo</t>
        </is>
      </c>
      <c r="E35" s="100" t="inlineStr">
        <is>
          <t>SP.DYN.LE00.IN</t>
        </is>
      </c>
      <c r="F35" s="100" t="inlineStr"/>
      <c r="G35" s="100" t="inlineStr">
        <is>
          <t>INE/OMS</t>
        </is>
      </c>
      <c r="H35" s="109" t="inlineStr">
        <is>
          <t>Life Expectancy at Birth, Total for Angola (SPDYNLE00INAGO) | FRED | St. Louis Fed</t>
        </is>
      </c>
      <c r="I35" s="100" t="inlineStr">
        <is>
          <t>Anos</t>
        </is>
      </c>
      <c r="J35" s="100" t="inlineStr">
        <is>
          <t>+</t>
        </is>
      </c>
      <c r="K35" s="100" t="n">
        <v>40</v>
      </c>
      <c r="L35" s="100" t="n">
        <v>85</v>
      </c>
      <c r="M35" s="100" t="n">
        <v>65</v>
      </c>
      <c r="N35" s="100" t="n">
        <v>1</v>
      </c>
      <c r="O35" s="100" t="inlineStr">
        <is>
          <t>Em uso</t>
        </is>
      </c>
      <c r="P35" s="100" t="inlineStr">
        <is>
          <t>Série existente no Input_Dados</t>
        </is>
      </c>
      <c r="Q35" s="100" t="inlineStr">
        <is>
          <t>11/11</t>
        </is>
      </c>
      <c r="R35" s="111" t="n">
        <v>61.042</v>
      </c>
      <c r="S35" s="111" t="n">
        <v>61.619</v>
      </c>
      <c r="T35" s="111" t="n">
        <v>61.7</v>
      </c>
      <c r="U35" s="111" t="n">
        <v>61.7</v>
      </c>
      <c r="V35" s="111" t="n">
        <v>62.2</v>
      </c>
      <c r="W35" s="111" t="n">
        <v>62.48</v>
      </c>
      <c r="X35" s="111" t="n">
        <v>62.72</v>
      </c>
      <c r="Y35" s="111" t="n">
        <v>62.95</v>
      </c>
      <c r="Z35" s="111" t="n">
        <v>64.617</v>
      </c>
      <c r="AA35" s="111" t="n">
        <v>64</v>
      </c>
      <c r="AB35" s="111" t="n">
        <v>65</v>
      </c>
      <c r="AC35" s="100" t="inlineStr">
        <is>
          <t>Indicador já incluído no modelo original.</t>
        </is>
      </c>
    </row>
    <row r="36">
      <c r="A36" s="100" t="inlineStr">
        <is>
          <t>3. Capital Humano</t>
        </is>
      </c>
      <c r="B36" s="100" t="inlineStr">
        <is>
          <t>3. Capital Humano</t>
        </is>
      </c>
      <c r="C36" s="100" t="inlineStr">
        <is>
          <t>Taxa de Alfabetização (+15 anos)</t>
        </is>
      </c>
      <c r="D36" s="110" t="inlineStr">
        <is>
          <t>Atual no modelo</t>
        </is>
      </c>
      <c r="E36" s="100" t="inlineStr">
        <is>
          <t>SE.ADT.LITR.ZS</t>
        </is>
      </c>
      <c r="F36" s="100" t="inlineStr"/>
      <c r="G36" s="100" t="inlineStr">
        <is>
          <t>INE/MED</t>
        </is>
      </c>
      <c r="H36" s="100" t="n"/>
      <c r="I36" s="100" t="inlineStr">
        <is>
          <t>%</t>
        </is>
      </c>
      <c r="J36" s="100" t="inlineStr">
        <is>
          <t>+</t>
        </is>
      </c>
      <c r="K36" s="100" t="n">
        <v>0</v>
      </c>
      <c r="L36" s="100" t="n">
        <v>100</v>
      </c>
      <c r="M36" s="100" t="n">
        <v>75</v>
      </c>
      <c r="N36" s="100" t="n">
        <v>1</v>
      </c>
      <c r="O36" s="100" t="inlineStr">
        <is>
          <t>Em uso</t>
        </is>
      </c>
      <c r="P36" s="113" t="inlineStr">
        <is>
          <t>Série existente no Input_Dados</t>
        </is>
      </c>
      <c r="Q36" s="100" t="inlineStr">
        <is>
          <t>0/11</t>
        </is>
      </c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  <c r="AA36" s="100" t="n"/>
      <c r="AB36" s="100" t="n"/>
      <c r="AC36" s="100" t="inlineStr">
        <is>
          <t>Indicador já incluído no modelo original.</t>
        </is>
      </c>
    </row>
    <row r="37">
      <c r="A37" s="100" t="inlineStr">
        <is>
          <t>3. Capital Humano</t>
        </is>
      </c>
      <c r="B37" s="100" t="inlineStr">
        <is>
          <t>3. Capital Humano</t>
        </is>
      </c>
      <c r="C37" s="100" t="inlineStr">
        <is>
          <t>Taxa de Matrícula (primário)</t>
        </is>
      </c>
      <c r="D37" s="110" t="inlineStr">
        <is>
          <t>Atual no modelo</t>
        </is>
      </c>
      <c r="E37" s="100" t="inlineStr">
        <is>
          <t>SE.PRM.NENR</t>
        </is>
      </c>
      <c r="F37" s="100" t="inlineStr"/>
      <c r="G37" s="100" t="inlineStr">
        <is>
          <t>MED</t>
        </is>
      </c>
      <c r="H37" s="100" t="n"/>
      <c r="I37" s="100" t="inlineStr">
        <is>
          <t>%</t>
        </is>
      </c>
      <c r="J37" s="100" t="inlineStr">
        <is>
          <t>+</t>
        </is>
      </c>
      <c r="K37" s="100" t="n">
        <v>0</v>
      </c>
      <c r="L37" s="100" t="n">
        <v>100</v>
      </c>
      <c r="M37" s="100" t="n">
        <v>95</v>
      </c>
      <c r="N37" s="100" t="n">
        <v>1</v>
      </c>
      <c r="O37" s="100" t="inlineStr">
        <is>
          <t>Em uso</t>
        </is>
      </c>
      <c r="P37" s="113" t="inlineStr">
        <is>
          <t>Série existente no Input_Dados</t>
        </is>
      </c>
      <c r="Q37" s="100" t="inlineStr">
        <is>
          <t>0/11</t>
        </is>
      </c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  <c r="AA37" s="100" t="n"/>
      <c r="AB37" s="100" t="n"/>
      <c r="AC37" s="100" t="inlineStr">
        <is>
          <t>Indicador já incluído no modelo original.</t>
        </is>
      </c>
    </row>
    <row r="38">
      <c r="A38" s="100" t="inlineStr">
        <is>
          <t>3. Capital Humano</t>
        </is>
      </c>
      <c r="B38" s="100" t="inlineStr">
        <is>
          <t>3. Capital Humano</t>
        </is>
      </c>
      <c r="C38" s="100" t="inlineStr">
        <is>
          <t>Anos Médios de Escolaridade</t>
        </is>
      </c>
      <c r="D38" s="110" t="inlineStr">
        <is>
          <t>Atual no modelo</t>
        </is>
      </c>
      <c r="E38" s="100" t="inlineStr"/>
      <c r="F38" s="100" t="inlineStr"/>
      <c r="G38" s="100" t="inlineStr">
        <is>
          <t>UNESCO</t>
        </is>
      </c>
      <c r="H38" s="100" t="n"/>
      <c r="I38" s="100" t="inlineStr">
        <is>
          <t>Anos</t>
        </is>
      </c>
      <c r="J38" s="100" t="inlineStr">
        <is>
          <t>+</t>
        </is>
      </c>
      <c r="K38" s="100" t="n">
        <v>0</v>
      </c>
      <c r="L38" s="100" t="n">
        <v>15</v>
      </c>
      <c r="M38" s="100" t="n">
        <v>8</v>
      </c>
      <c r="N38" s="100" t="n">
        <v>1</v>
      </c>
      <c r="O38" s="100" t="inlineStr">
        <is>
          <t>Em uso</t>
        </is>
      </c>
      <c r="P38" s="113" t="inlineStr">
        <is>
          <t>Série existente no Input_Dados</t>
        </is>
      </c>
      <c r="Q38" s="100" t="inlineStr">
        <is>
          <t>0/11</t>
        </is>
      </c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  <c r="AA38" s="100" t="n"/>
      <c r="AB38" s="100" t="n"/>
      <c r="AC38" s="100" t="inlineStr">
        <is>
          <t>Indicador já incluído no modelo original.</t>
        </is>
      </c>
    </row>
    <row r="39">
      <c r="A39" s="100" t="inlineStr">
        <is>
          <t>3. Capital Humano</t>
        </is>
      </c>
      <c r="B39" s="100" t="inlineStr">
        <is>
          <t>3. Capital Humano</t>
        </is>
      </c>
      <c r="C39" s="100" t="inlineStr">
        <is>
          <t>Mortalidade Infantil (por 1000)</t>
        </is>
      </c>
      <c r="D39" s="110" t="inlineStr">
        <is>
          <t>Atual no modelo</t>
        </is>
      </c>
      <c r="E39" s="100" t="inlineStr">
        <is>
          <t>SP.DYN.IMRT.IN</t>
        </is>
      </c>
      <c r="F39" s="100" t="inlineStr"/>
      <c r="G39" s="100" t="inlineStr">
        <is>
          <t>INE/MINSA</t>
        </is>
      </c>
      <c r="H39" s="100" t="n"/>
      <c r="I39" s="100" t="inlineStr">
        <is>
          <t>‰</t>
        </is>
      </c>
      <c r="J39" s="100" t="inlineStr">
        <is>
          <t>-</t>
        </is>
      </c>
      <c r="K39" s="100" t="n">
        <v>0</v>
      </c>
      <c r="L39" s="100" t="n">
        <v>150</v>
      </c>
      <c r="M39" s="100" t="n">
        <v>40</v>
      </c>
      <c r="N39" s="100" t="n">
        <v>1</v>
      </c>
      <c r="O39" s="100" t="inlineStr">
        <is>
          <t>Em uso</t>
        </is>
      </c>
      <c r="P39" s="100" t="inlineStr">
        <is>
          <t>Série existente no Input_Dados</t>
        </is>
      </c>
      <c r="Q39" s="100" t="inlineStr">
        <is>
          <t>6/11</t>
        </is>
      </c>
      <c r="R39" s="100" t="n"/>
      <c r="S39" s="100" t="n"/>
      <c r="T39" s="111" t="n">
        <v>61.1</v>
      </c>
      <c r="U39" s="111" t="n">
        <v>60</v>
      </c>
      <c r="V39" s="111" t="n">
        <v>58.9</v>
      </c>
      <c r="W39" s="111" t="n">
        <v>57.8</v>
      </c>
      <c r="X39" s="111" t="n">
        <v>56.81</v>
      </c>
      <c r="Y39" s="111" t="n">
        <v>55.84</v>
      </c>
      <c r="Z39" s="100" t="n"/>
      <c r="AA39" s="100" t="n"/>
      <c r="AB39" s="100" t="n"/>
      <c r="AC39" s="100" t="inlineStr">
        <is>
          <t>Indicador já incluído no modelo original.</t>
        </is>
      </c>
    </row>
    <row r="40">
      <c r="A40" s="100" t="inlineStr">
        <is>
          <t>3. Capital Humano</t>
        </is>
      </c>
      <c r="B40" s="100" t="inlineStr">
        <is>
          <t>3. Capital Humano</t>
        </is>
      </c>
      <c r="C40" s="100" t="inlineStr">
        <is>
          <t>Taxa de alfabetização adulta</t>
        </is>
      </c>
      <c r="D40" s="112" t="inlineStr">
        <is>
          <t>Substituto</t>
        </is>
      </c>
      <c r="E40" s="100" t="inlineStr">
        <is>
          <t>SE.ADT.LITR.ZS</t>
        </is>
      </c>
      <c r="F40" s="100" t="inlineStr">
        <is>
          <t>Literacy rate, adult total (% of people ages 15 and above)</t>
        </is>
      </c>
      <c r="G40" s="100" t="inlineStr">
        <is>
          <t>Banco Mundial/UNESCO</t>
        </is>
      </c>
      <c r="H40" s="109" t="inlineStr">
        <is>
          <t>https://data.worldbank.org/indicator/SE.ADT.LITR.ZS?locations=AO</t>
        </is>
      </c>
      <c r="I40" s="100" t="inlineStr">
        <is>
          <t>%</t>
        </is>
      </c>
      <c r="J40" s="100" t="inlineStr">
        <is>
          <t>+</t>
        </is>
      </c>
      <c r="K40" s="100" t="n">
        <v>0</v>
      </c>
      <c r="L40" s="100" t="n">
        <v>100</v>
      </c>
      <c r="M40" s="100" t="n">
        <v>75</v>
      </c>
      <c r="N40" s="100" t="n">
        <v>1</v>
      </c>
      <c r="O40" s="100" t="inlineStr">
        <is>
          <t>Alta</t>
        </is>
      </c>
      <c r="P40" s="100" t="inlineStr">
        <is>
          <t>Preenchido via Banco Mundial API/CSV</t>
        </is>
      </c>
      <c r="Q40" s="100" t="inlineStr">
        <is>
          <t>2/11</t>
        </is>
      </c>
      <c r="R40" s="111" t="n">
        <v>66.2399978637695</v>
      </c>
      <c r="S40" s="100" t="n"/>
      <c r="T40" s="100" t="n"/>
      <c r="U40" s="100" t="n"/>
      <c r="V40" s="100" t="n"/>
      <c r="W40" s="100" t="n"/>
      <c r="X40" s="100" t="n"/>
      <c r="Y40" s="100" t="n"/>
      <c r="Z40" s="111" t="n">
        <v>68.1800003051758</v>
      </c>
      <c r="AA40" s="100" t="n"/>
      <c r="AB40" s="100" t="n"/>
      <c r="AC40" s="100" t="inlineStr">
        <is>
          <t>Preenche a linha existente com fonte internacional comparável.</t>
        </is>
      </c>
    </row>
    <row r="41">
      <c r="A41" s="100" t="inlineStr">
        <is>
          <t>3. Capital Humano</t>
        </is>
      </c>
      <c r="B41" s="100" t="inlineStr">
        <is>
          <t>3. Capital Humano</t>
        </is>
      </c>
      <c r="C41" s="100" t="inlineStr">
        <is>
          <t>Taxa de conclusão do ensino primário</t>
        </is>
      </c>
      <c r="D41" s="112" t="inlineStr">
        <is>
          <t>Complementar</t>
        </is>
      </c>
      <c r="E41" s="100" t="inlineStr">
        <is>
          <t>SE.PRM.CMPT.ZS</t>
        </is>
      </c>
      <c r="F41" s="100" t="inlineStr">
        <is>
          <t>Primary completion rate, total (% of relevant age group)</t>
        </is>
      </c>
      <c r="G41" s="100" t="inlineStr">
        <is>
          <t>Banco Mundial/UNESCO</t>
        </is>
      </c>
      <c r="H41" s="109" t="inlineStr">
        <is>
          <t>https://data.worldbank.org/indicator/SE.PRM.CMPT.ZS?locations=AO</t>
        </is>
      </c>
      <c r="I41" s="100" t="inlineStr">
        <is>
          <t>%</t>
        </is>
      </c>
      <c r="J41" s="100" t="inlineStr">
        <is>
          <t>+</t>
        </is>
      </c>
      <c r="K41" s="100" t="n">
        <v>0</v>
      </c>
      <c r="L41" s="100" t="n">
        <v>100</v>
      </c>
      <c r="M41" s="100" t="n">
        <v>90</v>
      </c>
      <c r="N41" s="100" t="n">
        <v>1</v>
      </c>
      <c r="O41" s="100" t="inlineStr">
        <is>
          <t>Alta</t>
        </is>
      </c>
      <c r="P41" s="100" t="inlineStr">
        <is>
          <t>Preenchido via Banco Mundial API/CSV</t>
        </is>
      </c>
      <c r="Q41" s="100" t="inlineStr">
        <is>
          <t>2/11</t>
        </is>
      </c>
      <c r="R41" s="100" t="n"/>
      <c r="S41" s="100" t="n"/>
      <c r="T41" s="100" t="n"/>
      <c r="U41" s="100" t="n"/>
      <c r="V41" s="100" t="n"/>
      <c r="W41" s="100" t="n"/>
      <c r="X41" s="111" t="n">
        <v>60.0259394365677</v>
      </c>
      <c r="Y41" s="100" t="n"/>
      <c r="Z41" s="111" t="n">
        <v>47.8556786596463</v>
      </c>
      <c r="AA41" s="100" t="n"/>
      <c r="AB41" s="100" t="n"/>
      <c r="AC41" s="100" t="inlineStr">
        <is>
          <t>Mais robusta que matrícula para medir progressão efetiva.</t>
        </is>
      </c>
    </row>
    <row r="42">
      <c r="A42" s="100" t="inlineStr">
        <is>
          <t>3. Capital Humano</t>
        </is>
      </c>
      <c r="B42" s="100" t="inlineStr">
        <is>
          <t>3. Capital Humano</t>
        </is>
      </c>
      <c r="C42" s="100" t="inlineStr">
        <is>
          <t>Matrícula no ensino secundário, bruta</t>
        </is>
      </c>
      <c r="D42" s="112" t="inlineStr">
        <is>
          <t>Complementar</t>
        </is>
      </c>
      <c r="E42" s="100" t="inlineStr">
        <is>
          <t>SE.SEC.ENRR</t>
        </is>
      </c>
      <c r="F42" s="100" t="inlineStr">
        <is>
          <t>School enrollment, secondary (% gross)</t>
        </is>
      </c>
      <c r="G42" s="100" t="inlineStr">
        <is>
          <t>Banco Mundial/UNESCO</t>
        </is>
      </c>
      <c r="H42" s="109" t="inlineStr">
        <is>
          <t>https://data.worldbank.org/indicator/SE.SEC.ENRR?locations=AO</t>
        </is>
      </c>
      <c r="I42" s="100" t="inlineStr">
        <is>
          <t>%</t>
        </is>
      </c>
      <c r="J42" s="100" t="inlineStr">
        <is>
          <t>+</t>
        </is>
      </c>
      <c r="K42" s="100" t="n">
        <v>0</v>
      </c>
      <c r="L42" s="100" t="n">
        <v>150</v>
      </c>
      <c r="M42" s="100" t="n">
        <v>80</v>
      </c>
      <c r="N42" s="100" t="n">
        <v>1</v>
      </c>
      <c r="O42" s="100" t="inlineStr">
        <is>
          <t>Alta</t>
        </is>
      </c>
      <c r="P42" s="100" t="inlineStr">
        <is>
          <t>Preenchido via Banco Mundial API/CSV</t>
        </is>
      </c>
      <c r="Q42" s="100" t="inlineStr">
        <is>
          <t>3/11</t>
        </is>
      </c>
      <c r="R42" s="100" t="n"/>
      <c r="S42" s="111" t="n">
        <v>54.4167987304753</v>
      </c>
      <c r="T42" s="100" t="n"/>
      <c r="U42" s="100" t="n"/>
      <c r="V42" s="100" t="n"/>
      <c r="W42" s="100" t="n"/>
      <c r="X42" s="111" t="n">
        <v>53.1351542727131</v>
      </c>
      <c r="Y42" s="100" t="n"/>
      <c r="Z42" s="111" t="n">
        <v>51.4839046246776</v>
      </c>
      <c r="AA42" s="100" t="n"/>
      <c r="AB42" s="100" t="n"/>
      <c r="AC42" s="100" t="inlineStr">
        <is>
          <t>Captura continuidade pós-primária.</t>
        </is>
      </c>
    </row>
    <row r="43">
      <c r="A43" s="100" t="inlineStr">
        <is>
          <t>3. Capital Humano</t>
        </is>
      </c>
      <c r="B43" s="100" t="inlineStr">
        <is>
          <t>3. Capital Humano</t>
        </is>
      </c>
      <c r="C43" s="100" t="inlineStr">
        <is>
          <t>Matrícula no ensino terciário, bruta</t>
        </is>
      </c>
      <c r="D43" s="112" t="inlineStr">
        <is>
          <t>Complementar</t>
        </is>
      </c>
      <c r="E43" s="100" t="inlineStr">
        <is>
          <t>SE.TER.ENRR</t>
        </is>
      </c>
      <c r="F43" s="100" t="inlineStr">
        <is>
          <t>School enrollment, tertiary (% gross)</t>
        </is>
      </c>
      <c r="G43" s="100" t="inlineStr">
        <is>
          <t>Banco Mundial/UNESCO</t>
        </is>
      </c>
      <c r="H43" s="109" t="inlineStr">
        <is>
          <t>https://data.worldbank.org/indicator/SE.TER.ENRR?locations=AO</t>
        </is>
      </c>
      <c r="I43" s="100" t="inlineStr">
        <is>
          <t>%</t>
        </is>
      </c>
      <c r="J43" s="100" t="inlineStr">
        <is>
          <t>+</t>
        </is>
      </c>
      <c r="K43" s="100" t="n">
        <v>0</v>
      </c>
      <c r="L43" s="100" t="n">
        <v>100</v>
      </c>
      <c r="M43" s="100" t="n">
        <v>20</v>
      </c>
      <c r="N43" s="100" t="n">
        <v>1</v>
      </c>
      <c r="O43" s="100" t="inlineStr">
        <is>
          <t>Média</t>
        </is>
      </c>
      <c r="P43" s="100" t="inlineStr">
        <is>
          <t>Preenchido via Banco Mundial API/CSV</t>
        </is>
      </c>
      <c r="Q43" s="100" t="inlineStr">
        <is>
          <t>4/11</t>
        </is>
      </c>
      <c r="R43" s="111" t="n">
        <v>8.78320868033121</v>
      </c>
      <c r="S43" s="111" t="n">
        <v>9.782876962324529</v>
      </c>
      <c r="T43" s="100" t="n"/>
      <c r="U43" s="100" t="n"/>
      <c r="V43" s="100" t="n"/>
      <c r="W43" s="100" t="n"/>
      <c r="X43" s="100" t="n"/>
      <c r="Y43" s="100" t="n"/>
      <c r="Z43" s="111" t="n">
        <v>10.04935810264</v>
      </c>
      <c r="AA43" s="111" t="n">
        <v>9.9549065722902</v>
      </c>
      <c r="AB43" s="100" t="n"/>
      <c r="AC43" s="100" t="inlineStr">
        <is>
          <t>Ajuda a medir formação avançada e capacidade técnica.</t>
        </is>
      </c>
    </row>
    <row r="44">
      <c r="A44" s="100" t="inlineStr">
        <is>
          <t>3. Capital Humano</t>
        </is>
      </c>
      <c r="B44" s="100" t="inlineStr">
        <is>
          <t>3. Capital Humano</t>
        </is>
      </c>
      <c r="C44" s="100" t="inlineStr">
        <is>
          <t>Despesa pública em educação (% PIB)</t>
        </is>
      </c>
      <c r="D44" s="112" t="inlineStr">
        <is>
          <t>Complementar</t>
        </is>
      </c>
      <c r="E44" s="100" t="inlineStr">
        <is>
          <t>SE.XPD.TOTL.GD.ZS</t>
        </is>
      </c>
      <c r="F44" s="100" t="inlineStr">
        <is>
          <t>Government expenditure on education, total (% of GDP)</t>
        </is>
      </c>
      <c r="G44" s="100" t="inlineStr">
        <is>
          <t>Banco Mundial/UNESCO</t>
        </is>
      </c>
      <c r="H44" s="109" t="inlineStr">
        <is>
          <t>https://data.worldbank.org/indicator/SE.XPD.TOTL.GD.ZS?locations=AO</t>
        </is>
      </c>
      <c r="I44" s="100" t="inlineStr">
        <is>
          <t>%</t>
        </is>
      </c>
      <c r="J44" s="100" t="inlineStr">
        <is>
          <t>+</t>
        </is>
      </c>
      <c r="K44" s="100" t="n">
        <v>0</v>
      </c>
      <c r="L44" s="100" t="n">
        <v>10</v>
      </c>
      <c r="M44" s="100" t="n">
        <v>5</v>
      </c>
      <c r="N44" s="100" t="n">
        <v>1</v>
      </c>
      <c r="O44" s="100" t="inlineStr">
        <is>
          <t>Média</t>
        </is>
      </c>
      <c r="P44" s="100" t="inlineStr">
        <is>
          <t>Preenchido via Banco Mundial API/CSV</t>
        </is>
      </c>
      <c r="Q44" s="100" t="inlineStr">
        <is>
          <t>9/11</t>
        </is>
      </c>
      <c r="R44" s="111" t="n">
        <v>3.48689580393413</v>
      </c>
      <c r="S44" s="111" t="n">
        <v>2.75493664582725</v>
      </c>
      <c r="T44" s="111" t="n">
        <v>2.46687881104886</v>
      </c>
      <c r="U44" s="111" t="n">
        <v>2.18351298946275</v>
      </c>
      <c r="V44" s="111" t="n">
        <v>2.07306438181603</v>
      </c>
      <c r="W44" s="111" t="n">
        <v>2.66744733689285</v>
      </c>
      <c r="X44" s="111" t="n">
        <v>2.29719689513241</v>
      </c>
      <c r="Y44" s="111" t="n">
        <v>2.38535898416633</v>
      </c>
      <c r="Z44" s="111" t="n">
        <v>2.51273663315785</v>
      </c>
      <c r="AA44" s="100" t="n"/>
      <c r="AB44" s="100" t="n"/>
      <c r="AC44" s="100" t="inlineStr">
        <is>
          <t>Input de política pública; deve ser combinado com resultados de aprendizagem.</t>
        </is>
      </c>
    </row>
    <row r="45">
      <c r="A45" s="100" t="inlineStr">
        <is>
          <t>3. Capital Humano</t>
        </is>
      </c>
      <c r="B45" s="100" t="inlineStr">
        <is>
          <t>3. Capital Humano</t>
        </is>
      </c>
      <c r="C45" s="100" t="inlineStr">
        <is>
          <t>Learning poverty - crianças sem proficiência mínima de leitura</t>
        </is>
      </c>
      <c r="D45" s="112" t="inlineStr">
        <is>
          <t>Complementar</t>
        </is>
      </c>
      <c r="E45" s="100" t="inlineStr">
        <is>
          <t>SE.LPV.PRIM</t>
        </is>
      </c>
      <c r="F45" s="100" t="inlineStr">
        <is>
          <t>Learning poverty: Share of Children at the End-of-Primary age below minimum reading proficiency adjusted by Out-of-School Children (%)</t>
        </is>
      </c>
      <c r="G45" s="100" t="inlineStr">
        <is>
          <t>Banco Mundial/UNESCO</t>
        </is>
      </c>
      <c r="H45" s="109" t="inlineStr">
        <is>
          <t>https://data.worldbank.org/indicator/SE.LPV.PRIM?locations=AO</t>
        </is>
      </c>
      <c r="I45" s="100" t="inlineStr">
        <is>
          <t>%</t>
        </is>
      </c>
      <c r="J45" s="100" t="inlineStr">
        <is>
          <t>-</t>
        </is>
      </c>
      <c r="K45" s="100" t="n">
        <v>0</v>
      </c>
      <c r="L45" s="100" t="n">
        <v>100</v>
      </c>
      <c r="M45" s="100" t="n">
        <v>50</v>
      </c>
      <c r="N45" s="100" t="n">
        <v>1</v>
      </c>
      <c r="O45" s="100" t="inlineStr">
        <is>
          <t>Baixa</t>
        </is>
      </c>
      <c r="P45" s="113" t="inlineStr">
        <is>
          <t>Sem valores para Angola em 2014-2025</t>
        </is>
      </c>
      <c r="Q45" s="100" t="inlineStr">
        <is>
          <t>0/11</t>
        </is>
      </c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  <c r="AA45" s="100" t="n"/>
      <c r="AB45" s="100" t="n"/>
      <c r="AC45" s="100" t="inlineStr">
        <is>
          <t>Mede aprendizagem, não apenas acesso à escola. Usar como benchmark de qualidade; a cobertura anual para Angola é limitada.</t>
        </is>
      </c>
    </row>
    <row r="46">
      <c r="A46" s="100" t="inlineStr">
        <is>
          <t>3. Capital Humano</t>
        </is>
      </c>
      <c r="B46" s="100" t="inlineStr">
        <is>
          <t>3. Capital Humano</t>
        </is>
      </c>
      <c r="C46" s="100" t="inlineStr">
        <is>
          <t>Rácio alunos/professor no primário</t>
        </is>
      </c>
      <c r="D46" s="112" t="inlineStr">
        <is>
          <t>Complementar</t>
        </is>
      </c>
      <c r="E46" s="100" t="inlineStr">
        <is>
          <t>SE.PRM.ENRL.TC.ZS</t>
        </is>
      </c>
      <c r="F46" s="100" t="inlineStr">
        <is>
          <t>Pupil-teacher ratio, primary</t>
        </is>
      </c>
      <c r="G46" s="100" t="inlineStr">
        <is>
          <t>Banco Mundial/UNESCO</t>
        </is>
      </c>
      <c r="H46" s="109" t="inlineStr">
        <is>
          <t>https://data.worldbank.org/indicator/SE.PRM.ENRL.TC.ZS?locations=AO</t>
        </is>
      </c>
      <c r="I46" s="100" t="inlineStr">
        <is>
          <t>Alunos por professor</t>
        </is>
      </c>
      <c r="J46" s="100" t="inlineStr">
        <is>
          <t>-</t>
        </is>
      </c>
      <c r="K46" s="100" t="n">
        <v>10</v>
      </c>
      <c r="L46" s="100" t="n">
        <v>80</v>
      </c>
      <c r="M46" s="100" t="n">
        <v>35</v>
      </c>
      <c r="N46" s="100" t="n">
        <v>1</v>
      </c>
      <c r="O46" s="100" t="inlineStr">
        <is>
          <t>Média</t>
        </is>
      </c>
      <c r="P46" s="100" t="inlineStr">
        <is>
          <t>Preenchido via Banco Mundial API/CSV</t>
        </is>
      </c>
      <c r="Q46" s="100" t="inlineStr">
        <is>
          <t>1/11</t>
        </is>
      </c>
      <c r="R46" s="111" t="n">
        <v>50.02951</v>
      </c>
      <c r="S46" s="100" t="n"/>
      <c r="T46" s="100" t="n"/>
      <c r="U46" s="100" t="n"/>
      <c r="V46" s="100" t="n"/>
      <c r="W46" s="100" t="n"/>
      <c r="X46" s="100" t="n"/>
      <c r="Y46" s="100" t="n"/>
      <c r="Z46" s="100" t="n"/>
      <c r="AA46" s="100" t="n"/>
      <c r="AB46" s="100" t="n"/>
      <c r="AC46" s="100" t="inlineStr">
        <is>
          <t>Proxy simples de pressão sobre qualidade de ensino.</t>
        </is>
      </c>
    </row>
    <row r="47">
      <c r="A47" s="100" t="inlineStr">
        <is>
          <t>3. Capital Humano</t>
        </is>
      </c>
      <c r="B47" s="100" t="inlineStr">
        <is>
          <t>3. Capital Humano</t>
        </is>
      </c>
      <c r="C47" s="100" t="inlineStr">
        <is>
          <t>Índice de Capital Humano</t>
        </is>
      </c>
      <c r="D47" s="112" t="inlineStr">
        <is>
          <t>Complementar</t>
        </is>
      </c>
      <c r="E47" s="100" t="inlineStr">
        <is>
          <t>HD.HCI.OVRL</t>
        </is>
      </c>
      <c r="F47" s="100" t="inlineStr">
        <is>
          <t>Human Capital Index (HCI) (scale 0-1)</t>
        </is>
      </c>
      <c r="G47" s="100" t="inlineStr">
        <is>
          <t>Banco Mundial</t>
        </is>
      </c>
      <c r="H47" s="109" t="inlineStr">
        <is>
          <t>https://data.worldbank.org/indicator/HD.HCI.OVRL?locations=AO</t>
        </is>
      </c>
      <c r="I47" s="100" t="inlineStr">
        <is>
          <t>0-1</t>
        </is>
      </c>
      <c r="J47" s="100" t="inlineStr">
        <is>
          <t>+</t>
        </is>
      </c>
      <c r="K47" s="100" t="n">
        <v>0</v>
      </c>
      <c r="L47" s="100" t="n">
        <v>1</v>
      </c>
      <c r="M47" s="100" t="n">
        <v>0.5</v>
      </c>
      <c r="N47" s="100" t="n">
        <v>1</v>
      </c>
      <c r="O47" s="100" t="inlineStr">
        <is>
          <t>Baixa</t>
        </is>
      </c>
      <c r="P47" s="100" t="inlineStr">
        <is>
          <t>Preenchido via Banco Mundial API/CSV</t>
        </is>
      </c>
      <c r="Q47" s="100" t="inlineStr">
        <is>
          <t>3/11</t>
        </is>
      </c>
      <c r="R47" s="100" t="n"/>
      <c r="S47" s="100" t="n"/>
      <c r="T47" s="111" t="n">
        <v>0.361</v>
      </c>
      <c r="U47" s="111" t="n">
        <v>0.360190957784653</v>
      </c>
      <c r="V47" s="100" t="n"/>
      <c r="W47" s="111" t="n">
        <v>0.362405389547348</v>
      </c>
      <c r="X47" s="100" t="n"/>
      <c r="Y47" s="100" t="n"/>
      <c r="Z47" s="100" t="n"/>
      <c r="AA47" s="100" t="n"/>
      <c r="AB47" s="100" t="n"/>
      <c r="AC47" s="100" t="inlineStr">
        <is>
          <t>Útil como benchmark, mas menos anual do que os restantes indicadores.</t>
        </is>
      </c>
    </row>
    <row r="48">
      <c r="A48" s="100" t="inlineStr">
        <is>
          <t>3. Capital Humano</t>
        </is>
      </c>
      <c r="B48" s="100" t="inlineStr">
        <is>
          <t>3. Capital Humano</t>
        </is>
      </c>
      <c r="C48" s="100" t="inlineStr">
        <is>
          <t>Anos esperados de escolaridade</t>
        </is>
      </c>
      <c r="D48" s="112" t="inlineStr">
        <is>
          <t>Substituto</t>
        </is>
      </c>
      <c r="E48" s="100" t="inlineStr"/>
      <c r="F48" s="100" t="inlineStr"/>
      <c r="G48" s="100" t="inlineStr">
        <is>
          <t>PNUD/HDR</t>
        </is>
      </c>
      <c r="H48" s="109" t="inlineStr">
        <is>
          <t>https://hdr.undp.org/data-center</t>
        </is>
      </c>
      <c r="I48" s="100" t="inlineStr">
        <is>
          <t>Anos</t>
        </is>
      </c>
      <c r="J48" s="100" t="inlineStr">
        <is>
          <t>+</t>
        </is>
      </c>
      <c r="K48" s="100" t="n">
        <v>0</v>
      </c>
      <c r="L48" s="100" t="n">
        <v>18</v>
      </c>
      <c r="M48" s="100" t="n">
        <v>12</v>
      </c>
      <c r="N48" s="100" t="n">
        <v>1</v>
      </c>
      <c r="O48" s="100" t="inlineStr">
        <is>
          <t>Alta</t>
        </is>
      </c>
      <c r="P48" s="113" t="inlineStr">
        <is>
          <t>Sem código/API; recolha manual</t>
        </is>
      </c>
      <c r="Q48" s="100" t="inlineStr">
        <is>
          <t>0/11</t>
        </is>
      </c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  <c r="AA48" s="100" t="n"/>
      <c r="AB48" s="100" t="n"/>
      <c r="AC48" s="100" t="inlineStr">
        <is>
          <t>Substitui ou complementa anos médios de escolaridade quando a série nacional estiver vazia.</t>
        </is>
      </c>
    </row>
    <row r="49">
      <c r="A49" s="100" t="inlineStr">
        <is>
          <t>4. Inclusão Social e Protecção</t>
        </is>
      </c>
      <c r="B49" s="100" t="inlineStr">
        <is>
          <t>4. Inclusão Social</t>
        </is>
      </c>
      <c r="C49" s="100" t="inlineStr">
        <is>
          <t>Taxa de Pobreza (&lt; 2.15 USD/dia)</t>
        </is>
      </c>
      <c r="D49" s="110" t="inlineStr">
        <is>
          <t>Atual no modelo</t>
        </is>
      </c>
      <c r="E49" s="100" t="inlineStr">
        <is>
          <t>SI.POV.DDAY</t>
        </is>
      </c>
      <c r="F49" s="100" t="inlineStr"/>
      <c r="G49" s="100" t="inlineStr">
        <is>
          <t>INE/BM</t>
        </is>
      </c>
      <c r="H49" s="109" t="inlineStr">
        <is>
          <t>UNdata | record view | Poverty headcount ratio at $2.15 a day (2017 PPP) (% of population)</t>
        </is>
      </c>
      <c r="I49" s="100" t="inlineStr">
        <is>
          <t>%</t>
        </is>
      </c>
      <c r="J49" s="100" t="inlineStr">
        <is>
          <t>-</t>
        </is>
      </c>
      <c r="K49" s="100" t="n">
        <v>0</v>
      </c>
      <c r="L49" s="100" t="n">
        <v>80</v>
      </c>
      <c r="M49" s="100" t="n">
        <v>30</v>
      </c>
      <c r="N49" s="100" t="n">
        <v>1</v>
      </c>
      <c r="O49" s="100" t="inlineStr">
        <is>
          <t>Em uso</t>
        </is>
      </c>
      <c r="P49" s="100" t="inlineStr">
        <is>
          <t>Série existente no Input_Dados</t>
        </is>
      </c>
      <c r="Q49" s="100" t="inlineStr">
        <is>
          <t>1/11</t>
        </is>
      </c>
      <c r="R49" s="100" t="n"/>
      <c r="S49" s="100" t="n"/>
      <c r="T49" s="100" t="n"/>
      <c r="U49" s="111" t="n">
        <v>31.1</v>
      </c>
      <c r="V49" s="100" t="n"/>
      <c r="W49" s="100" t="n"/>
      <c r="X49" s="100" t="n"/>
      <c r="Y49" s="100" t="n"/>
      <c r="Z49" s="100" t="n"/>
      <c r="AA49" s="100" t="n"/>
      <c r="AB49" s="100" t="n"/>
      <c r="AC49" s="100" t="inlineStr">
        <is>
          <t>Indicador já incluído no modelo original.</t>
        </is>
      </c>
    </row>
    <row r="50">
      <c r="A50" s="100" t="inlineStr">
        <is>
          <t>4. Inclusão Social e Protecção</t>
        </is>
      </c>
      <c r="B50" s="100" t="inlineStr">
        <is>
          <t>4. Inclusão Social</t>
        </is>
      </c>
      <c r="C50" s="100" t="inlineStr">
        <is>
          <t>Índice de Gini</t>
        </is>
      </c>
      <c r="D50" s="110" t="inlineStr">
        <is>
          <t>Atual no modelo</t>
        </is>
      </c>
      <c r="E50" s="100" t="inlineStr">
        <is>
          <t>SI.POV.GINI</t>
        </is>
      </c>
      <c r="F50" s="100" t="inlineStr"/>
      <c r="G50" s="100" t="inlineStr">
        <is>
          <t>INE/BM</t>
        </is>
      </c>
      <c r="H50" s="109" t="inlineStr">
        <is>
          <t>Gini index - Angola | Data</t>
        </is>
      </c>
      <c r="I50" s="100" t="inlineStr">
        <is>
          <t>0-100</t>
        </is>
      </c>
      <c r="J50" s="100" t="inlineStr">
        <is>
          <t>-</t>
        </is>
      </c>
      <c r="K50" s="100" t="n">
        <v>0</v>
      </c>
      <c r="L50" s="100" t="n">
        <v>70</v>
      </c>
      <c r="M50" s="100" t="n">
        <v>40</v>
      </c>
      <c r="N50" s="100" t="n">
        <v>1</v>
      </c>
      <c r="O50" s="100" t="inlineStr">
        <is>
          <t>Em uso</t>
        </is>
      </c>
      <c r="P50" s="100" t="inlineStr">
        <is>
          <t>Série existente no Input_Dados</t>
        </is>
      </c>
      <c r="Q50" s="100" t="inlineStr">
        <is>
          <t>1/11</t>
        </is>
      </c>
      <c r="R50" s="100" t="n"/>
      <c r="S50" s="100" t="n"/>
      <c r="T50" s="100" t="n"/>
      <c r="U50" s="111" t="n">
        <v>51.3</v>
      </c>
      <c r="V50" s="100" t="n"/>
      <c r="W50" s="100" t="n"/>
      <c r="X50" s="100" t="n"/>
      <c r="Y50" s="100" t="n"/>
      <c r="Z50" s="100" t="n"/>
      <c r="AA50" s="100" t="n"/>
      <c r="AB50" s="100" t="n"/>
      <c r="AC50" s="100" t="inlineStr">
        <is>
          <t>Indicador já incluído no modelo original.</t>
        </is>
      </c>
    </row>
    <row r="51">
      <c r="A51" s="100" t="inlineStr">
        <is>
          <t>4. Inclusão Social e Protecção</t>
        </is>
      </c>
      <c r="B51" s="100" t="inlineStr">
        <is>
          <t>4. Inclusão Social</t>
        </is>
      </c>
      <c r="C51" s="100" t="inlineStr">
        <is>
          <t>Cobertura Protecção Social</t>
        </is>
      </c>
      <c r="D51" s="110" t="inlineStr">
        <is>
          <t>Atual no modelo</t>
        </is>
      </c>
      <c r="E51" s="100" t="inlineStr"/>
      <c r="F51" s="100" t="inlineStr"/>
      <c r="G51" s="100" t="inlineStr">
        <is>
          <t>INSS</t>
        </is>
      </c>
      <c r="H51" s="100" t="n"/>
      <c r="I51" s="100" t="inlineStr">
        <is>
          <t>%</t>
        </is>
      </c>
      <c r="J51" s="100" t="inlineStr">
        <is>
          <t>+</t>
        </is>
      </c>
      <c r="K51" s="100" t="n">
        <v>0</v>
      </c>
      <c r="L51" s="100" t="n">
        <v>100</v>
      </c>
      <c r="M51" s="100" t="n">
        <v>40</v>
      </c>
      <c r="N51" s="100" t="n">
        <v>1</v>
      </c>
      <c r="O51" s="100" t="inlineStr">
        <is>
          <t>Em uso</t>
        </is>
      </c>
      <c r="P51" s="113" t="inlineStr">
        <is>
          <t>Série existente no Input_Dados</t>
        </is>
      </c>
      <c r="Q51" s="100" t="inlineStr">
        <is>
          <t>0/11</t>
        </is>
      </c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  <c r="AA51" s="100" t="n"/>
      <c r="AB51" s="100" t="n"/>
      <c r="AC51" s="100" t="inlineStr">
        <is>
          <t>Indicador já incluído no modelo original.</t>
        </is>
      </c>
    </row>
    <row r="52">
      <c r="A52" s="100" t="inlineStr">
        <is>
          <t>4. Inclusão Social e Protecção</t>
        </is>
      </c>
      <c r="B52" s="100" t="inlineStr">
        <is>
          <t>4. Inclusão Social</t>
        </is>
      </c>
      <c r="C52" s="100" t="inlineStr">
        <is>
          <t>Global Gender Gap Index</t>
        </is>
      </c>
      <c r="D52" s="110" t="inlineStr">
        <is>
          <t>Atual no modelo</t>
        </is>
      </c>
      <c r="E52" s="100" t="inlineStr"/>
      <c r="F52" s="100" t="inlineStr"/>
      <c r="G52" s="100" t="inlineStr">
        <is>
          <t>WEF</t>
        </is>
      </c>
      <c r="H52" s="109" t="inlineStr">
        <is>
          <t>Angola - Global Gender Gap Index 2024 | countryeconomy.com</t>
        </is>
      </c>
      <c r="I52" s="100" t="inlineStr">
        <is>
          <t>0-1</t>
        </is>
      </c>
      <c r="J52" s="100" t="inlineStr">
        <is>
          <t>+</t>
        </is>
      </c>
      <c r="K52" s="100" t="n">
        <v>0</v>
      </c>
      <c r="L52" s="100" t="n">
        <v>1</v>
      </c>
      <c r="M52" s="100" t="n">
        <v>0.7</v>
      </c>
      <c r="N52" s="100" t="n">
        <v>1</v>
      </c>
      <c r="O52" s="100" t="inlineStr">
        <is>
          <t>Em uso</t>
        </is>
      </c>
      <c r="P52" s="100" t="inlineStr">
        <is>
          <t>Série existente no Input_Dados</t>
        </is>
      </c>
      <c r="Q52" s="100" t="inlineStr">
        <is>
          <t>10/11</t>
        </is>
      </c>
      <c r="R52" s="111" t="n">
        <v>0.637</v>
      </c>
      <c r="S52" s="111" t="n">
        <v>0.643</v>
      </c>
      <c r="T52" s="111" t="n">
        <v>0.64</v>
      </c>
      <c r="U52" s="111" t="n">
        <v>0.633</v>
      </c>
      <c r="V52" s="100" t="n"/>
      <c r="W52" s="111" t="n">
        <v>0.66</v>
      </c>
      <c r="X52" s="111" t="n">
        <v>0.657</v>
      </c>
      <c r="Y52" s="111" t="n">
        <v>0.638</v>
      </c>
      <c r="Z52" s="111" t="n">
        <v>0.656</v>
      </c>
      <c r="AA52" s="111" t="n">
        <v>0.668</v>
      </c>
      <c r="AB52" s="111" t="n">
        <v>0.668</v>
      </c>
      <c r="AC52" s="100" t="inlineStr">
        <is>
          <t>Indicador já incluído no modelo original.</t>
        </is>
      </c>
    </row>
    <row r="53">
      <c r="A53" s="100" t="inlineStr">
        <is>
          <t>4. Inclusão Social e Protecção</t>
        </is>
      </c>
      <c r="B53" s="100" t="inlineStr">
        <is>
          <t>4. Inclusão Social</t>
        </is>
      </c>
      <c r="C53" s="100" t="inlineStr">
        <is>
          <t>RNB per Capita (USD)</t>
        </is>
      </c>
      <c r="D53" s="110" t="inlineStr">
        <is>
          <t>Atual no modelo</t>
        </is>
      </c>
      <c r="E53" s="100" t="inlineStr">
        <is>
          <t>NY.GNP.PCAP.CD</t>
        </is>
      </c>
      <c r="F53" s="100" t="inlineStr"/>
      <c r="G53" s="100" t="inlineStr">
        <is>
          <t>INE</t>
        </is>
      </c>
      <c r="H53" s="109" t="inlineStr">
        <is>
          <t>GNI per capita, Atlas method (current US$) - Angola | Data</t>
        </is>
      </c>
      <c r="I53" s="100" t="inlineStr">
        <is>
          <t>USD</t>
        </is>
      </c>
      <c r="J53" s="100" t="inlineStr">
        <is>
          <t>+</t>
        </is>
      </c>
      <c r="K53" s="100" t="n">
        <v>500</v>
      </c>
      <c r="L53" s="100" t="n">
        <v>15000</v>
      </c>
      <c r="M53" s="100" t="n">
        <v>4500</v>
      </c>
      <c r="N53" s="100" t="n">
        <v>1</v>
      </c>
      <c r="O53" s="100" t="inlineStr">
        <is>
          <t>Em uso</t>
        </is>
      </c>
      <c r="P53" s="100" t="inlineStr">
        <is>
          <t>Série existente no Input_Dados</t>
        </is>
      </c>
      <c r="Q53" s="100" t="inlineStr">
        <is>
          <t>11/11</t>
        </is>
      </c>
      <c r="R53" s="111" t="n">
        <v>2350</v>
      </c>
      <c r="S53" s="111" t="n">
        <v>3100</v>
      </c>
      <c r="T53" s="111" t="n">
        <v>2850</v>
      </c>
      <c r="U53" s="111" t="n">
        <v>2450</v>
      </c>
      <c r="V53" s="111" t="n">
        <v>2300</v>
      </c>
      <c r="W53" s="111" t="n">
        <v>2250</v>
      </c>
      <c r="X53" s="111" t="n">
        <v>2300</v>
      </c>
      <c r="Y53" s="111" t="n">
        <v>2400</v>
      </c>
      <c r="Z53" s="111" t="n">
        <v>2500</v>
      </c>
      <c r="AA53" s="111" t="n">
        <v>2840</v>
      </c>
      <c r="AB53" s="111" t="n">
        <v>2900</v>
      </c>
      <c r="AC53" s="100" t="inlineStr">
        <is>
          <t>Indicador já incluído no modelo original.</t>
        </is>
      </c>
    </row>
    <row r="54">
      <c r="A54" s="100" t="inlineStr">
        <is>
          <t>4. Inclusão Social e Protecção</t>
        </is>
      </c>
      <c r="B54" s="100" t="inlineStr">
        <is>
          <t>4. Inclusão Social</t>
        </is>
      </c>
      <c r="C54" s="100" t="inlineStr">
        <is>
          <t>Pobreza pela linha nacional</t>
        </is>
      </c>
      <c r="D54" s="112" t="inlineStr">
        <is>
          <t>Substituto</t>
        </is>
      </c>
      <c r="E54" s="100" t="inlineStr">
        <is>
          <t>SI.POV.NAHC</t>
        </is>
      </c>
      <c r="F54" s="100" t="inlineStr">
        <is>
          <t>Poverty headcount ratio at national poverty lines (% of population)</t>
        </is>
      </c>
      <c r="G54" s="100" t="inlineStr">
        <is>
          <t>Banco Mundial/PIP</t>
        </is>
      </c>
      <c r="H54" s="109" t="inlineStr">
        <is>
          <t>https://data.worldbank.org/indicator/SI.POV.NAHC?locations=AO</t>
        </is>
      </c>
      <c r="I54" s="100" t="inlineStr">
        <is>
          <t>%</t>
        </is>
      </c>
      <c r="J54" s="100" t="inlineStr">
        <is>
          <t>-</t>
        </is>
      </c>
      <c r="K54" s="100" t="n">
        <v>0</v>
      </c>
      <c r="L54" s="100" t="n">
        <v>80</v>
      </c>
      <c r="M54" s="100" t="n">
        <v>30</v>
      </c>
      <c r="N54" s="100" t="n">
        <v>1</v>
      </c>
      <c r="O54" s="100" t="inlineStr">
        <is>
          <t>Alta</t>
        </is>
      </c>
      <c r="P54" s="100" t="inlineStr">
        <is>
          <t>Preenchido via Banco Mundial API/CSV</t>
        </is>
      </c>
      <c r="Q54" s="100" t="inlineStr">
        <is>
          <t>1/11</t>
        </is>
      </c>
      <c r="R54" s="100" t="n"/>
      <c r="S54" s="100" t="n"/>
      <c r="T54" s="100" t="n"/>
      <c r="U54" s="111" t="n">
        <v>32.3</v>
      </c>
      <c r="V54" s="100" t="n"/>
      <c r="W54" s="100" t="n"/>
      <c r="X54" s="100" t="n"/>
      <c r="Y54" s="100" t="n"/>
      <c r="Z54" s="100" t="n"/>
      <c r="AA54" s="100" t="n"/>
      <c r="AB54" s="100" t="n"/>
      <c r="AC54" s="100" t="inlineStr">
        <is>
          <t>Mais diretamente ligada à linha oficial de pobreza do país.</t>
        </is>
      </c>
    </row>
    <row r="55">
      <c r="A55" s="100" t="inlineStr">
        <is>
          <t>4. Inclusão Social e Protecção</t>
        </is>
      </c>
      <c r="B55" s="100" t="inlineStr">
        <is>
          <t>4. Inclusão Social</t>
        </is>
      </c>
      <c r="C55" s="100" t="inlineStr">
        <is>
          <t>Pobreza internacional a 3,00 USD/dia, PPP 2021</t>
        </is>
      </c>
      <c r="D55" s="112" t="inlineStr">
        <is>
          <t>Substituto</t>
        </is>
      </c>
      <c r="E55" s="100" t="inlineStr">
        <is>
          <t>SI.POV.DDAY</t>
        </is>
      </c>
      <c r="F55" s="100" t="inlineStr">
        <is>
          <t>Poverty headcount ratio at $3.00 a day (2021 PPP) (% of population)</t>
        </is>
      </c>
      <c r="G55" s="100" t="inlineStr">
        <is>
          <t>Banco Mundial/PIP</t>
        </is>
      </c>
      <c r="H55" s="109" t="inlineStr">
        <is>
          <t>https://data.worldbank.org/indicator/SI.POV.DDAY?locations=AO</t>
        </is>
      </c>
      <c r="I55" s="100" t="inlineStr">
        <is>
          <t>%</t>
        </is>
      </c>
      <c r="J55" s="100" t="inlineStr">
        <is>
          <t>-</t>
        </is>
      </c>
      <c r="K55" s="100" t="n">
        <v>0</v>
      </c>
      <c r="L55" s="100" t="n">
        <v>90</v>
      </c>
      <c r="M55" s="100" t="n">
        <v>40</v>
      </c>
      <c r="N55" s="100" t="n">
        <v>1</v>
      </c>
      <c r="O55" s="100" t="inlineStr">
        <is>
          <t>Alta</t>
        </is>
      </c>
      <c r="P55" s="100" t="inlineStr">
        <is>
          <t>Preenchido via Banco Mundial API/CSV</t>
        </is>
      </c>
      <c r="Q55" s="100" t="inlineStr">
        <is>
          <t>1/11</t>
        </is>
      </c>
      <c r="R55" s="100" t="n"/>
      <c r="S55" s="100" t="n"/>
      <c r="T55" s="100" t="n"/>
      <c r="U55" s="111" t="n">
        <v>39.3</v>
      </c>
      <c r="V55" s="100" t="n"/>
      <c r="W55" s="100" t="n"/>
      <c r="X55" s="100" t="n"/>
      <c r="Y55" s="100" t="n"/>
      <c r="Z55" s="100" t="n"/>
      <c r="AA55" s="100" t="n"/>
      <c r="AB55" s="100" t="n"/>
      <c r="AC55" s="100" t="inlineStr">
        <is>
          <t>Atualiza a referência internacional que substituiu linhas PPP antigas.</t>
        </is>
      </c>
    </row>
    <row r="56">
      <c r="A56" s="100" t="inlineStr">
        <is>
          <t>4. Inclusão Social e Protecção</t>
        </is>
      </c>
      <c r="B56" s="100" t="inlineStr">
        <is>
          <t>4. Inclusão Social</t>
        </is>
      </c>
      <c r="C56" s="100" t="inlineStr">
        <is>
          <t>Índice de Gini</t>
        </is>
      </c>
      <c r="D56" s="112" t="inlineStr">
        <is>
          <t>Substituto</t>
        </is>
      </c>
      <c r="E56" s="100" t="inlineStr">
        <is>
          <t>SI.POV.GINI</t>
        </is>
      </c>
      <c r="F56" s="100" t="inlineStr">
        <is>
          <t>Gini index</t>
        </is>
      </c>
      <c r="G56" s="100" t="inlineStr">
        <is>
          <t>Banco Mundial/PIP</t>
        </is>
      </c>
      <c r="H56" s="109" t="inlineStr">
        <is>
          <t>https://data.worldbank.org/indicator/SI.POV.GINI?locations=AO</t>
        </is>
      </c>
      <c r="I56" s="100" t="inlineStr">
        <is>
          <t>0-100</t>
        </is>
      </c>
      <c r="J56" s="100" t="inlineStr">
        <is>
          <t>-</t>
        </is>
      </c>
      <c r="K56" s="100" t="n">
        <v>0</v>
      </c>
      <c r="L56" s="100" t="n">
        <v>70</v>
      </c>
      <c r="M56" s="100" t="n">
        <v>40</v>
      </c>
      <c r="N56" s="100" t="n">
        <v>1</v>
      </c>
      <c r="O56" s="100" t="inlineStr">
        <is>
          <t>Alta</t>
        </is>
      </c>
      <c r="P56" s="100" t="inlineStr">
        <is>
          <t>Preenchido via Banco Mundial API/CSV</t>
        </is>
      </c>
      <c r="Q56" s="100" t="inlineStr">
        <is>
          <t>1/11</t>
        </is>
      </c>
      <c r="R56" s="100" t="n"/>
      <c r="S56" s="100" t="n"/>
      <c r="T56" s="100" t="n"/>
      <c r="U56" s="111" t="n">
        <v>51.3</v>
      </c>
      <c r="V56" s="100" t="n"/>
      <c r="W56" s="100" t="n"/>
      <c r="X56" s="100" t="n"/>
      <c r="Y56" s="100" t="n"/>
      <c r="Z56" s="100" t="n"/>
      <c r="AA56" s="100" t="n"/>
      <c r="AB56" s="100" t="n"/>
      <c r="AC56" s="100" t="inlineStr">
        <is>
          <t>Mantém comparabilidade internacional para desigualdade.</t>
        </is>
      </c>
    </row>
    <row r="57">
      <c r="A57" s="100" t="inlineStr">
        <is>
          <t>4. Inclusão Social e Protecção</t>
        </is>
      </c>
      <c r="B57" s="100" t="inlineStr">
        <is>
          <t>4. Inclusão Social</t>
        </is>
      </c>
      <c r="C57" s="100" t="inlineStr">
        <is>
          <t>Quota de rendimento dos 20% mais pobres</t>
        </is>
      </c>
      <c r="D57" s="112" t="inlineStr">
        <is>
          <t>Complementar</t>
        </is>
      </c>
      <c r="E57" s="100" t="inlineStr">
        <is>
          <t>SI.DST.FRST.20</t>
        </is>
      </c>
      <c r="F57" s="100" t="inlineStr">
        <is>
          <t>Income share held by lowest 20%</t>
        </is>
      </c>
      <c r="G57" s="100" t="inlineStr">
        <is>
          <t>Banco Mundial/PIP</t>
        </is>
      </c>
      <c r="H57" s="109" t="inlineStr">
        <is>
          <t>https://data.worldbank.org/indicator/SI.DST.FRST.20?locations=AO</t>
        </is>
      </c>
      <c r="I57" s="100" t="inlineStr">
        <is>
          <t>%</t>
        </is>
      </c>
      <c r="J57" s="100" t="inlineStr">
        <is>
          <t>+</t>
        </is>
      </c>
      <c r="K57" s="100" t="n">
        <v>0</v>
      </c>
      <c r="L57" s="100" t="n">
        <v>20</v>
      </c>
      <c r="M57" s="100" t="n">
        <v>7</v>
      </c>
      <c r="N57" s="100" t="n">
        <v>1</v>
      </c>
      <c r="O57" s="100" t="inlineStr">
        <is>
          <t>Média</t>
        </is>
      </c>
      <c r="P57" s="100" t="inlineStr">
        <is>
          <t>Preenchido via Banco Mundial API/CSV</t>
        </is>
      </c>
      <c r="Q57" s="100" t="inlineStr">
        <is>
          <t>1/11</t>
        </is>
      </c>
      <c r="R57" s="100" t="n"/>
      <c r="S57" s="100" t="n"/>
      <c r="T57" s="100" t="n"/>
      <c r="U57" s="111" t="n">
        <v>3.8</v>
      </c>
      <c r="V57" s="100" t="n"/>
      <c r="W57" s="100" t="n"/>
      <c r="X57" s="100" t="n"/>
      <c r="Y57" s="100" t="n"/>
      <c r="Z57" s="100" t="n"/>
      <c r="AA57" s="100" t="n"/>
      <c r="AB57" s="100" t="n"/>
      <c r="AC57" s="100" t="inlineStr">
        <is>
          <t>Lê inclusão distributiva de forma complementar ao Gini.</t>
        </is>
      </c>
    </row>
    <row r="58">
      <c r="A58" s="100" t="inlineStr">
        <is>
          <t>4. Inclusão Social e Protecção</t>
        </is>
      </c>
      <c r="B58" s="100" t="inlineStr">
        <is>
          <t>4. Inclusão Social</t>
        </is>
      </c>
      <c r="C58" s="100" t="inlineStr">
        <is>
          <t>Cobertura de proteção social da população</t>
        </is>
      </c>
      <c r="D58" s="112" t="inlineStr">
        <is>
          <t>Substituto</t>
        </is>
      </c>
      <c r="E58" s="100" t="inlineStr"/>
      <c r="F58" s="100" t="inlineStr"/>
      <c r="G58" s="100" t="inlineStr">
        <is>
          <t>Banco Mundial ASPIRE/OIT</t>
        </is>
      </c>
      <c r="H58" s="109" t="inlineStr">
        <is>
          <t>https://www.worldbank.org/en/data/datatopics/aspire</t>
        </is>
      </c>
      <c r="I58" s="100" t="inlineStr">
        <is>
          <t>%</t>
        </is>
      </c>
      <c r="J58" s="100" t="inlineStr">
        <is>
          <t>+</t>
        </is>
      </c>
      <c r="K58" s="100" t="n">
        <v>0</v>
      </c>
      <c r="L58" s="100" t="n">
        <v>100</v>
      </c>
      <c r="M58" s="100" t="n">
        <v>40</v>
      </c>
      <c r="N58" s="100" t="n">
        <v>1</v>
      </c>
      <c r="O58" s="100" t="inlineStr">
        <is>
          <t>Alta</t>
        </is>
      </c>
      <c r="P58" s="113" t="inlineStr">
        <is>
          <t>Sem código/API; recolha manual</t>
        </is>
      </c>
      <c r="Q58" s="100" t="inlineStr">
        <is>
          <t>0/11</t>
        </is>
      </c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  <c r="AA58" s="100" t="n"/>
      <c r="AB58" s="100" t="n"/>
      <c r="AC58" s="100" t="inlineStr">
        <is>
          <t>Preenche a lacuna existente de proteção social se houver série ASPIRE/OIT ou INSS.</t>
        </is>
      </c>
    </row>
    <row r="59">
      <c r="A59" s="100" t="inlineStr">
        <is>
          <t>4. Inclusão Social e Protecção</t>
        </is>
      </c>
      <c r="B59" s="100" t="inlineStr">
        <is>
          <t>4. Inclusão Social</t>
        </is>
      </c>
      <c r="C59" s="100" t="inlineStr">
        <is>
          <t>Índice de Pobreza Multidimensional - incidência</t>
        </is>
      </c>
      <c r="D59" s="112" t="inlineStr">
        <is>
          <t>Complementar</t>
        </is>
      </c>
      <c r="E59" s="100" t="inlineStr"/>
      <c r="F59" s="100" t="inlineStr"/>
      <c r="G59" s="100" t="inlineStr">
        <is>
          <t>PNUD/OPHI</t>
        </is>
      </c>
      <c r="H59" s="109" t="inlineStr">
        <is>
          <t>https://hdr.undp.org/data-center/thematic-composite-indices</t>
        </is>
      </c>
      <c r="I59" s="100" t="inlineStr">
        <is>
          <t>%</t>
        </is>
      </c>
      <c r="J59" s="100" t="inlineStr">
        <is>
          <t>-</t>
        </is>
      </c>
      <c r="K59" s="100" t="n">
        <v>0</v>
      </c>
      <c r="L59" s="100" t="n">
        <v>80</v>
      </c>
      <c r="M59" s="100" t="n">
        <v>25</v>
      </c>
      <c r="N59" s="100" t="n">
        <v>1</v>
      </c>
      <c r="O59" s="100" t="inlineStr">
        <is>
          <t>Média</t>
        </is>
      </c>
      <c r="P59" s="113" t="inlineStr">
        <is>
          <t>Sem código/API; recolha manual</t>
        </is>
      </c>
      <c r="Q59" s="100" t="inlineStr">
        <is>
          <t>0/11</t>
        </is>
      </c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  <c r="AA59" s="100" t="n"/>
      <c r="AB59" s="100" t="n"/>
      <c r="AC59" s="100" t="inlineStr">
        <is>
          <t>Capta privações simultâneas além de rendimento.</t>
        </is>
      </c>
    </row>
    <row r="60">
      <c r="A60" s="100" t="inlineStr">
        <is>
          <t>4. Inclusão Social e Protecção</t>
        </is>
      </c>
      <c r="B60" s="100" t="inlineStr">
        <is>
          <t>4. Inclusão Social</t>
        </is>
      </c>
      <c r="C60" s="100" t="inlineStr">
        <is>
          <t>Jovens NEET</t>
        </is>
      </c>
      <c r="D60" s="112" t="inlineStr">
        <is>
          <t>Complementar</t>
        </is>
      </c>
      <c r="E60" s="100" t="inlineStr">
        <is>
          <t>SL.UEM.NEET.ZS</t>
        </is>
      </c>
      <c r="F60" s="100" t="inlineStr">
        <is>
          <t>Share of youth not in education, employment or training, total (% of youth population)</t>
        </is>
      </c>
      <c r="G60" s="100" t="inlineStr">
        <is>
          <t>Banco Mundial/OIT</t>
        </is>
      </c>
      <c r="H60" s="109" t="inlineStr">
        <is>
          <t>https://data.worldbank.org/indicator/SL.UEM.NEET.ZS?locations=AO</t>
        </is>
      </c>
      <c r="I60" s="100" t="inlineStr">
        <is>
          <t>%</t>
        </is>
      </c>
      <c r="J60" s="100" t="inlineStr">
        <is>
          <t>-</t>
        </is>
      </c>
      <c r="K60" s="100" t="n">
        <v>0</v>
      </c>
      <c r="L60" s="100" t="n">
        <v>70</v>
      </c>
      <c r="M60" s="100" t="n">
        <v>30</v>
      </c>
      <c r="N60" s="100" t="n">
        <v>1</v>
      </c>
      <c r="O60" s="100" t="inlineStr">
        <is>
          <t>Alta</t>
        </is>
      </c>
      <c r="P60" s="100" t="inlineStr">
        <is>
          <t>Preenchido via Banco Mundial API/CSV</t>
        </is>
      </c>
      <c r="Q60" s="100" t="inlineStr">
        <is>
          <t>6/11</t>
        </is>
      </c>
      <c r="R60" s="100" t="n"/>
      <c r="S60" s="100" t="n"/>
      <c r="T60" s="100" t="n"/>
      <c r="U60" s="100" t="n"/>
      <c r="V60" s="111" t="n">
        <v>22.922</v>
      </c>
      <c r="W60" s="111" t="n">
        <v>27.286</v>
      </c>
      <c r="X60" s="111" t="n">
        <v>28.126</v>
      </c>
      <c r="Y60" s="111" t="n">
        <v>24.766</v>
      </c>
      <c r="Z60" s="111" t="n">
        <v>21.383</v>
      </c>
      <c r="AA60" s="111" t="n">
        <v>24.564</v>
      </c>
      <c r="AB60" s="100" t="n"/>
      <c r="AC60" s="100" t="inlineStr">
        <is>
          <t>Forte indicador de exclusão de jovens.</t>
        </is>
      </c>
    </row>
    <row r="61">
      <c r="A61" s="100" t="inlineStr">
        <is>
          <t>4. Inclusão Social e Protecção</t>
        </is>
      </c>
      <c r="B61" s="100" t="inlineStr">
        <is>
          <t>4. Inclusão Social</t>
        </is>
      </c>
      <c r="C61" s="100" t="inlineStr">
        <is>
          <t>Mulheres no parlamento</t>
        </is>
      </c>
      <c r="D61" s="112" t="inlineStr">
        <is>
          <t>Complementar</t>
        </is>
      </c>
      <c r="E61" s="100" t="inlineStr">
        <is>
          <t>SG.GEN.PARL.ZS</t>
        </is>
      </c>
      <c r="F61" s="100" t="inlineStr">
        <is>
          <t>Proportion of seats held by women in national parliaments (%)</t>
        </is>
      </c>
      <c r="G61" s="100" t="inlineStr">
        <is>
          <t>Banco Mundial/IPU</t>
        </is>
      </c>
      <c r="H61" s="109" t="inlineStr">
        <is>
          <t>https://data.worldbank.org/indicator/SG.GEN.PARL.ZS?locations=AO</t>
        </is>
      </c>
      <c r="I61" s="100" t="inlineStr">
        <is>
          <t>%</t>
        </is>
      </c>
      <c r="J61" s="100" t="inlineStr">
        <is>
          <t>+</t>
        </is>
      </c>
      <c r="K61" s="100" t="n">
        <v>0</v>
      </c>
      <c r="L61" s="100" t="n">
        <v>60</v>
      </c>
      <c r="M61" s="100" t="n">
        <v>35</v>
      </c>
      <c r="N61" s="100" t="n">
        <v>1</v>
      </c>
      <c r="O61" s="100" t="inlineStr">
        <is>
          <t>Média</t>
        </is>
      </c>
      <c r="P61" s="100" t="inlineStr">
        <is>
          <t>Preenchido via Banco Mundial API/CSV</t>
        </is>
      </c>
      <c r="Q61" s="100" t="inlineStr">
        <is>
          <t>11/11</t>
        </is>
      </c>
      <c r="R61" s="111" t="n">
        <v>36.8181818181818</v>
      </c>
      <c r="S61" s="111" t="n">
        <v>36.8181818181818</v>
      </c>
      <c r="T61" s="111" t="n">
        <v>30.4545454545455</v>
      </c>
      <c r="U61" s="111" t="n">
        <v>30.4545454545455</v>
      </c>
      <c r="V61" s="111" t="n">
        <v>30</v>
      </c>
      <c r="W61" s="111" t="n">
        <v>30</v>
      </c>
      <c r="X61" s="111" t="n">
        <v>29.5454545454545</v>
      </c>
      <c r="Y61" s="111" t="n">
        <v>33.6363636363636</v>
      </c>
      <c r="Z61" s="111" t="n">
        <v>33.6363636363636</v>
      </c>
      <c r="AA61" s="111" t="n">
        <v>39.5454545454545</v>
      </c>
      <c r="AB61" s="111" t="n">
        <v>39.0909090909091</v>
      </c>
      <c r="AC61" s="100" t="inlineStr">
        <is>
          <t>Mede inclusão política de género.</t>
        </is>
      </c>
    </row>
    <row r="62">
      <c r="A62" s="100" t="inlineStr">
        <is>
          <t>4. Inclusão Social e Protecção</t>
        </is>
      </c>
      <c r="B62" s="100" t="inlineStr">
        <is>
          <t>4. Inclusão Social</t>
        </is>
      </c>
      <c r="C62" s="100" t="inlineStr">
        <is>
          <t>Participação feminina na força de trabalho</t>
        </is>
      </c>
      <c r="D62" s="112" t="inlineStr">
        <is>
          <t>Complementar</t>
        </is>
      </c>
      <c r="E62" s="100" t="inlineStr">
        <is>
          <t>SL.TLF.CACT.FE.ZS</t>
        </is>
      </c>
      <c r="F62" s="100" t="inlineStr">
        <is>
          <t>Labor force participation rate, female (% of female population ages 15+) (modeled ILO estimate)</t>
        </is>
      </c>
      <c r="G62" s="100" t="inlineStr">
        <is>
          <t>Banco Mundial/OIT</t>
        </is>
      </c>
      <c r="H62" s="109" t="inlineStr">
        <is>
          <t>https://data.worldbank.org/indicator/SL.TLF.CACT.FE.ZS?locations=AO</t>
        </is>
      </c>
      <c r="I62" s="100" t="inlineStr">
        <is>
          <t>%</t>
        </is>
      </c>
      <c r="J62" s="100" t="inlineStr">
        <is>
          <t>+</t>
        </is>
      </c>
      <c r="K62" s="100" t="n">
        <v>0</v>
      </c>
      <c r="L62" s="100" t="n">
        <v>100</v>
      </c>
      <c r="M62" s="100" t="n">
        <v>65</v>
      </c>
      <c r="N62" s="100" t="n">
        <v>1</v>
      </c>
      <c r="O62" s="100" t="inlineStr">
        <is>
          <t>Média</t>
        </is>
      </c>
      <c r="P62" s="100" t="inlineStr">
        <is>
          <t>Preenchido via Banco Mundial API/CSV</t>
        </is>
      </c>
      <c r="Q62" s="100" t="inlineStr">
        <is>
          <t>11/11</t>
        </is>
      </c>
      <c r="R62" s="111" t="n">
        <v>73.93300000000001</v>
      </c>
      <c r="S62" s="111" t="n">
        <v>73.697</v>
      </c>
      <c r="T62" s="111" t="n">
        <v>73.461</v>
      </c>
      <c r="U62" s="111" t="n">
        <v>73.224</v>
      </c>
      <c r="V62" s="111" t="n">
        <v>72.985</v>
      </c>
      <c r="W62" s="111" t="n">
        <v>71.342</v>
      </c>
      <c r="X62" s="111" t="n">
        <v>74.69499999999999</v>
      </c>
      <c r="Y62" s="111" t="n">
        <v>74.018</v>
      </c>
      <c r="Z62" s="111" t="n">
        <v>72.318</v>
      </c>
      <c r="AA62" s="111" t="n">
        <v>72.35899999999999</v>
      </c>
      <c r="AB62" s="111" t="n">
        <v>72.224</v>
      </c>
      <c r="AC62" s="100" t="inlineStr">
        <is>
          <t>Complementa o Global Gender Gap com uma métrica económica anual.</t>
        </is>
      </c>
    </row>
    <row r="63">
      <c r="A63" s="100" t="inlineStr">
        <is>
          <t>4. Inclusão Social e Protecção</t>
        </is>
      </c>
      <c r="B63" s="100" t="inlineStr">
        <is>
          <t>4. Inclusão Social</t>
        </is>
      </c>
      <c r="C63" s="100" t="inlineStr">
        <is>
          <t>Registo de nascimento completo</t>
        </is>
      </c>
      <c r="D63" s="112" t="inlineStr">
        <is>
          <t>Complementar</t>
        </is>
      </c>
      <c r="E63" s="100" t="inlineStr">
        <is>
          <t>SP.REG.BRTH.ZS</t>
        </is>
      </c>
      <c r="F63" s="100" t="inlineStr">
        <is>
          <t>Completeness of birth registration (%)</t>
        </is>
      </c>
      <c r="G63" s="100" t="inlineStr">
        <is>
          <t>Banco Mundial/UNICEF</t>
        </is>
      </c>
      <c r="H63" s="109" t="inlineStr">
        <is>
          <t>https://data.worldbank.org/indicator/SP.REG.BRTH.ZS?locations=AO</t>
        </is>
      </c>
      <c r="I63" s="100" t="inlineStr">
        <is>
          <t>%</t>
        </is>
      </c>
      <c r="J63" s="100" t="inlineStr">
        <is>
          <t>+</t>
        </is>
      </c>
      <c r="K63" s="100" t="n">
        <v>0</v>
      </c>
      <c r="L63" s="100" t="n">
        <v>100</v>
      </c>
      <c r="M63" s="100" t="n">
        <v>80</v>
      </c>
      <c r="N63" s="100" t="n">
        <v>1</v>
      </c>
      <c r="O63" s="100" t="inlineStr">
        <is>
          <t>Média</t>
        </is>
      </c>
      <c r="P63" s="100" t="inlineStr">
        <is>
          <t>Preenchido via Banco Mundial API/CSV</t>
        </is>
      </c>
      <c r="Q63" s="100" t="inlineStr">
        <is>
          <t>1/11</t>
        </is>
      </c>
      <c r="R63" s="100" t="n"/>
      <c r="S63" s="111" t="n">
        <v>25</v>
      </c>
      <c r="T63" s="100" t="n"/>
      <c r="U63" s="100" t="n"/>
      <c r="V63" s="100" t="n"/>
      <c r="W63" s="100" t="n"/>
      <c r="X63" s="100" t="n"/>
      <c r="Y63" s="100" t="n"/>
      <c r="Z63" s="100" t="n"/>
      <c r="AA63" s="100" t="n"/>
      <c r="AB63" s="100" t="n"/>
      <c r="AC63" s="100" t="inlineStr">
        <is>
          <t>Proxy de inclusão administrativa e acesso a direitos básicos.</t>
        </is>
      </c>
    </row>
    <row r="64">
      <c r="A64" s="100" t="inlineStr">
        <is>
          <t>5. Infraestruturas e Serviços</t>
        </is>
      </c>
      <c r="B64" s="100" t="inlineStr">
        <is>
          <t>5. Infraestruturas</t>
        </is>
      </c>
      <c r="C64" s="100" t="inlineStr">
        <is>
          <t>Taxa de Electrificação</t>
        </is>
      </c>
      <c r="D64" s="110" t="inlineStr">
        <is>
          <t>Atual no modelo</t>
        </is>
      </c>
      <c r="E64" s="100" t="inlineStr">
        <is>
          <t>EG.ELC.ACCS.ZS</t>
        </is>
      </c>
      <c r="F64" s="100" t="inlineStr"/>
      <c r="G64" s="100" t="inlineStr">
        <is>
          <t>MINEA</t>
        </is>
      </c>
      <c r="H64" s="109" t="inlineStr">
        <is>
          <t>Angola - Access To Electricity (% Of Population) - 2026 Data 2027 Forecast 1990-2023 Historical</t>
        </is>
      </c>
      <c r="I64" s="100" t="inlineStr">
        <is>
          <t>%</t>
        </is>
      </c>
      <c r="J64" s="100" t="inlineStr">
        <is>
          <t>+</t>
        </is>
      </c>
      <c r="K64" s="100" t="n">
        <v>0</v>
      </c>
      <c r="L64" s="100" t="n">
        <v>100</v>
      </c>
      <c r="M64" s="100" t="n">
        <v>60</v>
      </c>
      <c r="N64" s="100" t="n">
        <v>1</v>
      </c>
      <c r="O64" s="100" t="inlineStr">
        <is>
          <t>Em uso</t>
        </is>
      </c>
      <c r="P64" s="100" t="inlineStr">
        <is>
          <t>Série existente no Input_Dados</t>
        </is>
      </c>
      <c r="Q64" s="100" t="inlineStr">
        <is>
          <t>9/11</t>
        </is>
      </c>
      <c r="R64" s="111" t="n">
        <v>42</v>
      </c>
      <c r="S64" s="111" t="n">
        <v>41.8</v>
      </c>
      <c r="T64" s="111" t="n">
        <v>42.9</v>
      </c>
      <c r="U64" s="111" t="n">
        <v>45.3</v>
      </c>
      <c r="V64" s="111" t="n">
        <v>45.6</v>
      </c>
      <c r="W64" s="111" t="n">
        <v>47</v>
      </c>
      <c r="X64" s="111" t="n">
        <v>48.2</v>
      </c>
      <c r="Y64" s="111" t="n">
        <v>48.5</v>
      </c>
      <c r="Z64" s="111" t="n">
        <v>51.1</v>
      </c>
      <c r="AA64" s="100" t="n"/>
      <c r="AB64" s="100" t="n"/>
      <c r="AC64" s="100" t="inlineStr">
        <is>
          <t>Indicador já incluído no modelo original.</t>
        </is>
      </c>
    </row>
    <row r="65">
      <c r="A65" s="100" t="inlineStr">
        <is>
          <t>5. Infraestruturas e Serviços</t>
        </is>
      </c>
      <c r="B65" s="100" t="inlineStr">
        <is>
          <t>5. Infraestruturas</t>
        </is>
      </c>
      <c r="C65" s="100" t="inlineStr">
        <is>
          <t>Acesso a Água Potável</t>
        </is>
      </c>
      <c r="D65" s="110" t="inlineStr">
        <is>
          <t>Atual no modelo</t>
        </is>
      </c>
      <c r="E65" s="100" t="inlineStr">
        <is>
          <t>SH.H2O.BASW.ZS</t>
        </is>
      </c>
      <c r="F65" s="100" t="inlineStr"/>
      <c r="G65" s="100" t="inlineStr">
        <is>
          <t>MINEA/INE</t>
        </is>
      </c>
      <c r="H65" s="109" t="inlineStr">
        <is>
          <t>Access to Basic Drinking Water in Angola | 2025 Trends &amp; Rankings | World View Data</t>
        </is>
      </c>
      <c r="I65" s="100" t="inlineStr">
        <is>
          <t>%</t>
        </is>
      </c>
      <c r="J65" s="100" t="inlineStr">
        <is>
          <t>+</t>
        </is>
      </c>
      <c r="K65" s="100" t="n">
        <v>0</v>
      </c>
      <c r="L65" s="100" t="n">
        <v>100</v>
      </c>
      <c r="M65" s="100" t="n">
        <v>70</v>
      </c>
      <c r="N65" s="100" t="n">
        <v>1</v>
      </c>
      <c r="O65" s="100" t="inlineStr">
        <is>
          <t>Em uso</t>
        </is>
      </c>
      <c r="P65" s="100" t="inlineStr">
        <is>
          <t>Série existente no Input_Dados</t>
        </is>
      </c>
      <c r="Q65" s="100" t="inlineStr">
        <is>
          <t>8/11</t>
        </is>
      </c>
      <c r="R65" s="111" t="n">
        <v>54.3</v>
      </c>
      <c r="S65" s="111" t="n">
        <v>55.1</v>
      </c>
      <c r="T65" s="111" t="n">
        <v>55.8</v>
      </c>
      <c r="U65" s="111" t="n">
        <v>56.6</v>
      </c>
      <c r="V65" s="111" t="n">
        <v>56.9</v>
      </c>
      <c r="W65" s="111" t="n">
        <v>57.2</v>
      </c>
      <c r="X65" s="111" t="n">
        <v>57.4</v>
      </c>
      <c r="Y65" s="111" t="n">
        <v>57.7</v>
      </c>
      <c r="Z65" s="100" t="n"/>
      <c r="AA65" s="100" t="n"/>
      <c r="AB65" s="100" t="n"/>
      <c r="AC65" s="100" t="inlineStr">
        <is>
          <t>Indicador já incluído no modelo original.</t>
        </is>
      </c>
    </row>
    <row r="66">
      <c r="A66" s="100" t="inlineStr">
        <is>
          <t>5. Infraestruturas e Serviços</t>
        </is>
      </c>
      <c r="B66" s="100" t="inlineStr">
        <is>
          <t>5. Infraestruturas</t>
        </is>
      </c>
      <c r="C66" s="100" t="inlineStr">
        <is>
          <t>Acesso a Saneamento Básico</t>
        </is>
      </c>
      <c r="D66" s="110" t="inlineStr">
        <is>
          <t>Atual no modelo</t>
        </is>
      </c>
      <c r="E66" s="100" t="inlineStr">
        <is>
          <t>SH.STA.BASS.ZS</t>
        </is>
      </c>
      <c r="F66" s="100" t="inlineStr"/>
      <c r="G66" s="100" t="inlineStr">
        <is>
          <t>MINEA/INE</t>
        </is>
      </c>
      <c r="H66" s="109" t="inlineStr">
        <is>
          <t>People using at least basic sanitation services (% of population) - Angola | Data</t>
        </is>
      </c>
      <c r="I66" s="100" t="inlineStr">
        <is>
          <t>%</t>
        </is>
      </c>
      <c r="J66" s="100" t="inlineStr">
        <is>
          <t>+</t>
        </is>
      </c>
      <c r="K66" s="100" t="n">
        <v>0</v>
      </c>
      <c r="L66" s="100" t="n">
        <v>100</v>
      </c>
      <c r="M66" s="100" t="n">
        <v>60</v>
      </c>
      <c r="N66" s="100" t="n">
        <v>1</v>
      </c>
      <c r="O66" s="100" t="inlineStr">
        <is>
          <t>Em uso</t>
        </is>
      </c>
      <c r="P66" s="100" t="inlineStr">
        <is>
          <t>Série existente no Input_Dados</t>
        </is>
      </c>
      <c r="Q66" s="100" t="inlineStr">
        <is>
          <t>8/11</t>
        </is>
      </c>
      <c r="R66" s="111" t="n">
        <v>47</v>
      </c>
      <c r="S66" s="111" t="n">
        <v>48</v>
      </c>
      <c r="T66" s="111" t="n">
        <v>48</v>
      </c>
      <c r="U66" s="111" t="n">
        <v>49</v>
      </c>
      <c r="V66" s="111" t="n">
        <v>50</v>
      </c>
      <c r="W66" s="111" t="n">
        <v>50</v>
      </c>
      <c r="X66" s="111" t="n">
        <v>50</v>
      </c>
      <c r="Y66" s="111" t="n">
        <v>50</v>
      </c>
      <c r="Z66" s="100" t="n"/>
      <c r="AA66" s="100" t="n"/>
      <c r="AB66" s="100" t="n"/>
      <c r="AC66" s="100" t="inlineStr">
        <is>
          <t>Indicador já incluído no modelo original.</t>
        </is>
      </c>
    </row>
    <row r="67">
      <c r="A67" s="100" t="inlineStr">
        <is>
          <t>5. Infraestruturas e Serviços</t>
        </is>
      </c>
      <c r="B67" s="100" t="inlineStr">
        <is>
          <t>5. Infraestruturas</t>
        </is>
      </c>
      <c r="C67" s="100" t="inlineStr">
        <is>
          <t>Cobertura de Rede 4G</t>
        </is>
      </c>
      <c r="D67" s="110" t="inlineStr">
        <is>
          <t>Atual no modelo</t>
        </is>
      </c>
      <c r="E67" s="100" t="inlineStr"/>
      <c r="F67" s="100" t="inlineStr"/>
      <c r="G67" s="100" t="inlineStr">
        <is>
          <t>INACOM</t>
        </is>
      </c>
      <c r="H67" s="109" t="inlineStr">
        <is>
          <t xml:space="preserve">Não tem estatísticas anuais </t>
        </is>
      </c>
      <c r="I67" s="100" t="inlineStr">
        <is>
          <t>%</t>
        </is>
      </c>
      <c r="J67" s="100" t="inlineStr">
        <is>
          <t>+</t>
        </is>
      </c>
      <c r="K67" s="100" t="n">
        <v>0</v>
      </c>
      <c r="L67" s="100" t="n">
        <v>100</v>
      </c>
      <c r="M67" s="100" t="n">
        <v>70</v>
      </c>
      <c r="N67" s="100" t="n">
        <v>1</v>
      </c>
      <c r="O67" s="100" t="inlineStr">
        <is>
          <t>Em uso</t>
        </is>
      </c>
      <c r="P67" s="113" t="inlineStr">
        <is>
          <t>Série existente no Input_Dados</t>
        </is>
      </c>
      <c r="Q67" s="100" t="inlineStr">
        <is>
          <t>0/11</t>
        </is>
      </c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  <c r="AA67" s="100" t="n"/>
      <c r="AB67" s="100" t="n"/>
      <c r="AC67" s="100" t="inlineStr">
        <is>
          <t>Indicador já incluído no modelo original.</t>
        </is>
      </c>
    </row>
    <row r="68">
      <c r="A68" s="100" t="inlineStr">
        <is>
          <t>5. Infraestruturas e Serviços</t>
        </is>
      </c>
      <c r="B68" s="100" t="inlineStr">
        <is>
          <t>5. Infraestruturas</t>
        </is>
      </c>
      <c r="C68" s="100" t="inlineStr">
        <is>
          <t>Utilizadores de Internet (%)</t>
        </is>
      </c>
      <c r="D68" s="110" t="inlineStr">
        <is>
          <t>Atual no modelo</t>
        </is>
      </c>
      <c r="E68" s="100" t="inlineStr">
        <is>
          <t>IT.NET.USER.ZS</t>
        </is>
      </c>
      <c r="F68" s="100" t="inlineStr"/>
      <c r="G68" s="100" t="inlineStr">
        <is>
          <t>INACOM</t>
        </is>
      </c>
      <c r="H68" s="109" t="inlineStr">
        <is>
          <t>Table Data - Internet users for Angola | FRED | St. Louis Fed</t>
        </is>
      </c>
      <c r="I68" s="100" t="inlineStr">
        <is>
          <t>%</t>
        </is>
      </c>
      <c r="J68" s="100" t="inlineStr">
        <is>
          <t>+</t>
        </is>
      </c>
      <c r="K68" s="100" t="n">
        <v>0</v>
      </c>
      <c r="L68" s="100" t="n">
        <v>100</v>
      </c>
      <c r="M68" s="100" t="n">
        <v>40</v>
      </c>
      <c r="N68" s="100" t="n">
        <v>1</v>
      </c>
      <c r="O68" s="100" t="inlineStr">
        <is>
          <t>Em uso</t>
        </is>
      </c>
      <c r="P68" s="100" t="inlineStr">
        <is>
          <t>Série existente no Input_Dados</t>
        </is>
      </c>
      <c r="Q68" s="100" t="inlineStr">
        <is>
          <t>9/11</t>
        </is>
      </c>
      <c r="R68" s="111" t="n">
        <v>22</v>
      </c>
      <c r="S68" s="111" t="n">
        <v>23.2</v>
      </c>
      <c r="T68" s="111" t="n">
        <v>26</v>
      </c>
      <c r="U68" s="111" t="n">
        <v>29</v>
      </c>
      <c r="V68" s="111" t="n">
        <v>32.1</v>
      </c>
      <c r="W68" s="111" t="n">
        <v>36.6</v>
      </c>
      <c r="X68" s="111" t="n">
        <v>39.3</v>
      </c>
      <c r="Y68" s="111" t="n">
        <v>42</v>
      </c>
      <c r="Z68" s="111" t="n">
        <v>44</v>
      </c>
      <c r="AA68" s="100" t="n"/>
      <c r="AB68" s="100" t="n"/>
      <c r="AC68" s="100" t="inlineStr">
        <is>
          <t>Indicador já incluído no modelo original.</t>
        </is>
      </c>
    </row>
    <row r="69">
      <c r="A69" s="100" t="inlineStr">
        <is>
          <t>5. Infraestruturas e Serviços</t>
        </is>
      </c>
      <c r="B69" s="100" t="inlineStr">
        <is>
          <t>5. Infraestruturas</t>
        </is>
      </c>
      <c r="C69" s="100" t="inlineStr">
        <is>
          <t>Densidade Rodoviária (km/1000km²)</t>
        </is>
      </c>
      <c r="D69" s="110" t="inlineStr">
        <is>
          <t>Atual no modelo</t>
        </is>
      </c>
      <c r="E69" s="100" t="inlineStr">
        <is>
          <t>IS.ROD.DNST.K2</t>
        </is>
      </c>
      <c r="F69" s="100" t="inlineStr"/>
      <c r="G69" s="100" t="inlineStr">
        <is>
          <t>MINTRANS</t>
        </is>
      </c>
      <c r="H69" s="109" t="inlineStr">
        <is>
          <t>World Bank Document</t>
        </is>
      </c>
      <c r="I69" s="100" t="inlineStr">
        <is>
          <t>km</t>
        </is>
      </c>
      <c r="J69" s="100" t="inlineStr">
        <is>
          <t>+</t>
        </is>
      </c>
      <c r="K69" s="100" t="n">
        <v>0</v>
      </c>
      <c r="L69" s="100" t="n">
        <v>100</v>
      </c>
      <c r="M69" s="100" t="n">
        <v>30</v>
      </c>
      <c r="N69" s="100" t="n">
        <v>1</v>
      </c>
      <c r="O69" s="100" t="inlineStr">
        <is>
          <t>Em uso</t>
        </is>
      </c>
      <c r="P69" s="100" t="inlineStr">
        <is>
          <t>Série existente no Input_Dados</t>
        </is>
      </c>
      <c r="Q69" s="100" t="inlineStr">
        <is>
          <t>10/11</t>
        </is>
      </c>
      <c r="R69" s="111" t="n">
        <v>29</v>
      </c>
      <c r="S69" s="111" t="n">
        <v>29</v>
      </c>
      <c r="T69" s="111" t="n">
        <v>29</v>
      </c>
      <c r="U69" s="111" t="n">
        <v>29</v>
      </c>
      <c r="V69" s="111" t="n">
        <v>29</v>
      </c>
      <c r="W69" s="111" t="n">
        <v>30</v>
      </c>
      <c r="X69" s="111" t="n">
        <v>31</v>
      </c>
      <c r="Y69" s="111" t="n">
        <v>31</v>
      </c>
      <c r="Z69" s="111" t="n">
        <v>32</v>
      </c>
      <c r="AA69" s="111" t="n">
        <v>33</v>
      </c>
      <c r="AB69" s="100" t="n"/>
      <c r="AC69" s="100" t="inlineStr">
        <is>
          <t>Indicador já incluído no modelo original.</t>
        </is>
      </c>
    </row>
    <row r="70">
      <c r="A70" s="100" t="inlineStr">
        <is>
          <t>5. Infraestruturas e Serviços</t>
        </is>
      </c>
      <c r="B70" s="100" t="inlineStr">
        <is>
          <t>5. Infraestruturas</t>
        </is>
      </c>
      <c r="C70" s="100" t="inlineStr">
        <is>
          <t>Acesso rural à eletricidade</t>
        </is>
      </c>
      <c r="D70" s="112" t="inlineStr">
        <is>
          <t>Complementar</t>
        </is>
      </c>
      <c r="E70" s="100" t="inlineStr">
        <is>
          <t>EG.ELC.ACCS.RU.ZS</t>
        </is>
      </c>
      <c r="F70" s="100" t="inlineStr">
        <is>
          <t>Access to electricity, rural (% of rural population)</t>
        </is>
      </c>
      <c r="G70" s="100" t="inlineStr">
        <is>
          <t>Banco Mundial/IEA</t>
        </is>
      </c>
      <c r="H70" s="109" t="inlineStr">
        <is>
          <t>https://data.worldbank.org/indicator/EG.ELC.ACCS.RU.ZS?locations=AO</t>
        </is>
      </c>
      <c r="I70" s="100" t="inlineStr">
        <is>
          <t>%</t>
        </is>
      </c>
      <c r="J70" s="100" t="inlineStr">
        <is>
          <t>+</t>
        </is>
      </c>
      <c r="K70" s="100" t="n">
        <v>0</v>
      </c>
      <c r="L70" s="100" t="n">
        <v>100</v>
      </c>
      <c r="M70" s="100" t="n">
        <v>50</v>
      </c>
      <c r="N70" s="100" t="n">
        <v>1</v>
      </c>
      <c r="O70" s="100" t="inlineStr">
        <is>
          <t>Alta</t>
        </is>
      </c>
      <c r="P70" s="100" t="inlineStr">
        <is>
          <t>Preenchido via Banco Mundial API/CSV</t>
        </is>
      </c>
      <c r="Q70" s="100" t="inlineStr">
        <is>
          <t>2/11</t>
        </is>
      </c>
      <c r="R70" s="111" t="n">
        <v>3.8</v>
      </c>
      <c r="S70" s="100" t="n"/>
      <c r="T70" s="100" t="n"/>
      <c r="U70" s="111" t="n">
        <v>7.3</v>
      </c>
      <c r="V70" s="100" t="n"/>
      <c r="W70" s="100" t="n"/>
      <c r="X70" s="100" t="n"/>
      <c r="Y70" s="100" t="n"/>
      <c r="Z70" s="100" t="n"/>
      <c r="AA70" s="100" t="n"/>
      <c r="AB70" s="100" t="n"/>
      <c r="AC70" s="100" t="inlineStr">
        <is>
          <t>Evidencia desigualdade territorial no acesso à energia.</t>
        </is>
      </c>
    </row>
    <row r="71">
      <c r="A71" s="100" t="inlineStr">
        <is>
          <t>5. Infraestruturas e Serviços</t>
        </is>
      </c>
      <c r="B71" s="100" t="inlineStr">
        <is>
          <t>5. Infraestruturas</t>
        </is>
      </c>
      <c r="C71" s="100" t="inlineStr">
        <is>
          <t>Acesso a energia limpa para cozinhar</t>
        </is>
      </c>
      <c r="D71" s="112" t="inlineStr">
        <is>
          <t>Complementar</t>
        </is>
      </c>
      <c r="E71" s="100" t="inlineStr">
        <is>
          <t>EG.CFT.ACCS.ZS</t>
        </is>
      </c>
      <c r="F71" s="100" t="inlineStr">
        <is>
          <t>Access to clean fuels and technologies for cooking (% of population)</t>
        </is>
      </c>
      <c r="G71" s="100" t="inlineStr">
        <is>
          <t>Banco Mundial/OMS</t>
        </is>
      </c>
      <c r="H71" s="109" t="inlineStr">
        <is>
          <t>https://data.worldbank.org/indicator/EG.CFT.ACCS.ZS?locations=AO</t>
        </is>
      </c>
      <c r="I71" s="100" t="inlineStr">
        <is>
          <t>%</t>
        </is>
      </c>
      <c r="J71" s="100" t="inlineStr">
        <is>
          <t>+</t>
        </is>
      </c>
      <c r="K71" s="100" t="n">
        <v>0</v>
      </c>
      <c r="L71" s="100" t="n">
        <v>100</v>
      </c>
      <c r="M71" s="100" t="n">
        <v>35</v>
      </c>
      <c r="N71" s="100" t="n">
        <v>1</v>
      </c>
      <c r="O71" s="100" t="inlineStr">
        <is>
          <t>Alta</t>
        </is>
      </c>
      <c r="P71" s="100" t="inlineStr">
        <is>
          <t>Preenchido via Banco Mundial API/CSV</t>
        </is>
      </c>
      <c r="Q71" s="100" t="inlineStr">
        <is>
          <t>9/11</t>
        </is>
      </c>
      <c r="R71" s="111" t="n">
        <v>47</v>
      </c>
      <c r="S71" s="111" t="n">
        <v>48</v>
      </c>
      <c r="T71" s="111" t="n">
        <v>48.2</v>
      </c>
      <c r="U71" s="111" t="n">
        <v>48.8</v>
      </c>
      <c r="V71" s="111" t="n">
        <v>49.2</v>
      </c>
      <c r="W71" s="111" t="n">
        <v>49.4</v>
      </c>
      <c r="X71" s="111" t="n">
        <v>49.8</v>
      </c>
      <c r="Y71" s="111" t="n">
        <v>50</v>
      </c>
      <c r="Z71" s="111" t="n">
        <v>50.2</v>
      </c>
      <c r="AA71" s="100" t="n"/>
      <c r="AB71" s="100" t="n"/>
      <c r="AC71" s="100" t="inlineStr">
        <is>
          <t>Indicador de infraestrutura doméstica com impacto ambiental e de saúde.</t>
        </is>
      </c>
    </row>
    <row r="72">
      <c r="A72" s="100" t="inlineStr">
        <is>
          <t>5. Infraestruturas e Serviços</t>
        </is>
      </c>
      <c r="B72" s="100" t="inlineStr">
        <is>
          <t>5. Infraestruturas</t>
        </is>
      </c>
      <c r="C72" s="100" t="inlineStr">
        <is>
          <t>Perdas de transmissão e distribuição elétrica</t>
        </is>
      </c>
      <c r="D72" s="112" t="inlineStr">
        <is>
          <t>Complementar</t>
        </is>
      </c>
      <c r="E72" s="100" t="inlineStr">
        <is>
          <t>EG.ELC.LOSS.ZS</t>
        </is>
      </c>
      <c r="F72" s="100" t="inlineStr">
        <is>
          <t>Electric power transmission and distribution losses (% of output)</t>
        </is>
      </c>
      <c r="G72" s="100" t="inlineStr">
        <is>
          <t>Banco Mundial/IEA</t>
        </is>
      </c>
      <c r="H72" s="109" t="inlineStr">
        <is>
          <t>https://data.worldbank.org/indicator/EG.ELC.LOSS.ZS?locations=AO</t>
        </is>
      </c>
      <c r="I72" s="100" t="inlineStr">
        <is>
          <t>%</t>
        </is>
      </c>
      <c r="J72" s="100" t="inlineStr">
        <is>
          <t>-</t>
        </is>
      </c>
      <c r="K72" s="100" t="n">
        <v>0</v>
      </c>
      <c r="L72" s="100" t="n">
        <v>60</v>
      </c>
      <c r="M72" s="100" t="n">
        <v>15</v>
      </c>
      <c r="N72" s="100" t="n">
        <v>1</v>
      </c>
      <c r="O72" s="100" t="inlineStr">
        <is>
          <t>Média</t>
        </is>
      </c>
      <c r="P72" s="100" t="inlineStr">
        <is>
          <t>Preenchido via Banco Mundial API/CSV</t>
        </is>
      </c>
      <c r="Q72" s="100" t="inlineStr">
        <is>
          <t>9/11</t>
        </is>
      </c>
      <c r="R72" s="111" t="n">
        <v>11.2700699876492</v>
      </c>
      <c r="S72" s="111" t="n">
        <v>11.2669600293363</v>
      </c>
      <c r="T72" s="111" t="n">
        <v>11.2580314740665</v>
      </c>
      <c r="U72" s="111" t="n">
        <v>11.2649128173753</v>
      </c>
      <c r="V72" s="111" t="n">
        <v>11.2629123625458</v>
      </c>
      <c r="W72" s="111" t="n">
        <v>11.2661592364383</v>
      </c>
      <c r="X72" s="111" t="n">
        <v>11.2622876114836</v>
      </c>
      <c r="Y72" s="111" t="n">
        <v>11.2616822429907</v>
      </c>
      <c r="Z72" s="111" t="n">
        <v>11.2667982931024</v>
      </c>
      <c r="AA72" s="100" t="n"/>
      <c r="AB72" s="100" t="n"/>
      <c r="AC72" s="100" t="inlineStr">
        <is>
          <t>Mede eficiência da rede elétrica, não apenas acesso.</t>
        </is>
      </c>
    </row>
    <row r="73">
      <c r="A73" s="100" t="inlineStr">
        <is>
          <t>5. Infraestruturas e Serviços</t>
        </is>
      </c>
      <c r="B73" s="100" t="inlineStr">
        <is>
          <t>5. Infraestruturas</t>
        </is>
      </c>
      <c r="C73" s="100" t="inlineStr">
        <is>
          <t>Subscrições móveis por 100 habitantes</t>
        </is>
      </c>
      <c r="D73" s="112" t="inlineStr">
        <is>
          <t>Substituto/Complementar</t>
        </is>
      </c>
      <c r="E73" s="100" t="inlineStr">
        <is>
          <t>IT.CEL.SETS.P2</t>
        </is>
      </c>
      <c r="F73" s="100" t="inlineStr">
        <is>
          <t>Mobile cellular subscriptions (per 100 people)</t>
        </is>
      </c>
      <c r="G73" s="100" t="inlineStr">
        <is>
          <t>Banco Mundial/ITU</t>
        </is>
      </c>
      <c r="H73" s="109" t="inlineStr">
        <is>
          <t>https://data.worldbank.org/indicator/IT.CEL.SETS.P2?locations=AO</t>
        </is>
      </c>
      <c r="I73" s="100" t="inlineStr">
        <is>
          <t>por 100 hab.</t>
        </is>
      </c>
      <c r="J73" s="100" t="inlineStr">
        <is>
          <t>+</t>
        </is>
      </c>
      <c r="K73" s="100" t="n">
        <v>0</v>
      </c>
      <c r="L73" s="100" t="n">
        <v>160</v>
      </c>
      <c r="M73" s="100" t="n">
        <v>100</v>
      </c>
      <c r="N73" s="100" t="n">
        <v>1</v>
      </c>
      <c r="O73" s="100" t="inlineStr">
        <is>
          <t>Alta</t>
        </is>
      </c>
      <c r="P73" s="100" t="inlineStr">
        <is>
          <t>Preenchido via Banco Mundial API/CSV</t>
        </is>
      </c>
      <c r="Q73" s="100" t="inlineStr">
        <is>
          <t>10/11</t>
        </is>
      </c>
      <c r="R73" s="111" t="n">
        <v>49.3097223014385</v>
      </c>
      <c r="S73" s="111" t="n">
        <v>44.5502272379157</v>
      </c>
      <c r="T73" s="111" t="n">
        <v>44.0682088632918</v>
      </c>
      <c r="U73" s="111" t="n">
        <v>42.4588784507729</v>
      </c>
      <c r="V73" s="111" t="n">
        <v>45.8065312825399</v>
      </c>
      <c r="W73" s="111" t="n">
        <v>43.7804317055698</v>
      </c>
      <c r="X73" s="111" t="n">
        <v>44.3868689341257</v>
      </c>
      <c r="Y73" s="111" t="n">
        <v>66.6008073123779</v>
      </c>
      <c r="Z73" s="111" t="n">
        <v>70.0519587723571</v>
      </c>
      <c r="AA73" s="111" t="n">
        <v>69.7039467163584</v>
      </c>
      <c r="AB73" s="100" t="n"/>
      <c r="AC73" s="100" t="inlineStr">
        <is>
          <t>Alternativa anual à cobertura 4G quando a série INACOM estiver incompleta.</t>
        </is>
      </c>
    </row>
    <row r="74">
      <c r="A74" s="100" t="inlineStr">
        <is>
          <t>5. Infraestruturas e Serviços</t>
        </is>
      </c>
      <c r="B74" s="100" t="inlineStr">
        <is>
          <t>5. Infraestruturas</t>
        </is>
      </c>
      <c r="C74" s="100" t="inlineStr">
        <is>
          <t>Banda larga fixa por 100 habitantes</t>
        </is>
      </c>
      <c r="D74" s="112" t="inlineStr">
        <is>
          <t>Complementar</t>
        </is>
      </c>
      <c r="E74" s="100" t="inlineStr">
        <is>
          <t>IT.NET.BBND.P2</t>
        </is>
      </c>
      <c r="F74" s="100" t="inlineStr">
        <is>
          <t>Fixed broadband subscriptions (per 100 people)</t>
        </is>
      </c>
      <c r="G74" s="100" t="inlineStr">
        <is>
          <t>Banco Mundial/ITU</t>
        </is>
      </c>
      <c r="H74" s="109" t="inlineStr">
        <is>
          <t>https://data.worldbank.org/indicator/IT.NET.BBND.P2?locations=AO</t>
        </is>
      </c>
      <c r="I74" s="100" t="inlineStr">
        <is>
          <t>por 100 hab.</t>
        </is>
      </c>
      <c r="J74" s="100" t="inlineStr">
        <is>
          <t>+</t>
        </is>
      </c>
      <c r="K74" s="100" t="n">
        <v>0</v>
      </c>
      <c r="L74" s="100" t="n">
        <v>50</v>
      </c>
      <c r="M74" s="100" t="n">
        <v>8</v>
      </c>
      <c r="N74" s="100" t="n">
        <v>1</v>
      </c>
      <c r="O74" s="100" t="inlineStr">
        <is>
          <t>Média</t>
        </is>
      </c>
      <c r="P74" s="100" t="inlineStr">
        <is>
          <t>Preenchido via Banco Mundial API/CSV</t>
        </is>
      </c>
      <c r="Q74" s="100" t="inlineStr">
        <is>
          <t>10/11</t>
        </is>
      </c>
      <c r="R74" s="111" t="n">
        <v>0.545394210158053</v>
      </c>
      <c r="S74" s="111" t="n">
        <v>0.290319010302891</v>
      </c>
      <c r="T74" s="111" t="n">
        <v>0.32055404693903</v>
      </c>
      <c r="U74" s="111" t="n">
        <v>0.350066962955579</v>
      </c>
      <c r="V74" s="111" t="n">
        <v>0.367770426844486</v>
      </c>
      <c r="W74" s="111" t="n">
        <v>0.363264238710965</v>
      </c>
      <c r="X74" s="111" t="n">
        <v>0.39092529517689</v>
      </c>
      <c r="Y74" s="111" t="n">
        <v>0.386698155907211</v>
      </c>
      <c r="Z74" s="111" t="n">
        <v>0.373668982990052</v>
      </c>
      <c r="AA74" s="111" t="n">
        <v>0.362845240712436</v>
      </c>
      <c r="AB74" s="100" t="n"/>
      <c r="AC74" s="100" t="inlineStr">
        <is>
          <t>Mede infraestrutura digital fixa, distinta do uso de internet.</t>
        </is>
      </c>
    </row>
    <row r="75">
      <c r="A75" s="100" t="inlineStr">
        <is>
          <t>5. Infraestruturas e Serviços</t>
        </is>
      </c>
      <c r="B75" s="100" t="inlineStr">
        <is>
          <t>5. Infraestruturas</t>
        </is>
      </c>
      <c r="C75" s="100" t="inlineStr">
        <is>
          <t>Preço de cabaz móvel-banda larga (% RNB per capita)</t>
        </is>
      </c>
      <c r="D75" s="112" t="inlineStr">
        <is>
          <t>Complementar</t>
        </is>
      </c>
      <c r="E75" s="100" t="inlineStr"/>
      <c r="F75" s="100" t="inlineStr"/>
      <c r="G75" s="100" t="inlineStr">
        <is>
          <t>ITU DataHub</t>
        </is>
      </c>
      <c r="H75" s="109" t="inlineStr">
        <is>
          <t>https://datahub.itu.int/</t>
        </is>
      </c>
      <c r="I75" s="100" t="inlineStr">
        <is>
          <t>% RNB per capita</t>
        </is>
      </c>
      <c r="J75" s="100" t="inlineStr">
        <is>
          <t>-</t>
        </is>
      </c>
      <c r="K75" s="100" t="n">
        <v>0</v>
      </c>
      <c r="L75" s="100" t="n">
        <v>30</v>
      </c>
      <c r="M75" s="100" t="n">
        <v>5</v>
      </c>
      <c r="N75" s="100" t="n">
        <v>1</v>
      </c>
      <c r="O75" s="100" t="inlineStr">
        <is>
          <t>Média</t>
        </is>
      </c>
      <c r="P75" s="113" t="inlineStr">
        <is>
          <t>Sem código/API; recolha manual</t>
        </is>
      </c>
      <c r="Q75" s="100" t="inlineStr">
        <is>
          <t>0/11</t>
        </is>
      </c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  <c r="AA75" s="100" t="n"/>
      <c r="AB75" s="100" t="n"/>
      <c r="AC75" s="100" t="inlineStr">
        <is>
          <t>Capta acessibilidade económica da conectividade.</t>
        </is>
      </c>
    </row>
    <row r="76">
      <c r="A76" s="100" t="inlineStr">
        <is>
          <t>5. Infraestruturas e Serviços</t>
        </is>
      </c>
      <c r="B76" s="100" t="inlineStr">
        <is>
          <t>5. Infraestruturas</t>
        </is>
      </c>
      <c r="C76" s="100" t="inlineStr">
        <is>
          <t>Água potável básica - população total</t>
        </is>
      </c>
      <c r="D76" s="112" t="inlineStr">
        <is>
          <t>Substituto</t>
        </is>
      </c>
      <c r="E76" s="100" t="inlineStr">
        <is>
          <t>SH.H2O.BASW.ZS</t>
        </is>
      </c>
      <c r="F76" s="100" t="inlineStr">
        <is>
          <t>People using at least basic drinking water services (% of population)</t>
        </is>
      </c>
      <c r="G76" s="100" t="inlineStr">
        <is>
          <t>Banco Mundial/JMP</t>
        </is>
      </c>
      <c r="H76" s="109" t="inlineStr">
        <is>
          <t>https://data.worldbank.org/indicator/SH.H2O.BASW.ZS?locations=AO</t>
        </is>
      </c>
      <c r="I76" s="100" t="inlineStr">
        <is>
          <t>%</t>
        </is>
      </c>
      <c r="J76" s="100" t="inlineStr">
        <is>
          <t>+</t>
        </is>
      </c>
      <c r="K76" s="100" t="n">
        <v>0</v>
      </c>
      <c r="L76" s="100" t="n">
        <v>100</v>
      </c>
      <c r="M76" s="100" t="n">
        <v>70</v>
      </c>
      <c r="N76" s="100" t="n">
        <v>1</v>
      </c>
      <c r="O76" s="100" t="inlineStr">
        <is>
          <t>Alta</t>
        </is>
      </c>
      <c r="P76" s="100" t="inlineStr">
        <is>
          <t>Preenchido via Banco Mundial API/CSV</t>
        </is>
      </c>
      <c r="Q76" s="100" t="inlineStr">
        <is>
          <t>10/11</t>
        </is>
      </c>
      <c r="R76" s="111" t="n">
        <v>58.6196312007677</v>
      </c>
      <c r="S76" s="111" t="n">
        <v>60.1920620185519</v>
      </c>
      <c r="T76" s="111" t="n">
        <v>61.7735122104541</v>
      </c>
      <c r="U76" s="111" t="n">
        <v>63.3627907388021</v>
      </c>
      <c r="V76" s="111" t="n">
        <v>64.1599110373067</v>
      </c>
      <c r="W76" s="111" t="n">
        <v>64.9440305436538</v>
      </c>
      <c r="X76" s="111" t="n">
        <v>65.71625771943501</v>
      </c>
      <c r="Y76" s="111" t="n">
        <v>66.47632731978</v>
      </c>
      <c r="Z76" s="111" t="n">
        <v>67.22442525884971</v>
      </c>
      <c r="AA76" s="111" t="n">
        <v>67.9607422242112</v>
      </c>
      <c r="AB76" s="100" t="n"/>
      <c r="AC76" s="100" t="inlineStr">
        <is>
          <t>Fonte comparável para preencher/validar a linha de água potável.</t>
        </is>
      </c>
    </row>
    <row r="77">
      <c r="A77" s="100" t="inlineStr">
        <is>
          <t>5. Infraestruturas e Serviços</t>
        </is>
      </c>
      <c r="B77" s="100" t="inlineStr">
        <is>
          <t>5. Infraestruturas</t>
        </is>
      </c>
      <c r="C77" s="100" t="inlineStr">
        <is>
          <t>Saneamento básico - população total</t>
        </is>
      </c>
      <c r="D77" s="112" t="inlineStr">
        <is>
          <t>Substituto</t>
        </is>
      </c>
      <c r="E77" s="100" t="inlineStr">
        <is>
          <t>SH.STA.BASS.ZS</t>
        </is>
      </c>
      <c r="F77" s="100" t="inlineStr">
        <is>
          <t>People using at least basic sanitation services (% of population)</t>
        </is>
      </c>
      <c r="G77" s="100" t="inlineStr">
        <is>
          <t>Banco Mundial/JMP</t>
        </is>
      </c>
      <c r="H77" s="109" t="inlineStr">
        <is>
          <t>https://data.worldbank.org/indicator/SH.STA.BASS.ZS?locations=AO</t>
        </is>
      </c>
      <c r="I77" s="100" t="inlineStr">
        <is>
          <t>%</t>
        </is>
      </c>
      <c r="J77" s="100" t="inlineStr">
        <is>
          <t>+</t>
        </is>
      </c>
      <c r="K77" s="100" t="n">
        <v>0</v>
      </c>
      <c r="L77" s="100" t="n">
        <v>100</v>
      </c>
      <c r="M77" s="100" t="n">
        <v>60</v>
      </c>
      <c r="N77" s="100" t="n">
        <v>1</v>
      </c>
      <c r="O77" s="100" t="inlineStr">
        <is>
          <t>Alta</t>
        </is>
      </c>
      <c r="P77" s="100" t="inlineStr">
        <is>
          <t>Preenchido via Banco Mundial API/CSV</t>
        </is>
      </c>
      <c r="Q77" s="100" t="inlineStr">
        <is>
          <t>8/11</t>
        </is>
      </c>
      <c r="R77" s="111" t="n">
        <v>46.6837650963553</v>
      </c>
      <c r="S77" s="111" t="n">
        <v>47.555908833618</v>
      </c>
      <c r="T77" s="111" t="n">
        <v>48.4237656848917</v>
      </c>
      <c r="U77" s="111" t="n">
        <v>49.2865229934191</v>
      </c>
      <c r="V77" s="111" t="n">
        <v>49.5470237290202</v>
      </c>
      <c r="W77" s="111" t="n">
        <v>49.8016376564917</v>
      </c>
      <c r="X77" s="111" t="n">
        <v>50.0511353702384</v>
      </c>
      <c r="Y77" s="111" t="n">
        <v>50.2951359158799</v>
      </c>
      <c r="Z77" s="100" t="n"/>
      <c r="AA77" s="100" t="n"/>
      <c r="AB77" s="100" t="n"/>
      <c r="AC77" s="100" t="inlineStr">
        <is>
          <t>Fonte comparável para preencher/validar saneamento.</t>
        </is>
      </c>
    </row>
    <row r="78">
      <c r="A78" s="100" t="inlineStr">
        <is>
          <t>5. Infraestruturas e Serviços</t>
        </is>
      </c>
      <c r="B78" s="100" t="inlineStr">
        <is>
          <t>5. Infraestruturas</t>
        </is>
      </c>
      <c r="C78" s="100" t="inlineStr">
        <is>
          <t>Estradas pavimentadas (% total)</t>
        </is>
      </c>
      <c r="D78" s="112" t="inlineStr">
        <is>
          <t>Complementar</t>
        </is>
      </c>
      <c r="E78" s="100" t="inlineStr">
        <is>
          <t>IS.ROD.PAVE.ZS</t>
        </is>
      </c>
      <c r="F78" s="100" t="inlineStr">
        <is>
          <t>Roads, paved (% of total roads)</t>
        </is>
      </c>
      <c r="G78" s="100" t="inlineStr">
        <is>
          <t>Banco Mundial/WDI</t>
        </is>
      </c>
      <c r="H78" s="109" t="inlineStr">
        <is>
          <t>https://data.worldbank.org/indicator/IS.ROD.PAVE.ZS?locations=AO</t>
        </is>
      </c>
      <c r="I78" s="100" t="inlineStr">
        <is>
          <t>%</t>
        </is>
      </c>
      <c r="J78" s="100" t="inlineStr">
        <is>
          <t>+</t>
        </is>
      </c>
      <c r="K78" s="100" t="n">
        <v>0</v>
      </c>
      <c r="L78" s="100" t="n">
        <v>100</v>
      </c>
      <c r="M78" s="100" t="n">
        <v>30</v>
      </c>
      <c r="N78" s="100" t="n">
        <v>1</v>
      </c>
      <c r="O78" s="100" t="inlineStr">
        <is>
          <t>Média</t>
        </is>
      </c>
      <c r="P78" s="113" t="inlineStr">
        <is>
          <t>Sem valores para Angola em 2014-2025</t>
        </is>
      </c>
      <c r="Q78" s="100" t="inlineStr">
        <is>
          <t>0/11</t>
        </is>
      </c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  <c r="AA78" s="100" t="n"/>
      <c r="AB78" s="100" t="n"/>
      <c r="AC78" s="100" t="inlineStr">
        <is>
          <t>Complementa densidade rodoviária com qualidade da rede.</t>
        </is>
      </c>
    </row>
    <row r="79">
      <c r="A79" s="100" t="inlineStr">
        <is>
          <t>5. Infraestruturas e Serviços</t>
        </is>
      </c>
      <c r="B79" s="100" t="inlineStr">
        <is>
          <t>5. Infraestruturas</t>
        </is>
      </c>
      <c r="C79" s="100" t="inlineStr">
        <is>
          <t>Logistics Performance Index - geral</t>
        </is>
      </c>
      <c r="D79" s="112" t="inlineStr">
        <is>
          <t>Complementar</t>
        </is>
      </c>
      <c r="E79" s="100" t="inlineStr">
        <is>
          <t>LP.LPI.OVRL.XQ</t>
        </is>
      </c>
      <c r="F79" s="100" t="inlineStr">
        <is>
          <t>Logistics performance index: Overall (1=low to 5=high)</t>
        </is>
      </c>
      <c r="G79" s="100" t="inlineStr">
        <is>
          <t>Banco Mundial/LPI</t>
        </is>
      </c>
      <c r="H79" s="109" t="inlineStr">
        <is>
          <t>https://data.worldbank.org/indicator/LP.LPI.OVRL.XQ?locations=AO</t>
        </is>
      </c>
      <c r="I79" s="100" t="inlineStr">
        <is>
          <t>1-5</t>
        </is>
      </c>
      <c r="J79" s="100" t="inlineStr">
        <is>
          <t>+</t>
        </is>
      </c>
      <c r="K79" s="100" t="n">
        <v>1</v>
      </c>
      <c r="L79" s="100" t="n">
        <v>5</v>
      </c>
      <c r="M79" s="100" t="n">
        <v>3</v>
      </c>
      <c r="N79" s="100" t="n">
        <v>1</v>
      </c>
      <c r="O79" s="100" t="inlineStr">
        <is>
          <t>Baixa</t>
        </is>
      </c>
      <c r="P79" s="100" t="inlineStr">
        <is>
          <t>Preenchido via Banco Mundial API/CSV</t>
        </is>
      </c>
      <c r="Q79" s="100" t="inlineStr">
        <is>
          <t>3/11</t>
        </is>
      </c>
      <c r="R79" s="100" t="n"/>
      <c r="S79" s="111" t="n">
        <v>2.241183</v>
      </c>
      <c r="T79" s="100" t="n"/>
      <c r="U79" s="111" t="n">
        <v>2.05</v>
      </c>
      <c r="V79" s="100" t="n"/>
      <c r="W79" s="100" t="n"/>
      <c r="X79" s="100" t="n"/>
      <c r="Y79" s="111" t="n">
        <v>2.1</v>
      </c>
      <c r="Z79" s="100" t="n"/>
      <c r="AA79" s="100" t="n"/>
      <c r="AB79" s="100" t="n"/>
      <c r="AC79" s="100" t="inlineStr">
        <is>
          <t>Indicador sintético de logística; útil, mas não anual.</t>
        </is>
      </c>
    </row>
    <row r="80">
      <c r="A80" s="100" t="inlineStr">
        <is>
          <t>6. Mercado de Trabalho</t>
        </is>
      </c>
      <c r="B80" s="100" t="inlineStr">
        <is>
          <t>6. Mercado Trabalho</t>
        </is>
      </c>
      <c r="C80" s="100" t="inlineStr">
        <is>
          <t>Taxa de Emprego</t>
        </is>
      </c>
      <c r="D80" s="110" t="inlineStr">
        <is>
          <t>Atual no modelo</t>
        </is>
      </c>
      <c r="E80" s="100" t="inlineStr">
        <is>
          <t>SL.EMP.TOTL.SP.ZS</t>
        </is>
      </c>
      <c r="F80" s="100" t="inlineStr"/>
      <c r="G80" s="100" t="inlineStr">
        <is>
          <t>INE</t>
        </is>
      </c>
      <c r="H80" s="100" t="n"/>
      <c r="I80" s="100" t="inlineStr">
        <is>
          <t>%</t>
        </is>
      </c>
      <c r="J80" s="100" t="inlineStr">
        <is>
          <t>+</t>
        </is>
      </c>
      <c r="K80" s="100" t="n">
        <v>0</v>
      </c>
      <c r="L80" s="100" t="n">
        <v>100</v>
      </c>
      <c r="M80" s="100" t="n">
        <v>65</v>
      </c>
      <c r="N80" s="100" t="n">
        <v>1</v>
      </c>
      <c r="O80" s="100" t="inlineStr">
        <is>
          <t>Em uso</t>
        </is>
      </c>
      <c r="P80" s="100" t="inlineStr">
        <is>
          <t>Série existente no Input_Dados</t>
        </is>
      </c>
      <c r="Q80" s="100" t="inlineStr">
        <is>
          <t>7/11</t>
        </is>
      </c>
      <c r="R80" s="100" t="n"/>
      <c r="S80" s="100" t="n"/>
      <c r="T80" s="100" t="n"/>
      <c r="U80" s="100" t="n"/>
      <c r="V80" s="111" t="n">
        <v>61.1901621160791</v>
      </c>
      <c r="W80" s="111" t="n">
        <v>60.774758729572</v>
      </c>
      <c r="X80" s="111" t="n">
        <v>61.4914681422329</v>
      </c>
      <c r="Y80" s="111" t="n">
        <v>62.7156133390014</v>
      </c>
      <c r="Z80" s="111" t="n">
        <v>60.65331506458</v>
      </c>
      <c r="AA80" s="111" t="n">
        <v>61.6661477026761</v>
      </c>
      <c r="AB80" s="111" t="n">
        <v>64.4412865666951</v>
      </c>
      <c r="AC80" s="100" t="inlineStr">
        <is>
          <t>Indicador já incluído no modelo original.</t>
        </is>
      </c>
    </row>
    <row r="81">
      <c r="A81" s="100" t="inlineStr">
        <is>
          <t>6. Mercado de Trabalho</t>
        </is>
      </c>
      <c r="B81" s="100" t="inlineStr">
        <is>
          <t>6. Mercado Trabalho</t>
        </is>
      </c>
      <c r="C81" s="100" t="inlineStr">
        <is>
          <t>Taxa de Desemprego</t>
        </is>
      </c>
      <c r="D81" s="110" t="inlineStr">
        <is>
          <t>Atual no modelo</t>
        </is>
      </c>
      <c r="E81" s="100" t="inlineStr">
        <is>
          <t>SL.UEM.TOTL.ZS</t>
        </is>
      </c>
      <c r="F81" s="100" t="inlineStr"/>
      <c r="G81" s="100" t="inlineStr">
        <is>
          <t>INE</t>
        </is>
      </c>
      <c r="H81" s="100" t="n"/>
      <c r="I81" s="100" t="inlineStr">
        <is>
          <t>%</t>
        </is>
      </c>
      <c r="J81" s="100" t="inlineStr">
        <is>
          <t>-</t>
        </is>
      </c>
      <c r="K81" s="100" t="n">
        <v>0</v>
      </c>
      <c r="L81" s="100" t="n">
        <v>50</v>
      </c>
      <c r="M81" s="100" t="n">
        <v>20</v>
      </c>
      <c r="N81" s="100" t="n">
        <v>1</v>
      </c>
      <c r="O81" s="100" t="inlineStr">
        <is>
          <t>Em uso</t>
        </is>
      </c>
      <c r="P81" s="100" t="inlineStr">
        <is>
          <t>Série existente no Input_Dados</t>
        </is>
      </c>
      <c r="Q81" s="100" t="inlineStr">
        <is>
          <t>7/11</t>
        </is>
      </c>
      <c r="R81" s="100" t="n"/>
      <c r="S81" s="100" t="n"/>
      <c r="T81" s="100" t="n"/>
      <c r="U81" s="100" t="n"/>
      <c r="V81" s="111" t="n">
        <v>30.2088468491282</v>
      </c>
      <c r="W81" s="111" t="n">
        <v>32.1810870719272</v>
      </c>
      <c r="X81" s="111" t="n">
        <v>32.3207259246896</v>
      </c>
      <c r="Y81" s="111" t="n">
        <v>30.1553364850786</v>
      </c>
      <c r="Z81" s="111" t="n">
        <v>31.8528608979976</v>
      </c>
      <c r="AA81" s="111" t="n">
        <v>31.4663526244194</v>
      </c>
      <c r="AB81" s="111" t="n">
        <v>26.8606109770713</v>
      </c>
      <c r="AC81" s="100" t="inlineStr">
        <is>
          <t>Indicador já incluído no modelo original.</t>
        </is>
      </c>
    </row>
    <row r="82">
      <c r="A82" s="100" t="inlineStr">
        <is>
          <t>6. Mercado de Trabalho</t>
        </is>
      </c>
      <c r="B82" s="100" t="inlineStr">
        <is>
          <t>6. Mercado Trabalho</t>
        </is>
      </c>
      <c r="C82" s="100" t="inlineStr">
        <is>
          <t>Desemprego Juvenil (15-25)</t>
        </is>
      </c>
      <c r="D82" s="110" t="inlineStr">
        <is>
          <t>Atual no modelo</t>
        </is>
      </c>
      <c r="E82" s="100" t="inlineStr">
        <is>
          <t>SL.UEM.1524.ZS</t>
        </is>
      </c>
      <c r="F82" s="100" t="inlineStr"/>
      <c r="G82" s="100" t="inlineStr">
        <is>
          <t>INE</t>
        </is>
      </c>
      <c r="H82" s="100" t="n"/>
      <c r="I82" s="100" t="inlineStr">
        <is>
          <t>%</t>
        </is>
      </c>
      <c r="J82" s="100" t="inlineStr">
        <is>
          <t>-</t>
        </is>
      </c>
      <c r="K82" s="100" t="n"/>
      <c r="L82" s="100" t="n"/>
      <c r="M82" s="100" t="n"/>
      <c r="N82" s="100" t="n">
        <v>1</v>
      </c>
      <c r="O82" s="100" t="inlineStr">
        <is>
          <t>Em uso</t>
        </is>
      </c>
      <c r="P82" s="113" t="inlineStr">
        <is>
          <t>Série existente no Input_Dados</t>
        </is>
      </c>
      <c r="Q82" s="100" t="inlineStr">
        <is>
          <t>0/11</t>
        </is>
      </c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  <c r="AA82" s="100" t="n"/>
      <c r="AB82" s="100" t="n"/>
      <c r="AC82" s="100" t="inlineStr">
        <is>
          <t>Indicador já incluído no modelo original.</t>
        </is>
      </c>
    </row>
    <row r="83">
      <c r="A83" s="100" t="inlineStr">
        <is>
          <t>6. Mercado de Trabalho</t>
        </is>
      </c>
      <c r="B83" s="100" t="inlineStr">
        <is>
          <t>6. Mercado Trabalho</t>
        </is>
      </c>
      <c r="C83" s="100" t="inlineStr">
        <is>
          <t>Emprego Informal (%)</t>
        </is>
      </c>
      <c r="D83" s="110" t="inlineStr">
        <is>
          <t>Atual no modelo</t>
        </is>
      </c>
      <c r="E83" s="100" t="inlineStr"/>
      <c r="F83" s="100" t="inlineStr"/>
      <c r="G83" s="100" t="inlineStr">
        <is>
          <t>INE</t>
        </is>
      </c>
      <c r="H83" s="100" t="n"/>
      <c r="I83" s="100" t="inlineStr">
        <is>
          <t>%</t>
        </is>
      </c>
      <c r="J83" s="100" t="inlineStr">
        <is>
          <t>-</t>
        </is>
      </c>
      <c r="K83" s="100" t="n">
        <v>0</v>
      </c>
      <c r="L83" s="100" t="n">
        <v>100</v>
      </c>
      <c r="M83" s="100" t="n">
        <v>50</v>
      </c>
      <c r="N83" s="100" t="n">
        <v>1</v>
      </c>
      <c r="O83" s="100" t="inlineStr">
        <is>
          <t>Em uso</t>
        </is>
      </c>
      <c r="P83" s="100" t="inlineStr">
        <is>
          <t>Série existente no Input_Dados</t>
        </is>
      </c>
      <c r="Q83" s="100" t="inlineStr">
        <is>
          <t>7/11</t>
        </is>
      </c>
      <c r="R83" s="100" t="n"/>
      <c r="S83" s="100" t="n"/>
      <c r="T83" s="100" t="n"/>
      <c r="U83" s="100" t="n"/>
      <c r="V83" s="111" t="n">
        <v>74.54181593224951</v>
      </c>
      <c r="W83" s="111" t="n">
        <v>80.3535749995373</v>
      </c>
      <c r="X83" s="111" t="n">
        <v>80.4475176515038</v>
      </c>
      <c r="Y83" s="111" t="n">
        <v>79.8601372048351</v>
      </c>
      <c r="Z83" s="111" t="n">
        <v>80.4880950864722</v>
      </c>
      <c r="AA83" s="111" t="n">
        <v>79.7599225654393</v>
      </c>
      <c r="AB83" s="111" t="n">
        <v>77.12084248463739</v>
      </c>
      <c r="AC83" s="100" t="inlineStr">
        <is>
          <t>Indicador já incluído no modelo original.</t>
        </is>
      </c>
    </row>
    <row r="84">
      <c r="A84" s="100" t="inlineStr">
        <is>
          <t>6. Mercado de Trabalho</t>
        </is>
      </c>
      <c r="B84" s="100" t="inlineStr">
        <is>
          <t>6. Mercado Trabalho</t>
        </is>
      </c>
      <c r="C84" s="100" t="inlineStr">
        <is>
          <t>Taxa de Formalização</t>
        </is>
      </c>
      <c r="D84" s="110" t="inlineStr">
        <is>
          <t>Atual no modelo</t>
        </is>
      </c>
      <c r="E84" s="100" t="inlineStr"/>
      <c r="F84" s="100" t="inlineStr"/>
      <c r="G84" s="100" t="inlineStr">
        <is>
          <t>INSS</t>
        </is>
      </c>
      <c r="H84" s="100" t="n"/>
      <c r="I84" s="100" t="inlineStr">
        <is>
          <t>%</t>
        </is>
      </c>
      <c r="J84" s="100" t="inlineStr">
        <is>
          <t>+</t>
        </is>
      </c>
      <c r="K84" s="100" t="n">
        <v>0</v>
      </c>
      <c r="L84" s="100" t="n">
        <v>100</v>
      </c>
      <c r="M84" s="100" t="n">
        <v>40</v>
      </c>
      <c r="N84" s="100" t="n">
        <v>1</v>
      </c>
      <c r="O84" s="100" t="inlineStr">
        <is>
          <t>Em uso</t>
        </is>
      </c>
      <c r="P84" s="100" t="inlineStr">
        <is>
          <t>Série existente no Input_Dados</t>
        </is>
      </c>
      <c r="Q84" s="100" t="inlineStr">
        <is>
          <t>7/11</t>
        </is>
      </c>
      <c r="R84" s="100" t="n"/>
      <c r="S84" s="100" t="n"/>
      <c r="T84" s="100" t="n"/>
      <c r="U84" s="100" t="n"/>
      <c r="V84" s="111" t="n">
        <v>25.4581840677505</v>
      </c>
      <c r="W84" s="111" t="n">
        <v>19.6464250004627</v>
      </c>
      <c r="X84" s="111" t="n">
        <v>19.5524823484962</v>
      </c>
      <c r="Y84" s="111" t="n">
        <v>20.1398627951649</v>
      </c>
      <c r="Z84" s="111" t="n">
        <v>19.5119049135278</v>
      </c>
      <c r="AA84" s="111" t="n">
        <v>20.2400774345607</v>
      </c>
      <c r="AB84" s="111" t="n">
        <v>22.8791575153626</v>
      </c>
      <c r="AC84" s="100" t="inlineStr">
        <is>
          <t>Indicador já incluído no modelo original.</t>
        </is>
      </c>
    </row>
    <row r="85">
      <c r="A85" s="100" t="inlineStr">
        <is>
          <t>6. Mercado de Trabalho</t>
        </is>
      </c>
      <c r="B85" s="100" t="inlineStr">
        <is>
          <t>6. Mercado Trabalho</t>
        </is>
      </c>
      <c r="C85" s="100" t="inlineStr">
        <is>
          <t>Crescimento da Produtividade</t>
        </is>
      </c>
      <c r="D85" s="110" t="inlineStr">
        <is>
          <t>Atual no modelo</t>
        </is>
      </c>
      <c r="E85" s="100" t="inlineStr"/>
      <c r="F85" s="100" t="inlineStr"/>
      <c r="G85" s="100" t="inlineStr">
        <is>
          <t>INE/MEP</t>
        </is>
      </c>
      <c r="H85" s="100" t="n"/>
      <c r="I85" s="100" t="inlineStr">
        <is>
          <t>%</t>
        </is>
      </c>
      <c r="J85" s="100" t="inlineStr">
        <is>
          <t>+</t>
        </is>
      </c>
      <c r="K85" s="100" t="n">
        <v>-5</v>
      </c>
      <c r="L85" s="100" t="n">
        <v>10</v>
      </c>
      <c r="M85" s="100" t="n">
        <v>3</v>
      </c>
      <c r="N85" s="100" t="n">
        <v>1</v>
      </c>
      <c r="O85" s="100" t="inlineStr">
        <is>
          <t>Em uso</t>
        </is>
      </c>
      <c r="P85" s="113" t="inlineStr">
        <is>
          <t>Série existente no Input_Dados</t>
        </is>
      </c>
      <c r="Q85" s="100" t="inlineStr">
        <is>
          <t>0/11</t>
        </is>
      </c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  <c r="AA85" s="100" t="n"/>
      <c r="AB85" s="100" t="n"/>
      <c r="AC85" s="100" t="inlineStr">
        <is>
          <t>Indicador já incluído no modelo original.</t>
        </is>
      </c>
    </row>
    <row r="86">
      <c r="A86" s="100" t="inlineStr">
        <is>
          <t>6. Mercado de Trabalho</t>
        </is>
      </c>
      <c r="B86" s="100" t="inlineStr">
        <is>
          <t>6. Mercado Trabalho</t>
        </is>
      </c>
      <c r="C86" s="100" t="inlineStr">
        <is>
          <t>Emprego/população 15+</t>
        </is>
      </c>
      <c r="D86" s="112" t="inlineStr">
        <is>
          <t>Substituto</t>
        </is>
      </c>
      <c r="E86" s="100" t="inlineStr">
        <is>
          <t>SL.EMP.TOTL.SP.ZS</t>
        </is>
      </c>
      <c r="F86" s="100" t="inlineStr">
        <is>
          <t>Employment to population ratio, 15+, total (%) (modeled ILO estimate)</t>
        </is>
      </c>
      <c r="G86" s="100" t="inlineStr">
        <is>
          <t>Banco Mundial/OIT</t>
        </is>
      </c>
      <c r="H86" s="109" t="inlineStr">
        <is>
          <t>https://data.worldbank.org/indicator/SL.EMP.TOTL.SP.ZS?locations=AO</t>
        </is>
      </c>
      <c r="I86" s="100" t="inlineStr">
        <is>
          <t>%</t>
        </is>
      </c>
      <c r="J86" s="100" t="inlineStr">
        <is>
          <t>+</t>
        </is>
      </c>
      <c r="K86" s="100" t="n">
        <v>0</v>
      </c>
      <c r="L86" s="100" t="n">
        <v>100</v>
      </c>
      <c r="M86" s="100" t="n">
        <v>65</v>
      </c>
      <c r="N86" s="100" t="n">
        <v>1</v>
      </c>
      <c r="O86" s="100" t="inlineStr">
        <is>
          <t>Alta</t>
        </is>
      </c>
      <c r="P86" s="100" t="inlineStr">
        <is>
          <t>Preenchido via Banco Mundial API/CSV</t>
        </is>
      </c>
      <c r="Q86" s="100" t="inlineStr">
        <is>
          <t>11/11</t>
        </is>
      </c>
      <c r="R86" s="111" t="n">
        <v>63.638</v>
      </c>
      <c r="S86" s="111" t="n">
        <v>63.321</v>
      </c>
      <c r="T86" s="111" t="n">
        <v>63.045</v>
      </c>
      <c r="U86" s="111" t="n">
        <v>62.812</v>
      </c>
      <c r="V86" s="111" t="n">
        <v>62.644</v>
      </c>
      <c r="W86" s="111" t="n">
        <v>61.078</v>
      </c>
      <c r="X86" s="111" t="n">
        <v>64.306</v>
      </c>
      <c r="Y86" s="111" t="n">
        <v>64.619</v>
      </c>
      <c r="Z86" s="111" t="n">
        <v>64.369</v>
      </c>
      <c r="AA86" s="111" t="n">
        <v>64.383</v>
      </c>
      <c r="AB86" s="111" t="n">
        <v>64.236</v>
      </c>
      <c r="AC86" s="100" t="inlineStr">
        <is>
          <t>Série internacional para validar a taxa de emprego.</t>
        </is>
      </c>
    </row>
    <row r="87">
      <c r="A87" s="100" t="inlineStr">
        <is>
          <t>6. Mercado de Trabalho</t>
        </is>
      </c>
      <c r="B87" s="100" t="inlineStr">
        <is>
          <t>6. Mercado Trabalho</t>
        </is>
      </c>
      <c r="C87" s="100" t="inlineStr">
        <is>
          <t>Desemprego total modelado OIT</t>
        </is>
      </c>
      <c r="D87" s="112" t="inlineStr">
        <is>
          <t>Substituto</t>
        </is>
      </c>
      <c r="E87" s="100" t="inlineStr">
        <is>
          <t>SL.UEM.TOTL.ZS</t>
        </is>
      </c>
      <c r="F87" s="100" t="inlineStr">
        <is>
          <t>Unemployment, total (% of total labor force) (modeled ILO estimate)</t>
        </is>
      </c>
      <c r="G87" s="100" t="inlineStr">
        <is>
          <t>Banco Mundial/OIT</t>
        </is>
      </c>
      <c r="H87" s="109" t="inlineStr">
        <is>
          <t>https://data.worldbank.org/indicator/SL.UEM.TOTL.ZS?locations=AO</t>
        </is>
      </c>
      <c r="I87" s="100" t="inlineStr">
        <is>
          <t>%</t>
        </is>
      </c>
      <c r="J87" s="100" t="inlineStr">
        <is>
          <t>-</t>
        </is>
      </c>
      <c r="K87" s="100" t="n">
        <v>0</v>
      </c>
      <c r="L87" s="100" t="n">
        <v>50</v>
      </c>
      <c r="M87" s="100" t="n">
        <v>15</v>
      </c>
      <c r="N87" s="100" t="n">
        <v>1</v>
      </c>
      <c r="O87" s="100" t="inlineStr">
        <is>
          <t>Alta</t>
        </is>
      </c>
      <c r="P87" s="100" t="inlineStr">
        <is>
          <t>Preenchido via Banco Mundial API/CSV</t>
        </is>
      </c>
      <c r="Q87" s="100" t="inlineStr">
        <is>
          <t>11/11</t>
        </is>
      </c>
      <c r="R87" s="111" t="n">
        <v>16.472</v>
      </c>
      <c r="S87" s="111" t="n">
        <v>16.572</v>
      </c>
      <c r="T87" s="111" t="n">
        <v>16.617</v>
      </c>
      <c r="U87" s="111" t="n">
        <v>16.602</v>
      </c>
      <c r="V87" s="111" t="n">
        <v>16.497</v>
      </c>
      <c r="W87" s="111" t="n">
        <v>16.696</v>
      </c>
      <c r="X87" s="111" t="n">
        <v>15.799</v>
      </c>
      <c r="Y87" s="111" t="n">
        <v>14.124</v>
      </c>
      <c r="Z87" s="111" t="n">
        <v>14.051</v>
      </c>
      <c r="AA87" s="111" t="n">
        <v>14.02</v>
      </c>
      <c r="AB87" s="111" t="n">
        <v>14.108</v>
      </c>
      <c r="AC87" s="100" t="inlineStr">
        <is>
          <t>Série anual comparável para anos sem inquérito nacional.</t>
        </is>
      </c>
    </row>
    <row r="88">
      <c r="A88" s="100" t="inlineStr">
        <is>
          <t>6. Mercado de Trabalho</t>
        </is>
      </c>
      <c r="B88" s="100" t="inlineStr">
        <is>
          <t>6. Mercado Trabalho</t>
        </is>
      </c>
      <c r="C88" s="100" t="inlineStr">
        <is>
          <t>Desemprego juvenil 15-24</t>
        </is>
      </c>
      <c r="D88" s="112" t="inlineStr">
        <is>
          <t>Substituto</t>
        </is>
      </c>
      <c r="E88" s="100" t="inlineStr">
        <is>
          <t>SL.UEM.1524.ZS</t>
        </is>
      </c>
      <c r="F88" s="100" t="inlineStr">
        <is>
          <t>Unemployment, youth total (% of total labor force ages 15-24) (modeled ILO estimate)</t>
        </is>
      </c>
      <c r="G88" s="100" t="inlineStr">
        <is>
          <t>Banco Mundial/OIT</t>
        </is>
      </c>
      <c r="H88" s="109" t="inlineStr">
        <is>
          <t>https://data.worldbank.org/indicator/SL.UEM.1524.ZS?locations=AO</t>
        </is>
      </c>
      <c r="I88" s="100" t="inlineStr">
        <is>
          <t>%</t>
        </is>
      </c>
      <c r="J88" s="100" t="inlineStr">
        <is>
          <t>-</t>
        </is>
      </c>
      <c r="K88" s="100" t="n">
        <v>0</v>
      </c>
      <c r="L88" s="100" t="n">
        <v>70</v>
      </c>
      <c r="M88" s="100" t="n">
        <v>30</v>
      </c>
      <c r="N88" s="100" t="n">
        <v>1</v>
      </c>
      <c r="O88" s="100" t="inlineStr">
        <is>
          <t>Alta</t>
        </is>
      </c>
      <c r="P88" s="100" t="inlineStr">
        <is>
          <t>Preenchido via Banco Mundial API/CSV</t>
        </is>
      </c>
      <c r="Q88" s="100" t="inlineStr">
        <is>
          <t>11/11</t>
        </is>
      </c>
      <c r="R88" s="111" t="n">
        <v>35.122</v>
      </c>
      <c r="S88" s="111" t="n">
        <v>34.483</v>
      </c>
      <c r="T88" s="111" t="n">
        <v>33.725</v>
      </c>
      <c r="U88" s="111" t="n">
        <v>32.855</v>
      </c>
      <c r="V88" s="111" t="n">
        <v>31.832</v>
      </c>
      <c r="W88" s="111" t="n">
        <v>33.076</v>
      </c>
      <c r="X88" s="111" t="n">
        <v>30.171</v>
      </c>
      <c r="Y88" s="111" t="n">
        <v>27.143</v>
      </c>
      <c r="Z88" s="111" t="n">
        <v>26.834</v>
      </c>
      <c r="AA88" s="111" t="n">
        <v>26.74</v>
      </c>
      <c r="AB88" s="111" t="n">
        <v>27.229</v>
      </c>
      <c r="AC88" s="100" t="inlineStr">
        <is>
          <t>Preenche a lacuna existente de desemprego juvenil.</t>
        </is>
      </c>
    </row>
    <row r="89">
      <c r="A89" s="100" t="inlineStr">
        <is>
          <t>6. Mercado de Trabalho</t>
        </is>
      </c>
      <c r="B89" s="100" t="inlineStr">
        <is>
          <t>6. Mercado Trabalho</t>
        </is>
      </c>
      <c r="C89" s="100" t="inlineStr">
        <is>
          <t>Participação na força de trabalho</t>
        </is>
      </c>
      <c r="D89" s="112" t="inlineStr">
        <is>
          <t>Complementar</t>
        </is>
      </c>
      <c r="E89" s="100" t="inlineStr">
        <is>
          <t>SL.TLF.CACT.ZS</t>
        </is>
      </c>
      <c r="F89" s="100" t="inlineStr">
        <is>
          <t>Labor force participation rate, total (% of total population ages 15+) (modeled ILO estimate)</t>
        </is>
      </c>
      <c r="G89" s="100" t="inlineStr">
        <is>
          <t>Banco Mundial/OIT</t>
        </is>
      </c>
      <c r="H89" s="109" t="inlineStr">
        <is>
          <t>https://data.worldbank.org/indicator/SL.TLF.CACT.ZS?locations=AO</t>
        </is>
      </c>
      <c r="I89" s="100" t="inlineStr">
        <is>
          <t>%</t>
        </is>
      </c>
      <c r="J89" s="100" t="inlineStr">
        <is>
          <t>+</t>
        </is>
      </c>
      <c r="K89" s="100" t="n">
        <v>0</v>
      </c>
      <c r="L89" s="100" t="n">
        <v>100</v>
      </c>
      <c r="M89" s="100" t="n">
        <v>70</v>
      </c>
      <c r="N89" s="100" t="n">
        <v>1</v>
      </c>
      <c r="O89" s="100" t="inlineStr">
        <is>
          <t>Alta</t>
        </is>
      </c>
      <c r="P89" s="100" t="inlineStr">
        <is>
          <t>Preenchido via Banco Mundial API/CSV</t>
        </is>
      </c>
      <c r="Q89" s="100" t="inlineStr">
        <is>
          <t>11/11</t>
        </is>
      </c>
      <c r="R89" s="111" t="n">
        <v>76.187</v>
      </c>
      <c r="S89" s="111" t="n">
        <v>75.899</v>
      </c>
      <c r="T89" s="111" t="n">
        <v>75.60899999999999</v>
      </c>
      <c r="U89" s="111" t="n">
        <v>75.316</v>
      </c>
      <c r="V89" s="111" t="n">
        <v>75.021</v>
      </c>
      <c r="W89" s="111" t="n">
        <v>73.319</v>
      </c>
      <c r="X89" s="111" t="n">
        <v>76.372</v>
      </c>
      <c r="Y89" s="111" t="n">
        <v>75.247</v>
      </c>
      <c r="Z89" s="111" t="n">
        <v>74.892</v>
      </c>
      <c r="AA89" s="111" t="n">
        <v>74.881</v>
      </c>
      <c r="AB89" s="111" t="n">
        <v>74.786</v>
      </c>
      <c r="AC89" s="100" t="inlineStr">
        <is>
          <t>Ajuda a interpretar desemprego junto com atividade laboral.</t>
        </is>
      </c>
    </row>
    <row r="90">
      <c r="A90" s="100" t="inlineStr">
        <is>
          <t>6. Mercado de Trabalho</t>
        </is>
      </c>
      <c r="B90" s="100" t="inlineStr">
        <is>
          <t>6. Mercado Trabalho</t>
        </is>
      </c>
      <c r="C90" s="100" t="inlineStr">
        <is>
          <t>Emprego vulnerável</t>
        </is>
      </c>
      <c r="D90" s="112" t="inlineStr">
        <is>
          <t>Complementar</t>
        </is>
      </c>
      <c r="E90" s="100" t="inlineStr">
        <is>
          <t>SL.EMP.VULN.ZS</t>
        </is>
      </c>
      <c r="F90" s="100" t="inlineStr">
        <is>
          <t>Vulnerable employment, total (% of total employment) (modeled ILO estimate)</t>
        </is>
      </c>
      <c r="G90" s="100" t="inlineStr">
        <is>
          <t>Banco Mundial/OIT</t>
        </is>
      </c>
      <c r="H90" s="109" t="inlineStr">
        <is>
          <t>https://data.worldbank.org/indicator/SL.EMP.VULN.ZS?locations=AO</t>
        </is>
      </c>
      <c r="I90" s="100" t="inlineStr">
        <is>
          <t>%</t>
        </is>
      </c>
      <c r="J90" s="100" t="inlineStr">
        <is>
          <t>-</t>
        </is>
      </c>
      <c r="K90" s="100" t="n">
        <v>0</v>
      </c>
      <c r="L90" s="100" t="n">
        <v>100</v>
      </c>
      <c r="M90" s="100" t="n">
        <v>50</v>
      </c>
      <c r="N90" s="100" t="n">
        <v>1</v>
      </c>
      <c r="O90" s="100" t="inlineStr">
        <is>
          <t>Alta</t>
        </is>
      </c>
      <c r="P90" s="100" t="inlineStr">
        <is>
          <t>Preenchido via Banco Mundial API/CSV</t>
        </is>
      </c>
      <c r="Q90" s="100" t="inlineStr">
        <is>
          <t>11/11</t>
        </is>
      </c>
      <c r="R90" s="111" t="n">
        <v>65.2627838048266</v>
      </c>
      <c r="S90" s="111" t="n">
        <v>65.2247980488231</v>
      </c>
      <c r="T90" s="111" t="n">
        <v>65.2211179561194</v>
      </c>
      <c r="U90" s="111" t="n">
        <v>65.26018894209071</v>
      </c>
      <c r="V90" s="111" t="n">
        <v>65.2690021312481</v>
      </c>
      <c r="W90" s="111" t="n">
        <v>65.9410906429964</v>
      </c>
      <c r="X90" s="111" t="n">
        <v>65.7930821615419</v>
      </c>
      <c r="Y90" s="111" t="n">
        <v>66.312487849522</v>
      </c>
      <c r="Z90" s="111" t="n">
        <v>66.30957435457709</v>
      </c>
      <c r="AA90" s="111" t="n">
        <v>66.2335410114565</v>
      </c>
      <c r="AB90" s="111" t="n">
        <v>66.2665952765539</v>
      </c>
      <c r="AC90" s="100" t="inlineStr">
        <is>
          <t>Qualidade do emprego; boa alternativa a informalidade quando esta estiver incompleta.</t>
        </is>
      </c>
    </row>
    <row r="91">
      <c r="A91" s="100" t="inlineStr">
        <is>
          <t>6. Mercado de Trabalho</t>
        </is>
      </c>
      <c r="B91" s="100" t="inlineStr">
        <is>
          <t>6. Mercado Trabalho</t>
        </is>
      </c>
      <c r="C91" s="100" t="inlineStr">
        <is>
          <t>Trabalhadores assalariados</t>
        </is>
      </c>
      <c r="D91" s="112" t="inlineStr">
        <is>
          <t>Complementar</t>
        </is>
      </c>
      <c r="E91" s="100" t="inlineStr">
        <is>
          <t>SL.EMP.WORK.ZS</t>
        </is>
      </c>
      <c r="F91" s="100" t="inlineStr">
        <is>
          <t>Wage and salaried workers, total (% of total employment) (modeled ILO estimate)</t>
        </is>
      </c>
      <c r="G91" s="100" t="inlineStr">
        <is>
          <t>Banco Mundial/OIT</t>
        </is>
      </c>
      <c r="H91" s="109" t="inlineStr">
        <is>
          <t>https://data.worldbank.org/indicator/SL.EMP.WORK.ZS?locations=AO</t>
        </is>
      </c>
      <c r="I91" s="100" t="inlineStr">
        <is>
          <t>% emprego total</t>
        </is>
      </c>
      <c r="J91" s="100" t="inlineStr">
        <is>
          <t>+</t>
        </is>
      </c>
      <c r="K91" s="100" t="n">
        <v>0</v>
      </c>
      <c r="L91" s="100" t="n">
        <v>100</v>
      </c>
      <c r="M91" s="100" t="n">
        <v>50</v>
      </c>
      <c r="N91" s="100" t="n">
        <v>1</v>
      </c>
      <c r="O91" s="100" t="inlineStr">
        <is>
          <t>Alta</t>
        </is>
      </c>
      <c r="P91" s="100" t="inlineStr">
        <is>
          <t>Preenchido via Banco Mundial API/CSV</t>
        </is>
      </c>
      <c r="Q91" s="100" t="inlineStr">
        <is>
          <t>11/11</t>
        </is>
      </c>
      <c r="R91" s="111" t="n">
        <v>25.4089966047181</v>
      </c>
      <c r="S91" s="111" t="n">
        <v>25.3856627348342</v>
      </c>
      <c r="T91" s="111" t="n">
        <v>25.3269957783597</v>
      </c>
      <c r="U91" s="111" t="n">
        <v>25.2221428486562</v>
      </c>
      <c r="V91" s="111" t="n">
        <v>25.1526346403042</v>
      </c>
      <c r="W91" s="111" t="n">
        <v>24.5781029253489</v>
      </c>
      <c r="X91" s="111" t="n">
        <v>24.690894820249</v>
      </c>
      <c r="Y91" s="111" t="n">
        <v>24.1548789834013</v>
      </c>
      <c r="Z91" s="111" t="n">
        <v>24.1070868145093</v>
      </c>
      <c r="AA91" s="111" t="n">
        <v>24.1421508499038</v>
      </c>
      <c r="AB91" s="111" t="n">
        <v>24.0950404415573</v>
      </c>
      <c r="AC91" s="100" t="inlineStr">
        <is>
          <t>Proxy de formalização/estrutura moderna do emprego.</t>
        </is>
      </c>
    </row>
    <row r="92">
      <c r="A92" s="100" t="inlineStr">
        <is>
          <t>6. Mercado de Trabalho</t>
        </is>
      </c>
      <c r="B92" s="100" t="inlineStr">
        <is>
          <t>6. Mercado Trabalho</t>
        </is>
      </c>
      <c r="C92" s="100" t="inlineStr">
        <is>
          <t>Emprego na agricultura</t>
        </is>
      </c>
      <c r="D92" s="112" t="inlineStr">
        <is>
          <t>Complementar</t>
        </is>
      </c>
      <c r="E92" s="100" t="inlineStr">
        <is>
          <t>SL.AGR.EMPL.ZS</t>
        </is>
      </c>
      <c r="F92" s="100" t="inlineStr">
        <is>
          <t>Employment in agriculture (% of total employment) (modeled ILO estimate)</t>
        </is>
      </c>
      <c r="G92" s="100" t="inlineStr">
        <is>
          <t>Banco Mundial/OIT</t>
        </is>
      </c>
      <c r="H92" s="109" t="inlineStr">
        <is>
          <t>https://data.worldbank.org/indicator/SL.AGR.EMPL.ZS?locations=AO</t>
        </is>
      </c>
      <c r="I92" s="100" t="inlineStr">
        <is>
          <t>% emprego total</t>
        </is>
      </c>
      <c r="J92" s="100" t="inlineStr">
        <is>
          <t>-</t>
        </is>
      </c>
      <c r="K92" s="100" t="n">
        <v>0</v>
      </c>
      <c r="L92" s="100" t="n">
        <v>100</v>
      </c>
      <c r="M92" s="100" t="n">
        <v>35</v>
      </c>
      <c r="N92" s="100" t="n">
        <v>1</v>
      </c>
      <c r="O92" s="100" t="inlineStr">
        <is>
          <t>Média</t>
        </is>
      </c>
      <c r="P92" s="100" t="inlineStr">
        <is>
          <t>Preenchido via Banco Mundial API/CSV</t>
        </is>
      </c>
      <c r="Q92" s="100" t="inlineStr">
        <is>
          <t>11/11</t>
        </is>
      </c>
      <c r="R92" s="111" t="n">
        <v>52.7002102229648</v>
      </c>
      <c r="S92" s="111" t="n">
        <v>52.9213208559868</v>
      </c>
      <c r="T92" s="111" t="n">
        <v>53.0089425135627</v>
      </c>
      <c r="U92" s="111" t="n">
        <v>53.3091413100302</v>
      </c>
      <c r="V92" s="111" t="n">
        <v>53.423323354571</v>
      </c>
      <c r="W92" s="111" t="n">
        <v>55.5597336500376</v>
      </c>
      <c r="X92" s="111" t="n">
        <v>56.7075087680521</v>
      </c>
      <c r="Y92" s="111" t="n">
        <v>52.4847584954688</v>
      </c>
      <c r="Z92" s="111" t="n">
        <v>52.4066285799356</v>
      </c>
      <c r="AA92" s="111" t="n">
        <v>52.1547470916591</v>
      </c>
      <c r="AB92" s="111" t="n">
        <v>51.94938948899</v>
      </c>
      <c r="AC92" s="100" t="inlineStr">
        <is>
          <t>Proxy de transformação estrutural; deve ser lido com produtividade agrícola.</t>
        </is>
      </c>
    </row>
    <row r="93">
      <c r="A93" s="100" t="inlineStr">
        <is>
          <t>6. Mercado de Trabalho</t>
        </is>
      </c>
      <c r="B93" s="100" t="inlineStr">
        <is>
          <t>6. Mercado Trabalho</t>
        </is>
      </c>
      <c r="C93" s="100" t="inlineStr">
        <is>
          <t>PIB por pessoa empregada</t>
        </is>
      </c>
      <c r="D93" s="112" t="inlineStr">
        <is>
          <t>Substituto</t>
        </is>
      </c>
      <c r="E93" s="100" t="inlineStr">
        <is>
          <t>SL.GDP.PCAP.EM.KD</t>
        </is>
      </c>
      <c r="F93" s="100" t="inlineStr">
        <is>
          <t>GDP per person employed (constant 2021 PPP $)</t>
        </is>
      </c>
      <c r="G93" s="100" t="inlineStr">
        <is>
          <t>Banco Mundial/OIT</t>
        </is>
      </c>
      <c r="H93" s="109" t="inlineStr">
        <is>
          <t>https://data.worldbank.org/indicator/SL.GDP.PCAP.EM.KD?locations=AO</t>
        </is>
      </c>
      <c r="I93" s="100" t="inlineStr">
        <is>
          <t>USD PPP constantes</t>
        </is>
      </c>
      <c r="J93" s="100" t="inlineStr">
        <is>
          <t>+</t>
        </is>
      </c>
      <c r="K93" s="100" t="n">
        <v>1000</v>
      </c>
      <c r="L93" s="100" t="n">
        <v>50000</v>
      </c>
      <c r="M93" s="100" t="n">
        <v>12000</v>
      </c>
      <c r="N93" s="100" t="n">
        <v>1</v>
      </c>
      <c r="O93" s="100" t="inlineStr">
        <is>
          <t>Alta</t>
        </is>
      </c>
      <c r="P93" s="100" t="inlineStr">
        <is>
          <t>Preenchido via Banco Mundial API/CSV</t>
        </is>
      </c>
      <c r="Q93" s="100" t="inlineStr">
        <is>
          <t>10/11</t>
        </is>
      </c>
      <c r="R93" s="111" t="n">
        <v>32713.472952979</v>
      </c>
      <c r="S93" s="111" t="n">
        <v>31187.4718656878</v>
      </c>
      <c r="T93" s="111" t="n">
        <v>30171.6575044905</v>
      </c>
      <c r="U93" s="111" t="n">
        <v>29053.3348953266</v>
      </c>
      <c r="V93" s="111" t="n">
        <v>28059.9533940627</v>
      </c>
      <c r="W93" s="111" t="n">
        <v>26682.7933954204</v>
      </c>
      <c r="X93" s="111" t="n">
        <v>25015.8558860116</v>
      </c>
      <c r="Y93" s="111" t="n">
        <v>25072.6000048665</v>
      </c>
      <c r="Z93" s="111" t="n">
        <v>24631.96462192</v>
      </c>
      <c r="AA93" s="111" t="n">
        <v>24845.8137735601</v>
      </c>
      <c r="AB93" s="100" t="n"/>
      <c r="AC93" s="100" t="inlineStr">
        <is>
          <t>Preenche crescimento de produtividade com uma medida de nível anual.</t>
        </is>
      </c>
    </row>
    <row r="94">
      <c r="A94" s="100" t="inlineStr">
        <is>
          <t>6. Mercado de Trabalho</t>
        </is>
      </c>
      <c r="B94" s="100" t="inlineStr">
        <is>
          <t>6. Mercado Trabalho</t>
        </is>
      </c>
      <c r="C94" s="100" t="inlineStr">
        <is>
          <t>Jovens NEET</t>
        </is>
      </c>
      <c r="D94" s="112" t="inlineStr">
        <is>
          <t>Complementar</t>
        </is>
      </c>
      <c r="E94" s="100" t="inlineStr">
        <is>
          <t>SL.UEM.NEET.ZS</t>
        </is>
      </c>
      <c r="F94" s="100" t="inlineStr">
        <is>
          <t>Share of youth not in education, employment or training, total (% of youth population)</t>
        </is>
      </c>
      <c r="G94" s="100" t="inlineStr">
        <is>
          <t>Banco Mundial/OIT</t>
        </is>
      </c>
      <c r="H94" s="109" t="inlineStr">
        <is>
          <t>https://data.worldbank.org/indicator/SL.UEM.NEET.ZS?locations=AO</t>
        </is>
      </c>
      <c r="I94" s="100" t="inlineStr">
        <is>
          <t>%</t>
        </is>
      </c>
      <c r="J94" s="100" t="inlineStr">
        <is>
          <t>-</t>
        </is>
      </c>
      <c r="K94" s="100" t="n">
        <v>0</v>
      </c>
      <c r="L94" s="100" t="n">
        <v>70</v>
      </c>
      <c r="M94" s="100" t="n">
        <v>25</v>
      </c>
      <c r="N94" s="100" t="n">
        <v>1</v>
      </c>
      <c r="O94" s="100" t="inlineStr">
        <is>
          <t>Alta</t>
        </is>
      </c>
      <c r="P94" s="100" t="inlineStr">
        <is>
          <t>Preenchido via Banco Mundial API/CSV</t>
        </is>
      </c>
      <c r="Q94" s="100" t="inlineStr">
        <is>
          <t>6/11</t>
        </is>
      </c>
      <c r="R94" s="100" t="n"/>
      <c r="S94" s="100" t="n"/>
      <c r="T94" s="100" t="n"/>
      <c r="U94" s="100" t="n"/>
      <c r="V94" s="111" t="n">
        <v>22.922</v>
      </c>
      <c r="W94" s="111" t="n">
        <v>27.286</v>
      </c>
      <c r="X94" s="111" t="n">
        <v>28.126</v>
      </c>
      <c r="Y94" s="111" t="n">
        <v>24.766</v>
      </c>
      <c r="Z94" s="111" t="n">
        <v>21.383</v>
      </c>
      <c r="AA94" s="111" t="n">
        <v>24.564</v>
      </c>
      <c r="AB94" s="100" t="n"/>
      <c r="AC94" s="100" t="inlineStr">
        <is>
          <t>Indicador concorrente do desemprego juvenil porque inclui jovens fora da força de trabalho.</t>
        </is>
      </c>
    </row>
    <row r="95">
      <c r="A95" s="100" t="inlineStr">
        <is>
          <t>6. Mercado de Trabalho</t>
        </is>
      </c>
      <c r="B95" s="100" t="inlineStr">
        <is>
          <t>6. Mercado Trabalho</t>
        </is>
      </c>
      <c r="C95" s="100" t="inlineStr">
        <is>
          <t>Emprego informal fora da agricultura</t>
        </is>
      </c>
      <c r="D95" s="112" t="inlineStr">
        <is>
          <t>Complementar</t>
        </is>
      </c>
      <c r="E95" s="100" t="inlineStr"/>
      <c r="F95" s="100" t="inlineStr"/>
      <c r="G95" s="100" t="inlineStr">
        <is>
          <t>INE/OIT ILOSTAT</t>
        </is>
      </c>
      <c r="H95" s="109" t="inlineStr">
        <is>
          <t>https://ilostat.ilo.org/data/</t>
        </is>
      </c>
      <c r="I95" s="100" t="inlineStr">
        <is>
          <t>% emprego</t>
        </is>
      </c>
      <c r="J95" s="100" t="inlineStr">
        <is>
          <t>-</t>
        </is>
      </c>
      <c r="K95" s="100" t="n">
        <v>0</v>
      </c>
      <c r="L95" s="100" t="n">
        <v>100</v>
      </c>
      <c r="M95" s="100" t="n">
        <v>55</v>
      </c>
      <c r="N95" s="100" t="n">
        <v>1</v>
      </c>
      <c r="O95" s="100" t="inlineStr">
        <is>
          <t>Alta</t>
        </is>
      </c>
      <c r="P95" s="113" t="inlineStr">
        <is>
          <t>Sem código/API; recolha manual</t>
        </is>
      </c>
      <c r="Q95" s="100" t="inlineStr">
        <is>
          <t>0/11</t>
        </is>
      </c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  <c r="AA95" s="100" t="n"/>
      <c r="AB95" s="100" t="n"/>
      <c r="AC95" s="100" t="inlineStr">
        <is>
          <t>Mantém a dimensão de informalidade, idealmente com microdados/inquéritos nacionais.</t>
        </is>
      </c>
    </row>
    <row r="96">
      <c r="A96" s="100" t="inlineStr">
        <is>
          <t>7. Segurança Alimentar e Saúde</t>
        </is>
      </c>
      <c r="B96" s="100" t="inlineStr">
        <is>
          <t>7. Seg. Alimentar/Saúde</t>
        </is>
      </c>
      <c r="C96" s="100" t="inlineStr">
        <is>
          <t>Índice Global Seg. Alimentar</t>
        </is>
      </c>
      <c r="D96" s="110" t="inlineStr">
        <is>
          <t>Atual no modelo</t>
        </is>
      </c>
      <c r="E96" s="100" t="inlineStr"/>
      <c r="F96" s="100" t="inlineStr"/>
      <c r="G96" s="100" t="inlineStr">
        <is>
          <t>EIU</t>
        </is>
      </c>
      <c r="H96" s="109" t="inlineStr">
        <is>
          <t>Indicadores Segurança Alimentar</t>
        </is>
      </c>
      <c r="I96" s="100" t="inlineStr">
        <is>
          <t>0-100</t>
        </is>
      </c>
      <c r="J96" s="100" t="inlineStr">
        <is>
          <t>+</t>
        </is>
      </c>
      <c r="K96" s="100" t="n">
        <v>0</v>
      </c>
      <c r="L96" s="100" t="n">
        <v>100</v>
      </c>
      <c r="M96" s="100" t="n">
        <v>50</v>
      </c>
      <c r="N96" s="100" t="n">
        <v>1</v>
      </c>
      <c r="O96" s="100" t="inlineStr">
        <is>
          <t>Em uso</t>
        </is>
      </c>
      <c r="P96" s="100" t="inlineStr">
        <is>
          <t>Série existente no Input_Dados</t>
        </is>
      </c>
      <c r="Q96" s="100" t="inlineStr">
        <is>
          <t>3/11</t>
        </is>
      </c>
      <c r="R96" s="111" t="n">
        <v>35.1</v>
      </c>
      <c r="S96" s="100" t="n"/>
      <c r="T96" s="100" t="n"/>
      <c r="U96" s="100" t="n"/>
      <c r="V96" s="100" t="n"/>
      <c r="W96" s="100" t="n"/>
      <c r="X96" s="100" t="n"/>
      <c r="Y96" s="100" t="n"/>
      <c r="Z96" s="100" t="n"/>
      <c r="AA96" s="111" t="n">
        <v>26</v>
      </c>
      <c r="AB96" s="111" t="n">
        <v>29.7</v>
      </c>
      <c r="AC96" s="100" t="inlineStr">
        <is>
          <t>Indicador já incluído no modelo original.</t>
        </is>
      </c>
    </row>
    <row r="97">
      <c r="A97" s="100" t="inlineStr">
        <is>
          <t>7. Segurança Alimentar e Saúde</t>
        </is>
      </c>
      <c r="B97" s="100" t="inlineStr">
        <is>
          <t>7. Seg. Alimentar/Saúde</t>
        </is>
      </c>
      <c r="C97" s="100" t="inlineStr">
        <is>
          <t>Prevalência de Desnutrição</t>
        </is>
      </c>
      <c r="D97" s="110" t="inlineStr">
        <is>
          <t>Atual no modelo</t>
        </is>
      </c>
      <c r="E97" s="100" t="inlineStr">
        <is>
          <t>SN.ITK.DEFC.ZS</t>
        </is>
      </c>
      <c r="F97" s="100" t="inlineStr"/>
      <c r="G97" s="100" t="inlineStr">
        <is>
          <t>MINSA/FAO</t>
        </is>
      </c>
      <c r="H97" s="109" t="inlineStr">
        <is>
          <t>Angola Prevalence of undernourishment - data, chart | TheGlobalEconomy.com</t>
        </is>
      </c>
      <c r="I97" s="100" t="inlineStr">
        <is>
          <t>%</t>
        </is>
      </c>
      <c r="J97" s="100" t="inlineStr">
        <is>
          <t>-</t>
        </is>
      </c>
      <c r="K97" s="100" t="n">
        <v>0</v>
      </c>
      <c r="L97" s="100" t="n">
        <v>50</v>
      </c>
      <c r="M97" s="100" t="n">
        <v>15</v>
      </c>
      <c r="N97" s="100" t="n">
        <v>1</v>
      </c>
      <c r="O97" s="100" t="inlineStr">
        <is>
          <t>Em uso</t>
        </is>
      </c>
      <c r="P97" s="100" t="inlineStr">
        <is>
          <t>Série existente no Input_Dados</t>
        </is>
      </c>
      <c r="Q97" s="100" t="inlineStr">
        <is>
          <t>8/11</t>
        </is>
      </c>
      <c r="R97" s="100" t="n"/>
      <c r="S97" s="111" t="n">
        <v>15.2</v>
      </c>
      <c r="T97" s="111" t="n">
        <v>15.4</v>
      </c>
      <c r="U97" s="111" t="n">
        <v>15.9</v>
      </c>
      <c r="V97" s="111" t="n">
        <v>18.2</v>
      </c>
      <c r="W97" s="111" t="n">
        <v>20.8</v>
      </c>
      <c r="X97" s="111" t="n">
        <v>22.6</v>
      </c>
      <c r="Y97" s="111" t="n">
        <v>23.1</v>
      </c>
      <c r="Z97" s="111" t="n">
        <v>22.5</v>
      </c>
      <c r="AA97" s="100" t="n"/>
      <c r="AB97" s="100" t="n"/>
      <c r="AC97" s="100" t="inlineStr">
        <is>
          <t>Indicador já incluído no modelo original.</t>
        </is>
      </c>
    </row>
    <row r="98">
      <c r="A98" s="100" t="inlineStr">
        <is>
          <t>7. Segurança Alimentar e Saúde</t>
        </is>
      </c>
      <c r="B98" s="100" t="inlineStr">
        <is>
          <t>7. Seg. Alimentar/Saúde</t>
        </is>
      </c>
      <c r="C98" s="100" t="inlineStr">
        <is>
          <t>Mortalidade Materna (por 100k)</t>
        </is>
      </c>
      <c r="D98" s="110" t="inlineStr">
        <is>
          <t>Atual no modelo</t>
        </is>
      </c>
      <c r="E98" s="100" t="inlineStr">
        <is>
          <t>SH.STA.MMRT</t>
        </is>
      </c>
      <c r="F98" s="100" t="inlineStr"/>
      <c r="G98" s="100" t="inlineStr">
        <is>
          <t>MINSA/OMS</t>
        </is>
      </c>
      <c r="H98" s="109" t="inlineStr">
        <is>
          <t>Lifetime risk of maternal death (%) - Angola | Data</t>
        </is>
      </c>
      <c r="I98" s="100" t="inlineStr">
        <is>
          <t>por 100k</t>
        </is>
      </c>
      <c r="J98" s="100" t="inlineStr">
        <is>
          <t>-</t>
        </is>
      </c>
      <c r="K98" s="100" t="n">
        <v>0</v>
      </c>
      <c r="L98" s="100" t="n">
        <v>1000</v>
      </c>
      <c r="M98" s="100" t="n">
        <v>300</v>
      </c>
      <c r="N98" s="100" t="n">
        <v>1</v>
      </c>
      <c r="O98" s="100" t="inlineStr">
        <is>
          <t>Em uso</t>
        </is>
      </c>
      <c r="P98" s="100" t="inlineStr">
        <is>
          <t>Série existente no Input_Dados</t>
        </is>
      </c>
      <c r="Q98" s="100" t="inlineStr">
        <is>
          <t>11/11</t>
        </is>
      </c>
      <c r="R98" s="111" t="n">
        <v>477</v>
      </c>
      <c r="S98" s="111" t="n">
        <v>442</v>
      </c>
      <c r="T98" s="111" t="n">
        <v>400</v>
      </c>
      <c r="U98" s="111" t="n">
        <v>370</v>
      </c>
      <c r="V98" s="111" t="n">
        <v>330</v>
      </c>
      <c r="W98" s="111" t="n">
        <v>300</v>
      </c>
      <c r="X98" s="111" t="n">
        <v>290</v>
      </c>
      <c r="Y98" s="111" t="n">
        <v>250</v>
      </c>
      <c r="Z98" s="111" t="n">
        <v>183</v>
      </c>
      <c r="AA98" s="111" t="n">
        <v>185</v>
      </c>
      <c r="AB98" s="111" t="n">
        <v>170</v>
      </c>
      <c r="AC98" s="100" t="inlineStr">
        <is>
          <t>Indicador já incluído no modelo original.</t>
        </is>
      </c>
    </row>
    <row r="99">
      <c r="A99" s="100" t="inlineStr">
        <is>
          <t>7. Segurança Alimentar e Saúde</t>
        </is>
      </c>
      <c r="B99" s="100" t="inlineStr">
        <is>
          <t>7. Seg. Alimentar/Saúde</t>
        </is>
      </c>
      <c r="C99" s="100" t="inlineStr">
        <is>
          <t>Despesas Saúde (% PIB)</t>
        </is>
      </c>
      <c r="D99" s="110" t="inlineStr">
        <is>
          <t>Atual no modelo</t>
        </is>
      </c>
      <c r="E99" s="100" t="inlineStr">
        <is>
          <t>SH.XPD.CHEX.GD.ZS</t>
        </is>
      </c>
      <c r="F99" s="100" t="inlineStr"/>
      <c r="G99" s="100" t="inlineStr">
        <is>
          <t>MINFIN/OMS</t>
        </is>
      </c>
      <c r="H99" s="109" t="inlineStr">
        <is>
          <t>Angola Health spending as percent of GDP - data, chart | TheGlobalEconomy.com</t>
        </is>
      </c>
      <c r="I99" s="100" t="inlineStr">
        <is>
          <t>%</t>
        </is>
      </c>
      <c r="J99" s="100" t="inlineStr">
        <is>
          <t>+</t>
        </is>
      </c>
      <c r="K99" s="100" t="n">
        <v>0</v>
      </c>
      <c r="L99" s="100" t="n">
        <v>15</v>
      </c>
      <c r="M99" s="100" t="n">
        <v>5</v>
      </c>
      <c r="N99" s="100" t="n">
        <v>1</v>
      </c>
      <c r="O99" s="100" t="inlineStr">
        <is>
          <t>Em uso</t>
        </is>
      </c>
      <c r="P99" s="100" t="inlineStr">
        <is>
          <t>Série existente no Input_Dados</t>
        </is>
      </c>
      <c r="Q99" s="100" t="inlineStr">
        <is>
          <t>8/11</t>
        </is>
      </c>
      <c r="R99" s="111" t="n">
        <v>2.61</v>
      </c>
      <c r="S99" s="111" t="n">
        <v>2.71</v>
      </c>
      <c r="T99" s="111" t="n">
        <v>2.79</v>
      </c>
      <c r="U99" s="111" t="n">
        <v>2.59</v>
      </c>
      <c r="V99" s="111" t="n">
        <v>2.48</v>
      </c>
      <c r="W99" s="111" t="n">
        <v>3.27</v>
      </c>
      <c r="X99" s="111" t="n">
        <v>3.09</v>
      </c>
      <c r="Y99" s="111" t="n">
        <v>2.93</v>
      </c>
      <c r="Z99" s="100" t="n"/>
      <c r="AA99" s="100" t="n"/>
      <c r="AB99" s="100" t="n"/>
      <c r="AC99" s="100" t="inlineStr">
        <is>
          <t>Indicador já incluído no modelo original.</t>
        </is>
      </c>
    </row>
    <row r="100">
      <c r="A100" s="100" t="inlineStr">
        <is>
          <t>7. Segurança Alimentar e Saúde</t>
        </is>
      </c>
      <c r="B100" s="100" t="inlineStr">
        <is>
          <t>7. Seg. Alimentar/Saúde</t>
        </is>
      </c>
      <c r="C100" s="100" t="inlineStr">
        <is>
          <t>Camas Hospitalares (por 1000)</t>
        </is>
      </c>
      <c r="D100" s="110" t="inlineStr">
        <is>
          <t>Atual no modelo</t>
        </is>
      </c>
      <c r="E100" s="100" t="inlineStr">
        <is>
          <t>SH.MED.BEDS.ZS</t>
        </is>
      </c>
      <c r="F100" s="100" t="inlineStr"/>
      <c r="G100" s="100" t="inlineStr">
        <is>
          <t>MINSA</t>
        </is>
      </c>
      <c r="H100" s="100" t="n"/>
      <c r="I100" s="100" t="inlineStr">
        <is>
          <t>por 1000</t>
        </is>
      </c>
      <c r="J100" s="100" t="inlineStr">
        <is>
          <t>+</t>
        </is>
      </c>
      <c r="K100" s="100" t="n">
        <v>0</v>
      </c>
      <c r="L100" s="100" t="n">
        <v>10</v>
      </c>
      <c r="M100" s="100" t="n">
        <v>2</v>
      </c>
      <c r="N100" s="100" t="n">
        <v>1</v>
      </c>
      <c r="O100" s="100" t="inlineStr">
        <is>
          <t>Em uso</t>
        </is>
      </c>
      <c r="P100" s="100" t="inlineStr">
        <is>
          <t>Série existente no Input_Dados</t>
        </is>
      </c>
      <c r="Q100" s="100" t="inlineStr">
        <is>
          <t>2/11</t>
        </is>
      </c>
      <c r="R100" s="100" t="n"/>
      <c r="S100" s="100" t="n"/>
      <c r="T100" s="111" t="n">
        <v>0.38</v>
      </c>
      <c r="U100" s="100" t="n"/>
      <c r="V100" s="100" t="n"/>
      <c r="W100" s="100" t="n"/>
      <c r="X100" s="100" t="n"/>
      <c r="Y100" s="111" t="n">
        <v>1.02</v>
      </c>
      <c r="Z100" s="100" t="n"/>
      <c r="AA100" s="100" t="n"/>
      <c r="AB100" s="100" t="n"/>
      <c r="AC100" s="100" t="inlineStr">
        <is>
          <t>Indicador já incluído no modelo original.</t>
        </is>
      </c>
    </row>
    <row r="101">
      <c r="A101" s="100" t="inlineStr">
        <is>
          <t>7. Segurança Alimentar e Saúde</t>
        </is>
      </c>
      <c r="B101" s="100" t="inlineStr">
        <is>
          <t>7. Seg. Alimentar/Saúde</t>
        </is>
      </c>
      <c r="C101" s="100" t="inlineStr">
        <is>
          <t>Cobertura Vacinal (%)</t>
        </is>
      </c>
      <c r="D101" s="110" t="inlineStr">
        <is>
          <t>Atual no modelo</t>
        </is>
      </c>
      <c r="E101" s="100" t="inlineStr">
        <is>
          <t>SH.IMM.MEAS</t>
        </is>
      </c>
      <c r="F101" s="100" t="inlineStr"/>
      <c r="G101" s="100" t="inlineStr">
        <is>
          <t>MINSA/OMS</t>
        </is>
      </c>
      <c r="H101" s="109" t="inlineStr">
        <is>
          <t>https://cdn.who.int/media/docs/default-source/country-profiles/immunization/2024-country-profiles/immunization-2024-ago.pdf?utm_source=chatgpt.co</t>
        </is>
      </c>
      <c r="I101" s="100" t="inlineStr">
        <is>
          <t>%</t>
        </is>
      </c>
      <c r="J101" s="100" t="inlineStr">
        <is>
          <t>+</t>
        </is>
      </c>
      <c r="K101" s="100" t="n">
        <v>0</v>
      </c>
      <c r="L101" s="100" t="n">
        <v>100</v>
      </c>
      <c r="M101" s="100" t="n">
        <v>80</v>
      </c>
      <c r="N101" s="100" t="n">
        <v>1</v>
      </c>
      <c r="O101" s="100" t="inlineStr">
        <is>
          <t>Em uso</t>
        </is>
      </c>
      <c r="P101" s="100" t="inlineStr">
        <is>
          <t>Série existente no Input_Dados</t>
        </is>
      </c>
      <c r="Q101" s="100" t="inlineStr">
        <is>
          <t>9/11</t>
        </is>
      </c>
      <c r="R101" s="111" t="n">
        <v>45</v>
      </c>
      <c r="S101" s="111" t="n">
        <v>42</v>
      </c>
      <c r="T101" s="111" t="n">
        <v>50</v>
      </c>
      <c r="U101" s="111" t="n">
        <v>51</v>
      </c>
      <c r="V101" s="111" t="n">
        <v>44</v>
      </c>
      <c r="W101" s="111" t="n">
        <v>36</v>
      </c>
      <c r="X101" s="111" t="n">
        <v>37</v>
      </c>
      <c r="Y101" s="111" t="n">
        <v>37</v>
      </c>
      <c r="Z101" s="111" t="n">
        <v>50</v>
      </c>
      <c r="AA101" s="100" t="n"/>
      <c r="AB101" s="100" t="n"/>
      <c r="AC101" s="100" t="inlineStr">
        <is>
          <t>Indicador já incluído no modelo original.</t>
        </is>
      </c>
    </row>
    <row r="102">
      <c r="A102" s="100" t="inlineStr">
        <is>
          <t>7. Segurança Alimentar e Saúde</t>
        </is>
      </c>
      <c r="B102" s="100" t="inlineStr">
        <is>
          <t>7. Seg. Alimentar/Saúde</t>
        </is>
      </c>
      <c r="C102" s="100" t="inlineStr">
        <is>
          <t>Insegurança alimentar moderada ou severa</t>
        </is>
      </c>
      <c r="D102" s="112" t="inlineStr">
        <is>
          <t>Substituto/Complementar</t>
        </is>
      </c>
      <c r="E102" s="100" t="inlineStr">
        <is>
          <t>SN.ITK.MSFI.ZS</t>
        </is>
      </c>
      <c r="F102" s="100" t="inlineStr">
        <is>
          <t>Prevalence of moderate or severe food insecurity in the population (%)</t>
        </is>
      </c>
      <c r="G102" s="100" t="inlineStr">
        <is>
          <t>Banco Mundial/FAO</t>
        </is>
      </c>
      <c r="H102" s="109" t="inlineStr">
        <is>
          <t>https://data.worldbank.org/indicator/SN.ITK.MSFI.ZS?locations=AO</t>
        </is>
      </c>
      <c r="I102" s="100" t="inlineStr">
        <is>
          <t>%</t>
        </is>
      </c>
      <c r="J102" s="100" t="inlineStr">
        <is>
          <t>-</t>
        </is>
      </c>
      <c r="K102" s="100" t="n">
        <v>0</v>
      </c>
      <c r="L102" s="100" t="n">
        <v>100</v>
      </c>
      <c r="M102" s="100" t="n">
        <v>45</v>
      </c>
      <c r="N102" s="100" t="n">
        <v>1</v>
      </c>
      <c r="O102" s="100" t="inlineStr">
        <is>
          <t>Alta</t>
        </is>
      </c>
      <c r="P102" s="100" t="inlineStr">
        <is>
          <t>Preenchido via Banco Mundial API/CSV</t>
        </is>
      </c>
      <c r="Q102" s="100" t="inlineStr">
        <is>
          <t>3/11</t>
        </is>
      </c>
      <c r="R102" s="100" t="n"/>
      <c r="S102" s="100" t="n"/>
      <c r="T102" s="100" t="n"/>
      <c r="U102" s="100" t="n"/>
      <c r="V102" s="111" t="n">
        <v>73.5</v>
      </c>
      <c r="W102" s="111" t="n">
        <v>77.7</v>
      </c>
      <c r="X102" s="111" t="n">
        <v>78.5</v>
      </c>
      <c r="Y102" s="100" t="n"/>
      <c r="Z102" s="100" t="n"/>
      <c r="AA102" s="100" t="n"/>
      <c r="AB102" s="100" t="n"/>
      <c r="AC102" s="100" t="inlineStr">
        <is>
          <t>Alternativa aberta ao índice proprietário de segurança alimentar.</t>
        </is>
      </c>
    </row>
    <row r="103">
      <c r="A103" s="100" t="inlineStr">
        <is>
          <t>7. Segurança Alimentar e Saúde</t>
        </is>
      </c>
      <c r="B103" s="100" t="inlineStr">
        <is>
          <t>7. Seg. Alimentar/Saúde</t>
        </is>
      </c>
      <c r="C103" s="100" t="inlineStr">
        <is>
          <t>Prevalência de subalimentação</t>
        </is>
      </c>
      <c r="D103" s="112" t="inlineStr">
        <is>
          <t>Substituto</t>
        </is>
      </c>
      <c r="E103" s="100" t="inlineStr">
        <is>
          <t>SN.ITK.DEFC.ZS</t>
        </is>
      </c>
      <c r="F103" s="100" t="inlineStr">
        <is>
          <t>Prevalence of undernourishment (% of population)</t>
        </is>
      </c>
      <c r="G103" s="100" t="inlineStr">
        <is>
          <t>Banco Mundial/FAO</t>
        </is>
      </c>
      <c r="H103" s="109" t="inlineStr">
        <is>
          <t>https://data.worldbank.org/indicator/SN.ITK.DEFC.ZS?locations=AO</t>
        </is>
      </c>
      <c r="I103" s="100" t="inlineStr">
        <is>
          <t>%</t>
        </is>
      </c>
      <c r="J103" s="100" t="inlineStr">
        <is>
          <t>-</t>
        </is>
      </c>
      <c r="K103" s="100" t="n">
        <v>0</v>
      </c>
      <c r="L103" s="100" t="n">
        <v>60</v>
      </c>
      <c r="M103" s="100" t="n">
        <v>20</v>
      </c>
      <c r="N103" s="100" t="n">
        <v>1</v>
      </c>
      <c r="O103" s="100" t="inlineStr">
        <is>
          <t>Alta</t>
        </is>
      </c>
      <c r="P103" s="100" t="inlineStr">
        <is>
          <t>Preenchido via Banco Mundial API/CSV</t>
        </is>
      </c>
      <c r="Q103" s="100" t="inlineStr">
        <is>
          <t>9/11</t>
        </is>
      </c>
      <c r="R103" s="111" t="n">
        <v>14.2</v>
      </c>
      <c r="S103" s="111" t="n">
        <v>15.2</v>
      </c>
      <c r="T103" s="111" t="n">
        <v>15.4</v>
      </c>
      <c r="U103" s="111" t="n">
        <v>15.9</v>
      </c>
      <c r="V103" s="111" t="n">
        <v>18.2</v>
      </c>
      <c r="W103" s="111" t="n">
        <v>20.8</v>
      </c>
      <c r="X103" s="111" t="n">
        <v>22.6</v>
      </c>
      <c r="Y103" s="111" t="n">
        <v>23.1</v>
      </c>
      <c r="Z103" s="111" t="n">
        <v>22.5</v>
      </c>
      <c r="AA103" s="100" t="n"/>
      <c r="AB103" s="100" t="n"/>
      <c r="AC103" s="100" t="inlineStr">
        <is>
          <t>Série FAO comparável para segurança alimentar.</t>
        </is>
      </c>
    </row>
    <row r="104">
      <c r="A104" s="100" t="inlineStr">
        <is>
          <t>7. Segurança Alimentar e Saúde</t>
        </is>
      </c>
      <c r="B104" s="100" t="inlineStr">
        <is>
          <t>7. Seg. Alimentar/Saúde</t>
        </is>
      </c>
      <c r="C104" s="100" t="inlineStr">
        <is>
          <t>Atraso de crescimento infantil</t>
        </is>
      </c>
      <c r="D104" s="112" t="inlineStr">
        <is>
          <t>Complementar</t>
        </is>
      </c>
      <c r="E104" s="100" t="inlineStr">
        <is>
          <t>SH.STA.STNT.ZS</t>
        </is>
      </c>
      <c r="F104" s="100" t="inlineStr">
        <is>
          <t>Prevalence of stunting, height for age (% of children under 5)</t>
        </is>
      </c>
      <c r="G104" s="100" t="inlineStr">
        <is>
          <t>Banco Mundial/OMS/UNICEF</t>
        </is>
      </c>
      <c r="H104" s="109" t="inlineStr">
        <is>
          <t>https://data.worldbank.org/indicator/SH.STA.STNT.ZS?locations=AO</t>
        </is>
      </c>
      <c r="I104" s="100" t="inlineStr">
        <is>
          <t>% crianças &lt;5</t>
        </is>
      </c>
      <c r="J104" s="100" t="inlineStr">
        <is>
          <t>-</t>
        </is>
      </c>
      <c r="K104" s="100" t="n">
        <v>0</v>
      </c>
      <c r="L104" s="100" t="n">
        <v>60</v>
      </c>
      <c r="M104" s="100" t="n">
        <v>25</v>
      </c>
      <c r="N104" s="100" t="n">
        <v>1</v>
      </c>
      <c r="O104" s="100" t="inlineStr">
        <is>
          <t>Média</t>
        </is>
      </c>
      <c r="P104" s="100" t="inlineStr">
        <is>
          <t>Preenchido via Banco Mundial API/CSV</t>
        </is>
      </c>
      <c r="Q104" s="100" t="inlineStr">
        <is>
          <t>1/11</t>
        </is>
      </c>
      <c r="R104" s="111" t="n">
        <v>37.6</v>
      </c>
      <c r="S104" s="100" t="n"/>
      <c r="T104" s="100" t="n"/>
      <c r="U104" s="100" t="n"/>
      <c r="V104" s="100" t="n"/>
      <c r="W104" s="100" t="n"/>
      <c r="X104" s="100" t="n"/>
      <c r="Y104" s="100" t="n"/>
      <c r="Z104" s="100" t="n"/>
      <c r="AA104" s="100" t="n"/>
      <c r="AB104" s="100" t="n"/>
      <c r="AC104" s="100" t="inlineStr">
        <is>
          <t>Mede nutrição crónica infantil.</t>
        </is>
      </c>
    </row>
    <row r="105">
      <c r="A105" s="100" t="inlineStr">
        <is>
          <t>7. Segurança Alimentar e Saúde</t>
        </is>
      </c>
      <c r="B105" s="100" t="inlineStr">
        <is>
          <t>7. Seg. Alimentar/Saúde</t>
        </is>
      </c>
      <c r="C105" s="100" t="inlineStr">
        <is>
          <t>Emaciação infantil</t>
        </is>
      </c>
      <c r="D105" s="112" t="inlineStr">
        <is>
          <t>Complementar</t>
        </is>
      </c>
      <c r="E105" s="100" t="inlineStr">
        <is>
          <t>SH.STA.WAST.ZS</t>
        </is>
      </c>
      <c r="F105" s="100" t="inlineStr">
        <is>
          <t>Prevalence of wasting, weight for height (% of children under 5)</t>
        </is>
      </c>
      <c r="G105" s="100" t="inlineStr">
        <is>
          <t>Banco Mundial/OMS/UNICEF</t>
        </is>
      </c>
      <c r="H105" s="109" t="inlineStr">
        <is>
          <t>https://data.worldbank.org/indicator/SH.STA.WAST.ZS?locations=AO</t>
        </is>
      </c>
      <c r="I105" s="100" t="inlineStr">
        <is>
          <t>% crianças &lt;5</t>
        </is>
      </c>
      <c r="J105" s="100" t="inlineStr">
        <is>
          <t>-</t>
        </is>
      </c>
      <c r="K105" s="100" t="n">
        <v>0</v>
      </c>
      <c r="L105" s="100" t="n">
        <v>25</v>
      </c>
      <c r="M105" s="100" t="n">
        <v>5</v>
      </c>
      <c r="N105" s="100" t="n">
        <v>1</v>
      </c>
      <c r="O105" s="100" t="inlineStr">
        <is>
          <t>Média</t>
        </is>
      </c>
      <c r="P105" s="100" t="inlineStr">
        <is>
          <t>Preenchido via Banco Mundial API/CSV</t>
        </is>
      </c>
      <c r="Q105" s="100" t="inlineStr">
        <is>
          <t>1/11</t>
        </is>
      </c>
      <c r="R105" s="111" t="n">
        <v>4.9</v>
      </c>
      <c r="S105" s="100" t="n"/>
      <c r="T105" s="100" t="n"/>
      <c r="U105" s="100" t="n"/>
      <c r="V105" s="100" t="n"/>
      <c r="W105" s="100" t="n"/>
      <c r="X105" s="100" t="n"/>
      <c r="Y105" s="100" t="n"/>
      <c r="Z105" s="100" t="n"/>
      <c r="AA105" s="100" t="n"/>
      <c r="AB105" s="100" t="n"/>
      <c r="AC105" s="100" t="inlineStr">
        <is>
          <t>Mede nutrição aguda e choque alimentar/saúde.</t>
        </is>
      </c>
    </row>
    <row r="106">
      <c r="A106" s="100" t="inlineStr">
        <is>
          <t>7. Segurança Alimentar e Saúde</t>
        </is>
      </c>
      <c r="B106" s="100" t="inlineStr">
        <is>
          <t>7. Seg. Alimentar/Saúde</t>
        </is>
      </c>
      <c r="C106" s="100" t="inlineStr">
        <is>
          <t>Mortalidade de menores de 5 anos</t>
        </is>
      </c>
      <c r="D106" s="112" t="inlineStr">
        <is>
          <t>Complementar</t>
        </is>
      </c>
      <c r="E106" s="100" t="inlineStr">
        <is>
          <t>SH.DYN.MORT</t>
        </is>
      </c>
      <c r="F106" s="100" t="inlineStr">
        <is>
          <t>Mortality rate, under-5 (per 1,000 live births)</t>
        </is>
      </c>
      <c r="G106" s="100" t="inlineStr">
        <is>
          <t>Banco Mundial/UNICEF</t>
        </is>
      </c>
      <c r="H106" s="109" t="inlineStr">
        <is>
          <t>https://data.worldbank.org/indicator/SH.DYN.MORT?locations=AO</t>
        </is>
      </c>
      <c r="I106" s="100" t="inlineStr">
        <is>
          <t>por 1000</t>
        </is>
      </c>
      <c r="J106" s="100" t="inlineStr">
        <is>
          <t>-</t>
        </is>
      </c>
      <c r="K106" s="100" t="n">
        <v>0</v>
      </c>
      <c r="L106" s="100" t="n">
        <v>200</v>
      </c>
      <c r="M106" s="100" t="n">
        <v>50</v>
      </c>
      <c r="N106" s="100" t="n">
        <v>1</v>
      </c>
      <c r="O106" s="100" t="inlineStr">
        <is>
          <t>Alta</t>
        </is>
      </c>
      <c r="P106" s="100" t="inlineStr">
        <is>
          <t>Preenchido via Banco Mundial API/CSV</t>
        </is>
      </c>
      <c r="Q106" s="100" t="inlineStr">
        <is>
          <t>10/11</t>
        </is>
      </c>
      <c r="R106" s="111" t="n">
        <v>61.8</v>
      </c>
      <c r="S106" s="111" t="n">
        <v>59.6</v>
      </c>
      <c r="T106" s="111" t="n">
        <v>57.9</v>
      </c>
      <c r="U106" s="111" t="n">
        <v>56.5</v>
      </c>
      <c r="V106" s="111" t="n">
        <v>55.3</v>
      </c>
      <c r="W106" s="111" t="n">
        <v>54.2</v>
      </c>
      <c r="X106" s="111" t="n">
        <v>53.2</v>
      </c>
      <c r="Y106" s="111" t="n">
        <v>51.9</v>
      </c>
      <c r="Z106" s="111" t="n">
        <v>50.5</v>
      </c>
      <c r="AA106" s="111" t="n">
        <v>49</v>
      </c>
      <c r="AB106" s="100" t="n"/>
      <c r="AC106" s="100" t="inlineStr">
        <is>
          <t>Mais abrangente que mortalidade infantil isolada.</t>
        </is>
      </c>
    </row>
    <row r="107">
      <c r="A107" s="100" t="inlineStr">
        <is>
          <t>7. Segurança Alimentar e Saúde</t>
        </is>
      </c>
      <c r="B107" s="100" t="inlineStr">
        <is>
          <t>7. Seg. Alimentar/Saúde</t>
        </is>
      </c>
      <c r="C107" s="100" t="inlineStr">
        <is>
          <t>Cobertura universal de saúde - UHC service coverage index</t>
        </is>
      </c>
      <c r="D107" s="112" t="inlineStr">
        <is>
          <t>Complementar</t>
        </is>
      </c>
      <c r="E107" s="100" t="inlineStr">
        <is>
          <t>SH.UHC.SRVS.CV.XD</t>
        </is>
      </c>
      <c r="F107" s="100" t="inlineStr">
        <is>
          <t>UHC service coverage index</t>
        </is>
      </c>
      <c r="G107" s="100" t="inlineStr">
        <is>
          <t>Banco Mundial/OMS</t>
        </is>
      </c>
      <c r="H107" s="109" t="inlineStr">
        <is>
          <t>https://data.worldbank.org/indicator/SH.UHC.SRVS.CV.XD?locations=AO</t>
        </is>
      </c>
      <c r="I107" s="100" t="inlineStr">
        <is>
          <t>0-100</t>
        </is>
      </c>
      <c r="J107" s="100" t="inlineStr">
        <is>
          <t>+</t>
        </is>
      </c>
      <c r="K107" s="100" t="n">
        <v>0</v>
      </c>
      <c r="L107" s="100" t="n">
        <v>100</v>
      </c>
      <c r="M107" s="100" t="n">
        <v>55</v>
      </c>
      <c r="N107" s="100" t="n">
        <v>1</v>
      </c>
      <c r="O107" s="100" t="inlineStr">
        <is>
          <t>Baixa</t>
        </is>
      </c>
      <c r="P107" s="100" t="inlineStr">
        <is>
          <t>Preenchido via Banco Mundial API/CSV</t>
        </is>
      </c>
      <c r="Q107" s="100" t="inlineStr">
        <is>
          <t>4/11</t>
        </is>
      </c>
      <c r="R107" s="111" t="n">
        <v>2022</v>
      </c>
      <c r="S107" s="100" t="n"/>
      <c r="T107" s="111" t="n">
        <v>1632</v>
      </c>
      <c r="U107" s="100" t="n"/>
      <c r="V107" s="111" t="n">
        <v>936</v>
      </c>
      <c r="W107" s="100" t="n"/>
      <c r="X107" s="111" t="n">
        <v>592</v>
      </c>
      <c r="Y107" s="100" t="n"/>
      <c r="Z107" s="100" t="n"/>
      <c r="AA107" s="100" t="n"/>
      <c r="AB107" s="100" t="n"/>
      <c r="AC107" s="100" t="inlineStr">
        <is>
          <t>Sintetiza cobertura efetiva de serviços essenciais. Usar como benchmark de qualidade; a cobertura anual para Angola é limitada.</t>
        </is>
      </c>
    </row>
    <row r="108">
      <c r="A108" s="100" t="inlineStr">
        <is>
          <t>7. Segurança Alimentar e Saúde</t>
        </is>
      </c>
      <c r="B108" s="100" t="inlineStr">
        <is>
          <t>7. Seg. Alimentar/Saúde</t>
        </is>
      </c>
      <c r="C108" s="100" t="inlineStr">
        <is>
          <t>Vacinação DPT</t>
        </is>
      </c>
      <c r="D108" s="112" t="inlineStr">
        <is>
          <t>Substituto/Complementar</t>
        </is>
      </c>
      <c r="E108" s="100" t="inlineStr">
        <is>
          <t>SH.IMM.IDPT</t>
        </is>
      </c>
      <c r="F108" s="100" t="inlineStr">
        <is>
          <t>Immunization, DPT (% of children ages 12-23 months)</t>
        </is>
      </c>
      <c r="G108" s="100" t="inlineStr">
        <is>
          <t>Banco Mundial/OMS/UNICEF</t>
        </is>
      </c>
      <c r="H108" s="109" t="inlineStr">
        <is>
          <t>https://data.worldbank.org/indicator/SH.IMM.IDPT?locations=AO</t>
        </is>
      </c>
      <c r="I108" s="100" t="inlineStr">
        <is>
          <t>% crianças 12-23m</t>
        </is>
      </c>
      <c r="J108" s="100" t="inlineStr">
        <is>
          <t>+</t>
        </is>
      </c>
      <c r="K108" s="100" t="n">
        <v>0</v>
      </c>
      <c r="L108" s="100" t="n">
        <v>100</v>
      </c>
      <c r="M108" s="100" t="n">
        <v>85</v>
      </c>
      <c r="N108" s="100" t="n">
        <v>1</v>
      </c>
      <c r="O108" s="100" t="inlineStr">
        <is>
          <t>Alta</t>
        </is>
      </c>
      <c r="P108" s="100" t="inlineStr">
        <is>
          <t>Preenchido via Banco Mundial API/CSV</t>
        </is>
      </c>
      <c r="Q108" s="100" t="inlineStr">
        <is>
          <t>10/11</t>
        </is>
      </c>
      <c r="R108" s="111" t="n">
        <v>57</v>
      </c>
      <c r="S108" s="111" t="n">
        <v>59</v>
      </c>
      <c r="T108" s="111" t="n">
        <v>58</v>
      </c>
      <c r="U108" s="111" t="n">
        <v>67</v>
      </c>
      <c r="V108" s="111" t="n">
        <v>64</v>
      </c>
      <c r="W108" s="111" t="n">
        <v>59</v>
      </c>
      <c r="X108" s="111" t="n">
        <v>55</v>
      </c>
      <c r="Y108" s="111" t="n">
        <v>54</v>
      </c>
      <c r="Z108" s="111" t="n">
        <v>66</v>
      </c>
      <c r="AA108" s="111" t="n">
        <v>64</v>
      </c>
      <c r="AB108" s="100" t="n"/>
      <c r="AC108" s="100" t="inlineStr">
        <is>
          <t>Pode complementar a cobertura vacinal geral com indicador padronizado.</t>
        </is>
      </c>
    </row>
    <row r="109">
      <c r="A109" s="100" t="inlineStr">
        <is>
          <t>7. Segurança Alimentar e Saúde</t>
        </is>
      </c>
      <c r="B109" s="100" t="inlineStr">
        <is>
          <t>7. Seg. Alimentar/Saúde</t>
        </is>
      </c>
      <c r="C109" s="100" t="inlineStr">
        <is>
          <t>Despesa corrente em saúde (% PIB)</t>
        </is>
      </c>
      <c r="D109" s="112" t="inlineStr">
        <is>
          <t>Substituto</t>
        </is>
      </c>
      <c r="E109" s="100" t="inlineStr">
        <is>
          <t>SH.XPD.CHEX.GD.ZS</t>
        </is>
      </c>
      <c r="F109" s="100" t="inlineStr">
        <is>
          <t>Current health expenditure (% of GDP)</t>
        </is>
      </c>
      <c r="G109" s="100" t="inlineStr">
        <is>
          <t>Banco Mundial/OMS</t>
        </is>
      </c>
      <c r="H109" s="109" t="inlineStr">
        <is>
          <t>https://data.worldbank.org/indicator/SH.XPD.CHEX.GD.ZS?locations=AO</t>
        </is>
      </c>
      <c r="I109" s="100" t="inlineStr">
        <is>
          <t>%</t>
        </is>
      </c>
      <c r="J109" s="100" t="inlineStr">
        <is>
          <t>+</t>
        </is>
      </c>
      <c r="K109" s="100" t="n">
        <v>0</v>
      </c>
      <c r="L109" s="100" t="n">
        <v>15</v>
      </c>
      <c r="M109" s="100" t="n">
        <v>5</v>
      </c>
      <c r="N109" s="100" t="n">
        <v>1</v>
      </c>
      <c r="O109" s="100" t="inlineStr">
        <is>
          <t>Alta</t>
        </is>
      </c>
      <c r="P109" s="100" t="inlineStr">
        <is>
          <t>Preenchido via Banco Mundial API/CSV</t>
        </is>
      </c>
      <c r="Q109" s="100" t="inlineStr">
        <is>
          <t>9/11</t>
        </is>
      </c>
      <c r="R109" s="111" t="n">
        <v>2.29966879</v>
      </c>
      <c r="S109" s="111" t="n">
        <v>2.39068723</v>
      </c>
      <c r="T109" s="111" t="n">
        <v>2.4379425</v>
      </c>
      <c r="U109" s="111" t="n">
        <v>2.29887486</v>
      </c>
      <c r="V109" s="111" t="n">
        <v>2.20394278</v>
      </c>
      <c r="W109" s="111" t="n">
        <v>2.81688905</v>
      </c>
      <c r="X109" s="111" t="n">
        <v>2.73987103</v>
      </c>
      <c r="Y109" s="111" t="n">
        <v>2.60041046</v>
      </c>
      <c r="Z109" s="111" t="n">
        <v>2.54692864</v>
      </c>
      <c r="AA109" s="100" t="n"/>
      <c r="AB109" s="100" t="n"/>
      <c r="AC109" s="100" t="inlineStr">
        <is>
          <t>Fonte internacional padronizada para a linha já existente.</t>
        </is>
      </c>
    </row>
    <row r="110">
      <c r="A110" s="100" t="inlineStr">
        <is>
          <t>7. Segurança Alimentar e Saúde</t>
        </is>
      </c>
      <c r="B110" s="100" t="inlineStr">
        <is>
          <t>7. Seg. Alimentar/Saúde</t>
        </is>
      </c>
      <c r="C110" s="100" t="inlineStr">
        <is>
          <t>Médicos por 1000 habitantes</t>
        </is>
      </c>
      <c r="D110" s="112" t="inlineStr">
        <is>
          <t>Complementar</t>
        </is>
      </c>
      <c r="E110" s="100" t="inlineStr">
        <is>
          <t>SH.MED.PHYS.ZS</t>
        </is>
      </c>
      <c r="F110" s="100" t="inlineStr">
        <is>
          <t>Physicians (per 1,000 people)</t>
        </is>
      </c>
      <c r="G110" s="100" t="inlineStr">
        <is>
          <t>Banco Mundial/OMS</t>
        </is>
      </c>
      <c r="H110" s="109" t="inlineStr">
        <is>
          <t>https://data.worldbank.org/indicator/SH.MED.PHYS.ZS?locations=AO</t>
        </is>
      </c>
      <c r="I110" s="100" t="inlineStr">
        <is>
          <t>por 1000</t>
        </is>
      </c>
      <c r="J110" s="100" t="inlineStr">
        <is>
          <t>+</t>
        </is>
      </c>
      <c r="K110" s="100" t="n">
        <v>0</v>
      </c>
      <c r="L110" s="100" t="n">
        <v>5</v>
      </c>
      <c r="M110" s="100" t="n">
        <v>1</v>
      </c>
      <c r="N110" s="100" t="n">
        <v>1</v>
      </c>
      <c r="O110" s="100" t="inlineStr">
        <is>
          <t>Média</t>
        </is>
      </c>
      <c r="P110" s="100" t="inlineStr">
        <is>
          <t>Preenchido via Banco Mundial API/CSV</t>
        </is>
      </c>
      <c r="Q110" s="100" t="inlineStr">
        <is>
          <t>3/11</t>
        </is>
      </c>
      <c r="R110" s="100" t="n"/>
      <c r="S110" s="100" t="n"/>
      <c r="T110" s="111" t="n">
        <v>0.212</v>
      </c>
      <c r="U110" s="111" t="n">
        <v>0.211</v>
      </c>
      <c r="V110" s="100" t="n"/>
      <c r="W110" s="100" t="n"/>
      <c r="X110" s="100" t="n"/>
      <c r="Y110" s="111" t="n">
        <v>0.244</v>
      </c>
      <c r="Z110" s="100" t="n"/>
      <c r="AA110" s="100" t="n"/>
      <c r="AB110" s="100" t="n"/>
      <c r="AC110" s="100" t="inlineStr">
        <is>
          <t>Complementa camas hospitalares com capacidade humana do sistema.</t>
        </is>
      </c>
    </row>
    <row r="111">
      <c r="A111" s="100" t="inlineStr">
        <is>
          <t>7. Segurança Alimentar e Saúde</t>
        </is>
      </c>
      <c r="B111" s="100" t="inlineStr">
        <is>
          <t>7. Seg. Alimentar/Saúde</t>
        </is>
      </c>
      <c r="C111" s="100" t="inlineStr">
        <is>
          <t>Camas hospitalares por 1000 habitantes</t>
        </is>
      </c>
      <c r="D111" s="112" t="inlineStr">
        <is>
          <t>Substituto</t>
        </is>
      </c>
      <c r="E111" s="100" t="inlineStr">
        <is>
          <t>SH.MED.BEDS.ZS</t>
        </is>
      </c>
      <c r="F111" s="100" t="inlineStr">
        <is>
          <t>Hospital beds (per 1,000 people)</t>
        </is>
      </c>
      <c r="G111" s="100" t="inlineStr">
        <is>
          <t>Banco Mundial/OMS</t>
        </is>
      </c>
      <c r="H111" s="109" t="inlineStr">
        <is>
          <t>https://data.worldbank.org/indicator/SH.MED.BEDS.ZS?locations=AO</t>
        </is>
      </c>
      <c r="I111" s="100" t="inlineStr">
        <is>
          <t>por 1000</t>
        </is>
      </c>
      <c r="J111" s="100" t="inlineStr">
        <is>
          <t>+</t>
        </is>
      </c>
      <c r="K111" s="100" t="n">
        <v>0</v>
      </c>
      <c r="L111" s="100" t="n">
        <v>10</v>
      </c>
      <c r="M111" s="100" t="n">
        <v>2</v>
      </c>
      <c r="N111" s="100" t="n">
        <v>1</v>
      </c>
      <c r="O111" s="100" t="inlineStr">
        <is>
          <t>Alta</t>
        </is>
      </c>
      <c r="P111" s="100" t="inlineStr">
        <is>
          <t>Preenchido via Banco Mundial API/CSV</t>
        </is>
      </c>
      <c r="Q111" s="100" t="inlineStr">
        <is>
          <t>1/11</t>
        </is>
      </c>
      <c r="R111" s="100" t="n"/>
      <c r="S111" s="100" t="n"/>
      <c r="T111" s="100" t="n"/>
      <c r="U111" s="100" t="n"/>
      <c r="V111" s="111" t="n">
        <v>0.75</v>
      </c>
      <c r="W111" s="100" t="n"/>
      <c r="X111" s="100" t="n"/>
      <c r="Y111" s="100" t="n"/>
      <c r="Z111" s="100" t="n"/>
      <c r="AA111" s="100" t="n"/>
      <c r="AB111" s="100" t="n"/>
      <c r="AC111" s="100" t="inlineStr">
        <is>
          <t>Fonte alternativa para preencher a série com baixa cobertura.</t>
        </is>
      </c>
    </row>
    <row r="112">
      <c r="A112" s="100" t="inlineStr">
        <is>
          <t>7. Segurança Alimentar e Saúde</t>
        </is>
      </c>
      <c r="B112" s="100" t="inlineStr">
        <is>
          <t>7. Seg. Alimentar/Saúde</t>
        </is>
      </c>
      <c r="C112" s="100" t="inlineStr">
        <is>
          <t>Índice de produção alimentar</t>
        </is>
      </c>
      <c r="D112" s="112" t="inlineStr">
        <is>
          <t>Complementar</t>
        </is>
      </c>
      <c r="E112" s="100" t="inlineStr">
        <is>
          <t>AG.PRD.FOOD.XD</t>
        </is>
      </c>
      <c r="F112" s="100" t="inlineStr">
        <is>
          <t>Food production index (2014-2016 = 100)</t>
        </is>
      </c>
      <c r="G112" s="100" t="inlineStr">
        <is>
          <t>Banco Mundial/FAO</t>
        </is>
      </c>
      <c r="H112" s="109" t="inlineStr">
        <is>
          <t>https://data.worldbank.org/indicator/AG.PRD.FOOD.XD?locations=AO</t>
        </is>
      </c>
      <c r="I112" s="100" t="inlineStr">
        <is>
          <t>2014-2016=100</t>
        </is>
      </c>
      <c r="J112" s="100" t="inlineStr">
        <is>
          <t>+</t>
        </is>
      </c>
      <c r="K112" s="100" t="n">
        <v>50</v>
      </c>
      <c r="L112" s="100" t="n">
        <v>150</v>
      </c>
      <c r="M112" s="100" t="n">
        <v>110</v>
      </c>
      <c r="N112" s="100" t="n">
        <v>1</v>
      </c>
      <c r="O112" s="100" t="inlineStr">
        <is>
          <t>Média</t>
        </is>
      </c>
      <c r="P112" s="100" t="inlineStr">
        <is>
          <t>Preenchido via Banco Mundial API/CSV</t>
        </is>
      </c>
      <c r="Q112" s="100" t="inlineStr">
        <is>
          <t>8/11</t>
        </is>
      </c>
      <c r="R112" s="111" t="n">
        <v>100.7</v>
      </c>
      <c r="S112" s="111" t="n">
        <v>104.88</v>
      </c>
      <c r="T112" s="111" t="n">
        <v>105.13</v>
      </c>
      <c r="U112" s="111" t="n">
        <v>107.35</v>
      </c>
      <c r="V112" s="111" t="n">
        <v>110.28</v>
      </c>
      <c r="W112" s="111" t="n">
        <v>114.88</v>
      </c>
      <c r="X112" s="111" t="n">
        <v>117.5</v>
      </c>
      <c r="Y112" s="111" t="n">
        <v>124.09</v>
      </c>
      <c r="Z112" s="100" t="n"/>
      <c r="AA112" s="100" t="n"/>
      <c r="AB112" s="100" t="n"/>
      <c r="AC112" s="100" t="inlineStr">
        <is>
          <t>Acompanha disponibilidade doméstica de alimentos.</t>
        </is>
      </c>
    </row>
    <row r="113">
      <c r="A113" s="100" t="inlineStr">
        <is>
          <t>7. Segurança Alimentar e Saúde</t>
        </is>
      </c>
      <c r="B113" s="100" t="inlineStr">
        <is>
          <t>7. Seg. Alimentar/Saúde</t>
        </is>
      </c>
      <c r="C113" s="100" t="inlineStr">
        <is>
          <t>Rendimento cerealífero</t>
        </is>
      </c>
      <c r="D113" s="112" t="inlineStr">
        <is>
          <t>Complementar</t>
        </is>
      </c>
      <c r="E113" s="100" t="inlineStr">
        <is>
          <t>AG.YLD.CREL.KG</t>
        </is>
      </c>
      <c r="F113" s="100" t="inlineStr">
        <is>
          <t>Cereal yield (kg per hectare)</t>
        </is>
      </c>
      <c r="G113" s="100" t="inlineStr">
        <is>
          <t>Banco Mundial/FAO</t>
        </is>
      </c>
      <c r="H113" s="109" t="inlineStr">
        <is>
          <t>https://data.worldbank.org/indicator/AG.YLD.CREL.KG?locations=AO</t>
        </is>
      </c>
      <c r="I113" s="100" t="inlineStr">
        <is>
          <t>kg/ha</t>
        </is>
      </c>
      <c r="J113" s="100" t="inlineStr">
        <is>
          <t>+</t>
        </is>
      </c>
      <c r="K113" s="100" t="n">
        <v>0</v>
      </c>
      <c r="L113" s="100" t="n">
        <v>6000</v>
      </c>
      <c r="M113" s="100" t="n">
        <v>2000</v>
      </c>
      <c r="N113" s="100" t="n">
        <v>1</v>
      </c>
      <c r="O113" s="100" t="inlineStr">
        <is>
          <t>Média</t>
        </is>
      </c>
      <c r="P113" s="100" t="inlineStr">
        <is>
          <t>Preenchido via Banco Mundial API/CSV</t>
        </is>
      </c>
      <c r="Q113" s="100" t="inlineStr">
        <is>
          <t>9/11</t>
        </is>
      </c>
      <c r="R113" s="111" t="n">
        <v>982.3</v>
      </c>
      <c r="S113" s="111" t="n">
        <v>852.3</v>
      </c>
      <c r="T113" s="111" t="n">
        <v>809.2</v>
      </c>
      <c r="U113" s="111" t="n">
        <v>948.3</v>
      </c>
      <c r="V113" s="111" t="n">
        <v>961.1</v>
      </c>
      <c r="W113" s="111" t="n">
        <v>984.8</v>
      </c>
      <c r="X113" s="111" t="n">
        <v>996.1</v>
      </c>
      <c r="Y113" s="111" t="n">
        <v>1033</v>
      </c>
      <c r="Z113" s="111" t="n">
        <v>1061.8</v>
      </c>
      <c r="AA113" s="100" t="n"/>
      <c r="AB113" s="100" t="n"/>
      <c r="AC113" s="100" t="inlineStr">
        <is>
          <t>Proxy de produtividade agrícola e segurança alimentar.</t>
        </is>
      </c>
    </row>
  </sheetData>
  <autoFilter ref="A4:AC113"/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5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21" r:id="rId13"/>
    <hyperlink xmlns:r="http://schemas.openxmlformats.org/officeDocument/2006/relationships" ref="H25" r:id="rId14"/>
    <hyperlink xmlns:r="http://schemas.openxmlformats.org/officeDocument/2006/relationships" ref="H26" r:id="rId15"/>
    <hyperlink xmlns:r="http://schemas.openxmlformats.org/officeDocument/2006/relationships" ref="H27" r:id="rId16"/>
    <hyperlink xmlns:r="http://schemas.openxmlformats.org/officeDocument/2006/relationships" ref="H28" r:id="rId17"/>
    <hyperlink xmlns:r="http://schemas.openxmlformats.org/officeDocument/2006/relationships" ref="H29" r:id="rId18"/>
    <hyperlink xmlns:r="http://schemas.openxmlformats.org/officeDocument/2006/relationships" ref="H30" r:id="rId19"/>
    <hyperlink xmlns:r="http://schemas.openxmlformats.org/officeDocument/2006/relationships" ref="H31" r:id="rId20"/>
    <hyperlink xmlns:r="http://schemas.openxmlformats.org/officeDocument/2006/relationships" ref="H32" r:id="rId21"/>
    <hyperlink xmlns:r="http://schemas.openxmlformats.org/officeDocument/2006/relationships" ref="H33" r:id="rId22"/>
    <hyperlink xmlns:r="http://schemas.openxmlformats.org/officeDocument/2006/relationships" ref="H34" r:id="rId23"/>
    <hyperlink xmlns:r="http://schemas.openxmlformats.org/officeDocument/2006/relationships" ref="H35" r:id="rId24"/>
    <hyperlink xmlns:r="http://schemas.openxmlformats.org/officeDocument/2006/relationships" ref="H40" r:id="rId25"/>
    <hyperlink xmlns:r="http://schemas.openxmlformats.org/officeDocument/2006/relationships" ref="H41" r:id="rId26"/>
    <hyperlink xmlns:r="http://schemas.openxmlformats.org/officeDocument/2006/relationships" ref="H42" r:id="rId27"/>
    <hyperlink xmlns:r="http://schemas.openxmlformats.org/officeDocument/2006/relationships" ref="H43" r:id="rId28"/>
    <hyperlink xmlns:r="http://schemas.openxmlformats.org/officeDocument/2006/relationships" ref="H44" r:id="rId29"/>
    <hyperlink xmlns:r="http://schemas.openxmlformats.org/officeDocument/2006/relationships" ref="H45" r:id="rId30"/>
    <hyperlink xmlns:r="http://schemas.openxmlformats.org/officeDocument/2006/relationships" ref="H46" r:id="rId31"/>
    <hyperlink xmlns:r="http://schemas.openxmlformats.org/officeDocument/2006/relationships" ref="H47" r:id="rId32"/>
    <hyperlink xmlns:r="http://schemas.openxmlformats.org/officeDocument/2006/relationships" ref="H48" r:id="rId33"/>
    <hyperlink xmlns:r="http://schemas.openxmlformats.org/officeDocument/2006/relationships" ref="H49" r:id="rId34"/>
    <hyperlink xmlns:r="http://schemas.openxmlformats.org/officeDocument/2006/relationships" ref="H50" r:id="rId35"/>
    <hyperlink xmlns:r="http://schemas.openxmlformats.org/officeDocument/2006/relationships" ref="H52" r:id="rId36"/>
    <hyperlink xmlns:r="http://schemas.openxmlformats.org/officeDocument/2006/relationships" ref="H53" r:id="rId37"/>
    <hyperlink xmlns:r="http://schemas.openxmlformats.org/officeDocument/2006/relationships" ref="H54" r:id="rId38"/>
    <hyperlink xmlns:r="http://schemas.openxmlformats.org/officeDocument/2006/relationships" ref="H55" r:id="rId39"/>
    <hyperlink xmlns:r="http://schemas.openxmlformats.org/officeDocument/2006/relationships" ref="H56" r:id="rId40"/>
    <hyperlink xmlns:r="http://schemas.openxmlformats.org/officeDocument/2006/relationships" ref="H57" r:id="rId41"/>
    <hyperlink xmlns:r="http://schemas.openxmlformats.org/officeDocument/2006/relationships" ref="H58" r:id="rId42"/>
    <hyperlink xmlns:r="http://schemas.openxmlformats.org/officeDocument/2006/relationships" ref="H59" r:id="rId43"/>
    <hyperlink xmlns:r="http://schemas.openxmlformats.org/officeDocument/2006/relationships" ref="H60" r:id="rId44"/>
    <hyperlink xmlns:r="http://schemas.openxmlformats.org/officeDocument/2006/relationships" ref="H61" r:id="rId45"/>
    <hyperlink xmlns:r="http://schemas.openxmlformats.org/officeDocument/2006/relationships" ref="H62" r:id="rId46"/>
    <hyperlink xmlns:r="http://schemas.openxmlformats.org/officeDocument/2006/relationships" ref="H63" r:id="rId47"/>
    <hyperlink xmlns:r="http://schemas.openxmlformats.org/officeDocument/2006/relationships" ref="H64" r:id="rId48"/>
    <hyperlink xmlns:r="http://schemas.openxmlformats.org/officeDocument/2006/relationships" ref="H65" r:id="rId49"/>
    <hyperlink xmlns:r="http://schemas.openxmlformats.org/officeDocument/2006/relationships" ref="H66" r:id="rId50"/>
    <hyperlink xmlns:r="http://schemas.openxmlformats.org/officeDocument/2006/relationships" ref="H67" r:id="rId51"/>
    <hyperlink xmlns:r="http://schemas.openxmlformats.org/officeDocument/2006/relationships" ref="H68" r:id="rId52"/>
    <hyperlink xmlns:r="http://schemas.openxmlformats.org/officeDocument/2006/relationships" ref="H69" r:id="rId53"/>
    <hyperlink xmlns:r="http://schemas.openxmlformats.org/officeDocument/2006/relationships" ref="H70" r:id="rId54"/>
    <hyperlink xmlns:r="http://schemas.openxmlformats.org/officeDocument/2006/relationships" ref="H71" r:id="rId55"/>
    <hyperlink xmlns:r="http://schemas.openxmlformats.org/officeDocument/2006/relationships" ref="H72" r:id="rId56"/>
    <hyperlink xmlns:r="http://schemas.openxmlformats.org/officeDocument/2006/relationships" ref="H73" r:id="rId57"/>
    <hyperlink xmlns:r="http://schemas.openxmlformats.org/officeDocument/2006/relationships" ref="H74" r:id="rId58"/>
    <hyperlink xmlns:r="http://schemas.openxmlformats.org/officeDocument/2006/relationships" ref="H75" r:id="rId59"/>
    <hyperlink xmlns:r="http://schemas.openxmlformats.org/officeDocument/2006/relationships" ref="H76" r:id="rId60"/>
    <hyperlink xmlns:r="http://schemas.openxmlformats.org/officeDocument/2006/relationships" ref="H77" r:id="rId61"/>
    <hyperlink xmlns:r="http://schemas.openxmlformats.org/officeDocument/2006/relationships" ref="H78" r:id="rId62"/>
    <hyperlink xmlns:r="http://schemas.openxmlformats.org/officeDocument/2006/relationships" ref="H79" r:id="rId63"/>
    <hyperlink xmlns:r="http://schemas.openxmlformats.org/officeDocument/2006/relationships" ref="H86" r:id="rId64"/>
    <hyperlink xmlns:r="http://schemas.openxmlformats.org/officeDocument/2006/relationships" ref="H87" r:id="rId65"/>
    <hyperlink xmlns:r="http://schemas.openxmlformats.org/officeDocument/2006/relationships" ref="H88" r:id="rId66"/>
    <hyperlink xmlns:r="http://schemas.openxmlformats.org/officeDocument/2006/relationships" ref="H89" r:id="rId67"/>
    <hyperlink xmlns:r="http://schemas.openxmlformats.org/officeDocument/2006/relationships" ref="H90" r:id="rId68"/>
    <hyperlink xmlns:r="http://schemas.openxmlformats.org/officeDocument/2006/relationships" ref="H91" r:id="rId69"/>
    <hyperlink xmlns:r="http://schemas.openxmlformats.org/officeDocument/2006/relationships" ref="H92" r:id="rId70"/>
    <hyperlink xmlns:r="http://schemas.openxmlformats.org/officeDocument/2006/relationships" ref="H93" r:id="rId71"/>
    <hyperlink xmlns:r="http://schemas.openxmlformats.org/officeDocument/2006/relationships" ref="H94" r:id="rId72"/>
    <hyperlink xmlns:r="http://schemas.openxmlformats.org/officeDocument/2006/relationships" ref="H95" r:id="rId73"/>
    <hyperlink xmlns:r="http://schemas.openxmlformats.org/officeDocument/2006/relationships" ref="H96" r:id="rId74"/>
    <hyperlink xmlns:r="http://schemas.openxmlformats.org/officeDocument/2006/relationships" ref="H97" r:id="rId75"/>
    <hyperlink xmlns:r="http://schemas.openxmlformats.org/officeDocument/2006/relationships" ref="H98" r:id="rId76"/>
    <hyperlink xmlns:r="http://schemas.openxmlformats.org/officeDocument/2006/relationships" ref="H99" r:id="rId77"/>
    <hyperlink xmlns:r="http://schemas.openxmlformats.org/officeDocument/2006/relationships" ref="H101" r:id="rId78"/>
    <hyperlink xmlns:r="http://schemas.openxmlformats.org/officeDocument/2006/relationships" ref="H102" r:id="rId79"/>
    <hyperlink xmlns:r="http://schemas.openxmlformats.org/officeDocument/2006/relationships" ref="H103" r:id="rId80"/>
    <hyperlink xmlns:r="http://schemas.openxmlformats.org/officeDocument/2006/relationships" ref="H104" r:id="rId81"/>
    <hyperlink xmlns:r="http://schemas.openxmlformats.org/officeDocument/2006/relationships" ref="H105" r:id="rId82"/>
    <hyperlink xmlns:r="http://schemas.openxmlformats.org/officeDocument/2006/relationships" ref="H106" r:id="rId83"/>
    <hyperlink xmlns:r="http://schemas.openxmlformats.org/officeDocument/2006/relationships" ref="H107" r:id="rId84"/>
    <hyperlink xmlns:r="http://schemas.openxmlformats.org/officeDocument/2006/relationships" ref="H108" r:id="rId85"/>
    <hyperlink xmlns:r="http://schemas.openxmlformats.org/officeDocument/2006/relationships" ref="H109" r:id="rId86"/>
    <hyperlink xmlns:r="http://schemas.openxmlformats.org/officeDocument/2006/relationships" ref="H110" r:id="rId87"/>
    <hyperlink xmlns:r="http://schemas.openxmlformats.org/officeDocument/2006/relationships" ref="H111" r:id="rId88"/>
    <hyperlink xmlns:r="http://schemas.openxmlformats.org/officeDocument/2006/relationships" ref="H112" r:id="rId89"/>
    <hyperlink xmlns:r="http://schemas.openxmlformats.org/officeDocument/2006/relationships" ref="H113" r:id="rId90"/>
  </hyperlinks>
  <pageMargins left="0.75" right="0.75" top="1" bottom="1" header="0.5" footer="0.5"/>
  <tableParts count="1">
    <tablePart xmlns:r="http://schemas.openxmlformats.org/officeDocument/2006/relationships" r:id="rId9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50" min="1" max="1"/>
    <col width="24" customWidth="1" style="50" min="2" max="2"/>
    <col width="44" customWidth="1" style="50" min="3" max="3"/>
    <col width="22" customWidth="1" style="50" min="4" max="4"/>
    <col width="18" customWidth="1" style="50" min="5" max="5"/>
    <col width="50" customWidth="1" style="50" min="6" max="6"/>
    <col width="26" customWidth="1" style="50" min="7" max="7"/>
    <col width="58" customWidth="1" style="50" min="8" max="8"/>
    <col width="18" customWidth="1" style="50" min="9" max="9"/>
    <col width="10" customWidth="1" style="50" min="10" max="10"/>
    <col width="12" customWidth="1" style="50" min="11" max="11"/>
    <col width="12" customWidth="1" style="50" min="12" max="12"/>
    <col width="14" customWidth="1" style="50" min="13" max="13"/>
    <col width="10" customWidth="1" style="50" min="14" max="14"/>
    <col width="14" customWidth="1" style="50" min="15" max="15"/>
    <col width="36" customWidth="1" style="50" min="16" max="16"/>
    <col width="16" customWidth="1" style="50" min="17" max="17"/>
    <col width="13" customWidth="1" style="50" min="18" max="18"/>
    <col width="13" customWidth="1" style="50" min="19" max="19"/>
    <col width="13" customWidth="1" style="50" min="20" max="20"/>
    <col width="13" customWidth="1" style="50" min="21" max="21"/>
    <col width="13" customWidth="1" style="50" min="22" max="22"/>
    <col width="13" customWidth="1" style="50" min="23" max="23"/>
    <col width="13" customWidth="1" style="50" min="24" max="24"/>
    <col width="13" customWidth="1" style="50" min="25" max="25"/>
    <col width="13" customWidth="1" style="50" min="26" max="26"/>
    <col width="13" customWidth="1" style="50" min="27" max="27"/>
    <col width="13" customWidth="1" style="50" min="28" max="28"/>
    <col width="72" customWidth="1" style="50" min="29" max="29"/>
  </cols>
  <sheetData>
    <row r="1">
      <c r="A1" s="97" t="inlineStr">
        <is>
          <t>Compilação dos indicadores sugeridos</t>
        </is>
      </c>
    </row>
    <row r="2" ht="34" customHeight="1" s="50">
      <c r="A2" s="98" t="inlineStr">
        <is>
          <t>Apenas indicadores sugeridos, com dados 2015-2025 quando disponíveis automaticamente.</t>
        </is>
      </c>
    </row>
    <row r="4">
      <c r="A4" s="99" t="inlineStr">
        <is>
          <t>Dimensão</t>
        </is>
      </c>
      <c r="B4" s="99" t="inlineStr">
        <is>
          <t>Subíndice curto</t>
        </is>
      </c>
      <c r="C4" s="99" t="inlineStr">
        <is>
          <t>Indicador</t>
        </is>
      </c>
      <c r="D4" s="99" t="inlineStr">
        <is>
          <t>Tipo</t>
        </is>
      </c>
      <c r="E4" s="99" t="inlineStr">
        <is>
          <t>Código</t>
        </is>
      </c>
      <c r="F4" s="99" t="inlineStr">
        <is>
          <t>Nome oficial/API</t>
        </is>
      </c>
      <c r="G4" s="99" t="inlineStr">
        <is>
          <t>Fonte</t>
        </is>
      </c>
      <c r="H4" s="99" t="inlineStr">
        <is>
          <t>Fonte_URL</t>
        </is>
      </c>
      <c r="I4" s="99" t="inlineStr">
        <is>
          <t>Unidade</t>
        </is>
      </c>
      <c r="J4" s="99" t="inlineStr">
        <is>
          <t>Sentido</t>
        </is>
      </c>
      <c r="K4" s="99" t="inlineStr">
        <is>
          <t>Mínimo</t>
        </is>
      </c>
      <c r="L4" s="99" t="inlineStr">
        <is>
          <t>Máximo</t>
        </is>
      </c>
      <c r="M4" s="99" t="inlineStr">
        <is>
          <t>Meta 2027</t>
        </is>
      </c>
      <c r="N4" s="99" t="inlineStr">
        <is>
          <t>Peso</t>
        </is>
      </c>
      <c r="O4" s="99" t="inlineStr">
        <is>
          <t>Prioridade</t>
        </is>
      </c>
      <c r="P4" s="99" t="inlineStr">
        <is>
          <t>Estado da série</t>
        </is>
      </c>
      <c r="Q4" s="99" t="inlineStr">
        <is>
          <t>Cobertura 2015-2025</t>
        </is>
      </c>
      <c r="R4" s="99" t="inlineStr">
        <is>
          <t>2015</t>
        </is>
      </c>
      <c r="S4" s="99" t="inlineStr">
        <is>
          <t>2016</t>
        </is>
      </c>
      <c r="T4" s="99" t="inlineStr">
        <is>
          <t>2017</t>
        </is>
      </c>
      <c r="U4" s="99" t="inlineStr">
        <is>
          <t>2018</t>
        </is>
      </c>
      <c r="V4" s="99" t="inlineStr">
        <is>
          <t>2019</t>
        </is>
      </c>
      <c r="W4" s="99" t="inlineStr">
        <is>
          <t>2020</t>
        </is>
      </c>
      <c r="X4" s="99" t="inlineStr">
        <is>
          <t>2021</t>
        </is>
      </c>
      <c r="Y4" s="99" t="inlineStr">
        <is>
          <t>2022</t>
        </is>
      </c>
      <c r="Z4" s="99" t="inlineStr">
        <is>
          <t>2023</t>
        </is>
      </c>
      <c r="AA4" s="99" t="inlineStr">
        <is>
          <t>2024</t>
        </is>
      </c>
      <c r="AB4" s="99" t="inlineStr">
        <is>
          <t>2025</t>
        </is>
      </c>
      <c r="AC4" s="99" t="inlineStr">
        <is>
          <t>Racional / nota</t>
        </is>
      </c>
    </row>
    <row r="5">
      <c r="A5" s="100" t="inlineStr">
        <is>
          <t>1. Governança e Estado de Direito</t>
        </is>
      </c>
      <c r="B5" s="100" t="inlineStr">
        <is>
          <t>1. Governança</t>
        </is>
      </c>
      <c r="C5" s="100" t="inlineStr">
        <is>
          <t>WGI - Controlo da Corrupção</t>
        </is>
      </c>
      <c r="D5" s="100" t="inlineStr">
        <is>
          <t>Substituto/Complementar</t>
        </is>
      </c>
      <c r="E5" s="100" t="inlineStr">
        <is>
          <t>CC.EST</t>
        </is>
      </c>
      <c r="F5" s="100" t="inlineStr">
        <is>
          <t>Control of Corruption: Estimate</t>
        </is>
      </c>
      <c r="G5" s="100" t="inlineStr">
        <is>
          <t>WGI/Banco Mundial</t>
        </is>
      </c>
      <c r="H5" s="109" t="inlineStr">
        <is>
          <t>https://datacatalog.worldbank.org/search/dataset/0038026/worldwide-governance-indicators</t>
        </is>
      </c>
      <c r="I5" s="100" t="inlineStr">
        <is>
          <t>-2.5 a 2.5</t>
        </is>
      </c>
      <c r="J5" s="100" t="inlineStr">
        <is>
          <t>+</t>
        </is>
      </c>
      <c r="K5" s="100" t="n">
        <v>-2.5</v>
      </c>
      <c r="L5" s="100" t="n">
        <v>2.5</v>
      </c>
      <c r="M5" s="100" t="n">
        <v>0</v>
      </c>
      <c r="N5" s="100" t="n">
        <v>1</v>
      </c>
      <c r="O5" s="100" t="inlineStr">
        <is>
          <t>Alta</t>
        </is>
      </c>
      <c r="P5" s="100" t="inlineStr">
        <is>
          <t>Preenchido via WGI 2025 oficial</t>
        </is>
      </c>
      <c r="Q5" s="100" t="inlineStr">
        <is>
          <t>10/11</t>
        </is>
      </c>
      <c r="R5" s="111" t="n">
        <v>-1.4857649</v>
      </c>
      <c r="S5" s="111" t="n">
        <v>-1.4881942</v>
      </c>
      <c r="T5" s="111" t="n">
        <v>-1.4208093</v>
      </c>
      <c r="U5" s="111" t="n">
        <v>-1.181782</v>
      </c>
      <c r="V5" s="111" t="n">
        <v>-0.9647988</v>
      </c>
      <c r="W5" s="111" t="n">
        <v>-0.8918322999999999</v>
      </c>
      <c r="X5" s="111" t="n">
        <v>-0.6416506</v>
      </c>
      <c r="Y5" s="111" t="n">
        <v>-0.6031537</v>
      </c>
      <c r="Z5" s="111" t="n">
        <v>-0.6242518</v>
      </c>
      <c r="AA5" s="111" t="n">
        <v>-0.6225792999999999</v>
      </c>
      <c r="AB5" s="100" t="n"/>
      <c r="AC5" s="100" t="inlineStr">
        <is>
          <t>Complementa o CPI com uma medida anual comparável e alinhada com os restantes WGI. Cobertura estimada pela periodicidade WGI; o endpoint WDI simples não devolve esta série.</t>
        </is>
      </c>
    </row>
    <row r="6">
      <c r="A6" s="100" t="inlineStr">
        <is>
          <t>1. Governança e Estado de Direito</t>
        </is>
      </c>
      <c r="B6" s="100" t="inlineStr">
        <is>
          <t>1. Governança</t>
        </is>
      </c>
      <c r="C6" s="100" t="inlineStr">
        <is>
          <t>WGI - Qualidade Regulatória</t>
        </is>
      </c>
      <c r="D6" s="100" t="inlineStr">
        <is>
          <t>Substituto</t>
        </is>
      </c>
      <c r="E6" s="100" t="inlineStr">
        <is>
          <t>RQ.EST</t>
        </is>
      </c>
      <c r="F6" s="100" t="inlineStr">
        <is>
          <t>Regulatory Quality: Estimate</t>
        </is>
      </c>
      <c r="G6" s="100" t="inlineStr">
        <is>
          <t>WGI/Banco Mundial</t>
        </is>
      </c>
      <c r="H6" s="109" t="inlineStr">
        <is>
          <t>https://datacatalog.worldbank.org/search/dataset/0038026/worldwide-governance-indicators</t>
        </is>
      </c>
      <c r="I6" s="100" t="inlineStr">
        <is>
          <t>-2.5 a 2.5</t>
        </is>
      </c>
      <c r="J6" s="100" t="inlineStr">
        <is>
          <t>+</t>
        </is>
      </c>
      <c r="K6" s="100" t="n">
        <v>-2.5</v>
      </c>
      <c r="L6" s="100" t="n">
        <v>2.5</v>
      </c>
      <c r="M6" s="100" t="n">
        <v>0</v>
      </c>
      <c r="N6" s="100" t="n">
        <v>1</v>
      </c>
      <c r="O6" s="100" t="inlineStr">
        <is>
          <t>Alta</t>
        </is>
      </c>
      <c r="P6" s="100" t="inlineStr">
        <is>
          <t>Preenchido via WGI 2025 oficial</t>
        </is>
      </c>
      <c r="Q6" s="100" t="inlineStr">
        <is>
          <t>10/11</t>
        </is>
      </c>
      <c r="R6" s="111" t="n">
        <v>-1.0904945</v>
      </c>
      <c r="S6" s="111" t="n">
        <v>-1.1804235</v>
      </c>
      <c r="T6" s="111" t="n">
        <v>-1.1799885</v>
      </c>
      <c r="U6" s="111" t="n">
        <v>-1.0624393</v>
      </c>
      <c r="V6" s="111" t="n">
        <v>-0.9960854</v>
      </c>
      <c r="W6" s="111" t="n">
        <v>-1.0388818</v>
      </c>
      <c r="X6" s="111" t="n">
        <v>-0.8486184</v>
      </c>
      <c r="Y6" s="111" t="n">
        <v>-0.8618821</v>
      </c>
      <c r="Z6" s="111" t="n">
        <v>-0.904342</v>
      </c>
      <c r="AA6" s="111" t="n">
        <v>-0.7730199999999999</v>
      </c>
      <c r="AB6" s="100" t="n"/>
      <c r="AC6" s="100" t="inlineStr">
        <is>
          <t>Bom substituto para Doing Business, que foi descontinuado. Cobertura estimada pela periodicidade WGI; o endpoint WDI simples não devolve esta série.</t>
        </is>
      </c>
    </row>
    <row r="7">
      <c r="A7" s="100" t="inlineStr">
        <is>
          <t>1. Governança e Estado de Direito</t>
        </is>
      </c>
      <c r="B7" s="100" t="inlineStr">
        <is>
          <t>1. Governança</t>
        </is>
      </c>
      <c r="C7" s="100" t="inlineStr">
        <is>
          <t>WGI - Voz e Responsabilização</t>
        </is>
      </c>
      <c r="D7" s="100" t="inlineStr">
        <is>
          <t>Complementar</t>
        </is>
      </c>
      <c r="E7" s="100" t="inlineStr">
        <is>
          <t>VA.EST</t>
        </is>
      </c>
      <c r="F7" s="100" t="inlineStr">
        <is>
          <t>Voice and Accountability: Estimate</t>
        </is>
      </c>
      <c r="G7" s="100" t="inlineStr">
        <is>
          <t>WGI/Banco Mundial</t>
        </is>
      </c>
      <c r="H7" s="109" t="inlineStr">
        <is>
          <t>https://datacatalog.worldbank.org/search/dataset/0038026/worldwide-governance-indicators</t>
        </is>
      </c>
      <c r="I7" s="100" t="inlineStr">
        <is>
          <t>-2.5 a 2.5</t>
        </is>
      </c>
      <c r="J7" s="100" t="inlineStr">
        <is>
          <t>+</t>
        </is>
      </c>
      <c r="K7" s="100" t="n">
        <v>-2.5</v>
      </c>
      <c r="L7" s="100" t="n">
        <v>2.5</v>
      </c>
      <c r="M7" s="100" t="n">
        <v>0</v>
      </c>
      <c r="N7" s="100" t="n">
        <v>1</v>
      </c>
      <c r="O7" s="100" t="inlineStr">
        <is>
          <t>Média</t>
        </is>
      </c>
      <c r="P7" s="100" t="inlineStr">
        <is>
          <t>Preenchido via WGI 2025 oficial</t>
        </is>
      </c>
      <c r="Q7" s="100" t="inlineStr">
        <is>
          <t>10/11</t>
        </is>
      </c>
      <c r="R7" s="111" t="n">
        <v>-1.1542998</v>
      </c>
      <c r="S7" s="111" t="n">
        <v>-1.19498</v>
      </c>
      <c r="T7" s="111" t="n">
        <v>-1.131561</v>
      </c>
      <c r="U7" s="111" t="n">
        <v>-1.005668</v>
      </c>
      <c r="V7" s="111" t="n">
        <v>-0.9382176</v>
      </c>
      <c r="W7" s="111" t="n">
        <v>-0.9376897999999999</v>
      </c>
      <c r="X7" s="111" t="n">
        <v>-0.9985084999999999</v>
      </c>
      <c r="Y7" s="111" t="n">
        <v>-1.0480912</v>
      </c>
      <c r="Z7" s="111" t="n">
        <v>-1.020936</v>
      </c>
      <c r="AA7" s="111" t="n">
        <v>-1.0588932</v>
      </c>
      <c r="AB7" s="100" t="n"/>
      <c r="AC7" s="100" t="inlineStr">
        <is>
          <t>Acrescenta dimensão de responsabilização pública e participação. Cobertura estimada pela periodicidade WGI; o endpoint WDI simples não devolve esta série.</t>
        </is>
      </c>
    </row>
    <row r="8">
      <c r="A8" s="100" t="inlineStr">
        <is>
          <t>1. Governança e Estado de Direito</t>
        </is>
      </c>
      <c r="B8" s="100" t="inlineStr">
        <is>
          <t>1. Governança</t>
        </is>
      </c>
      <c r="C8" s="100" t="inlineStr">
        <is>
          <t>Índice Ibrahim - Governação Global</t>
        </is>
      </c>
      <c r="D8" s="100" t="inlineStr">
        <is>
          <t>Complementar</t>
        </is>
      </c>
      <c r="E8" s="100" t="inlineStr"/>
      <c r="F8" s="100" t="inlineStr"/>
      <c r="G8" s="100" t="inlineStr">
        <is>
          <t>Mo Ibrahim Foundation</t>
        </is>
      </c>
      <c r="H8" s="109" t="inlineStr">
        <is>
          <t>https://iiag.online/</t>
        </is>
      </c>
      <c r="I8" s="100" t="inlineStr">
        <is>
          <t>0-100</t>
        </is>
      </c>
      <c r="J8" s="100" t="inlineStr">
        <is>
          <t>+</t>
        </is>
      </c>
      <c r="K8" s="100" t="n">
        <v>0</v>
      </c>
      <c r="L8" s="100" t="n">
        <v>100</v>
      </c>
      <c r="M8" s="100" t="n">
        <v>55</v>
      </c>
      <c r="N8" s="100" t="n">
        <v>1</v>
      </c>
      <c r="O8" s="100" t="inlineStr">
        <is>
          <t>Alta</t>
        </is>
      </c>
      <c r="P8" s="113" t="inlineStr">
        <is>
          <t>Sem código/API; recolha manual</t>
        </is>
      </c>
      <c r="Q8" s="100" t="inlineStr">
        <is>
          <t>0/11</t>
        </is>
      </c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  <c r="AA8" s="100" t="n"/>
      <c r="AB8" s="100" t="n"/>
      <c r="AC8" s="100" t="inlineStr">
        <is>
          <t>Benchmark africano com várias dimensões institucionais.</t>
        </is>
      </c>
    </row>
    <row r="9">
      <c r="A9" s="100" t="inlineStr">
        <is>
          <t>1. Governança e Estado de Direito</t>
        </is>
      </c>
      <c r="B9" s="100" t="inlineStr">
        <is>
          <t>1. Governança</t>
        </is>
      </c>
      <c r="C9" s="100" t="inlineStr">
        <is>
          <t>Índice Ibrahim - Segurança e Estado de Direito</t>
        </is>
      </c>
      <c r="D9" s="100" t="inlineStr">
        <is>
          <t>Complementar</t>
        </is>
      </c>
      <c r="E9" s="100" t="inlineStr"/>
      <c r="F9" s="100" t="inlineStr"/>
      <c r="G9" s="100" t="inlineStr">
        <is>
          <t>Mo Ibrahim Foundation</t>
        </is>
      </c>
      <c r="H9" s="109" t="inlineStr">
        <is>
          <t>https://iiag.online/</t>
        </is>
      </c>
      <c r="I9" s="100" t="inlineStr">
        <is>
          <t>0-100</t>
        </is>
      </c>
      <c r="J9" s="100" t="inlineStr">
        <is>
          <t>+</t>
        </is>
      </c>
      <c r="K9" s="100" t="n">
        <v>0</v>
      </c>
      <c r="L9" s="100" t="n">
        <v>100</v>
      </c>
      <c r="M9" s="100" t="n">
        <v>55</v>
      </c>
      <c r="N9" s="100" t="n">
        <v>1</v>
      </c>
      <c r="O9" s="100" t="inlineStr">
        <is>
          <t>Média</t>
        </is>
      </c>
      <c r="P9" s="113" t="inlineStr">
        <is>
          <t>Sem código/API; recolha manual</t>
        </is>
      </c>
      <c r="Q9" s="100" t="inlineStr">
        <is>
          <t>0/11</t>
        </is>
      </c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inlineStr">
        <is>
          <t>Aproxima governança de segurança, justiça e direitos no contexto africano.</t>
        </is>
      </c>
    </row>
    <row r="10">
      <c r="A10" s="100" t="inlineStr">
        <is>
          <t>1. Governança e Estado de Direito</t>
        </is>
      </c>
      <c r="B10" s="100" t="inlineStr">
        <is>
          <t>1. Governança</t>
        </is>
      </c>
      <c r="C10" s="100" t="inlineStr">
        <is>
          <t>Open Budget Index</t>
        </is>
      </c>
      <c r="D10" s="100" t="inlineStr">
        <is>
          <t>Complementar</t>
        </is>
      </c>
      <c r="E10" s="100" t="inlineStr"/>
      <c r="F10" s="100" t="inlineStr"/>
      <c r="G10" s="100" t="inlineStr">
        <is>
          <t>International Budget Partnership</t>
        </is>
      </c>
      <c r="H10" s="109" t="inlineStr">
        <is>
          <t>https://internationalbudget.org/open-budget-survey/</t>
        </is>
      </c>
      <c r="I10" s="100" t="inlineStr">
        <is>
          <t>0-100</t>
        </is>
      </c>
      <c r="J10" s="100" t="inlineStr">
        <is>
          <t>+</t>
        </is>
      </c>
      <c r="K10" s="100" t="n">
        <v>0</v>
      </c>
      <c r="L10" s="100" t="n">
        <v>100</v>
      </c>
      <c r="M10" s="100" t="n">
        <v>50</v>
      </c>
      <c r="N10" s="100" t="n">
        <v>1</v>
      </c>
      <c r="O10" s="100" t="inlineStr">
        <is>
          <t>Média</t>
        </is>
      </c>
      <c r="P10" s="113" t="inlineStr">
        <is>
          <t>Sem código/API; recolha manual</t>
        </is>
      </c>
      <c r="Q10" s="100" t="inlineStr">
        <is>
          <t>0/11</t>
        </is>
      </c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  <c r="AA10" s="100" t="n"/>
      <c r="AB10" s="100" t="n"/>
      <c r="AC10" s="100" t="inlineStr">
        <is>
          <t>Mede transparência orçamental, relevante para responsabilização fiscal.</t>
        </is>
      </c>
    </row>
    <row r="11">
      <c r="A11" s="100" t="inlineStr">
        <is>
          <t>1. Governança e Estado de Direito</t>
        </is>
      </c>
      <c r="B11" s="100" t="inlineStr">
        <is>
          <t>1. Governança</t>
        </is>
      </c>
      <c r="C11" s="100" t="inlineStr">
        <is>
          <t>Empresas solicitadas a fazer pagamentos informais</t>
        </is>
      </c>
      <c r="D11" s="100" t="inlineStr">
        <is>
          <t>Complementar</t>
        </is>
      </c>
      <c r="E11" s="100" t="inlineStr"/>
      <c r="F11" s="100" t="inlineStr"/>
      <c r="G11" s="100" t="inlineStr">
        <is>
          <t>World Bank Enterprise Surveys</t>
        </is>
      </c>
      <c r="H11" s="109" t="inlineStr">
        <is>
          <t>https://www.enterprisesurveys.org/</t>
        </is>
      </c>
      <c r="I11" s="100" t="inlineStr">
        <is>
          <t>%</t>
        </is>
      </c>
      <c r="J11" s="100" t="inlineStr">
        <is>
          <t>-</t>
        </is>
      </c>
      <c r="K11" s="100" t="n">
        <v>0</v>
      </c>
      <c r="L11" s="100" t="n">
        <v>100</v>
      </c>
      <c r="M11" s="100" t="n">
        <v>10</v>
      </c>
      <c r="N11" s="100" t="n">
        <v>1</v>
      </c>
      <c r="O11" s="100" t="inlineStr">
        <is>
          <t>Média</t>
        </is>
      </c>
      <c r="P11" s="113" t="inlineStr">
        <is>
          <t>Sem código/API; recolha manual</t>
        </is>
      </c>
      <c r="Q11" s="100" t="inlineStr">
        <is>
          <t>0/11</t>
        </is>
      </c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  <c r="AA11" s="100" t="n"/>
      <c r="AB11" s="100" t="n"/>
      <c r="AC11" s="100" t="inlineStr">
        <is>
          <t>Capta corrupção administrativa sentida pelas empresas.</t>
        </is>
      </c>
    </row>
    <row r="12">
      <c r="A12" s="100" t="inlineStr">
        <is>
          <t>1. Governança e Estado de Direito</t>
        </is>
      </c>
      <c r="B12" s="100" t="inlineStr">
        <is>
          <t>1. Governança</t>
        </is>
      </c>
      <c r="C12" s="100" t="inlineStr">
        <is>
          <t>Statistical Performance Index - score geral</t>
        </is>
      </c>
      <c r="D12" s="100" t="inlineStr">
        <is>
          <t>Complementar</t>
        </is>
      </c>
      <c r="E12" s="100" t="inlineStr">
        <is>
          <t>IQ.SPI.OVRL</t>
        </is>
      </c>
      <c r="F12" s="100" t="inlineStr">
        <is>
          <t>Statistical performance indicators (SPI): Overall score (scale 0-100)</t>
        </is>
      </c>
      <c r="G12" s="100" t="inlineStr">
        <is>
          <t>Banco Mundial</t>
        </is>
      </c>
      <c r="H12" s="109" t="inlineStr">
        <is>
          <t>https://data.worldbank.org/indicator/IQ.SPI.OVRL?locations=AO</t>
        </is>
      </c>
      <c r="I12" s="100" t="inlineStr">
        <is>
          <t>0-100</t>
        </is>
      </c>
      <c r="J12" s="100" t="inlineStr">
        <is>
          <t>+</t>
        </is>
      </c>
      <c r="K12" s="100" t="n">
        <v>0</v>
      </c>
      <c r="L12" s="100" t="n">
        <v>100</v>
      </c>
      <c r="M12" s="100" t="n">
        <v>65</v>
      </c>
      <c r="N12" s="100" t="n">
        <v>1</v>
      </c>
      <c r="O12" s="100" t="inlineStr">
        <is>
          <t>Média</t>
        </is>
      </c>
      <c r="P12" s="100" t="inlineStr">
        <is>
          <t>Preenchido via Banco Mundial API/CSV</t>
        </is>
      </c>
      <c r="Q12" s="100" t="inlineStr">
        <is>
          <t>9/11</t>
        </is>
      </c>
      <c r="R12" s="100" t="n"/>
      <c r="S12" s="111" t="n">
        <v>47.3954166666667</v>
      </c>
      <c r="T12" s="111" t="n">
        <v>48.3595833333333</v>
      </c>
      <c r="U12" s="111" t="n">
        <v>54.5720833333333</v>
      </c>
      <c r="V12" s="111" t="n">
        <v>57.9525</v>
      </c>
      <c r="W12" s="111" t="n">
        <v>59.17</v>
      </c>
      <c r="X12" s="111" t="n">
        <v>56.45625</v>
      </c>
      <c r="Y12" s="111" t="n">
        <v>54.9670833333333</v>
      </c>
      <c r="Z12" s="111" t="n">
        <v>57.5958333333333</v>
      </c>
      <c r="AA12" s="111" t="n">
        <v>58.1520833333333</v>
      </c>
      <c r="AB12" s="100" t="n"/>
      <c r="AC12" s="100" t="inlineStr">
        <is>
          <t>Mede capacidade estatística, útil para qualidade de políticas públicas e monitorização.</t>
        </is>
      </c>
    </row>
    <row r="13">
      <c r="A13" s="100" t="inlineStr">
        <is>
          <t>2. Estabilidade Macroeconómica</t>
        </is>
      </c>
      <c r="B13" s="100" t="inlineStr">
        <is>
          <t>2. Macroeconomia</t>
        </is>
      </c>
      <c r="C13" s="100" t="inlineStr">
        <is>
          <t>Saldo da conta corrente (% PIB)</t>
        </is>
      </c>
      <c r="D13" s="100" t="inlineStr">
        <is>
          <t>Complementar</t>
        </is>
      </c>
      <c r="E13" s="100" t="inlineStr">
        <is>
          <t>BN.CAB.XOKA.GD.ZS</t>
        </is>
      </c>
      <c r="F13" s="100" t="inlineStr">
        <is>
          <t>Current account balance (% of GDP)</t>
        </is>
      </c>
      <c r="G13" s="100" t="inlineStr">
        <is>
          <t>Banco Mundial/WDI</t>
        </is>
      </c>
      <c r="H13" s="109" t="inlineStr">
        <is>
          <t>https://data.worldbank.org/indicator/BN.CAB.XOKA.GD.ZS?locations=AO</t>
        </is>
      </c>
      <c r="I13" s="100" t="inlineStr">
        <is>
          <t>%</t>
        </is>
      </c>
      <c r="J13" s="100" t="inlineStr">
        <is>
          <t>+</t>
        </is>
      </c>
      <c r="K13" s="100" t="n">
        <v>-30</v>
      </c>
      <c r="L13" s="100" t="n">
        <v>30</v>
      </c>
      <c r="M13" s="100" t="n">
        <v>0</v>
      </c>
      <c r="N13" s="100" t="n">
        <v>1</v>
      </c>
      <c r="O13" s="100" t="inlineStr">
        <is>
          <t>Alta</t>
        </is>
      </c>
      <c r="P13" s="100" t="inlineStr">
        <is>
          <t>Preenchido via Banco Mundial API/CSV</t>
        </is>
      </c>
      <c r="Q13" s="100" t="inlineStr">
        <is>
          <t>10/11</t>
        </is>
      </c>
      <c r="R13" s="111" t="n">
        <v>-10.018075447644</v>
      </c>
      <c r="S13" s="111" t="n">
        <v>-5.15244763778543</v>
      </c>
      <c r="T13" s="111" t="n">
        <v>-0.750047560666891</v>
      </c>
      <c r="U13" s="111" t="n">
        <v>8.269886537633869</v>
      </c>
      <c r="V13" s="111" t="n">
        <v>6.36332599336486</v>
      </c>
      <c r="W13" s="111" t="n">
        <v>1.48153175557465</v>
      </c>
      <c r="X13" s="111" t="n">
        <v>10.557440687931</v>
      </c>
      <c r="Y13" s="111" t="n">
        <v>8.96477515056049</v>
      </c>
      <c r="Z13" s="111" t="n">
        <v>3.90508703150085</v>
      </c>
      <c r="AA13" s="111" t="n">
        <v>6.24744044837087</v>
      </c>
      <c r="AB13" s="100" t="n"/>
      <c r="AC13" s="100" t="inlineStr">
        <is>
          <t>Acrescenta sustentabilidade externa, ausente do subíndice atual.</t>
        </is>
      </c>
    </row>
    <row r="14">
      <c r="A14" s="100" t="inlineStr">
        <is>
          <t>2. Estabilidade Macroeconómica</t>
        </is>
      </c>
      <c r="B14" s="100" t="inlineStr">
        <is>
          <t>2. Macroeconomia</t>
        </is>
      </c>
      <c r="C14" s="100" t="inlineStr">
        <is>
          <t>Receita fiscal (% PIB)</t>
        </is>
      </c>
      <c r="D14" s="100" t="inlineStr">
        <is>
          <t>Complementar</t>
        </is>
      </c>
      <c r="E14" s="100" t="inlineStr">
        <is>
          <t>GC.TAX.TOTL.GD.ZS</t>
        </is>
      </c>
      <c r="F14" s="100" t="inlineStr">
        <is>
          <t>Tax revenue (% of GDP)</t>
        </is>
      </c>
      <c r="G14" s="100" t="inlineStr">
        <is>
          <t>Banco Mundial/WDI</t>
        </is>
      </c>
      <c r="H14" s="109" t="inlineStr">
        <is>
          <t>https://data.worldbank.org/indicator/GC.TAX.TOTL.GD.ZS?locations=AO</t>
        </is>
      </c>
      <c r="I14" s="100" t="inlineStr">
        <is>
          <t>%</t>
        </is>
      </c>
      <c r="J14" s="100" t="inlineStr">
        <is>
          <t>+</t>
        </is>
      </c>
      <c r="K14" s="100" t="n">
        <v>0</v>
      </c>
      <c r="L14" s="100" t="n">
        <v>40</v>
      </c>
      <c r="M14" s="100" t="n">
        <v>18</v>
      </c>
      <c r="N14" s="100" t="n">
        <v>1</v>
      </c>
      <c r="O14" s="100" t="inlineStr">
        <is>
          <t>Alta</t>
        </is>
      </c>
      <c r="P14" s="100" t="inlineStr">
        <is>
          <t>Preenchido via Banco Mundial API/CSV</t>
        </is>
      </c>
      <c r="Q14" s="100" t="inlineStr">
        <is>
          <t>10/11</t>
        </is>
      </c>
      <c r="R14" s="111" t="n">
        <v>9.70951386996337</v>
      </c>
      <c r="S14" s="111" t="n">
        <v>8.57578671236085</v>
      </c>
      <c r="T14" s="111" t="n">
        <v>8.05553778621351</v>
      </c>
      <c r="U14" s="111" t="n">
        <v>9.928880234027091</v>
      </c>
      <c r="V14" s="111" t="n">
        <v>11.2888521414133</v>
      </c>
      <c r="W14" s="111" t="n">
        <v>20.5176075923938</v>
      </c>
      <c r="X14" s="111" t="n">
        <v>10.7033300728789</v>
      </c>
      <c r="Y14" s="111" t="n">
        <v>12.7318115289851</v>
      </c>
      <c r="Z14" s="111" t="n">
        <v>8.86912888123549</v>
      </c>
      <c r="AA14" s="111" t="n">
        <v>7.7443637441998</v>
      </c>
      <c r="AB14" s="100" t="n"/>
      <c r="AC14" s="100" t="inlineStr">
        <is>
          <t>Capta capacidade interna de financiamento do Estado.</t>
        </is>
      </c>
    </row>
    <row r="15">
      <c r="A15" s="100" t="inlineStr">
        <is>
          <t>2. Estabilidade Macroeconómica</t>
        </is>
      </c>
      <c r="B15" s="100" t="inlineStr">
        <is>
          <t>2. Macroeconomia</t>
        </is>
      </c>
      <c r="C15" s="100" t="inlineStr">
        <is>
          <t>IDE líquido total (% PIB)</t>
        </is>
      </c>
      <c r="D15" s="100" t="inlineStr">
        <is>
          <t>Substituto</t>
        </is>
      </c>
      <c r="E15" s="100" t="inlineStr">
        <is>
          <t>BX.KLT.DINV.WD.GD.ZS</t>
        </is>
      </c>
      <c r="F15" s="100" t="inlineStr">
        <is>
          <t>Foreign direct investment, net inflows (% of GDP)</t>
        </is>
      </c>
      <c r="G15" s="100" t="inlineStr">
        <is>
          <t>Banco Mundial/WDI</t>
        </is>
      </c>
      <c r="H15" s="109" t="inlineStr">
        <is>
          <t>https://data.worldbank.org/indicator/BX.KLT.DINV.WD.GD.ZS?locations=AO</t>
        </is>
      </c>
      <c r="I15" s="100" t="inlineStr">
        <is>
          <t>%</t>
        </is>
      </c>
      <c r="J15" s="100" t="inlineStr">
        <is>
          <t>+</t>
        </is>
      </c>
      <c r="K15" s="100" t="n">
        <v>-10</v>
      </c>
      <c r="L15" s="100" t="n">
        <v>20</v>
      </c>
      <c r="M15" s="100" t="n">
        <v>5</v>
      </c>
      <c r="N15" s="100" t="n">
        <v>1</v>
      </c>
      <c r="O15" s="100" t="inlineStr">
        <is>
          <t>Alta</t>
        </is>
      </c>
      <c r="P15" s="100" t="inlineStr">
        <is>
          <t>Preenchido via Banco Mundial API/CSV</t>
        </is>
      </c>
      <c r="Q15" s="100" t="inlineStr">
        <is>
          <t>10/11</t>
        </is>
      </c>
      <c r="R15" s="111" t="n">
        <v>9.7795154502448</v>
      </c>
      <c r="S15" s="111" t="n">
        <v>-0.299804386002375</v>
      </c>
      <c r="T15" s="111" t="n">
        <v>-8.766963802081721</v>
      </c>
      <c r="U15" s="111" t="n">
        <v>-7.21246216123288</v>
      </c>
      <c r="V15" s="111" t="n">
        <v>-5.07649440156737</v>
      </c>
      <c r="W15" s="111" t="n">
        <v>-3.17143620765821</v>
      </c>
      <c r="X15" s="111" t="n">
        <v>-5.47403409372737</v>
      </c>
      <c r="Y15" s="111" t="n">
        <v>-5.02899288556058</v>
      </c>
      <c r="Z15" s="111" t="n">
        <v>-1.97786390222726</v>
      </c>
      <c r="AA15" s="111" t="n">
        <v>-1.0986881170909</v>
      </c>
      <c r="AB15" s="100" t="n"/>
      <c r="AC15" s="100" t="inlineStr">
        <is>
          <t>Substitui provisoriamente o IDE não-petrolífero quando a série setorial estiver vazia.</t>
        </is>
      </c>
    </row>
    <row r="16">
      <c r="A16" s="100" t="inlineStr">
        <is>
          <t>2. Estabilidade Macroeconómica</t>
        </is>
      </c>
      <c r="B16" s="100" t="inlineStr">
        <is>
          <t>2. Macroeconomia</t>
        </is>
      </c>
      <c r="C16" s="100" t="inlineStr">
        <is>
          <t>Rendas petrolíferas (% PIB)</t>
        </is>
      </c>
      <c r="D16" s="100" t="inlineStr">
        <is>
          <t>Complementar</t>
        </is>
      </c>
      <c r="E16" s="100" t="inlineStr">
        <is>
          <t>NY.GDP.PETR.RT.ZS</t>
        </is>
      </c>
      <c r="F16" s="100" t="inlineStr">
        <is>
          <t>Oil rents (% of GDP)</t>
        </is>
      </c>
      <c r="G16" s="100" t="inlineStr">
        <is>
          <t>Banco Mundial/WDI</t>
        </is>
      </c>
      <c r="H16" s="109" t="inlineStr">
        <is>
          <t>https://data.worldbank.org/indicator/NY.GDP.PETR.RT.ZS?locations=AO</t>
        </is>
      </c>
      <c r="I16" s="100" t="inlineStr">
        <is>
          <t>%</t>
        </is>
      </c>
      <c r="J16" s="100" t="inlineStr">
        <is>
          <t>-</t>
        </is>
      </c>
      <c r="K16" s="100" t="n">
        <v>0</v>
      </c>
      <c r="L16" s="100" t="n">
        <v>60</v>
      </c>
      <c r="M16" s="100" t="n">
        <v>15</v>
      </c>
      <c r="N16" s="100" t="n">
        <v>1</v>
      </c>
      <c r="O16" s="100" t="inlineStr">
        <is>
          <t>Alta</t>
        </is>
      </c>
      <c r="P16" s="100" t="inlineStr">
        <is>
          <t>Preenchido via Banco Mundial API/CSV</t>
        </is>
      </c>
      <c r="Q16" s="100" t="inlineStr">
        <is>
          <t>7/11</t>
        </is>
      </c>
      <c r="R16" s="111" t="n">
        <v>12.7187303090272</v>
      </c>
      <c r="S16" s="111" t="n">
        <v>19.7483988340046</v>
      </c>
      <c r="T16" s="111" t="n">
        <v>24.7110060055382</v>
      </c>
      <c r="U16" s="111" t="n">
        <v>30.7304027285905</v>
      </c>
      <c r="V16" s="111" t="n">
        <v>27.504828641196</v>
      </c>
      <c r="W16" s="111" t="n">
        <v>18.5719595053837</v>
      </c>
      <c r="X16" s="111" t="n">
        <v>28.2744398825844</v>
      </c>
      <c r="Y16" s="100" t="n"/>
      <c r="Z16" s="100" t="n"/>
      <c r="AA16" s="100" t="n"/>
      <c r="AB16" s="100" t="n"/>
      <c r="AC16" s="100" t="inlineStr">
        <is>
          <t>Proxy de dependência petrolífera; menor dependência é melhor para diversificação.</t>
        </is>
      </c>
    </row>
    <row r="17">
      <c r="A17" s="100" t="inlineStr">
        <is>
          <t>2. Estabilidade Macroeconómica</t>
        </is>
      </c>
      <c r="B17" s="100" t="inlineStr">
        <is>
          <t>2. Macroeconomia</t>
        </is>
      </c>
      <c r="C17" s="100" t="inlineStr">
        <is>
          <t>Exportações de bens e serviços (% PIB)</t>
        </is>
      </c>
      <c r="D17" s="100" t="inlineStr">
        <is>
          <t>Complementar</t>
        </is>
      </c>
      <c r="E17" s="100" t="inlineStr">
        <is>
          <t>NE.EXP.GNFS.ZS</t>
        </is>
      </c>
      <c r="F17" s="100" t="inlineStr">
        <is>
          <t>Exports of goods and services (% of GDP)</t>
        </is>
      </c>
      <c r="G17" s="100" t="inlineStr">
        <is>
          <t>Banco Mundial/WDI</t>
        </is>
      </c>
      <c r="H17" s="109" t="inlineStr">
        <is>
          <t>https://data.worldbank.org/indicator/NE.EXP.GNFS.ZS?locations=AO</t>
        </is>
      </c>
      <c r="I17" s="100" t="inlineStr">
        <is>
          <t>%</t>
        </is>
      </c>
      <c r="J17" s="100" t="inlineStr">
        <is>
          <t>+</t>
        </is>
      </c>
      <c r="K17" s="100" t="n">
        <v>0</v>
      </c>
      <c r="L17" s="100" t="n">
        <v>100</v>
      </c>
      <c r="M17" s="100" t="n">
        <v>40</v>
      </c>
      <c r="N17" s="100" t="n">
        <v>1</v>
      </c>
      <c r="O17" s="100" t="inlineStr">
        <is>
          <t>Média</t>
        </is>
      </c>
      <c r="P17" s="100" t="inlineStr">
        <is>
          <t>Preenchido via Banco Mundial API/CSV</t>
        </is>
      </c>
      <c r="Q17" s="100" t="inlineStr">
        <is>
          <t>10/11</t>
        </is>
      </c>
      <c r="R17" s="111" t="n">
        <v>26.1489317124585</v>
      </c>
      <c r="S17" s="111" t="n">
        <v>24.6591652555406</v>
      </c>
      <c r="T17" s="111" t="n">
        <v>25.4572351848497</v>
      </c>
      <c r="U17" s="111" t="n">
        <v>36.2458951290851</v>
      </c>
      <c r="V17" s="111" t="n">
        <v>37.1603311244083</v>
      </c>
      <c r="W17" s="111" t="n">
        <v>31.5758280076577</v>
      </c>
      <c r="X17" s="111" t="n">
        <v>39.4494840713604</v>
      </c>
      <c r="Y17" s="111" t="n">
        <v>35.1960530217063</v>
      </c>
      <c r="Z17" s="111" t="n">
        <v>32.3263024339928</v>
      </c>
      <c r="AA17" s="111" t="n">
        <v>31.4835234652022</v>
      </c>
      <c r="AB17" s="100" t="n"/>
      <c r="AC17" s="100" t="inlineStr">
        <is>
          <t>Acompanha abertura e capacidade exportadora, mas deve ser lido com composição setorial.</t>
        </is>
      </c>
    </row>
    <row r="18">
      <c r="A18" s="100" t="inlineStr">
        <is>
          <t>2. Estabilidade Macroeconómica</t>
        </is>
      </c>
      <c r="B18" s="100" t="inlineStr">
        <is>
          <t>2. Macroeconomia</t>
        </is>
      </c>
      <c r="C18" s="100" t="inlineStr">
        <is>
          <t>Reservas internacionais em meses de importações</t>
        </is>
      </c>
      <c r="D18" s="100" t="inlineStr">
        <is>
          <t>Substituto</t>
        </is>
      </c>
      <c r="E18" s="100" t="inlineStr">
        <is>
          <t>FI.RES.TOTL.MO</t>
        </is>
      </c>
      <c r="F18" s="100" t="inlineStr">
        <is>
          <t>Total reserves in months of imports</t>
        </is>
      </c>
      <c r="G18" s="100" t="inlineStr">
        <is>
          <t>Banco Mundial/WDI</t>
        </is>
      </c>
      <c r="H18" s="109" t="inlineStr">
        <is>
          <t>https://data.worldbank.org/indicator/FI.RES.TOTL.MO?locations=AO</t>
        </is>
      </c>
      <c r="I18" s="100" t="inlineStr">
        <is>
          <t>Meses</t>
        </is>
      </c>
      <c r="J18" s="100" t="inlineStr">
        <is>
          <t>+</t>
        </is>
      </c>
      <c r="K18" s="100" t="n">
        <v>0</v>
      </c>
      <c r="L18" s="100" t="n">
        <v>12</v>
      </c>
      <c r="M18" s="100" t="n">
        <v>6</v>
      </c>
      <c r="N18" s="100" t="n">
        <v>1</v>
      </c>
      <c r="O18" s="100" t="inlineStr">
        <is>
          <t>Alta</t>
        </is>
      </c>
      <c r="P18" s="100" t="inlineStr">
        <is>
          <t>Preenchido via Banco Mundial API/CSV</t>
        </is>
      </c>
      <c r="Q18" s="100" t="inlineStr">
        <is>
          <t>10/11</t>
        </is>
      </c>
      <c r="R18" s="111" t="n">
        <v>6.48204569064841</v>
      </c>
      <c r="S18" s="111" t="n">
        <v>9.08387120490074</v>
      </c>
      <c r="T18" s="111" t="n">
        <v>5.81818691844858</v>
      </c>
      <c r="U18" s="111" t="n">
        <v>5.4126401540864</v>
      </c>
      <c r="V18" s="111" t="n">
        <v>6.42509428996664</v>
      </c>
      <c r="W18" s="111" t="n">
        <v>8.02614772310759</v>
      </c>
      <c r="X18" s="111" t="n">
        <v>6.94915414648974</v>
      </c>
      <c r="Y18" s="111" t="n">
        <v>4.37683286748628</v>
      </c>
      <c r="Z18" s="111" t="n">
        <v>5.08927113560432</v>
      </c>
      <c r="AA18" s="111" t="n">
        <v>5.51374910579312</v>
      </c>
      <c r="AB18" s="100" t="n"/>
      <c r="AC18" s="100" t="inlineStr">
        <is>
          <t>Pode substituir o cálculo manual atualmente colocado abaixo da tabela.</t>
        </is>
      </c>
    </row>
    <row r="19">
      <c r="A19" s="100" t="inlineStr">
        <is>
          <t>2. Estabilidade Macroeconómica</t>
        </is>
      </c>
      <c r="B19" s="100" t="inlineStr">
        <is>
          <t>2. Macroeconomia</t>
        </is>
      </c>
      <c r="C19" s="100" t="inlineStr">
        <is>
          <t>Crédito doméstico ao setor privado (% PIB)</t>
        </is>
      </c>
      <c r="D19" s="100" t="inlineStr">
        <is>
          <t>Complementar</t>
        </is>
      </c>
      <c r="E19" s="100" t="inlineStr">
        <is>
          <t>FS.AST.PRVT.GD.ZS</t>
        </is>
      </c>
      <c r="F19" s="100" t="inlineStr">
        <is>
          <t>Domestic credit to private sector (% of GDP)</t>
        </is>
      </c>
      <c r="G19" s="100" t="inlineStr">
        <is>
          <t>Banco Mundial/WDI</t>
        </is>
      </c>
      <c r="H19" s="109" t="inlineStr">
        <is>
          <t>https://data.worldbank.org/indicator/FS.AST.PRVT.GD.ZS?locations=AO</t>
        </is>
      </c>
      <c r="I19" s="100" t="inlineStr">
        <is>
          <t>%</t>
        </is>
      </c>
      <c r="J19" s="100" t="inlineStr">
        <is>
          <t>+</t>
        </is>
      </c>
      <c r="K19" s="100" t="n">
        <v>0</v>
      </c>
      <c r="L19" s="100" t="n">
        <v>100</v>
      </c>
      <c r="M19" s="100" t="n">
        <v>35</v>
      </c>
      <c r="N19" s="100" t="n">
        <v>1</v>
      </c>
      <c r="O19" s="100" t="inlineStr">
        <is>
          <t>Média</t>
        </is>
      </c>
      <c r="P19" s="100" t="inlineStr">
        <is>
          <t>Preenchido via Banco Mundial API/CSV</t>
        </is>
      </c>
      <c r="Q19" s="100" t="inlineStr">
        <is>
          <t>10/11</t>
        </is>
      </c>
      <c r="R19" s="111" t="n">
        <v>22.2749280175045</v>
      </c>
      <c r="S19" s="111" t="n">
        <v>18.5908277620868</v>
      </c>
      <c r="T19" s="111" t="n">
        <v>14.84745928119</v>
      </c>
      <c r="U19" s="111" t="n">
        <v>13.256401276638</v>
      </c>
      <c r="V19" s="111" t="n">
        <v>13.4718248959992</v>
      </c>
      <c r="W19" s="111" t="n">
        <v>11.3107531927913</v>
      </c>
      <c r="X19" s="111" t="n">
        <v>8.702496376913841</v>
      </c>
      <c r="Y19" s="111" t="n">
        <v>6.86560736253038</v>
      </c>
      <c r="Z19" s="111" t="n">
        <v>7.56544382086068</v>
      </c>
      <c r="AA19" s="111" t="n">
        <v>7.31668036665318</v>
      </c>
      <c r="AB19" s="100" t="n"/>
      <c r="AC19" s="100" t="inlineStr">
        <is>
          <t>Acrescenta profundidade financeira e apoio ao investimento privado.</t>
        </is>
      </c>
    </row>
    <row r="20">
      <c r="A20" s="100" t="inlineStr">
        <is>
          <t>2. Estabilidade Macroeconómica</t>
        </is>
      </c>
      <c r="B20" s="100" t="inlineStr">
        <is>
          <t>2. Macroeconomia</t>
        </is>
      </c>
      <c r="C20" s="100" t="inlineStr">
        <is>
          <t>Crescimento do PIB não petrolífero</t>
        </is>
      </c>
      <c r="D20" s="100" t="inlineStr">
        <is>
          <t>Complementar</t>
        </is>
      </c>
      <c r="E20" s="100" t="inlineStr"/>
      <c r="F20" s="100" t="inlineStr"/>
      <c r="G20" s="100" t="inlineStr">
        <is>
          <t>INE/MEP/BNA</t>
        </is>
      </c>
      <c r="H20" s="109" t="inlineStr">
        <is>
          <t>https://www.ine.gov.ao/</t>
        </is>
      </c>
      <c r="I20" s="100" t="inlineStr">
        <is>
          <t>%</t>
        </is>
      </c>
      <c r="J20" s="100" t="inlineStr">
        <is>
          <t>+</t>
        </is>
      </c>
      <c r="K20" s="100" t="n">
        <v>-10</v>
      </c>
      <c r="L20" s="100" t="n">
        <v>15</v>
      </c>
      <c r="M20" s="100" t="n">
        <v>5</v>
      </c>
      <c r="N20" s="100" t="n">
        <v>1</v>
      </c>
      <c r="O20" s="100" t="inlineStr">
        <is>
          <t>Alta</t>
        </is>
      </c>
      <c r="P20" s="113" t="inlineStr">
        <is>
          <t>Sem código/API; recolha manual</t>
        </is>
      </c>
      <c r="Q20" s="100" t="inlineStr">
        <is>
          <t>0/11</t>
        </is>
      </c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  <c r="AA20" s="100" t="n"/>
      <c r="AB20" s="100" t="n"/>
      <c r="AC20" s="100" t="inlineStr">
        <is>
          <t>Mais alinhado com a diversificação económica do que o PIB total.</t>
        </is>
      </c>
    </row>
    <row r="21">
      <c r="A21" s="100" t="inlineStr">
        <is>
          <t>2. Estabilidade Macroeconómica</t>
        </is>
      </c>
      <c r="B21" s="100" t="inlineStr">
        <is>
          <t>2. Macroeconomia</t>
        </is>
      </c>
      <c r="C21" s="100" t="inlineStr">
        <is>
          <t>Volatilidade da taxa de câmbio nominal</t>
        </is>
      </c>
      <c r="D21" s="100" t="inlineStr">
        <is>
          <t>Complementar</t>
        </is>
      </c>
      <c r="E21" s="100" t="inlineStr">
        <is>
          <t>PA.NUS.FCRF</t>
        </is>
      </c>
      <c r="F21" s="100" t="inlineStr">
        <is>
          <t>Official exchange rate, annual absolute variation calculated from PA.NUS.FCRF</t>
        </is>
      </c>
      <c r="G21" s="100" t="inlineStr">
        <is>
          <t>Banco Mundial/WDI ou BNA</t>
        </is>
      </c>
      <c r="H21" s="109" t="inlineStr">
        <is>
          <t>https://data.worldbank.org/indicator/PA.NUS.FCRF?locations=AO</t>
        </is>
      </c>
      <c r="I21" s="100" t="inlineStr">
        <is>
          <t>% variação anual</t>
        </is>
      </c>
      <c r="J21" s="100" t="inlineStr">
        <is>
          <t>-</t>
        </is>
      </c>
      <c r="K21" s="100" t="n">
        <v>0</v>
      </c>
      <c r="L21" s="100" t="n">
        <v>80</v>
      </c>
      <c r="M21" s="100" t="n">
        <v>10</v>
      </c>
      <c r="N21" s="100" t="n">
        <v>1</v>
      </c>
      <c r="O21" s="100" t="inlineStr">
        <is>
          <t>Média</t>
        </is>
      </c>
      <c r="P21" s="100" t="inlineStr">
        <is>
          <t>Calculado: variação absoluta anual de PA.NUS.FCRF</t>
        </is>
      </c>
      <c r="Q21" s="100" t="inlineStr">
        <is>
          <t>10/11</t>
        </is>
      </c>
      <c r="R21" s="111" t="n">
        <v>22.13402834371674</v>
      </c>
      <c r="S21" s="111" t="n">
        <v>36.31140901807876</v>
      </c>
      <c r="T21" s="111" t="n">
        <v>1.38064634434687</v>
      </c>
      <c r="U21" s="111" t="n">
        <v>52.39990288905694</v>
      </c>
      <c r="V21" s="111" t="n">
        <v>44.2821878696531</v>
      </c>
      <c r="W21" s="111" t="n">
        <v>58.50270797330421</v>
      </c>
      <c r="X21" s="111" t="n">
        <v>9.197123682385744</v>
      </c>
      <c r="Y21" s="111" t="n">
        <v>27.06098991128023</v>
      </c>
      <c r="Z21" s="111" t="n">
        <v>48.73394680725778</v>
      </c>
      <c r="AA21" s="111" t="n">
        <v>26.98109364367758</v>
      </c>
      <c r="AB21" s="100" t="n"/>
      <c r="AC21" s="100" t="inlineStr">
        <is>
          <t>Capta instabilidade cambial que afeta preços, dívida e importações.</t>
        </is>
      </c>
    </row>
    <row r="22">
      <c r="A22" s="100" t="inlineStr">
        <is>
          <t>3. Capital Humano</t>
        </is>
      </c>
      <c r="B22" s="100" t="inlineStr">
        <is>
          <t>3. Capital Humano</t>
        </is>
      </c>
      <c r="C22" s="100" t="inlineStr">
        <is>
          <t>Taxa de alfabetização adulta</t>
        </is>
      </c>
      <c r="D22" s="100" t="inlineStr">
        <is>
          <t>Substituto</t>
        </is>
      </c>
      <c r="E22" s="100" t="inlineStr">
        <is>
          <t>SE.ADT.LITR.ZS</t>
        </is>
      </c>
      <c r="F22" s="100" t="inlineStr">
        <is>
          <t>Literacy rate, adult total (% of people ages 15 and above)</t>
        </is>
      </c>
      <c r="G22" s="100" t="inlineStr">
        <is>
          <t>Banco Mundial/UNESCO</t>
        </is>
      </c>
      <c r="H22" s="109" t="inlineStr">
        <is>
          <t>https://data.worldbank.org/indicator/SE.ADT.LITR.ZS?locations=AO</t>
        </is>
      </c>
      <c r="I22" s="100" t="inlineStr">
        <is>
          <t>%</t>
        </is>
      </c>
      <c r="J22" s="100" t="inlineStr">
        <is>
          <t>+</t>
        </is>
      </c>
      <c r="K22" s="100" t="n">
        <v>0</v>
      </c>
      <c r="L22" s="100" t="n">
        <v>100</v>
      </c>
      <c r="M22" s="100" t="n">
        <v>75</v>
      </c>
      <c r="N22" s="100" t="n">
        <v>1</v>
      </c>
      <c r="O22" s="100" t="inlineStr">
        <is>
          <t>Alta</t>
        </is>
      </c>
      <c r="P22" s="100" t="inlineStr">
        <is>
          <t>Preenchido via Banco Mundial API/CSV</t>
        </is>
      </c>
      <c r="Q22" s="100" t="inlineStr">
        <is>
          <t>2/11</t>
        </is>
      </c>
      <c r="R22" s="111" t="n">
        <v>66.2399978637695</v>
      </c>
      <c r="S22" s="100" t="n"/>
      <c r="T22" s="100" t="n"/>
      <c r="U22" s="100" t="n"/>
      <c r="V22" s="100" t="n"/>
      <c r="W22" s="100" t="n"/>
      <c r="X22" s="100" t="n"/>
      <c r="Y22" s="100" t="n"/>
      <c r="Z22" s="111" t="n">
        <v>68.1800003051758</v>
      </c>
      <c r="AA22" s="100" t="n"/>
      <c r="AB22" s="100" t="n"/>
      <c r="AC22" s="100" t="inlineStr">
        <is>
          <t>Preenche a linha existente com fonte internacional comparável.</t>
        </is>
      </c>
    </row>
    <row r="23">
      <c r="A23" s="100" t="inlineStr">
        <is>
          <t>3. Capital Humano</t>
        </is>
      </c>
      <c r="B23" s="100" t="inlineStr">
        <is>
          <t>3. Capital Humano</t>
        </is>
      </c>
      <c r="C23" s="100" t="inlineStr">
        <is>
          <t>Taxa de conclusão do ensino primário</t>
        </is>
      </c>
      <c r="D23" s="100" t="inlineStr">
        <is>
          <t>Complementar</t>
        </is>
      </c>
      <c r="E23" s="100" t="inlineStr">
        <is>
          <t>SE.PRM.CMPT.ZS</t>
        </is>
      </c>
      <c r="F23" s="100" t="inlineStr">
        <is>
          <t>Primary completion rate, total (% of relevant age group)</t>
        </is>
      </c>
      <c r="G23" s="100" t="inlineStr">
        <is>
          <t>Banco Mundial/UNESCO</t>
        </is>
      </c>
      <c r="H23" s="109" t="inlineStr">
        <is>
          <t>https://data.worldbank.org/indicator/SE.PRM.CMPT.ZS?locations=AO</t>
        </is>
      </c>
      <c r="I23" s="100" t="inlineStr">
        <is>
          <t>%</t>
        </is>
      </c>
      <c r="J23" s="100" t="inlineStr">
        <is>
          <t>+</t>
        </is>
      </c>
      <c r="K23" s="100" t="n">
        <v>0</v>
      </c>
      <c r="L23" s="100" t="n">
        <v>100</v>
      </c>
      <c r="M23" s="100" t="n">
        <v>90</v>
      </c>
      <c r="N23" s="100" t="n">
        <v>1</v>
      </c>
      <c r="O23" s="100" t="inlineStr">
        <is>
          <t>Alta</t>
        </is>
      </c>
      <c r="P23" s="100" t="inlineStr">
        <is>
          <t>Preenchido via Banco Mundial API/CSV</t>
        </is>
      </c>
      <c r="Q23" s="100" t="inlineStr">
        <is>
          <t>2/11</t>
        </is>
      </c>
      <c r="R23" s="100" t="n"/>
      <c r="S23" s="100" t="n"/>
      <c r="T23" s="100" t="n"/>
      <c r="U23" s="100" t="n"/>
      <c r="V23" s="100" t="n"/>
      <c r="W23" s="100" t="n"/>
      <c r="X23" s="111" t="n">
        <v>60.0259394365677</v>
      </c>
      <c r="Y23" s="100" t="n"/>
      <c r="Z23" s="111" t="n">
        <v>47.8556786596463</v>
      </c>
      <c r="AA23" s="100" t="n"/>
      <c r="AB23" s="100" t="n"/>
      <c r="AC23" s="100" t="inlineStr">
        <is>
          <t>Mais robusta que matrícula para medir progressão efetiva.</t>
        </is>
      </c>
    </row>
    <row r="24">
      <c r="A24" s="100" t="inlineStr">
        <is>
          <t>3. Capital Humano</t>
        </is>
      </c>
      <c r="B24" s="100" t="inlineStr">
        <is>
          <t>3. Capital Humano</t>
        </is>
      </c>
      <c r="C24" s="100" t="inlineStr">
        <is>
          <t>Matrícula no ensino secundário, bruta</t>
        </is>
      </c>
      <c r="D24" s="100" t="inlineStr">
        <is>
          <t>Complementar</t>
        </is>
      </c>
      <c r="E24" s="100" t="inlineStr">
        <is>
          <t>SE.SEC.ENRR</t>
        </is>
      </c>
      <c r="F24" s="100" t="inlineStr">
        <is>
          <t>School enrollment, secondary (% gross)</t>
        </is>
      </c>
      <c r="G24" s="100" t="inlineStr">
        <is>
          <t>Banco Mundial/UNESCO</t>
        </is>
      </c>
      <c r="H24" s="109" t="inlineStr">
        <is>
          <t>https://data.worldbank.org/indicator/SE.SEC.ENRR?locations=AO</t>
        </is>
      </c>
      <c r="I24" s="100" t="inlineStr">
        <is>
          <t>%</t>
        </is>
      </c>
      <c r="J24" s="100" t="inlineStr">
        <is>
          <t>+</t>
        </is>
      </c>
      <c r="K24" s="100" t="n">
        <v>0</v>
      </c>
      <c r="L24" s="100" t="n">
        <v>150</v>
      </c>
      <c r="M24" s="100" t="n">
        <v>80</v>
      </c>
      <c r="N24" s="100" t="n">
        <v>1</v>
      </c>
      <c r="O24" s="100" t="inlineStr">
        <is>
          <t>Alta</t>
        </is>
      </c>
      <c r="P24" s="100" t="inlineStr">
        <is>
          <t>Preenchido via Banco Mundial API/CSV</t>
        </is>
      </c>
      <c r="Q24" s="100" t="inlineStr">
        <is>
          <t>3/11</t>
        </is>
      </c>
      <c r="R24" s="100" t="n"/>
      <c r="S24" s="111" t="n">
        <v>54.4167987304753</v>
      </c>
      <c r="T24" s="100" t="n"/>
      <c r="U24" s="100" t="n"/>
      <c r="V24" s="100" t="n"/>
      <c r="W24" s="100" t="n"/>
      <c r="X24" s="111" t="n">
        <v>53.1351542727131</v>
      </c>
      <c r="Y24" s="100" t="n"/>
      <c r="Z24" s="111" t="n">
        <v>51.4839046246776</v>
      </c>
      <c r="AA24" s="100" t="n"/>
      <c r="AB24" s="100" t="n"/>
      <c r="AC24" s="100" t="inlineStr">
        <is>
          <t>Captura continuidade pós-primária.</t>
        </is>
      </c>
    </row>
    <row r="25">
      <c r="A25" s="100" t="inlineStr">
        <is>
          <t>3. Capital Humano</t>
        </is>
      </c>
      <c r="B25" s="100" t="inlineStr">
        <is>
          <t>3. Capital Humano</t>
        </is>
      </c>
      <c r="C25" s="100" t="inlineStr">
        <is>
          <t>Matrícula no ensino terciário, bruta</t>
        </is>
      </c>
      <c r="D25" s="100" t="inlineStr">
        <is>
          <t>Complementar</t>
        </is>
      </c>
      <c r="E25" s="100" t="inlineStr">
        <is>
          <t>SE.TER.ENRR</t>
        </is>
      </c>
      <c r="F25" s="100" t="inlineStr">
        <is>
          <t>School enrollment, tertiary (% gross)</t>
        </is>
      </c>
      <c r="G25" s="100" t="inlineStr">
        <is>
          <t>Banco Mundial/UNESCO</t>
        </is>
      </c>
      <c r="H25" s="109" t="inlineStr">
        <is>
          <t>https://data.worldbank.org/indicator/SE.TER.ENRR?locations=AO</t>
        </is>
      </c>
      <c r="I25" s="100" t="inlineStr">
        <is>
          <t>%</t>
        </is>
      </c>
      <c r="J25" s="100" t="inlineStr">
        <is>
          <t>+</t>
        </is>
      </c>
      <c r="K25" s="100" t="n">
        <v>0</v>
      </c>
      <c r="L25" s="100" t="n">
        <v>100</v>
      </c>
      <c r="M25" s="100" t="n">
        <v>20</v>
      </c>
      <c r="N25" s="100" t="n">
        <v>1</v>
      </c>
      <c r="O25" s="100" t="inlineStr">
        <is>
          <t>Média</t>
        </is>
      </c>
      <c r="P25" s="100" t="inlineStr">
        <is>
          <t>Preenchido via Banco Mundial API/CSV</t>
        </is>
      </c>
      <c r="Q25" s="100" t="inlineStr">
        <is>
          <t>4/11</t>
        </is>
      </c>
      <c r="R25" s="111" t="n">
        <v>8.78320868033121</v>
      </c>
      <c r="S25" s="111" t="n">
        <v>9.782876962324529</v>
      </c>
      <c r="T25" s="100" t="n"/>
      <c r="U25" s="100" t="n"/>
      <c r="V25" s="100" t="n"/>
      <c r="W25" s="100" t="n"/>
      <c r="X25" s="100" t="n"/>
      <c r="Y25" s="100" t="n"/>
      <c r="Z25" s="111" t="n">
        <v>10.04935810264</v>
      </c>
      <c r="AA25" s="111" t="n">
        <v>9.9549065722902</v>
      </c>
      <c r="AB25" s="100" t="n"/>
      <c r="AC25" s="100" t="inlineStr">
        <is>
          <t>Ajuda a medir formação avançada e capacidade técnica.</t>
        </is>
      </c>
    </row>
    <row r="26">
      <c r="A26" s="100" t="inlineStr">
        <is>
          <t>3. Capital Humano</t>
        </is>
      </c>
      <c r="B26" s="100" t="inlineStr">
        <is>
          <t>3. Capital Humano</t>
        </is>
      </c>
      <c r="C26" s="100" t="inlineStr">
        <is>
          <t>Despesa pública em educação (% PIB)</t>
        </is>
      </c>
      <c r="D26" s="100" t="inlineStr">
        <is>
          <t>Complementar</t>
        </is>
      </c>
      <c r="E26" s="100" t="inlineStr">
        <is>
          <t>SE.XPD.TOTL.GD.ZS</t>
        </is>
      </c>
      <c r="F26" s="100" t="inlineStr">
        <is>
          <t>Government expenditure on education, total (% of GDP)</t>
        </is>
      </c>
      <c r="G26" s="100" t="inlineStr">
        <is>
          <t>Banco Mundial/UNESCO</t>
        </is>
      </c>
      <c r="H26" s="109" t="inlineStr">
        <is>
          <t>https://data.worldbank.org/indicator/SE.XPD.TOTL.GD.ZS?locations=AO</t>
        </is>
      </c>
      <c r="I26" s="100" t="inlineStr">
        <is>
          <t>%</t>
        </is>
      </c>
      <c r="J26" s="100" t="inlineStr">
        <is>
          <t>+</t>
        </is>
      </c>
      <c r="K26" s="100" t="n">
        <v>0</v>
      </c>
      <c r="L26" s="100" t="n">
        <v>10</v>
      </c>
      <c r="M26" s="100" t="n">
        <v>5</v>
      </c>
      <c r="N26" s="100" t="n">
        <v>1</v>
      </c>
      <c r="O26" s="100" t="inlineStr">
        <is>
          <t>Média</t>
        </is>
      </c>
      <c r="P26" s="100" t="inlineStr">
        <is>
          <t>Preenchido via Banco Mundial API/CSV</t>
        </is>
      </c>
      <c r="Q26" s="100" t="inlineStr">
        <is>
          <t>9/11</t>
        </is>
      </c>
      <c r="R26" s="111" t="n">
        <v>3.48689580393413</v>
      </c>
      <c r="S26" s="111" t="n">
        <v>2.75493664582725</v>
      </c>
      <c r="T26" s="111" t="n">
        <v>2.46687881104886</v>
      </c>
      <c r="U26" s="111" t="n">
        <v>2.18351298946275</v>
      </c>
      <c r="V26" s="111" t="n">
        <v>2.07306438181603</v>
      </c>
      <c r="W26" s="111" t="n">
        <v>2.66744733689285</v>
      </c>
      <c r="X26" s="111" t="n">
        <v>2.29719689513241</v>
      </c>
      <c r="Y26" s="111" t="n">
        <v>2.38535898416633</v>
      </c>
      <c r="Z26" s="111" t="n">
        <v>2.51273663315785</v>
      </c>
      <c r="AA26" s="100" t="n"/>
      <c r="AB26" s="100" t="n"/>
      <c r="AC26" s="100" t="inlineStr">
        <is>
          <t>Input de política pública; deve ser combinado com resultados de aprendizagem.</t>
        </is>
      </c>
    </row>
    <row r="27">
      <c r="A27" s="100" t="inlineStr">
        <is>
          <t>3. Capital Humano</t>
        </is>
      </c>
      <c r="B27" s="100" t="inlineStr">
        <is>
          <t>3. Capital Humano</t>
        </is>
      </c>
      <c r="C27" s="100" t="inlineStr">
        <is>
          <t>Learning poverty - crianças sem proficiência mínima de leitura</t>
        </is>
      </c>
      <c r="D27" s="100" t="inlineStr">
        <is>
          <t>Complementar</t>
        </is>
      </c>
      <c r="E27" s="100" t="inlineStr">
        <is>
          <t>SE.LPV.PRIM</t>
        </is>
      </c>
      <c r="F27" s="100" t="inlineStr">
        <is>
          <t>Learning poverty: Share of Children at the End-of-Primary age below minimum reading proficiency adjusted by Out-of-School Children (%)</t>
        </is>
      </c>
      <c r="G27" s="100" t="inlineStr">
        <is>
          <t>Banco Mundial/UNESCO</t>
        </is>
      </c>
      <c r="H27" s="109" t="inlineStr">
        <is>
          <t>https://data.worldbank.org/indicator/SE.LPV.PRIM?locations=AO</t>
        </is>
      </c>
      <c r="I27" s="100" t="inlineStr">
        <is>
          <t>%</t>
        </is>
      </c>
      <c r="J27" s="100" t="inlineStr">
        <is>
          <t>-</t>
        </is>
      </c>
      <c r="K27" s="100" t="n">
        <v>0</v>
      </c>
      <c r="L27" s="100" t="n">
        <v>100</v>
      </c>
      <c r="M27" s="100" t="n">
        <v>50</v>
      </c>
      <c r="N27" s="100" t="n">
        <v>1</v>
      </c>
      <c r="O27" s="100" t="inlineStr">
        <is>
          <t>Baixa</t>
        </is>
      </c>
      <c r="P27" s="113" t="inlineStr">
        <is>
          <t>Sem valores para Angola em 2014-2025</t>
        </is>
      </c>
      <c r="Q27" s="100" t="inlineStr">
        <is>
          <t>0/11</t>
        </is>
      </c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  <c r="AA27" s="100" t="n"/>
      <c r="AB27" s="100" t="n"/>
      <c r="AC27" s="100" t="inlineStr">
        <is>
          <t>Mede aprendizagem, não apenas acesso à escola. Usar como benchmark de qualidade; a cobertura anual para Angola é limitada.</t>
        </is>
      </c>
    </row>
    <row r="28">
      <c r="A28" s="100" t="inlineStr">
        <is>
          <t>3. Capital Humano</t>
        </is>
      </c>
      <c r="B28" s="100" t="inlineStr">
        <is>
          <t>3. Capital Humano</t>
        </is>
      </c>
      <c r="C28" s="100" t="inlineStr">
        <is>
          <t>Rácio alunos/professor no primário</t>
        </is>
      </c>
      <c r="D28" s="100" t="inlineStr">
        <is>
          <t>Complementar</t>
        </is>
      </c>
      <c r="E28" s="100" t="inlineStr">
        <is>
          <t>SE.PRM.ENRL.TC.ZS</t>
        </is>
      </c>
      <c r="F28" s="100" t="inlineStr">
        <is>
          <t>Pupil-teacher ratio, primary</t>
        </is>
      </c>
      <c r="G28" s="100" t="inlineStr">
        <is>
          <t>Banco Mundial/UNESCO</t>
        </is>
      </c>
      <c r="H28" s="109" t="inlineStr">
        <is>
          <t>https://data.worldbank.org/indicator/SE.PRM.ENRL.TC.ZS?locations=AO</t>
        </is>
      </c>
      <c r="I28" s="100" t="inlineStr">
        <is>
          <t>Alunos por professor</t>
        </is>
      </c>
      <c r="J28" s="100" t="inlineStr">
        <is>
          <t>-</t>
        </is>
      </c>
      <c r="K28" s="100" t="n">
        <v>10</v>
      </c>
      <c r="L28" s="100" t="n">
        <v>80</v>
      </c>
      <c r="M28" s="100" t="n">
        <v>35</v>
      </c>
      <c r="N28" s="100" t="n">
        <v>1</v>
      </c>
      <c r="O28" s="100" t="inlineStr">
        <is>
          <t>Média</t>
        </is>
      </c>
      <c r="P28" s="100" t="inlineStr">
        <is>
          <t>Preenchido via Banco Mundial API/CSV</t>
        </is>
      </c>
      <c r="Q28" s="100" t="inlineStr">
        <is>
          <t>1/11</t>
        </is>
      </c>
      <c r="R28" s="111" t="n">
        <v>50.02951</v>
      </c>
      <c r="S28" s="100" t="n"/>
      <c r="T28" s="100" t="n"/>
      <c r="U28" s="100" t="n"/>
      <c r="V28" s="100" t="n"/>
      <c r="W28" s="100" t="n"/>
      <c r="X28" s="100" t="n"/>
      <c r="Y28" s="100" t="n"/>
      <c r="Z28" s="100" t="n"/>
      <c r="AA28" s="100" t="n"/>
      <c r="AB28" s="100" t="n"/>
      <c r="AC28" s="100" t="inlineStr">
        <is>
          <t>Proxy simples de pressão sobre qualidade de ensino.</t>
        </is>
      </c>
    </row>
    <row r="29">
      <c r="A29" s="100" t="inlineStr">
        <is>
          <t>3. Capital Humano</t>
        </is>
      </c>
      <c r="B29" s="100" t="inlineStr">
        <is>
          <t>3. Capital Humano</t>
        </is>
      </c>
      <c r="C29" s="100" t="inlineStr">
        <is>
          <t>Índice de Capital Humano</t>
        </is>
      </c>
      <c r="D29" s="100" t="inlineStr">
        <is>
          <t>Complementar</t>
        </is>
      </c>
      <c r="E29" s="100" t="inlineStr">
        <is>
          <t>HD.HCI.OVRL</t>
        </is>
      </c>
      <c r="F29" s="100" t="inlineStr">
        <is>
          <t>Human Capital Index (HCI) (scale 0-1)</t>
        </is>
      </c>
      <c r="G29" s="100" t="inlineStr">
        <is>
          <t>Banco Mundial</t>
        </is>
      </c>
      <c r="H29" s="109" t="inlineStr">
        <is>
          <t>https://data.worldbank.org/indicator/HD.HCI.OVRL?locations=AO</t>
        </is>
      </c>
      <c r="I29" s="100" t="inlineStr">
        <is>
          <t>0-1</t>
        </is>
      </c>
      <c r="J29" s="100" t="inlineStr">
        <is>
          <t>+</t>
        </is>
      </c>
      <c r="K29" s="100" t="n">
        <v>0</v>
      </c>
      <c r="L29" s="100" t="n">
        <v>1</v>
      </c>
      <c r="M29" s="100" t="n">
        <v>0.5</v>
      </c>
      <c r="N29" s="100" t="n">
        <v>1</v>
      </c>
      <c r="O29" s="100" t="inlineStr">
        <is>
          <t>Baixa</t>
        </is>
      </c>
      <c r="P29" s="100" t="inlineStr">
        <is>
          <t>Preenchido via Banco Mundial API/CSV</t>
        </is>
      </c>
      <c r="Q29" s="100" t="inlineStr">
        <is>
          <t>3/11</t>
        </is>
      </c>
      <c r="R29" s="100" t="n"/>
      <c r="S29" s="100" t="n"/>
      <c r="T29" s="111" t="n">
        <v>0.361</v>
      </c>
      <c r="U29" s="111" t="n">
        <v>0.360190957784653</v>
      </c>
      <c r="V29" s="100" t="n"/>
      <c r="W29" s="111" t="n">
        <v>0.362405389547348</v>
      </c>
      <c r="X29" s="100" t="n"/>
      <c r="Y29" s="100" t="n"/>
      <c r="Z29" s="100" t="n"/>
      <c r="AA29" s="100" t="n"/>
      <c r="AB29" s="100" t="n"/>
      <c r="AC29" s="100" t="inlineStr">
        <is>
          <t>Útil como benchmark, mas menos anual do que os restantes indicadores.</t>
        </is>
      </c>
    </row>
    <row r="30">
      <c r="A30" s="100" t="inlineStr">
        <is>
          <t>3. Capital Humano</t>
        </is>
      </c>
      <c r="B30" s="100" t="inlineStr">
        <is>
          <t>3. Capital Humano</t>
        </is>
      </c>
      <c r="C30" s="100" t="inlineStr">
        <is>
          <t>Anos esperados de escolaridade</t>
        </is>
      </c>
      <c r="D30" s="100" t="inlineStr">
        <is>
          <t>Substituto</t>
        </is>
      </c>
      <c r="E30" s="100" t="inlineStr"/>
      <c r="F30" s="100" t="inlineStr"/>
      <c r="G30" s="100" t="inlineStr">
        <is>
          <t>PNUD/HDR</t>
        </is>
      </c>
      <c r="H30" s="109" t="inlineStr">
        <is>
          <t>https://hdr.undp.org/data-center</t>
        </is>
      </c>
      <c r="I30" s="100" t="inlineStr">
        <is>
          <t>Anos</t>
        </is>
      </c>
      <c r="J30" s="100" t="inlineStr">
        <is>
          <t>+</t>
        </is>
      </c>
      <c r="K30" s="100" t="n">
        <v>0</v>
      </c>
      <c r="L30" s="100" t="n">
        <v>18</v>
      </c>
      <c r="M30" s="100" t="n">
        <v>12</v>
      </c>
      <c r="N30" s="100" t="n">
        <v>1</v>
      </c>
      <c r="O30" s="100" t="inlineStr">
        <is>
          <t>Alta</t>
        </is>
      </c>
      <c r="P30" s="113" t="inlineStr">
        <is>
          <t>Sem código/API; recolha manual</t>
        </is>
      </c>
      <c r="Q30" s="100" t="inlineStr">
        <is>
          <t>0/11</t>
        </is>
      </c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  <c r="AA30" s="100" t="n"/>
      <c r="AB30" s="100" t="n"/>
      <c r="AC30" s="100" t="inlineStr">
        <is>
          <t>Substitui ou complementa anos médios de escolaridade quando a série nacional estiver vazia.</t>
        </is>
      </c>
    </row>
    <row r="31">
      <c r="A31" s="100" t="inlineStr">
        <is>
          <t>4. Inclusão Social e Protecção</t>
        </is>
      </c>
      <c r="B31" s="100" t="inlineStr">
        <is>
          <t>4. Inclusão Social</t>
        </is>
      </c>
      <c r="C31" s="100" t="inlineStr">
        <is>
          <t>Pobreza pela linha nacional</t>
        </is>
      </c>
      <c r="D31" s="100" t="inlineStr">
        <is>
          <t>Substituto</t>
        </is>
      </c>
      <c r="E31" s="100" t="inlineStr">
        <is>
          <t>SI.POV.NAHC</t>
        </is>
      </c>
      <c r="F31" s="100" t="inlineStr">
        <is>
          <t>Poverty headcount ratio at national poverty lines (% of population)</t>
        </is>
      </c>
      <c r="G31" s="100" t="inlineStr">
        <is>
          <t>Banco Mundial/PIP</t>
        </is>
      </c>
      <c r="H31" s="109" t="inlineStr">
        <is>
          <t>https://data.worldbank.org/indicator/SI.POV.NAHC?locations=AO</t>
        </is>
      </c>
      <c r="I31" s="100" t="inlineStr">
        <is>
          <t>%</t>
        </is>
      </c>
      <c r="J31" s="100" t="inlineStr">
        <is>
          <t>-</t>
        </is>
      </c>
      <c r="K31" s="100" t="n">
        <v>0</v>
      </c>
      <c r="L31" s="100" t="n">
        <v>80</v>
      </c>
      <c r="M31" s="100" t="n">
        <v>30</v>
      </c>
      <c r="N31" s="100" t="n">
        <v>1</v>
      </c>
      <c r="O31" s="100" t="inlineStr">
        <is>
          <t>Alta</t>
        </is>
      </c>
      <c r="P31" s="100" t="inlineStr">
        <is>
          <t>Preenchido via Banco Mundial API/CSV</t>
        </is>
      </c>
      <c r="Q31" s="100" t="inlineStr">
        <is>
          <t>1/11</t>
        </is>
      </c>
      <c r="R31" s="100" t="n"/>
      <c r="S31" s="100" t="n"/>
      <c r="T31" s="100" t="n"/>
      <c r="U31" s="111" t="n">
        <v>32.3</v>
      </c>
      <c r="V31" s="100" t="n"/>
      <c r="W31" s="100" t="n"/>
      <c r="X31" s="100" t="n"/>
      <c r="Y31" s="100" t="n"/>
      <c r="Z31" s="100" t="n"/>
      <c r="AA31" s="100" t="n"/>
      <c r="AB31" s="100" t="n"/>
      <c r="AC31" s="100" t="inlineStr">
        <is>
          <t>Mais diretamente ligada à linha oficial de pobreza do país.</t>
        </is>
      </c>
    </row>
    <row r="32">
      <c r="A32" s="100" t="inlineStr">
        <is>
          <t>4. Inclusão Social e Protecção</t>
        </is>
      </c>
      <c r="B32" s="100" t="inlineStr">
        <is>
          <t>4. Inclusão Social</t>
        </is>
      </c>
      <c r="C32" s="100" t="inlineStr">
        <is>
          <t>Pobreza internacional a 3,00 USD/dia, PPP 2021</t>
        </is>
      </c>
      <c r="D32" s="100" t="inlineStr">
        <is>
          <t>Substituto</t>
        </is>
      </c>
      <c r="E32" s="100" t="inlineStr">
        <is>
          <t>SI.POV.DDAY</t>
        </is>
      </c>
      <c r="F32" s="100" t="inlineStr">
        <is>
          <t>Poverty headcount ratio at $3.00 a day (2021 PPP) (% of population)</t>
        </is>
      </c>
      <c r="G32" s="100" t="inlineStr">
        <is>
          <t>Banco Mundial/PIP</t>
        </is>
      </c>
      <c r="H32" s="109" t="inlineStr">
        <is>
          <t>https://data.worldbank.org/indicator/SI.POV.DDAY?locations=AO</t>
        </is>
      </c>
      <c r="I32" s="100" t="inlineStr">
        <is>
          <t>%</t>
        </is>
      </c>
      <c r="J32" s="100" t="inlineStr">
        <is>
          <t>-</t>
        </is>
      </c>
      <c r="K32" s="100" t="n">
        <v>0</v>
      </c>
      <c r="L32" s="100" t="n">
        <v>90</v>
      </c>
      <c r="M32" s="100" t="n">
        <v>40</v>
      </c>
      <c r="N32" s="100" t="n">
        <v>1</v>
      </c>
      <c r="O32" s="100" t="inlineStr">
        <is>
          <t>Alta</t>
        </is>
      </c>
      <c r="P32" s="100" t="inlineStr">
        <is>
          <t>Preenchido via Banco Mundial API/CSV</t>
        </is>
      </c>
      <c r="Q32" s="100" t="inlineStr">
        <is>
          <t>1/11</t>
        </is>
      </c>
      <c r="R32" s="100" t="n"/>
      <c r="S32" s="100" t="n"/>
      <c r="T32" s="100" t="n"/>
      <c r="U32" s="111" t="n">
        <v>39.3</v>
      </c>
      <c r="V32" s="100" t="n"/>
      <c r="W32" s="100" t="n"/>
      <c r="X32" s="100" t="n"/>
      <c r="Y32" s="100" t="n"/>
      <c r="Z32" s="100" t="n"/>
      <c r="AA32" s="100" t="n"/>
      <c r="AB32" s="100" t="n"/>
      <c r="AC32" s="100" t="inlineStr">
        <is>
          <t>Atualiza a referência internacional que substituiu linhas PPP antigas.</t>
        </is>
      </c>
    </row>
    <row r="33">
      <c r="A33" s="100" t="inlineStr">
        <is>
          <t>4. Inclusão Social e Protecção</t>
        </is>
      </c>
      <c r="B33" s="100" t="inlineStr">
        <is>
          <t>4. Inclusão Social</t>
        </is>
      </c>
      <c r="C33" s="100" t="inlineStr">
        <is>
          <t>Índice de Gini</t>
        </is>
      </c>
      <c r="D33" s="100" t="inlineStr">
        <is>
          <t>Substituto</t>
        </is>
      </c>
      <c r="E33" s="100" t="inlineStr">
        <is>
          <t>SI.POV.GINI</t>
        </is>
      </c>
      <c r="F33" s="100" t="inlineStr">
        <is>
          <t>Gini index</t>
        </is>
      </c>
      <c r="G33" s="100" t="inlineStr">
        <is>
          <t>Banco Mundial/PIP</t>
        </is>
      </c>
      <c r="H33" s="109" t="inlineStr">
        <is>
          <t>https://data.worldbank.org/indicator/SI.POV.GINI?locations=AO</t>
        </is>
      </c>
      <c r="I33" s="100" t="inlineStr">
        <is>
          <t>0-100</t>
        </is>
      </c>
      <c r="J33" s="100" t="inlineStr">
        <is>
          <t>-</t>
        </is>
      </c>
      <c r="K33" s="100" t="n">
        <v>0</v>
      </c>
      <c r="L33" s="100" t="n">
        <v>70</v>
      </c>
      <c r="M33" s="100" t="n">
        <v>40</v>
      </c>
      <c r="N33" s="100" t="n">
        <v>1</v>
      </c>
      <c r="O33" s="100" t="inlineStr">
        <is>
          <t>Alta</t>
        </is>
      </c>
      <c r="P33" s="100" t="inlineStr">
        <is>
          <t>Preenchido via Banco Mundial API/CSV</t>
        </is>
      </c>
      <c r="Q33" s="100" t="inlineStr">
        <is>
          <t>1/11</t>
        </is>
      </c>
      <c r="R33" s="100" t="n"/>
      <c r="S33" s="100" t="n"/>
      <c r="T33" s="100" t="n"/>
      <c r="U33" s="111" t="n">
        <v>51.3</v>
      </c>
      <c r="V33" s="100" t="n"/>
      <c r="W33" s="100" t="n"/>
      <c r="X33" s="100" t="n"/>
      <c r="Y33" s="100" t="n"/>
      <c r="Z33" s="100" t="n"/>
      <c r="AA33" s="100" t="n"/>
      <c r="AB33" s="100" t="n"/>
      <c r="AC33" s="100" t="inlineStr">
        <is>
          <t>Mantém comparabilidade internacional para desigualdade.</t>
        </is>
      </c>
    </row>
    <row r="34">
      <c r="A34" s="100" t="inlineStr">
        <is>
          <t>4. Inclusão Social e Protecção</t>
        </is>
      </c>
      <c r="B34" s="100" t="inlineStr">
        <is>
          <t>4. Inclusão Social</t>
        </is>
      </c>
      <c r="C34" s="100" t="inlineStr">
        <is>
          <t>Quota de rendimento dos 20% mais pobres</t>
        </is>
      </c>
      <c r="D34" s="100" t="inlineStr">
        <is>
          <t>Complementar</t>
        </is>
      </c>
      <c r="E34" s="100" t="inlineStr">
        <is>
          <t>SI.DST.FRST.20</t>
        </is>
      </c>
      <c r="F34" s="100" t="inlineStr">
        <is>
          <t>Income share held by lowest 20%</t>
        </is>
      </c>
      <c r="G34" s="100" t="inlineStr">
        <is>
          <t>Banco Mundial/PIP</t>
        </is>
      </c>
      <c r="H34" s="109" t="inlineStr">
        <is>
          <t>https://data.worldbank.org/indicator/SI.DST.FRST.20?locations=AO</t>
        </is>
      </c>
      <c r="I34" s="100" t="inlineStr">
        <is>
          <t>%</t>
        </is>
      </c>
      <c r="J34" s="100" t="inlineStr">
        <is>
          <t>+</t>
        </is>
      </c>
      <c r="K34" s="100" t="n">
        <v>0</v>
      </c>
      <c r="L34" s="100" t="n">
        <v>20</v>
      </c>
      <c r="M34" s="100" t="n">
        <v>7</v>
      </c>
      <c r="N34" s="100" t="n">
        <v>1</v>
      </c>
      <c r="O34" s="100" t="inlineStr">
        <is>
          <t>Média</t>
        </is>
      </c>
      <c r="P34" s="100" t="inlineStr">
        <is>
          <t>Preenchido via Banco Mundial API/CSV</t>
        </is>
      </c>
      <c r="Q34" s="100" t="inlineStr">
        <is>
          <t>1/11</t>
        </is>
      </c>
      <c r="R34" s="100" t="n"/>
      <c r="S34" s="100" t="n"/>
      <c r="T34" s="100" t="n"/>
      <c r="U34" s="111" t="n">
        <v>3.8</v>
      </c>
      <c r="V34" s="100" t="n"/>
      <c r="W34" s="100" t="n"/>
      <c r="X34" s="100" t="n"/>
      <c r="Y34" s="100" t="n"/>
      <c r="Z34" s="100" t="n"/>
      <c r="AA34" s="100" t="n"/>
      <c r="AB34" s="100" t="n"/>
      <c r="AC34" s="100" t="inlineStr">
        <is>
          <t>Lê inclusão distributiva de forma complementar ao Gini.</t>
        </is>
      </c>
    </row>
    <row r="35">
      <c r="A35" s="100" t="inlineStr">
        <is>
          <t>4. Inclusão Social e Protecção</t>
        </is>
      </c>
      <c r="B35" s="100" t="inlineStr">
        <is>
          <t>4. Inclusão Social</t>
        </is>
      </c>
      <c r="C35" s="100" t="inlineStr">
        <is>
          <t>Cobertura de proteção social da população</t>
        </is>
      </c>
      <c r="D35" s="100" t="inlineStr">
        <is>
          <t>Substituto</t>
        </is>
      </c>
      <c r="E35" s="100" t="inlineStr"/>
      <c r="F35" s="100" t="inlineStr"/>
      <c r="G35" s="100" t="inlineStr">
        <is>
          <t>Banco Mundial ASPIRE/OIT</t>
        </is>
      </c>
      <c r="H35" s="109" t="inlineStr">
        <is>
          <t>https://www.worldbank.org/en/data/datatopics/aspire</t>
        </is>
      </c>
      <c r="I35" s="100" t="inlineStr">
        <is>
          <t>%</t>
        </is>
      </c>
      <c r="J35" s="100" t="inlineStr">
        <is>
          <t>+</t>
        </is>
      </c>
      <c r="K35" s="100" t="n">
        <v>0</v>
      </c>
      <c r="L35" s="100" t="n">
        <v>100</v>
      </c>
      <c r="M35" s="100" t="n">
        <v>40</v>
      </c>
      <c r="N35" s="100" t="n">
        <v>1</v>
      </c>
      <c r="O35" s="100" t="inlineStr">
        <is>
          <t>Alta</t>
        </is>
      </c>
      <c r="P35" s="113" t="inlineStr">
        <is>
          <t>Sem código/API; recolha manual</t>
        </is>
      </c>
      <c r="Q35" s="100" t="inlineStr">
        <is>
          <t>0/11</t>
        </is>
      </c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  <c r="AA35" s="100" t="n"/>
      <c r="AB35" s="100" t="n"/>
      <c r="AC35" s="100" t="inlineStr">
        <is>
          <t>Preenche a lacuna existente de proteção social se houver série ASPIRE/OIT ou INSS.</t>
        </is>
      </c>
    </row>
    <row r="36">
      <c r="A36" s="100" t="inlineStr">
        <is>
          <t>4. Inclusão Social e Protecção</t>
        </is>
      </c>
      <c r="B36" s="100" t="inlineStr">
        <is>
          <t>4. Inclusão Social</t>
        </is>
      </c>
      <c r="C36" s="100" t="inlineStr">
        <is>
          <t>Índice de Pobreza Multidimensional - incidência</t>
        </is>
      </c>
      <c r="D36" s="100" t="inlineStr">
        <is>
          <t>Complementar</t>
        </is>
      </c>
      <c r="E36" s="100" t="inlineStr"/>
      <c r="F36" s="100" t="inlineStr"/>
      <c r="G36" s="100" t="inlineStr">
        <is>
          <t>PNUD/OPHI</t>
        </is>
      </c>
      <c r="H36" s="109" t="inlineStr">
        <is>
          <t>https://hdr.undp.org/data-center/thematic-composite-indices</t>
        </is>
      </c>
      <c r="I36" s="100" t="inlineStr">
        <is>
          <t>%</t>
        </is>
      </c>
      <c r="J36" s="100" t="inlineStr">
        <is>
          <t>-</t>
        </is>
      </c>
      <c r="K36" s="100" t="n">
        <v>0</v>
      </c>
      <c r="L36" s="100" t="n">
        <v>80</v>
      </c>
      <c r="M36" s="100" t="n">
        <v>25</v>
      </c>
      <c r="N36" s="100" t="n">
        <v>1</v>
      </c>
      <c r="O36" s="100" t="inlineStr">
        <is>
          <t>Média</t>
        </is>
      </c>
      <c r="P36" s="113" t="inlineStr">
        <is>
          <t>Sem código/API; recolha manual</t>
        </is>
      </c>
      <c r="Q36" s="100" t="inlineStr">
        <is>
          <t>0/11</t>
        </is>
      </c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  <c r="AA36" s="100" t="n"/>
      <c r="AB36" s="100" t="n"/>
      <c r="AC36" s="100" t="inlineStr">
        <is>
          <t>Capta privações simultâneas além de rendimento.</t>
        </is>
      </c>
    </row>
    <row r="37">
      <c r="A37" s="100" t="inlineStr">
        <is>
          <t>4. Inclusão Social e Protecção</t>
        </is>
      </c>
      <c r="B37" s="100" t="inlineStr">
        <is>
          <t>4. Inclusão Social</t>
        </is>
      </c>
      <c r="C37" s="100" t="inlineStr">
        <is>
          <t>Jovens NEET</t>
        </is>
      </c>
      <c r="D37" s="100" t="inlineStr">
        <is>
          <t>Complementar</t>
        </is>
      </c>
      <c r="E37" s="100" t="inlineStr">
        <is>
          <t>SL.UEM.NEET.ZS</t>
        </is>
      </c>
      <c r="F37" s="100" t="inlineStr">
        <is>
          <t>Share of youth not in education, employment or training, total (% of youth population)</t>
        </is>
      </c>
      <c r="G37" s="100" t="inlineStr">
        <is>
          <t>Banco Mundial/OIT</t>
        </is>
      </c>
      <c r="H37" s="109" t="inlineStr">
        <is>
          <t>https://data.worldbank.org/indicator/SL.UEM.NEET.ZS?locations=AO</t>
        </is>
      </c>
      <c r="I37" s="100" t="inlineStr">
        <is>
          <t>%</t>
        </is>
      </c>
      <c r="J37" s="100" t="inlineStr">
        <is>
          <t>-</t>
        </is>
      </c>
      <c r="K37" s="100" t="n">
        <v>0</v>
      </c>
      <c r="L37" s="100" t="n">
        <v>70</v>
      </c>
      <c r="M37" s="100" t="n">
        <v>30</v>
      </c>
      <c r="N37" s="100" t="n">
        <v>1</v>
      </c>
      <c r="O37" s="100" t="inlineStr">
        <is>
          <t>Alta</t>
        </is>
      </c>
      <c r="P37" s="100" t="inlineStr">
        <is>
          <t>Preenchido via Banco Mundial API/CSV</t>
        </is>
      </c>
      <c r="Q37" s="100" t="inlineStr">
        <is>
          <t>6/11</t>
        </is>
      </c>
      <c r="R37" s="100" t="n"/>
      <c r="S37" s="100" t="n"/>
      <c r="T37" s="100" t="n"/>
      <c r="U37" s="100" t="n"/>
      <c r="V37" s="111" t="n">
        <v>22.922</v>
      </c>
      <c r="W37" s="111" t="n">
        <v>27.286</v>
      </c>
      <c r="X37" s="111" t="n">
        <v>28.126</v>
      </c>
      <c r="Y37" s="111" t="n">
        <v>24.766</v>
      </c>
      <c r="Z37" s="111" t="n">
        <v>21.383</v>
      </c>
      <c r="AA37" s="111" t="n">
        <v>24.564</v>
      </c>
      <c r="AB37" s="100" t="n"/>
      <c r="AC37" s="100" t="inlineStr">
        <is>
          <t>Forte indicador de exclusão de jovens.</t>
        </is>
      </c>
    </row>
    <row r="38">
      <c r="A38" s="100" t="inlineStr">
        <is>
          <t>4. Inclusão Social e Protecção</t>
        </is>
      </c>
      <c r="B38" s="100" t="inlineStr">
        <is>
          <t>4. Inclusão Social</t>
        </is>
      </c>
      <c r="C38" s="100" t="inlineStr">
        <is>
          <t>Mulheres no parlamento</t>
        </is>
      </c>
      <c r="D38" s="100" t="inlineStr">
        <is>
          <t>Complementar</t>
        </is>
      </c>
      <c r="E38" s="100" t="inlineStr">
        <is>
          <t>SG.GEN.PARL.ZS</t>
        </is>
      </c>
      <c r="F38" s="100" t="inlineStr">
        <is>
          <t>Proportion of seats held by women in national parliaments (%)</t>
        </is>
      </c>
      <c r="G38" s="100" t="inlineStr">
        <is>
          <t>Banco Mundial/IPU</t>
        </is>
      </c>
      <c r="H38" s="109" t="inlineStr">
        <is>
          <t>https://data.worldbank.org/indicator/SG.GEN.PARL.ZS?locations=AO</t>
        </is>
      </c>
      <c r="I38" s="100" t="inlineStr">
        <is>
          <t>%</t>
        </is>
      </c>
      <c r="J38" s="100" t="inlineStr">
        <is>
          <t>+</t>
        </is>
      </c>
      <c r="K38" s="100" t="n">
        <v>0</v>
      </c>
      <c r="L38" s="100" t="n">
        <v>60</v>
      </c>
      <c r="M38" s="100" t="n">
        <v>35</v>
      </c>
      <c r="N38" s="100" t="n">
        <v>1</v>
      </c>
      <c r="O38" s="100" t="inlineStr">
        <is>
          <t>Média</t>
        </is>
      </c>
      <c r="P38" s="100" t="inlineStr">
        <is>
          <t>Preenchido via Banco Mundial API/CSV</t>
        </is>
      </c>
      <c r="Q38" s="100" t="inlineStr">
        <is>
          <t>11/11</t>
        </is>
      </c>
      <c r="R38" s="111" t="n">
        <v>36.8181818181818</v>
      </c>
      <c r="S38" s="111" t="n">
        <v>36.8181818181818</v>
      </c>
      <c r="T38" s="111" t="n">
        <v>30.4545454545455</v>
      </c>
      <c r="U38" s="111" t="n">
        <v>30.4545454545455</v>
      </c>
      <c r="V38" s="111" t="n">
        <v>30</v>
      </c>
      <c r="W38" s="111" t="n">
        <v>30</v>
      </c>
      <c r="X38" s="111" t="n">
        <v>29.5454545454545</v>
      </c>
      <c r="Y38" s="111" t="n">
        <v>33.6363636363636</v>
      </c>
      <c r="Z38" s="111" t="n">
        <v>33.6363636363636</v>
      </c>
      <c r="AA38" s="111" t="n">
        <v>39.5454545454545</v>
      </c>
      <c r="AB38" s="111" t="n">
        <v>39.0909090909091</v>
      </c>
      <c r="AC38" s="100" t="inlineStr">
        <is>
          <t>Mede inclusão política de género.</t>
        </is>
      </c>
    </row>
    <row r="39">
      <c r="A39" s="100" t="inlineStr">
        <is>
          <t>4. Inclusão Social e Protecção</t>
        </is>
      </c>
      <c r="B39" s="100" t="inlineStr">
        <is>
          <t>4. Inclusão Social</t>
        </is>
      </c>
      <c r="C39" s="100" t="inlineStr">
        <is>
          <t>Participação feminina na força de trabalho</t>
        </is>
      </c>
      <c r="D39" s="100" t="inlineStr">
        <is>
          <t>Complementar</t>
        </is>
      </c>
      <c r="E39" s="100" t="inlineStr">
        <is>
          <t>SL.TLF.CACT.FE.ZS</t>
        </is>
      </c>
      <c r="F39" s="100" t="inlineStr">
        <is>
          <t>Labor force participation rate, female (% of female population ages 15+) (modeled ILO estimate)</t>
        </is>
      </c>
      <c r="G39" s="100" t="inlineStr">
        <is>
          <t>Banco Mundial/OIT</t>
        </is>
      </c>
      <c r="H39" s="109" t="inlineStr">
        <is>
          <t>https://data.worldbank.org/indicator/SL.TLF.CACT.FE.ZS?locations=AO</t>
        </is>
      </c>
      <c r="I39" s="100" t="inlineStr">
        <is>
          <t>%</t>
        </is>
      </c>
      <c r="J39" s="100" t="inlineStr">
        <is>
          <t>+</t>
        </is>
      </c>
      <c r="K39" s="100" t="n">
        <v>0</v>
      </c>
      <c r="L39" s="100" t="n">
        <v>100</v>
      </c>
      <c r="M39" s="100" t="n">
        <v>65</v>
      </c>
      <c r="N39" s="100" t="n">
        <v>1</v>
      </c>
      <c r="O39" s="100" t="inlineStr">
        <is>
          <t>Média</t>
        </is>
      </c>
      <c r="P39" s="100" t="inlineStr">
        <is>
          <t>Preenchido via Banco Mundial API/CSV</t>
        </is>
      </c>
      <c r="Q39" s="100" t="inlineStr">
        <is>
          <t>11/11</t>
        </is>
      </c>
      <c r="R39" s="111" t="n">
        <v>73.93300000000001</v>
      </c>
      <c r="S39" s="111" t="n">
        <v>73.697</v>
      </c>
      <c r="T39" s="111" t="n">
        <v>73.461</v>
      </c>
      <c r="U39" s="111" t="n">
        <v>73.224</v>
      </c>
      <c r="V39" s="111" t="n">
        <v>72.985</v>
      </c>
      <c r="W39" s="111" t="n">
        <v>71.342</v>
      </c>
      <c r="X39" s="111" t="n">
        <v>74.69499999999999</v>
      </c>
      <c r="Y39" s="111" t="n">
        <v>74.018</v>
      </c>
      <c r="Z39" s="111" t="n">
        <v>72.318</v>
      </c>
      <c r="AA39" s="111" t="n">
        <v>72.35899999999999</v>
      </c>
      <c r="AB39" s="111" t="n">
        <v>72.224</v>
      </c>
      <c r="AC39" s="100" t="inlineStr">
        <is>
          <t>Complementa o Global Gender Gap com uma métrica económica anual.</t>
        </is>
      </c>
    </row>
    <row r="40">
      <c r="A40" s="100" t="inlineStr">
        <is>
          <t>4. Inclusão Social e Protecção</t>
        </is>
      </c>
      <c r="B40" s="100" t="inlineStr">
        <is>
          <t>4. Inclusão Social</t>
        </is>
      </c>
      <c r="C40" s="100" t="inlineStr">
        <is>
          <t>Registo de nascimento completo</t>
        </is>
      </c>
      <c r="D40" s="100" t="inlineStr">
        <is>
          <t>Complementar</t>
        </is>
      </c>
      <c r="E40" s="100" t="inlineStr">
        <is>
          <t>SP.REG.BRTH.ZS</t>
        </is>
      </c>
      <c r="F40" s="100" t="inlineStr">
        <is>
          <t>Completeness of birth registration (%)</t>
        </is>
      </c>
      <c r="G40" s="100" t="inlineStr">
        <is>
          <t>Banco Mundial/UNICEF</t>
        </is>
      </c>
      <c r="H40" s="109" t="inlineStr">
        <is>
          <t>https://data.worldbank.org/indicator/SP.REG.BRTH.ZS?locations=AO</t>
        </is>
      </c>
      <c r="I40" s="100" t="inlineStr">
        <is>
          <t>%</t>
        </is>
      </c>
      <c r="J40" s="100" t="inlineStr">
        <is>
          <t>+</t>
        </is>
      </c>
      <c r="K40" s="100" t="n">
        <v>0</v>
      </c>
      <c r="L40" s="100" t="n">
        <v>100</v>
      </c>
      <c r="M40" s="100" t="n">
        <v>80</v>
      </c>
      <c r="N40" s="100" t="n">
        <v>1</v>
      </c>
      <c r="O40" s="100" t="inlineStr">
        <is>
          <t>Média</t>
        </is>
      </c>
      <c r="P40" s="100" t="inlineStr">
        <is>
          <t>Preenchido via Banco Mundial API/CSV</t>
        </is>
      </c>
      <c r="Q40" s="100" t="inlineStr">
        <is>
          <t>1/11</t>
        </is>
      </c>
      <c r="R40" s="100" t="n"/>
      <c r="S40" s="111" t="n">
        <v>25</v>
      </c>
      <c r="T40" s="100" t="n"/>
      <c r="U40" s="100" t="n"/>
      <c r="V40" s="100" t="n"/>
      <c r="W40" s="100" t="n"/>
      <c r="X40" s="100" t="n"/>
      <c r="Y40" s="100" t="n"/>
      <c r="Z40" s="100" t="n"/>
      <c r="AA40" s="100" t="n"/>
      <c r="AB40" s="100" t="n"/>
      <c r="AC40" s="100" t="inlineStr">
        <is>
          <t>Proxy de inclusão administrativa e acesso a direitos básicos.</t>
        </is>
      </c>
    </row>
    <row r="41">
      <c r="A41" s="100" t="inlineStr">
        <is>
          <t>5. Infraestruturas e Serviços</t>
        </is>
      </c>
      <c r="B41" s="100" t="inlineStr">
        <is>
          <t>5. Infraestruturas</t>
        </is>
      </c>
      <c r="C41" s="100" t="inlineStr">
        <is>
          <t>Acesso rural à eletricidade</t>
        </is>
      </c>
      <c r="D41" s="100" t="inlineStr">
        <is>
          <t>Complementar</t>
        </is>
      </c>
      <c r="E41" s="100" t="inlineStr">
        <is>
          <t>EG.ELC.ACCS.RU.ZS</t>
        </is>
      </c>
      <c r="F41" s="100" t="inlineStr">
        <is>
          <t>Access to electricity, rural (% of rural population)</t>
        </is>
      </c>
      <c r="G41" s="100" t="inlineStr">
        <is>
          <t>Banco Mundial/IEA</t>
        </is>
      </c>
      <c r="H41" s="109" t="inlineStr">
        <is>
          <t>https://data.worldbank.org/indicator/EG.ELC.ACCS.RU.ZS?locations=AO</t>
        </is>
      </c>
      <c r="I41" s="100" t="inlineStr">
        <is>
          <t>%</t>
        </is>
      </c>
      <c r="J41" s="100" t="inlineStr">
        <is>
          <t>+</t>
        </is>
      </c>
      <c r="K41" s="100" t="n">
        <v>0</v>
      </c>
      <c r="L41" s="100" t="n">
        <v>100</v>
      </c>
      <c r="M41" s="100" t="n">
        <v>50</v>
      </c>
      <c r="N41" s="100" t="n">
        <v>1</v>
      </c>
      <c r="O41" s="100" t="inlineStr">
        <is>
          <t>Alta</t>
        </is>
      </c>
      <c r="P41" s="100" t="inlineStr">
        <is>
          <t>Preenchido via Banco Mundial API/CSV</t>
        </is>
      </c>
      <c r="Q41" s="100" t="inlineStr">
        <is>
          <t>2/11</t>
        </is>
      </c>
      <c r="R41" s="111" t="n">
        <v>3.8</v>
      </c>
      <c r="S41" s="100" t="n"/>
      <c r="T41" s="100" t="n"/>
      <c r="U41" s="111" t="n">
        <v>7.3</v>
      </c>
      <c r="V41" s="100" t="n"/>
      <c r="W41" s="100" t="n"/>
      <c r="X41" s="100" t="n"/>
      <c r="Y41" s="100" t="n"/>
      <c r="Z41" s="100" t="n"/>
      <c r="AA41" s="100" t="n"/>
      <c r="AB41" s="100" t="n"/>
      <c r="AC41" s="100" t="inlineStr">
        <is>
          <t>Evidencia desigualdade territorial no acesso à energia.</t>
        </is>
      </c>
    </row>
    <row r="42">
      <c r="A42" s="100" t="inlineStr">
        <is>
          <t>5. Infraestruturas e Serviços</t>
        </is>
      </c>
      <c r="B42" s="100" t="inlineStr">
        <is>
          <t>5. Infraestruturas</t>
        </is>
      </c>
      <c r="C42" s="100" t="inlineStr">
        <is>
          <t>Acesso a energia limpa para cozinhar</t>
        </is>
      </c>
      <c r="D42" s="100" t="inlineStr">
        <is>
          <t>Complementar</t>
        </is>
      </c>
      <c r="E42" s="100" t="inlineStr">
        <is>
          <t>EG.CFT.ACCS.ZS</t>
        </is>
      </c>
      <c r="F42" s="100" t="inlineStr">
        <is>
          <t>Access to clean fuels and technologies for cooking (% of population)</t>
        </is>
      </c>
      <c r="G42" s="100" t="inlineStr">
        <is>
          <t>Banco Mundial/OMS</t>
        </is>
      </c>
      <c r="H42" s="109" t="inlineStr">
        <is>
          <t>https://data.worldbank.org/indicator/EG.CFT.ACCS.ZS?locations=AO</t>
        </is>
      </c>
      <c r="I42" s="100" t="inlineStr">
        <is>
          <t>%</t>
        </is>
      </c>
      <c r="J42" s="100" t="inlineStr">
        <is>
          <t>+</t>
        </is>
      </c>
      <c r="K42" s="100" t="n">
        <v>0</v>
      </c>
      <c r="L42" s="100" t="n">
        <v>100</v>
      </c>
      <c r="M42" s="100" t="n">
        <v>35</v>
      </c>
      <c r="N42" s="100" t="n">
        <v>1</v>
      </c>
      <c r="O42" s="100" t="inlineStr">
        <is>
          <t>Alta</t>
        </is>
      </c>
      <c r="P42" s="100" t="inlineStr">
        <is>
          <t>Preenchido via Banco Mundial API/CSV</t>
        </is>
      </c>
      <c r="Q42" s="100" t="inlineStr">
        <is>
          <t>9/11</t>
        </is>
      </c>
      <c r="R42" s="111" t="n">
        <v>47</v>
      </c>
      <c r="S42" s="111" t="n">
        <v>48</v>
      </c>
      <c r="T42" s="111" t="n">
        <v>48.2</v>
      </c>
      <c r="U42" s="111" t="n">
        <v>48.8</v>
      </c>
      <c r="V42" s="111" t="n">
        <v>49.2</v>
      </c>
      <c r="W42" s="111" t="n">
        <v>49.4</v>
      </c>
      <c r="X42" s="111" t="n">
        <v>49.8</v>
      </c>
      <c r="Y42" s="111" t="n">
        <v>50</v>
      </c>
      <c r="Z42" s="111" t="n">
        <v>50.2</v>
      </c>
      <c r="AA42" s="100" t="n"/>
      <c r="AB42" s="100" t="n"/>
      <c r="AC42" s="100" t="inlineStr">
        <is>
          <t>Indicador de infraestrutura doméstica com impacto ambiental e de saúde.</t>
        </is>
      </c>
    </row>
    <row r="43">
      <c r="A43" s="100" t="inlineStr">
        <is>
          <t>5. Infraestruturas e Serviços</t>
        </is>
      </c>
      <c r="B43" s="100" t="inlineStr">
        <is>
          <t>5. Infraestruturas</t>
        </is>
      </c>
      <c r="C43" s="100" t="inlineStr">
        <is>
          <t>Perdas de transmissão e distribuição elétrica</t>
        </is>
      </c>
      <c r="D43" s="100" t="inlineStr">
        <is>
          <t>Complementar</t>
        </is>
      </c>
      <c r="E43" s="100" t="inlineStr">
        <is>
          <t>EG.ELC.LOSS.ZS</t>
        </is>
      </c>
      <c r="F43" s="100" t="inlineStr">
        <is>
          <t>Electric power transmission and distribution losses (% of output)</t>
        </is>
      </c>
      <c r="G43" s="100" t="inlineStr">
        <is>
          <t>Banco Mundial/IEA</t>
        </is>
      </c>
      <c r="H43" s="109" t="inlineStr">
        <is>
          <t>https://data.worldbank.org/indicator/EG.ELC.LOSS.ZS?locations=AO</t>
        </is>
      </c>
      <c r="I43" s="100" t="inlineStr">
        <is>
          <t>%</t>
        </is>
      </c>
      <c r="J43" s="100" t="inlineStr">
        <is>
          <t>-</t>
        </is>
      </c>
      <c r="K43" s="100" t="n">
        <v>0</v>
      </c>
      <c r="L43" s="100" t="n">
        <v>60</v>
      </c>
      <c r="M43" s="100" t="n">
        <v>15</v>
      </c>
      <c r="N43" s="100" t="n">
        <v>1</v>
      </c>
      <c r="O43" s="100" t="inlineStr">
        <is>
          <t>Média</t>
        </is>
      </c>
      <c r="P43" s="100" t="inlineStr">
        <is>
          <t>Preenchido via Banco Mundial API/CSV</t>
        </is>
      </c>
      <c r="Q43" s="100" t="inlineStr">
        <is>
          <t>9/11</t>
        </is>
      </c>
      <c r="R43" s="111" t="n">
        <v>11.2700699876492</v>
      </c>
      <c r="S43" s="111" t="n">
        <v>11.2669600293363</v>
      </c>
      <c r="T43" s="111" t="n">
        <v>11.2580314740665</v>
      </c>
      <c r="U43" s="111" t="n">
        <v>11.2649128173753</v>
      </c>
      <c r="V43" s="111" t="n">
        <v>11.2629123625458</v>
      </c>
      <c r="W43" s="111" t="n">
        <v>11.2661592364383</v>
      </c>
      <c r="X43" s="111" t="n">
        <v>11.2622876114836</v>
      </c>
      <c r="Y43" s="111" t="n">
        <v>11.2616822429907</v>
      </c>
      <c r="Z43" s="111" t="n">
        <v>11.2667982931024</v>
      </c>
      <c r="AA43" s="100" t="n"/>
      <c r="AB43" s="100" t="n"/>
      <c r="AC43" s="100" t="inlineStr">
        <is>
          <t>Mede eficiência da rede elétrica, não apenas acesso.</t>
        </is>
      </c>
    </row>
    <row r="44">
      <c r="A44" s="100" t="inlineStr">
        <is>
          <t>5. Infraestruturas e Serviços</t>
        </is>
      </c>
      <c r="B44" s="100" t="inlineStr">
        <is>
          <t>5. Infraestruturas</t>
        </is>
      </c>
      <c r="C44" s="100" t="inlineStr">
        <is>
          <t>Subscrições móveis por 100 habitantes</t>
        </is>
      </c>
      <c r="D44" s="100" t="inlineStr">
        <is>
          <t>Substituto/Complementar</t>
        </is>
      </c>
      <c r="E44" s="100" t="inlineStr">
        <is>
          <t>IT.CEL.SETS.P2</t>
        </is>
      </c>
      <c r="F44" s="100" t="inlineStr">
        <is>
          <t>Mobile cellular subscriptions (per 100 people)</t>
        </is>
      </c>
      <c r="G44" s="100" t="inlineStr">
        <is>
          <t>Banco Mundial/ITU</t>
        </is>
      </c>
      <c r="H44" s="109" t="inlineStr">
        <is>
          <t>https://data.worldbank.org/indicator/IT.CEL.SETS.P2?locations=AO</t>
        </is>
      </c>
      <c r="I44" s="100" t="inlineStr">
        <is>
          <t>por 100 hab.</t>
        </is>
      </c>
      <c r="J44" s="100" t="inlineStr">
        <is>
          <t>+</t>
        </is>
      </c>
      <c r="K44" s="100" t="n">
        <v>0</v>
      </c>
      <c r="L44" s="100" t="n">
        <v>160</v>
      </c>
      <c r="M44" s="100" t="n">
        <v>100</v>
      </c>
      <c r="N44" s="100" t="n">
        <v>1</v>
      </c>
      <c r="O44" s="100" t="inlineStr">
        <is>
          <t>Alta</t>
        </is>
      </c>
      <c r="P44" s="100" t="inlineStr">
        <is>
          <t>Preenchido via Banco Mundial API/CSV</t>
        </is>
      </c>
      <c r="Q44" s="100" t="inlineStr">
        <is>
          <t>10/11</t>
        </is>
      </c>
      <c r="R44" s="111" t="n">
        <v>49.3097223014385</v>
      </c>
      <c r="S44" s="111" t="n">
        <v>44.5502272379157</v>
      </c>
      <c r="T44" s="111" t="n">
        <v>44.0682088632918</v>
      </c>
      <c r="U44" s="111" t="n">
        <v>42.4588784507729</v>
      </c>
      <c r="V44" s="111" t="n">
        <v>45.8065312825399</v>
      </c>
      <c r="W44" s="111" t="n">
        <v>43.7804317055698</v>
      </c>
      <c r="X44" s="111" t="n">
        <v>44.3868689341257</v>
      </c>
      <c r="Y44" s="111" t="n">
        <v>66.6008073123779</v>
      </c>
      <c r="Z44" s="111" t="n">
        <v>70.0519587723571</v>
      </c>
      <c r="AA44" s="111" t="n">
        <v>69.7039467163584</v>
      </c>
      <c r="AB44" s="100" t="n"/>
      <c r="AC44" s="100" t="inlineStr">
        <is>
          <t>Alternativa anual à cobertura 4G quando a série INACOM estiver incompleta.</t>
        </is>
      </c>
    </row>
    <row r="45">
      <c r="A45" s="100" t="inlineStr">
        <is>
          <t>5. Infraestruturas e Serviços</t>
        </is>
      </c>
      <c r="B45" s="100" t="inlineStr">
        <is>
          <t>5. Infraestruturas</t>
        </is>
      </c>
      <c r="C45" s="100" t="inlineStr">
        <is>
          <t>Banda larga fixa por 100 habitantes</t>
        </is>
      </c>
      <c r="D45" s="100" t="inlineStr">
        <is>
          <t>Complementar</t>
        </is>
      </c>
      <c r="E45" s="100" t="inlineStr">
        <is>
          <t>IT.NET.BBND.P2</t>
        </is>
      </c>
      <c r="F45" s="100" t="inlineStr">
        <is>
          <t>Fixed broadband subscriptions (per 100 people)</t>
        </is>
      </c>
      <c r="G45" s="100" t="inlineStr">
        <is>
          <t>Banco Mundial/ITU</t>
        </is>
      </c>
      <c r="H45" s="109" t="inlineStr">
        <is>
          <t>https://data.worldbank.org/indicator/IT.NET.BBND.P2?locations=AO</t>
        </is>
      </c>
      <c r="I45" s="100" t="inlineStr">
        <is>
          <t>por 100 hab.</t>
        </is>
      </c>
      <c r="J45" s="100" t="inlineStr">
        <is>
          <t>+</t>
        </is>
      </c>
      <c r="K45" s="100" t="n">
        <v>0</v>
      </c>
      <c r="L45" s="100" t="n">
        <v>50</v>
      </c>
      <c r="M45" s="100" t="n">
        <v>8</v>
      </c>
      <c r="N45" s="100" t="n">
        <v>1</v>
      </c>
      <c r="O45" s="100" t="inlineStr">
        <is>
          <t>Média</t>
        </is>
      </c>
      <c r="P45" s="100" t="inlineStr">
        <is>
          <t>Preenchido via Banco Mundial API/CSV</t>
        </is>
      </c>
      <c r="Q45" s="100" t="inlineStr">
        <is>
          <t>10/11</t>
        </is>
      </c>
      <c r="R45" s="111" t="n">
        <v>0.545394210158053</v>
      </c>
      <c r="S45" s="111" t="n">
        <v>0.290319010302891</v>
      </c>
      <c r="T45" s="111" t="n">
        <v>0.32055404693903</v>
      </c>
      <c r="U45" s="111" t="n">
        <v>0.350066962955579</v>
      </c>
      <c r="V45" s="111" t="n">
        <v>0.367770426844486</v>
      </c>
      <c r="W45" s="111" t="n">
        <v>0.363264238710965</v>
      </c>
      <c r="X45" s="111" t="n">
        <v>0.39092529517689</v>
      </c>
      <c r="Y45" s="111" t="n">
        <v>0.386698155907211</v>
      </c>
      <c r="Z45" s="111" t="n">
        <v>0.373668982990052</v>
      </c>
      <c r="AA45" s="111" t="n">
        <v>0.362845240712436</v>
      </c>
      <c r="AB45" s="100" t="n"/>
      <c r="AC45" s="100" t="inlineStr">
        <is>
          <t>Mede infraestrutura digital fixa, distinta do uso de internet.</t>
        </is>
      </c>
    </row>
    <row r="46">
      <c r="A46" s="100" t="inlineStr">
        <is>
          <t>5. Infraestruturas e Serviços</t>
        </is>
      </c>
      <c r="B46" s="100" t="inlineStr">
        <is>
          <t>5. Infraestruturas</t>
        </is>
      </c>
      <c r="C46" s="100" t="inlineStr">
        <is>
          <t>Preço de cabaz móvel-banda larga (% RNB per capita)</t>
        </is>
      </c>
      <c r="D46" s="100" t="inlineStr">
        <is>
          <t>Complementar</t>
        </is>
      </c>
      <c r="E46" s="100" t="inlineStr"/>
      <c r="F46" s="100" t="inlineStr"/>
      <c r="G46" s="100" t="inlineStr">
        <is>
          <t>ITU DataHub</t>
        </is>
      </c>
      <c r="H46" s="109" t="inlineStr">
        <is>
          <t>https://datahub.itu.int/</t>
        </is>
      </c>
      <c r="I46" s="100" t="inlineStr">
        <is>
          <t>% RNB per capita</t>
        </is>
      </c>
      <c r="J46" s="100" t="inlineStr">
        <is>
          <t>-</t>
        </is>
      </c>
      <c r="K46" s="100" t="n">
        <v>0</v>
      </c>
      <c r="L46" s="100" t="n">
        <v>30</v>
      </c>
      <c r="M46" s="100" t="n">
        <v>5</v>
      </c>
      <c r="N46" s="100" t="n">
        <v>1</v>
      </c>
      <c r="O46" s="100" t="inlineStr">
        <is>
          <t>Média</t>
        </is>
      </c>
      <c r="P46" s="113" t="inlineStr">
        <is>
          <t>Sem código/API; recolha manual</t>
        </is>
      </c>
      <c r="Q46" s="100" t="inlineStr">
        <is>
          <t>0/11</t>
        </is>
      </c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  <c r="AA46" s="100" t="n"/>
      <c r="AB46" s="100" t="n"/>
      <c r="AC46" s="100" t="inlineStr">
        <is>
          <t>Capta acessibilidade económica da conectividade.</t>
        </is>
      </c>
    </row>
    <row r="47">
      <c r="A47" s="100" t="inlineStr">
        <is>
          <t>5. Infraestruturas e Serviços</t>
        </is>
      </c>
      <c r="B47" s="100" t="inlineStr">
        <is>
          <t>5. Infraestruturas</t>
        </is>
      </c>
      <c r="C47" s="100" t="inlineStr">
        <is>
          <t>Água potável básica - população total</t>
        </is>
      </c>
      <c r="D47" s="100" t="inlineStr">
        <is>
          <t>Substituto</t>
        </is>
      </c>
      <c r="E47" s="100" t="inlineStr">
        <is>
          <t>SH.H2O.BASW.ZS</t>
        </is>
      </c>
      <c r="F47" s="100" t="inlineStr">
        <is>
          <t>People using at least basic drinking water services (% of population)</t>
        </is>
      </c>
      <c r="G47" s="100" t="inlineStr">
        <is>
          <t>Banco Mundial/JMP</t>
        </is>
      </c>
      <c r="H47" s="109" t="inlineStr">
        <is>
          <t>https://data.worldbank.org/indicator/SH.H2O.BASW.ZS?locations=AO</t>
        </is>
      </c>
      <c r="I47" s="100" t="inlineStr">
        <is>
          <t>%</t>
        </is>
      </c>
      <c r="J47" s="100" t="inlineStr">
        <is>
          <t>+</t>
        </is>
      </c>
      <c r="K47" s="100" t="n">
        <v>0</v>
      </c>
      <c r="L47" s="100" t="n">
        <v>100</v>
      </c>
      <c r="M47" s="100" t="n">
        <v>70</v>
      </c>
      <c r="N47" s="100" t="n">
        <v>1</v>
      </c>
      <c r="O47" s="100" t="inlineStr">
        <is>
          <t>Alta</t>
        </is>
      </c>
      <c r="P47" s="100" t="inlineStr">
        <is>
          <t>Preenchido via Banco Mundial API/CSV</t>
        </is>
      </c>
      <c r="Q47" s="100" t="inlineStr">
        <is>
          <t>10/11</t>
        </is>
      </c>
      <c r="R47" s="111" t="n">
        <v>58.6196312007677</v>
      </c>
      <c r="S47" s="111" t="n">
        <v>60.1920620185519</v>
      </c>
      <c r="T47" s="111" t="n">
        <v>61.7735122104541</v>
      </c>
      <c r="U47" s="111" t="n">
        <v>63.3627907388021</v>
      </c>
      <c r="V47" s="111" t="n">
        <v>64.1599110373067</v>
      </c>
      <c r="W47" s="111" t="n">
        <v>64.9440305436538</v>
      </c>
      <c r="X47" s="111" t="n">
        <v>65.71625771943501</v>
      </c>
      <c r="Y47" s="111" t="n">
        <v>66.47632731978</v>
      </c>
      <c r="Z47" s="111" t="n">
        <v>67.22442525884971</v>
      </c>
      <c r="AA47" s="111" t="n">
        <v>67.9607422242112</v>
      </c>
      <c r="AB47" s="100" t="n"/>
      <c r="AC47" s="100" t="inlineStr">
        <is>
          <t>Fonte comparável para preencher/validar a linha de água potável.</t>
        </is>
      </c>
    </row>
    <row r="48">
      <c r="A48" s="100" t="inlineStr">
        <is>
          <t>5. Infraestruturas e Serviços</t>
        </is>
      </c>
      <c r="B48" s="100" t="inlineStr">
        <is>
          <t>5. Infraestruturas</t>
        </is>
      </c>
      <c r="C48" s="100" t="inlineStr">
        <is>
          <t>Saneamento básico - população total</t>
        </is>
      </c>
      <c r="D48" s="100" t="inlineStr">
        <is>
          <t>Substituto</t>
        </is>
      </c>
      <c r="E48" s="100" t="inlineStr">
        <is>
          <t>SH.STA.BASS.ZS</t>
        </is>
      </c>
      <c r="F48" s="100" t="inlineStr">
        <is>
          <t>People using at least basic sanitation services (% of population)</t>
        </is>
      </c>
      <c r="G48" s="100" t="inlineStr">
        <is>
          <t>Banco Mundial/JMP</t>
        </is>
      </c>
      <c r="H48" s="109" t="inlineStr">
        <is>
          <t>https://data.worldbank.org/indicator/SH.STA.BASS.ZS?locations=AO</t>
        </is>
      </c>
      <c r="I48" s="100" t="inlineStr">
        <is>
          <t>%</t>
        </is>
      </c>
      <c r="J48" s="100" t="inlineStr">
        <is>
          <t>+</t>
        </is>
      </c>
      <c r="K48" s="100" t="n">
        <v>0</v>
      </c>
      <c r="L48" s="100" t="n">
        <v>100</v>
      </c>
      <c r="M48" s="100" t="n">
        <v>60</v>
      </c>
      <c r="N48" s="100" t="n">
        <v>1</v>
      </c>
      <c r="O48" s="100" t="inlineStr">
        <is>
          <t>Alta</t>
        </is>
      </c>
      <c r="P48" s="100" t="inlineStr">
        <is>
          <t>Preenchido via Banco Mundial API/CSV</t>
        </is>
      </c>
      <c r="Q48" s="100" t="inlineStr">
        <is>
          <t>8/11</t>
        </is>
      </c>
      <c r="R48" s="111" t="n">
        <v>46.6837650963553</v>
      </c>
      <c r="S48" s="111" t="n">
        <v>47.555908833618</v>
      </c>
      <c r="T48" s="111" t="n">
        <v>48.4237656848917</v>
      </c>
      <c r="U48" s="111" t="n">
        <v>49.2865229934191</v>
      </c>
      <c r="V48" s="111" t="n">
        <v>49.5470237290202</v>
      </c>
      <c r="W48" s="111" t="n">
        <v>49.8016376564917</v>
      </c>
      <c r="X48" s="111" t="n">
        <v>50.0511353702384</v>
      </c>
      <c r="Y48" s="111" t="n">
        <v>50.2951359158799</v>
      </c>
      <c r="Z48" s="100" t="n"/>
      <c r="AA48" s="100" t="n"/>
      <c r="AB48" s="100" t="n"/>
      <c r="AC48" s="100" t="inlineStr">
        <is>
          <t>Fonte comparável para preencher/validar saneamento.</t>
        </is>
      </c>
    </row>
    <row r="49">
      <c r="A49" s="100" t="inlineStr">
        <is>
          <t>5. Infraestruturas e Serviços</t>
        </is>
      </c>
      <c r="B49" s="100" t="inlineStr">
        <is>
          <t>5. Infraestruturas</t>
        </is>
      </c>
      <c r="C49" s="100" t="inlineStr">
        <is>
          <t>Estradas pavimentadas (% total)</t>
        </is>
      </c>
      <c r="D49" s="100" t="inlineStr">
        <is>
          <t>Complementar</t>
        </is>
      </c>
      <c r="E49" s="100" t="inlineStr">
        <is>
          <t>IS.ROD.PAVE.ZS</t>
        </is>
      </c>
      <c r="F49" s="100" t="inlineStr">
        <is>
          <t>Roads, paved (% of total roads)</t>
        </is>
      </c>
      <c r="G49" s="100" t="inlineStr">
        <is>
          <t>Banco Mundial/WDI</t>
        </is>
      </c>
      <c r="H49" s="109" t="inlineStr">
        <is>
          <t>https://data.worldbank.org/indicator/IS.ROD.PAVE.ZS?locations=AO</t>
        </is>
      </c>
      <c r="I49" s="100" t="inlineStr">
        <is>
          <t>%</t>
        </is>
      </c>
      <c r="J49" s="100" t="inlineStr">
        <is>
          <t>+</t>
        </is>
      </c>
      <c r="K49" s="100" t="n">
        <v>0</v>
      </c>
      <c r="L49" s="100" t="n">
        <v>100</v>
      </c>
      <c r="M49" s="100" t="n">
        <v>30</v>
      </c>
      <c r="N49" s="100" t="n">
        <v>1</v>
      </c>
      <c r="O49" s="100" t="inlineStr">
        <is>
          <t>Média</t>
        </is>
      </c>
      <c r="P49" s="113" t="inlineStr">
        <is>
          <t>Sem valores para Angola em 2014-2025</t>
        </is>
      </c>
      <c r="Q49" s="100" t="inlineStr">
        <is>
          <t>0/11</t>
        </is>
      </c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  <c r="AA49" s="100" t="n"/>
      <c r="AB49" s="100" t="n"/>
      <c r="AC49" s="100" t="inlineStr">
        <is>
          <t>Complementa densidade rodoviária com qualidade da rede.</t>
        </is>
      </c>
    </row>
    <row r="50">
      <c r="A50" s="100" t="inlineStr">
        <is>
          <t>5. Infraestruturas e Serviços</t>
        </is>
      </c>
      <c r="B50" s="100" t="inlineStr">
        <is>
          <t>5. Infraestruturas</t>
        </is>
      </c>
      <c r="C50" s="100" t="inlineStr">
        <is>
          <t>Logistics Performance Index - geral</t>
        </is>
      </c>
      <c r="D50" s="100" t="inlineStr">
        <is>
          <t>Complementar</t>
        </is>
      </c>
      <c r="E50" s="100" t="inlineStr">
        <is>
          <t>LP.LPI.OVRL.XQ</t>
        </is>
      </c>
      <c r="F50" s="100" t="inlineStr">
        <is>
          <t>Logistics performance index: Overall (1=low to 5=high)</t>
        </is>
      </c>
      <c r="G50" s="100" t="inlineStr">
        <is>
          <t>Banco Mundial/LPI</t>
        </is>
      </c>
      <c r="H50" s="109" t="inlineStr">
        <is>
          <t>https://data.worldbank.org/indicator/LP.LPI.OVRL.XQ?locations=AO</t>
        </is>
      </c>
      <c r="I50" s="100" t="inlineStr">
        <is>
          <t>1-5</t>
        </is>
      </c>
      <c r="J50" s="100" t="inlineStr">
        <is>
          <t>+</t>
        </is>
      </c>
      <c r="K50" s="100" t="n">
        <v>1</v>
      </c>
      <c r="L50" s="100" t="n">
        <v>5</v>
      </c>
      <c r="M50" s="100" t="n">
        <v>3</v>
      </c>
      <c r="N50" s="100" t="n">
        <v>1</v>
      </c>
      <c r="O50" s="100" t="inlineStr">
        <is>
          <t>Baixa</t>
        </is>
      </c>
      <c r="P50" s="100" t="inlineStr">
        <is>
          <t>Preenchido via Banco Mundial API/CSV</t>
        </is>
      </c>
      <c r="Q50" s="100" t="inlineStr">
        <is>
          <t>3/11</t>
        </is>
      </c>
      <c r="R50" s="100" t="n"/>
      <c r="S50" s="111" t="n">
        <v>2.241183</v>
      </c>
      <c r="T50" s="100" t="n"/>
      <c r="U50" s="111" t="n">
        <v>2.05</v>
      </c>
      <c r="V50" s="100" t="n"/>
      <c r="W50" s="100" t="n"/>
      <c r="X50" s="100" t="n"/>
      <c r="Y50" s="111" t="n">
        <v>2.1</v>
      </c>
      <c r="Z50" s="100" t="n"/>
      <c r="AA50" s="100" t="n"/>
      <c r="AB50" s="100" t="n"/>
      <c r="AC50" s="100" t="inlineStr">
        <is>
          <t>Indicador sintético de logística; útil, mas não anual.</t>
        </is>
      </c>
    </row>
    <row r="51">
      <c r="A51" s="100" t="inlineStr">
        <is>
          <t>6. Mercado de Trabalho</t>
        </is>
      </c>
      <c r="B51" s="100" t="inlineStr">
        <is>
          <t>6. Mercado Trabalho</t>
        </is>
      </c>
      <c r="C51" s="100" t="inlineStr">
        <is>
          <t>Emprego/população 15+</t>
        </is>
      </c>
      <c r="D51" s="100" t="inlineStr">
        <is>
          <t>Substituto</t>
        </is>
      </c>
      <c r="E51" s="100" t="inlineStr">
        <is>
          <t>SL.EMP.TOTL.SP.ZS</t>
        </is>
      </c>
      <c r="F51" s="100" t="inlineStr">
        <is>
          <t>Employment to population ratio, 15+, total (%) (modeled ILO estimate)</t>
        </is>
      </c>
      <c r="G51" s="100" t="inlineStr">
        <is>
          <t>Banco Mundial/OIT</t>
        </is>
      </c>
      <c r="H51" s="109" t="inlineStr">
        <is>
          <t>https://data.worldbank.org/indicator/SL.EMP.TOTL.SP.ZS?locations=AO</t>
        </is>
      </c>
      <c r="I51" s="100" t="inlineStr">
        <is>
          <t>%</t>
        </is>
      </c>
      <c r="J51" s="100" t="inlineStr">
        <is>
          <t>+</t>
        </is>
      </c>
      <c r="K51" s="100" t="n">
        <v>0</v>
      </c>
      <c r="L51" s="100" t="n">
        <v>100</v>
      </c>
      <c r="M51" s="100" t="n">
        <v>65</v>
      </c>
      <c r="N51" s="100" t="n">
        <v>1</v>
      </c>
      <c r="O51" s="100" t="inlineStr">
        <is>
          <t>Alta</t>
        </is>
      </c>
      <c r="P51" s="100" t="inlineStr">
        <is>
          <t>Preenchido via Banco Mundial API/CSV</t>
        </is>
      </c>
      <c r="Q51" s="100" t="inlineStr">
        <is>
          <t>11/11</t>
        </is>
      </c>
      <c r="R51" s="111" t="n">
        <v>63.638</v>
      </c>
      <c r="S51" s="111" t="n">
        <v>63.321</v>
      </c>
      <c r="T51" s="111" t="n">
        <v>63.045</v>
      </c>
      <c r="U51" s="111" t="n">
        <v>62.812</v>
      </c>
      <c r="V51" s="111" t="n">
        <v>62.644</v>
      </c>
      <c r="W51" s="111" t="n">
        <v>61.078</v>
      </c>
      <c r="X51" s="111" t="n">
        <v>64.306</v>
      </c>
      <c r="Y51" s="111" t="n">
        <v>64.619</v>
      </c>
      <c r="Z51" s="111" t="n">
        <v>64.369</v>
      </c>
      <c r="AA51" s="111" t="n">
        <v>64.383</v>
      </c>
      <c r="AB51" s="111" t="n">
        <v>64.236</v>
      </c>
      <c r="AC51" s="100" t="inlineStr">
        <is>
          <t>Série internacional para validar a taxa de emprego.</t>
        </is>
      </c>
    </row>
    <row r="52">
      <c r="A52" s="100" t="inlineStr">
        <is>
          <t>6. Mercado de Trabalho</t>
        </is>
      </c>
      <c r="B52" s="100" t="inlineStr">
        <is>
          <t>6. Mercado Trabalho</t>
        </is>
      </c>
      <c r="C52" s="100" t="inlineStr">
        <is>
          <t>Desemprego total modelado OIT</t>
        </is>
      </c>
      <c r="D52" s="100" t="inlineStr">
        <is>
          <t>Substituto</t>
        </is>
      </c>
      <c r="E52" s="100" t="inlineStr">
        <is>
          <t>SL.UEM.TOTL.ZS</t>
        </is>
      </c>
      <c r="F52" s="100" t="inlineStr">
        <is>
          <t>Unemployment, total (% of total labor force) (modeled ILO estimate)</t>
        </is>
      </c>
      <c r="G52" s="100" t="inlineStr">
        <is>
          <t>Banco Mundial/OIT</t>
        </is>
      </c>
      <c r="H52" s="109" t="inlineStr">
        <is>
          <t>https://data.worldbank.org/indicator/SL.UEM.TOTL.ZS?locations=AO</t>
        </is>
      </c>
      <c r="I52" s="100" t="inlineStr">
        <is>
          <t>%</t>
        </is>
      </c>
      <c r="J52" s="100" t="inlineStr">
        <is>
          <t>-</t>
        </is>
      </c>
      <c r="K52" s="100" t="n">
        <v>0</v>
      </c>
      <c r="L52" s="100" t="n">
        <v>50</v>
      </c>
      <c r="M52" s="100" t="n">
        <v>15</v>
      </c>
      <c r="N52" s="100" t="n">
        <v>1</v>
      </c>
      <c r="O52" s="100" t="inlineStr">
        <is>
          <t>Alta</t>
        </is>
      </c>
      <c r="P52" s="100" t="inlineStr">
        <is>
          <t>Preenchido via Banco Mundial API/CSV</t>
        </is>
      </c>
      <c r="Q52" s="100" t="inlineStr">
        <is>
          <t>11/11</t>
        </is>
      </c>
      <c r="R52" s="111" t="n">
        <v>16.472</v>
      </c>
      <c r="S52" s="111" t="n">
        <v>16.572</v>
      </c>
      <c r="T52" s="111" t="n">
        <v>16.617</v>
      </c>
      <c r="U52" s="111" t="n">
        <v>16.602</v>
      </c>
      <c r="V52" s="111" t="n">
        <v>16.497</v>
      </c>
      <c r="W52" s="111" t="n">
        <v>16.696</v>
      </c>
      <c r="X52" s="111" t="n">
        <v>15.799</v>
      </c>
      <c r="Y52" s="111" t="n">
        <v>14.124</v>
      </c>
      <c r="Z52" s="111" t="n">
        <v>14.051</v>
      </c>
      <c r="AA52" s="111" t="n">
        <v>14.02</v>
      </c>
      <c r="AB52" s="111" t="n">
        <v>14.108</v>
      </c>
      <c r="AC52" s="100" t="inlineStr">
        <is>
          <t>Série anual comparável para anos sem inquérito nacional.</t>
        </is>
      </c>
    </row>
    <row r="53">
      <c r="A53" s="100" t="inlineStr">
        <is>
          <t>6. Mercado de Trabalho</t>
        </is>
      </c>
      <c r="B53" s="100" t="inlineStr">
        <is>
          <t>6. Mercado Trabalho</t>
        </is>
      </c>
      <c r="C53" s="100" t="inlineStr">
        <is>
          <t>Desemprego juvenil 15-24</t>
        </is>
      </c>
      <c r="D53" s="100" t="inlineStr">
        <is>
          <t>Substituto</t>
        </is>
      </c>
      <c r="E53" s="100" t="inlineStr">
        <is>
          <t>SL.UEM.1524.ZS</t>
        </is>
      </c>
      <c r="F53" s="100" t="inlineStr">
        <is>
          <t>Unemployment, youth total (% of total labor force ages 15-24) (modeled ILO estimate)</t>
        </is>
      </c>
      <c r="G53" s="100" t="inlineStr">
        <is>
          <t>Banco Mundial/OIT</t>
        </is>
      </c>
      <c r="H53" s="109" t="inlineStr">
        <is>
          <t>https://data.worldbank.org/indicator/SL.UEM.1524.ZS?locations=AO</t>
        </is>
      </c>
      <c r="I53" s="100" t="inlineStr">
        <is>
          <t>%</t>
        </is>
      </c>
      <c r="J53" s="100" t="inlineStr">
        <is>
          <t>-</t>
        </is>
      </c>
      <c r="K53" s="100" t="n">
        <v>0</v>
      </c>
      <c r="L53" s="100" t="n">
        <v>70</v>
      </c>
      <c r="M53" s="100" t="n">
        <v>30</v>
      </c>
      <c r="N53" s="100" t="n">
        <v>1</v>
      </c>
      <c r="O53" s="100" t="inlineStr">
        <is>
          <t>Alta</t>
        </is>
      </c>
      <c r="P53" s="100" t="inlineStr">
        <is>
          <t>Preenchido via Banco Mundial API/CSV</t>
        </is>
      </c>
      <c r="Q53" s="100" t="inlineStr">
        <is>
          <t>11/11</t>
        </is>
      </c>
      <c r="R53" s="111" t="n">
        <v>35.122</v>
      </c>
      <c r="S53" s="111" t="n">
        <v>34.483</v>
      </c>
      <c r="T53" s="111" t="n">
        <v>33.725</v>
      </c>
      <c r="U53" s="111" t="n">
        <v>32.855</v>
      </c>
      <c r="V53" s="111" t="n">
        <v>31.832</v>
      </c>
      <c r="W53" s="111" t="n">
        <v>33.076</v>
      </c>
      <c r="X53" s="111" t="n">
        <v>30.171</v>
      </c>
      <c r="Y53" s="111" t="n">
        <v>27.143</v>
      </c>
      <c r="Z53" s="111" t="n">
        <v>26.834</v>
      </c>
      <c r="AA53" s="111" t="n">
        <v>26.74</v>
      </c>
      <c r="AB53" s="111" t="n">
        <v>27.229</v>
      </c>
      <c r="AC53" s="100" t="inlineStr">
        <is>
          <t>Preenche a lacuna existente de desemprego juvenil.</t>
        </is>
      </c>
    </row>
    <row r="54">
      <c r="A54" s="100" t="inlineStr">
        <is>
          <t>6. Mercado de Trabalho</t>
        </is>
      </c>
      <c r="B54" s="100" t="inlineStr">
        <is>
          <t>6. Mercado Trabalho</t>
        </is>
      </c>
      <c r="C54" s="100" t="inlineStr">
        <is>
          <t>Participação na força de trabalho</t>
        </is>
      </c>
      <c r="D54" s="100" t="inlineStr">
        <is>
          <t>Complementar</t>
        </is>
      </c>
      <c r="E54" s="100" t="inlineStr">
        <is>
          <t>SL.TLF.CACT.ZS</t>
        </is>
      </c>
      <c r="F54" s="100" t="inlineStr">
        <is>
          <t>Labor force participation rate, total (% of total population ages 15+) (modeled ILO estimate)</t>
        </is>
      </c>
      <c r="G54" s="100" t="inlineStr">
        <is>
          <t>Banco Mundial/OIT</t>
        </is>
      </c>
      <c r="H54" s="109" t="inlineStr">
        <is>
          <t>https://data.worldbank.org/indicator/SL.TLF.CACT.ZS?locations=AO</t>
        </is>
      </c>
      <c r="I54" s="100" t="inlineStr">
        <is>
          <t>%</t>
        </is>
      </c>
      <c r="J54" s="100" t="inlineStr">
        <is>
          <t>+</t>
        </is>
      </c>
      <c r="K54" s="100" t="n">
        <v>0</v>
      </c>
      <c r="L54" s="100" t="n">
        <v>100</v>
      </c>
      <c r="M54" s="100" t="n">
        <v>70</v>
      </c>
      <c r="N54" s="100" t="n">
        <v>1</v>
      </c>
      <c r="O54" s="100" t="inlineStr">
        <is>
          <t>Alta</t>
        </is>
      </c>
      <c r="P54" s="100" t="inlineStr">
        <is>
          <t>Preenchido via Banco Mundial API/CSV</t>
        </is>
      </c>
      <c r="Q54" s="100" t="inlineStr">
        <is>
          <t>11/11</t>
        </is>
      </c>
      <c r="R54" s="111" t="n">
        <v>76.187</v>
      </c>
      <c r="S54" s="111" t="n">
        <v>75.899</v>
      </c>
      <c r="T54" s="111" t="n">
        <v>75.60899999999999</v>
      </c>
      <c r="U54" s="111" t="n">
        <v>75.316</v>
      </c>
      <c r="V54" s="111" t="n">
        <v>75.021</v>
      </c>
      <c r="W54" s="111" t="n">
        <v>73.319</v>
      </c>
      <c r="X54" s="111" t="n">
        <v>76.372</v>
      </c>
      <c r="Y54" s="111" t="n">
        <v>75.247</v>
      </c>
      <c r="Z54" s="111" t="n">
        <v>74.892</v>
      </c>
      <c r="AA54" s="111" t="n">
        <v>74.881</v>
      </c>
      <c r="AB54" s="111" t="n">
        <v>74.786</v>
      </c>
      <c r="AC54" s="100" t="inlineStr">
        <is>
          <t>Ajuda a interpretar desemprego junto com atividade laboral.</t>
        </is>
      </c>
    </row>
    <row r="55">
      <c r="A55" s="100" t="inlineStr">
        <is>
          <t>6. Mercado de Trabalho</t>
        </is>
      </c>
      <c r="B55" s="100" t="inlineStr">
        <is>
          <t>6. Mercado Trabalho</t>
        </is>
      </c>
      <c r="C55" s="100" t="inlineStr">
        <is>
          <t>Emprego vulnerável</t>
        </is>
      </c>
      <c r="D55" s="100" t="inlineStr">
        <is>
          <t>Complementar</t>
        </is>
      </c>
      <c r="E55" s="100" t="inlineStr">
        <is>
          <t>SL.EMP.VULN.ZS</t>
        </is>
      </c>
      <c r="F55" s="100" t="inlineStr">
        <is>
          <t>Vulnerable employment, total (% of total employment) (modeled ILO estimate)</t>
        </is>
      </c>
      <c r="G55" s="100" t="inlineStr">
        <is>
          <t>Banco Mundial/OIT</t>
        </is>
      </c>
      <c r="H55" s="109" t="inlineStr">
        <is>
          <t>https://data.worldbank.org/indicator/SL.EMP.VULN.ZS?locations=AO</t>
        </is>
      </c>
      <c r="I55" s="100" t="inlineStr">
        <is>
          <t>%</t>
        </is>
      </c>
      <c r="J55" s="100" t="inlineStr">
        <is>
          <t>-</t>
        </is>
      </c>
      <c r="K55" s="100" t="n">
        <v>0</v>
      </c>
      <c r="L55" s="100" t="n">
        <v>100</v>
      </c>
      <c r="M55" s="100" t="n">
        <v>50</v>
      </c>
      <c r="N55" s="100" t="n">
        <v>1</v>
      </c>
      <c r="O55" s="100" t="inlineStr">
        <is>
          <t>Alta</t>
        </is>
      </c>
      <c r="P55" s="100" t="inlineStr">
        <is>
          <t>Preenchido via Banco Mundial API/CSV</t>
        </is>
      </c>
      <c r="Q55" s="100" t="inlineStr">
        <is>
          <t>11/11</t>
        </is>
      </c>
      <c r="R55" s="111" t="n">
        <v>65.2627838048266</v>
      </c>
      <c r="S55" s="111" t="n">
        <v>65.2247980488231</v>
      </c>
      <c r="T55" s="111" t="n">
        <v>65.2211179561194</v>
      </c>
      <c r="U55" s="111" t="n">
        <v>65.26018894209071</v>
      </c>
      <c r="V55" s="111" t="n">
        <v>65.2690021312481</v>
      </c>
      <c r="W55" s="111" t="n">
        <v>65.9410906429964</v>
      </c>
      <c r="X55" s="111" t="n">
        <v>65.7930821615419</v>
      </c>
      <c r="Y55" s="111" t="n">
        <v>66.312487849522</v>
      </c>
      <c r="Z55" s="111" t="n">
        <v>66.30957435457709</v>
      </c>
      <c r="AA55" s="111" t="n">
        <v>66.2335410114565</v>
      </c>
      <c r="AB55" s="111" t="n">
        <v>66.2665952765539</v>
      </c>
      <c r="AC55" s="100" t="inlineStr">
        <is>
          <t>Qualidade do emprego; boa alternativa a informalidade quando esta estiver incompleta.</t>
        </is>
      </c>
    </row>
    <row r="56">
      <c r="A56" s="100" t="inlineStr">
        <is>
          <t>6. Mercado de Trabalho</t>
        </is>
      </c>
      <c r="B56" s="100" t="inlineStr">
        <is>
          <t>6. Mercado Trabalho</t>
        </is>
      </c>
      <c r="C56" s="100" t="inlineStr">
        <is>
          <t>Trabalhadores assalariados</t>
        </is>
      </c>
      <c r="D56" s="100" t="inlineStr">
        <is>
          <t>Complementar</t>
        </is>
      </c>
      <c r="E56" s="100" t="inlineStr">
        <is>
          <t>SL.EMP.WORK.ZS</t>
        </is>
      </c>
      <c r="F56" s="100" t="inlineStr">
        <is>
          <t>Wage and salaried workers, total (% of total employment) (modeled ILO estimate)</t>
        </is>
      </c>
      <c r="G56" s="100" t="inlineStr">
        <is>
          <t>Banco Mundial/OIT</t>
        </is>
      </c>
      <c r="H56" s="109" t="inlineStr">
        <is>
          <t>https://data.worldbank.org/indicator/SL.EMP.WORK.ZS?locations=AO</t>
        </is>
      </c>
      <c r="I56" s="100" t="inlineStr">
        <is>
          <t>% emprego total</t>
        </is>
      </c>
      <c r="J56" s="100" t="inlineStr">
        <is>
          <t>+</t>
        </is>
      </c>
      <c r="K56" s="100" t="n">
        <v>0</v>
      </c>
      <c r="L56" s="100" t="n">
        <v>100</v>
      </c>
      <c r="M56" s="100" t="n">
        <v>50</v>
      </c>
      <c r="N56" s="100" t="n">
        <v>1</v>
      </c>
      <c r="O56" s="100" t="inlineStr">
        <is>
          <t>Alta</t>
        </is>
      </c>
      <c r="P56" s="100" t="inlineStr">
        <is>
          <t>Preenchido via Banco Mundial API/CSV</t>
        </is>
      </c>
      <c r="Q56" s="100" t="inlineStr">
        <is>
          <t>11/11</t>
        </is>
      </c>
      <c r="R56" s="111" t="n">
        <v>25.4089966047181</v>
      </c>
      <c r="S56" s="111" t="n">
        <v>25.3856627348342</v>
      </c>
      <c r="T56" s="111" t="n">
        <v>25.3269957783597</v>
      </c>
      <c r="U56" s="111" t="n">
        <v>25.2221428486562</v>
      </c>
      <c r="V56" s="111" t="n">
        <v>25.1526346403042</v>
      </c>
      <c r="W56" s="111" t="n">
        <v>24.5781029253489</v>
      </c>
      <c r="X56" s="111" t="n">
        <v>24.690894820249</v>
      </c>
      <c r="Y56" s="111" t="n">
        <v>24.1548789834013</v>
      </c>
      <c r="Z56" s="111" t="n">
        <v>24.1070868145093</v>
      </c>
      <c r="AA56" s="111" t="n">
        <v>24.1421508499038</v>
      </c>
      <c r="AB56" s="111" t="n">
        <v>24.0950404415573</v>
      </c>
      <c r="AC56" s="100" t="inlineStr">
        <is>
          <t>Proxy de formalização/estrutura moderna do emprego.</t>
        </is>
      </c>
    </row>
    <row r="57">
      <c r="A57" s="100" t="inlineStr">
        <is>
          <t>6. Mercado de Trabalho</t>
        </is>
      </c>
      <c r="B57" s="100" t="inlineStr">
        <is>
          <t>6. Mercado Trabalho</t>
        </is>
      </c>
      <c r="C57" s="100" t="inlineStr">
        <is>
          <t>Emprego na agricultura</t>
        </is>
      </c>
      <c r="D57" s="100" t="inlineStr">
        <is>
          <t>Complementar</t>
        </is>
      </c>
      <c r="E57" s="100" t="inlineStr">
        <is>
          <t>SL.AGR.EMPL.ZS</t>
        </is>
      </c>
      <c r="F57" s="100" t="inlineStr">
        <is>
          <t>Employment in agriculture (% of total employment) (modeled ILO estimate)</t>
        </is>
      </c>
      <c r="G57" s="100" t="inlineStr">
        <is>
          <t>Banco Mundial/OIT</t>
        </is>
      </c>
      <c r="H57" s="109" t="inlineStr">
        <is>
          <t>https://data.worldbank.org/indicator/SL.AGR.EMPL.ZS?locations=AO</t>
        </is>
      </c>
      <c r="I57" s="100" t="inlineStr">
        <is>
          <t>% emprego total</t>
        </is>
      </c>
      <c r="J57" s="100" t="inlineStr">
        <is>
          <t>-</t>
        </is>
      </c>
      <c r="K57" s="100" t="n">
        <v>0</v>
      </c>
      <c r="L57" s="100" t="n">
        <v>100</v>
      </c>
      <c r="M57" s="100" t="n">
        <v>35</v>
      </c>
      <c r="N57" s="100" t="n">
        <v>1</v>
      </c>
      <c r="O57" s="100" t="inlineStr">
        <is>
          <t>Média</t>
        </is>
      </c>
      <c r="P57" s="100" t="inlineStr">
        <is>
          <t>Preenchido via Banco Mundial API/CSV</t>
        </is>
      </c>
      <c r="Q57" s="100" t="inlineStr">
        <is>
          <t>11/11</t>
        </is>
      </c>
      <c r="R57" s="111" t="n">
        <v>52.7002102229648</v>
      </c>
      <c r="S57" s="111" t="n">
        <v>52.9213208559868</v>
      </c>
      <c r="T57" s="111" t="n">
        <v>53.0089425135627</v>
      </c>
      <c r="U57" s="111" t="n">
        <v>53.3091413100302</v>
      </c>
      <c r="V57" s="111" t="n">
        <v>53.423323354571</v>
      </c>
      <c r="W57" s="111" t="n">
        <v>55.5597336500376</v>
      </c>
      <c r="X57" s="111" t="n">
        <v>56.7075087680521</v>
      </c>
      <c r="Y57" s="111" t="n">
        <v>52.4847584954688</v>
      </c>
      <c r="Z57" s="111" t="n">
        <v>52.4066285799356</v>
      </c>
      <c r="AA57" s="111" t="n">
        <v>52.1547470916591</v>
      </c>
      <c r="AB57" s="111" t="n">
        <v>51.94938948899</v>
      </c>
      <c r="AC57" s="100" t="inlineStr">
        <is>
          <t>Proxy de transformação estrutural; deve ser lido com produtividade agrícola.</t>
        </is>
      </c>
    </row>
    <row r="58">
      <c r="A58" s="100" t="inlineStr">
        <is>
          <t>6. Mercado de Trabalho</t>
        </is>
      </c>
      <c r="B58" s="100" t="inlineStr">
        <is>
          <t>6. Mercado Trabalho</t>
        </is>
      </c>
      <c r="C58" s="100" t="inlineStr">
        <is>
          <t>PIB por pessoa empregada</t>
        </is>
      </c>
      <c r="D58" s="100" t="inlineStr">
        <is>
          <t>Substituto</t>
        </is>
      </c>
      <c r="E58" s="100" t="inlineStr">
        <is>
          <t>SL.GDP.PCAP.EM.KD</t>
        </is>
      </c>
      <c r="F58" s="100" t="inlineStr">
        <is>
          <t>GDP per person employed (constant 2021 PPP $)</t>
        </is>
      </c>
      <c r="G58" s="100" t="inlineStr">
        <is>
          <t>Banco Mundial/OIT</t>
        </is>
      </c>
      <c r="H58" s="109" t="inlineStr">
        <is>
          <t>https://data.worldbank.org/indicator/SL.GDP.PCAP.EM.KD?locations=AO</t>
        </is>
      </c>
      <c r="I58" s="100" t="inlineStr">
        <is>
          <t>USD PPP constantes</t>
        </is>
      </c>
      <c r="J58" s="100" t="inlineStr">
        <is>
          <t>+</t>
        </is>
      </c>
      <c r="K58" s="100" t="n">
        <v>1000</v>
      </c>
      <c r="L58" s="100" t="n">
        <v>50000</v>
      </c>
      <c r="M58" s="100" t="n">
        <v>12000</v>
      </c>
      <c r="N58" s="100" t="n">
        <v>1</v>
      </c>
      <c r="O58" s="100" t="inlineStr">
        <is>
          <t>Alta</t>
        </is>
      </c>
      <c r="P58" s="100" t="inlineStr">
        <is>
          <t>Preenchido via Banco Mundial API/CSV</t>
        </is>
      </c>
      <c r="Q58" s="100" t="inlineStr">
        <is>
          <t>10/11</t>
        </is>
      </c>
      <c r="R58" s="111" t="n">
        <v>32713.472952979</v>
      </c>
      <c r="S58" s="111" t="n">
        <v>31187.4718656878</v>
      </c>
      <c r="T58" s="111" t="n">
        <v>30171.6575044905</v>
      </c>
      <c r="U58" s="111" t="n">
        <v>29053.3348953266</v>
      </c>
      <c r="V58" s="111" t="n">
        <v>28059.9533940627</v>
      </c>
      <c r="W58" s="111" t="n">
        <v>26682.7933954204</v>
      </c>
      <c r="X58" s="111" t="n">
        <v>25015.8558860116</v>
      </c>
      <c r="Y58" s="111" t="n">
        <v>25072.6000048665</v>
      </c>
      <c r="Z58" s="111" t="n">
        <v>24631.96462192</v>
      </c>
      <c r="AA58" s="111" t="n">
        <v>24845.8137735601</v>
      </c>
      <c r="AB58" s="100" t="n"/>
      <c r="AC58" s="100" t="inlineStr">
        <is>
          <t>Preenche crescimento de produtividade com uma medida de nível anual.</t>
        </is>
      </c>
    </row>
    <row r="59">
      <c r="A59" s="100" t="inlineStr">
        <is>
          <t>6. Mercado de Trabalho</t>
        </is>
      </c>
      <c r="B59" s="100" t="inlineStr">
        <is>
          <t>6. Mercado Trabalho</t>
        </is>
      </c>
      <c r="C59" s="100" t="inlineStr">
        <is>
          <t>Jovens NEET</t>
        </is>
      </c>
      <c r="D59" s="100" t="inlineStr">
        <is>
          <t>Complementar</t>
        </is>
      </c>
      <c r="E59" s="100" t="inlineStr">
        <is>
          <t>SL.UEM.NEET.ZS</t>
        </is>
      </c>
      <c r="F59" s="100" t="inlineStr">
        <is>
          <t>Share of youth not in education, employment or training, total (% of youth population)</t>
        </is>
      </c>
      <c r="G59" s="100" t="inlineStr">
        <is>
          <t>Banco Mundial/OIT</t>
        </is>
      </c>
      <c r="H59" s="109" t="inlineStr">
        <is>
          <t>https://data.worldbank.org/indicator/SL.UEM.NEET.ZS?locations=AO</t>
        </is>
      </c>
      <c r="I59" s="100" t="inlineStr">
        <is>
          <t>%</t>
        </is>
      </c>
      <c r="J59" s="100" t="inlineStr">
        <is>
          <t>-</t>
        </is>
      </c>
      <c r="K59" s="100" t="n">
        <v>0</v>
      </c>
      <c r="L59" s="100" t="n">
        <v>70</v>
      </c>
      <c r="M59" s="100" t="n">
        <v>25</v>
      </c>
      <c r="N59" s="100" t="n">
        <v>1</v>
      </c>
      <c r="O59" s="100" t="inlineStr">
        <is>
          <t>Alta</t>
        </is>
      </c>
      <c r="P59" s="100" t="inlineStr">
        <is>
          <t>Preenchido via Banco Mundial API/CSV</t>
        </is>
      </c>
      <c r="Q59" s="100" t="inlineStr">
        <is>
          <t>6/11</t>
        </is>
      </c>
      <c r="R59" s="100" t="n"/>
      <c r="S59" s="100" t="n"/>
      <c r="T59" s="100" t="n"/>
      <c r="U59" s="100" t="n"/>
      <c r="V59" s="111" t="n">
        <v>22.922</v>
      </c>
      <c r="W59" s="111" t="n">
        <v>27.286</v>
      </c>
      <c r="X59" s="111" t="n">
        <v>28.126</v>
      </c>
      <c r="Y59" s="111" t="n">
        <v>24.766</v>
      </c>
      <c r="Z59" s="111" t="n">
        <v>21.383</v>
      </c>
      <c r="AA59" s="111" t="n">
        <v>24.564</v>
      </c>
      <c r="AB59" s="100" t="n"/>
      <c r="AC59" s="100" t="inlineStr">
        <is>
          <t>Indicador concorrente do desemprego juvenil porque inclui jovens fora da força de trabalho.</t>
        </is>
      </c>
    </row>
    <row r="60">
      <c r="A60" s="100" t="inlineStr">
        <is>
          <t>6. Mercado de Trabalho</t>
        </is>
      </c>
      <c r="B60" s="100" t="inlineStr">
        <is>
          <t>6. Mercado Trabalho</t>
        </is>
      </c>
      <c r="C60" s="100" t="inlineStr">
        <is>
          <t>Emprego informal fora da agricultura</t>
        </is>
      </c>
      <c r="D60" s="100" t="inlineStr">
        <is>
          <t>Complementar</t>
        </is>
      </c>
      <c r="E60" s="100" t="inlineStr"/>
      <c r="F60" s="100" t="inlineStr"/>
      <c r="G60" s="100" t="inlineStr">
        <is>
          <t>INE/OIT ILOSTAT</t>
        </is>
      </c>
      <c r="H60" s="109" t="inlineStr">
        <is>
          <t>https://ilostat.ilo.org/data/</t>
        </is>
      </c>
      <c r="I60" s="100" t="inlineStr">
        <is>
          <t>% emprego</t>
        </is>
      </c>
      <c r="J60" s="100" t="inlineStr">
        <is>
          <t>-</t>
        </is>
      </c>
      <c r="K60" s="100" t="n">
        <v>0</v>
      </c>
      <c r="L60" s="100" t="n">
        <v>100</v>
      </c>
      <c r="M60" s="100" t="n">
        <v>55</v>
      </c>
      <c r="N60" s="100" t="n">
        <v>1</v>
      </c>
      <c r="O60" s="100" t="inlineStr">
        <is>
          <t>Alta</t>
        </is>
      </c>
      <c r="P60" s="113" t="inlineStr">
        <is>
          <t>Sem código/API; recolha manual</t>
        </is>
      </c>
      <c r="Q60" s="100" t="inlineStr">
        <is>
          <t>0/11</t>
        </is>
      </c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  <c r="AA60" s="100" t="n"/>
      <c r="AB60" s="100" t="n"/>
      <c r="AC60" s="100" t="inlineStr">
        <is>
          <t>Mantém a dimensão de informalidade, idealmente com microdados/inquéritos nacionais.</t>
        </is>
      </c>
    </row>
    <row r="61">
      <c r="A61" s="100" t="inlineStr">
        <is>
          <t>7. Segurança Alimentar e Saúde</t>
        </is>
      </c>
      <c r="B61" s="100" t="inlineStr">
        <is>
          <t>7. Seg. Alimentar/Saúde</t>
        </is>
      </c>
      <c r="C61" s="100" t="inlineStr">
        <is>
          <t>Insegurança alimentar moderada ou severa</t>
        </is>
      </c>
      <c r="D61" s="100" t="inlineStr">
        <is>
          <t>Substituto/Complementar</t>
        </is>
      </c>
      <c r="E61" s="100" t="inlineStr">
        <is>
          <t>SN.ITK.MSFI.ZS</t>
        </is>
      </c>
      <c r="F61" s="100" t="inlineStr">
        <is>
          <t>Prevalence of moderate or severe food insecurity in the population (%)</t>
        </is>
      </c>
      <c r="G61" s="100" t="inlineStr">
        <is>
          <t>Banco Mundial/FAO</t>
        </is>
      </c>
      <c r="H61" s="109" t="inlineStr">
        <is>
          <t>https://data.worldbank.org/indicator/SN.ITK.MSFI.ZS?locations=AO</t>
        </is>
      </c>
      <c r="I61" s="100" t="inlineStr">
        <is>
          <t>%</t>
        </is>
      </c>
      <c r="J61" s="100" t="inlineStr">
        <is>
          <t>-</t>
        </is>
      </c>
      <c r="K61" s="100" t="n">
        <v>0</v>
      </c>
      <c r="L61" s="100" t="n">
        <v>100</v>
      </c>
      <c r="M61" s="100" t="n">
        <v>45</v>
      </c>
      <c r="N61" s="100" t="n">
        <v>1</v>
      </c>
      <c r="O61" s="100" t="inlineStr">
        <is>
          <t>Alta</t>
        </is>
      </c>
      <c r="P61" s="100" t="inlineStr">
        <is>
          <t>Preenchido via Banco Mundial API/CSV</t>
        </is>
      </c>
      <c r="Q61" s="100" t="inlineStr">
        <is>
          <t>3/11</t>
        </is>
      </c>
      <c r="R61" s="100" t="n"/>
      <c r="S61" s="100" t="n"/>
      <c r="T61" s="100" t="n"/>
      <c r="U61" s="100" t="n"/>
      <c r="V61" s="111" t="n">
        <v>73.5</v>
      </c>
      <c r="W61" s="111" t="n">
        <v>77.7</v>
      </c>
      <c r="X61" s="111" t="n">
        <v>78.5</v>
      </c>
      <c r="Y61" s="100" t="n"/>
      <c r="Z61" s="100" t="n"/>
      <c r="AA61" s="100" t="n"/>
      <c r="AB61" s="100" t="n"/>
      <c r="AC61" s="100" t="inlineStr">
        <is>
          <t>Alternativa aberta ao índice proprietário de segurança alimentar.</t>
        </is>
      </c>
    </row>
    <row r="62">
      <c r="A62" s="100" t="inlineStr">
        <is>
          <t>7. Segurança Alimentar e Saúde</t>
        </is>
      </c>
      <c r="B62" s="100" t="inlineStr">
        <is>
          <t>7. Seg. Alimentar/Saúde</t>
        </is>
      </c>
      <c r="C62" s="100" t="inlineStr">
        <is>
          <t>Prevalência de subalimentação</t>
        </is>
      </c>
      <c r="D62" s="100" t="inlineStr">
        <is>
          <t>Substituto</t>
        </is>
      </c>
      <c r="E62" s="100" t="inlineStr">
        <is>
          <t>SN.ITK.DEFC.ZS</t>
        </is>
      </c>
      <c r="F62" s="100" t="inlineStr">
        <is>
          <t>Prevalence of undernourishment (% of population)</t>
        </is>
      </c>
      <c r="G62" s="100" t="inlineStr">
        <is>
          <t>Banco Mundial/FAO</t>
        </is>
      </c>
      <c r="H62" s="109" t="inlineStr">
        <is>
          <t>https://data.worldbank.org/indicator/SN.ITK.DEFC.ZS?locations=AO</t>
        </is>
      </c>
      <c r="I62" s="100" t="inlineStr">
        <is>
          <t>%</t>
        </is>
      </c>
      <c r="J62" s="100" t="inlineStr">
        <is>
          <t>-</t>
        </is>
      </c>
      <c r="K62" s="100" t="n">
        <v>0</v>
      </c>
      <c r="L62" s="100" t="n">
        <v>60</v>
      </c>
      <c r="M62" s="100" t="n">
        <v>20</v>
      </c>
      <c r="N62" s="100" t="n">
        <v>1</v>
      </c>
      <c r="O62" s="100" t="inlineStr">
        <is>
          <t>Alta</t>
        </is>
      </c>
      <c r="P62" s="100" t="inlineStr">
        <is>
          <t>Preenchido via Banco Mundial API/CSV</t>
        </is>
      </c>
      <c r="Q62" s="100" t="inlineStr">
        <is>
          <t>9/11</t>
        </is>
      </c>
      <c r="R62" s="111" t="n">
        <v>14.2</v>
      </c>
      <c r="S62" s="111" t="n">
        <v>15.2</v>
      </c>
      <c r="T62" s="111" t="n">
        <v>15.4</v>
      </c>
      <c r="U62" s="111" t="n">
        <v>15.9</v>
      </c>
      <c r="V62" s="111" t="n">
        <v>18.2</v>
      </c>
      <c r="W62" s="111" t="n">
        <v>20.8</v>
      </c>
      <c r="X62" s="111" t="n">
        <v>22.6</v>
      </c>
      <c r="Y62" s="111" t="n">
        <v>23.1</v>
      </c>
      <c r="Z62" s="111" t="n">
        <v>22.5</v>
      </c>
      <c r="AA62" s="100" t="n"/>
      <c r="AB62" s="100" t="n"/>
      <c r="AC62" s="100" t="inlineStr">
        <is>
          <t>Série FAO comparável para segurança alimentar.</t>
        </is>
      </c>
    </row>
    <row r="63">
      <c r="A63" s="100" t="inlineStr">
        <is>
          <t>7. Segurança Alimentar e Saúde</t>
        </is>
      </c>
      <c r="B63" s="100" t="inlineStr">
        <is>
          <t>7. Seg. Alimentar/Saúde</t>
        </is>
      </c>
      <c r="C63" s="100" t="inlineStr">
        <is>
          <t>Atraso de crescimento infantil</t>
        </is>
      </c>
      <c r="D63" s="100" t="inlineStr">
        <is>
          <t>Complementar</t>
        </is>
      </c>
      <c r="E63" s="100" t="inlineStr">
        <is>
          <t>SH.STA.STNT.ZS</t>
        </is>
      </c>
      <c r="F63" s="100" t="inlineStr">
        <is>
          <t>Prevalence of stunting, height for age (% of children under 5)</t>
        </is>
      </c>
      <c r="G63" s="100" t="inlineStr">
        <is>
          <t>Banco Mundial/OMS/UNICEF</t>
        </is>
      </c>
      <c r="H63" s="109" t="inlineStr">
        <is>
          <t>https://data.worldbank.org/indicator/SH.STA.STNT.ZS?locations=AO</t>
        </is>
      </c>
      <c r="I63" s="100" t="inlineStr">
        <is>
          <t>% crianças &lt;5</t>
        </is>
      </c>
      <c r="J63" s="100" t="inlineStr">
        <is>
          <t>-</t>
        </is>
      </c>
      <c r="K63" s="100" t="n">
        <v>0</v>
      </c>
      <c r="L63" s="100" t="n">
        <v>60</v>
      </c>
      <c r="M63" s="100" t="n">
        <v>25</v>
      </c>
      <c r="N63" s="100" t="n">
        <v>1</v>
      </c>
      <c r="O63" s="100" t="inlineStr">
        <is>
          <t>Média</t>
        </is>
      </c>
      <c r="P63" s="100" t="inlineStr">
        <is>
          <t>Preenchido via Banco Mundial API/CSV</t>
        </is>
      </c>
      <c r="Q63" s="100" t="inlineStr">
        <is>
          <t>1/11</t>
        </is>
      </c>
      <c r="R63" s="111" t="n">
        <v>37.6</v>
      </c>
      <c r="S63" s="100" t="n"/>
      <c r="T63" s="100" t="n"/>
      <c r="U63" s="100" t="n"/>
      <c r="V63" s="100" t="n"/>
      <c r="W63" s="100" t="n"/>
      <c r="X63" s="100" t="n"/>
      <c r="Y63" s="100" t="n"/>
      <c r="Z63" s="100" t="n"/>
      <c r="AA63" s="100" t="n"/>
      <c r="AB63" s="100" t="n"/>
      <c r="AC63" s="100" t="inlineStr">
        <is>
          <t>Mede nutrição crónica infantil.</t>
        </is>
      </c>
    </row>
    <row r="64">
      <c r="A64" s="100" t="inlineStr">
        <is>
          <t>7. Segurança Alimentar e Saúde</t>
        </is>
      </c>
      <c r="B64" s="100" t="inlineStr">
        <is>
          <t>7. Seg. Alimentar/Saúde</t>
        </is>
      </c>
      <c r="C64" s="100" t="inlineStr">
        <is>
          <t>Emaciação infantil</t>
        </is>
      </c>
      <c r="D64" s="100" t="inlineStr">
        <is>
          <t>Complementar</t>
        </is>
      </c>
      <c r="E64" s="100" t="inlineStr">
        <is>
          <t>SH.STA.WAST.ZS</t>
        </is>
      </c>
      <c r="F64" s="100" t="inlineStr">
        <is>
          <t>Prevalence of wasting, weight for height (% of children under 5)</t>
        </is>
      </c>
      <c r="G64" s="100" t="inlineStr">
        <is>
          <t>Banco Mundial/OMS/UNICEF</t>
        </is>
      </c>
      <c r="H64" s="109" t="inlineStr">
        <is>
          <t>https://data.worldbank.org/indicator/SH.STA.WAST.ZS?locations=AO</t>
        </is>
      </c>
      <c r="I64" s="100" t="inlineStr">
        <is>
          <t>% crianças &lt;5</t>
        </is>
      </c>
      <c r="J64" s="100" t="inlineStr">
        <is>
          <t>-</t>
        </is>
      </c>
      <c r="K64" s="100" t="n">
        <v>0</v>
      </c>
      <c r="L64" s="100" t="n">
        <v>25</v>
      </c>
      <c r="M64" s="100" t="n">
        <v>5</v>
      </c>
      <c r="N64" s="100" t="n">
        <v>1</v>
      </c>
      <c r="O64" s="100" t="inlineStr">
        <is>
          <t>Média</t>
        </is>
      </c>
      <c r="P64" s="100" t="inlineStr">
        <is>
          <t>Preenchido via Banco Mundial API/CSV</t>
        </is>
      </c>
      <c r="Q64" s="100" t="inlineStr">
        <is>
          <t>1/11</t>
        </is>
      </c>
      <c r="R64" s="111" t="n">
        <v>4.9</v>
      </c>
      <c r="S64" s="100" t="n"/>
      <c r="T64" s="100" t="n"/>
      <c r="U64" s="100" t="n"/>
      <c r="V64" s="100" t="n"/>
      <c r="W64" s="100" t="n"/>
      <c r="X64" s="100" t="n"/>
      <c r="Y64" s="100" t="n"/>
      <c r="Z64" s="100" t="n"/>
      <c r="AA64" s="100" t="n"/>
      <c r="AB64" s="100" t="n"/>
      <c r="AC64" s="100" t="inlineStr">
        <is>
          <t>Mede nutrição aguda e choque alimentar/saúde.</t>
        </is>
      </c>
    </row>
    <row r="65">
      <c r="A65" s="100" t="inlineStr">
        <is>
          <t>7. Segurança Alimentar e Saúde</t>
        </is>
      </c>
      <c r="B65" s="100" t="inlineStr">
        <is>
          <t>7. Seg. Alimentar/Saúde</t>
        </is>
      </c>
      <c r="C65" s="100" t="inlineStr">
        <is>
          <t>Mortalidade de menores de 5 anos</t>
        </is>
      </c>
      <c r="D65" s="100" t="inlineStr">
        <is>
          <t>Complementar</t>
        </is>
      </c>
      <c r="E65" s="100" t="inlineStr">
        <is>
          <t>SH.DYN.MORT</t>
        </is>
      </c>
      <c r="F65" s="100" t="inlineStr">
        <is>
          <t>Mortality rate, under-5 (per 1,000 live births)</t>
        </is>
      </c>
      <c r="G65" s="100" t="inlineStr">
        <is>
          <t>Banco Mundial/UNICEF</t>
        </is>
      </c>
      <c r="H65" s="109" t="inlineStr">
        <is>
          <t>https://data.worldbank.org/indicator/SH.DYN.MORT?locations=AO</t>
        </is>
      </c>
      <c r="I65" s="100" t="inlineStr">
        <is>
          <t>por 1000</t>
        </is>
      </c>
      <c r="J65" s="100" t="inlineStr">
        <is>
          <t>-</t>
        </is>
      </c>
      <c r="K65" s="100" t="n">
        <v>0</v>
      </c>
      <c r="L65" s="100" t="n">
        <v>200</v>
      </c>
      <c r="M65" s="100" t="n">
        <v>50</v>
      </c>
      <c r="N65" s="100" t="n">
        <v>1</v>
      </c>
      <c r="O65" s="100" t="inlineStr">
        <is>
          <t>Alta</t>
        </is>
      </c>
      <c r="P65" s="100" t="inlineStr">
        <is>
          <t>Preenchido via Banco Mundial API/CSV</t>
        </is>
      </c>
      <c r="Q65" s="100" t="inlineStr">
        <is>
          <t>10/11</t>
        </is>
      </c>
      <c r="R65" s="111" t="n">
        <v>61.8</v>
      </c>
      <c r="S65" s="111" t="n">
        <v>59.6</v>
      </c>
      <c r="T65" s="111" t="n">
        <v>57.9</v>
      </c>
      <c r="U65" s="111" t="n">
        <v>56.5</v>
      </c>
      <c r="V65" s="111" t="n">
        <v>55.3</v>
      </c>
      <c r="W65" s="111" t="n">
        <v>54.2</v>
      </c>
      <c r="X65" s="111" t="n">
        <v>53.2</v>
      </c>
      <c r="Y65" s="111" t="n">
        <v>51.9</v>
      </c>
      <c r="Z65" s="111" t="n">
        <v>50.5</v>
      </c>
      <c r="AA65" s="111" t="n">
        <v>49</v>
      </c>
      <c r="AB65" s="100" t="n"/>
      <c r="AC65" s="100" t="inlineStr">
        <is>
          <t>Mais abrangente que mortalidade infantil isolada.</t>
        </is>
      </c>
    </row>
    <row r="66">
      <c r="A66" s="100" t="inlineStr">
        <is>
          <t>7. Segurança Alimentar e Saúde</t>
        </is>
      </c>
      <c r="B66" s="100" t="inlineStr">
        <is>
          <t>7. Seg. Alimentar/Saúde</t>
        </is>
      </c>
      <c r="C66" s="100" t="inlineStr">
        <is>
          <t>Cobertura universal de saúde - UHC service coverage index</t>
        </is>
      </c>
      <c r="D66" s="100" t="inlineStr">
        <is>
          <t>Complementar</t>
        </is>
      </c>
      <c r="E66" s="100" t="inlineStr">
        <is>
          <t>SH.UHC.SRVS.CV.XD</t>
        </is>
      </c>
      <c r="F66" s="100" t="inlineStr">
        <is>
          <t>UHC service coverage index</t>
        </is>
      </c>
      <c r="G66" s="100" t="inlineStr">
        <is>
          <t>Banco Mundial/OMS</t>
        </is>
      </c>
      <c r="H66" s="109" t="inlineStr">
        <is>
          <t>https://data.worldbank.org/indicator/SH.UHC.SRVS.CV.XD?locations=AO</t>
        </is>
      </c>
      <c r="I66" s="100" t="inlineStr">
        <is>
          <t>0-100</t>
        </is>
      </c>
      <c r="J66" s="100" t="inlineStr">
        <is>
          <t>+</t>
        </is>
      </c>
      <c r="K66" s="100" t="n">
        <v>0</v>
      </c>
      <c r="L66" s="100" t="n">
        <v>100</v>
      </c>
      <c r="M66" s="100" t="n">
        <v>55</v>
      </c>
      <c r="N66" s="100" t="n">
        <v>1</v>
      </c>
      <c r="O66" s="100" t="inlineStr">
        <is>
          <t>Baixa</t>
        </is>
      </c>
      <c r="P66" s="100" t="inlineStr">
        <is>
          <t>Preenchido via Banco Mundial API/CSV</t>
        </is>
      </c>
      <c r="Q66" s="100" t="inlineStr">
        <is>
          <t>4/11</t>
        </is>
      </c>
      <c r="R66" s="111" t="n">
        <v>2022</v>
      </c>
      <c r="S66" s="100" t="n"/>
      <c r="T66" s="111" t="n">
        <v>1632</v>
      </c>
      <c r="U66" s="100" t="n"/>
      <c r="V66" s="111" t="n">
        <v>936</v>
      </c>
      <c r="W66" s="100" t="n"/>
      <c r="X66" s="111" t="n">
        <v>592</v>
      </c>
      <c r="Y66" s="100" t="n"/>
      <c r="Z66" s="100" t="n"/>
      <c r="AA66" s="100" t="n"/>
      <c r="AB66" s="100" t="n"/>
      <c r="AC66" s="100" t="inlineStr">
        <is>
          <t>Sintetiza cobertura efetiva de serviços essenciais. Usar como benchmark de qualidade; a cobertura anual para Angola é limitada.</t>
        </is>
      </c>
    </row>
    <row r="67">
      <c r="A67" s="100" t="inlineStr">
        <is>
          <t>7. Segurança Alimentar e Saúde</t>
        </is>
      </c>
      <c r="B67" s="100" t="inlineStr">
        <is>
          <t>7. Seg. Alimentar/Saúde</t>
        </is>
      </c>
      <c r="C67" s="100" t="inlineStr">
        <is>
          <t>Vacinação DPT</t>
        </is>
      </c>
      <c r="D67" s="100" t="inlineStr">
        <is>
          <t>Substituto/Complementar</t>
        </is>
      </c>
      <c r="E67" s="100" t="inlineStr">
        <is>
          <t>SH.IMM.IDPT</t>
        </is>
      </c>
      <c r="F67" s="100" t="inlineStr">
        <is>
          <t>Immunization, DPT (% of children ages 12-23 months)</t>
        </is>
      </c>
      <c r="G67" s="100" t="inlineStr">
        <is>
          <t>Banco Mundial/OMS/UNICEF</t>
        </is>
      </c>
      <c r="H67" s="109" t="inlineStr">
        <is>
          <t>https://data.worldbank.org/indicator/SH.IMM.IDPT?locations=AO</t>
        </is>
      </c>
      <c r="I67" s="100" t="inlineStr">
        <is>
          <t>% crianças 12-23m</t>
        </is>
      </c>
      <c r="J67" s="100" t="inlineStr">
        <is>
          <t>+</t>
        </is>
      </c>
      <c r="K67" s="100" t="n">
        <v>0</v>
      </c>
      <c r="L67" s="100" t="n">
        <v>100</v>
      </c>
      <c r="M67" s="100" t="n">
        <v>85</v>
      </c>
      <c r="N67" s="100" t="n">
        <v>1</v>
      </c>
      <c r="O67" s="100" t="inlineStr">
        <is>
          <t>Alta</t>
        </is>
      </c>
      <c r="P67" s="100" t="inlineStr">
        <is>
          <t>Preenchido via Banco Mundial API/CSV</t>
        </is>
      </c>
      <c r="Q67" s="100" t="inlineStr">
        <is>
          <t>10/11</t>
        </is>
      </c>
      <c r="R67" s="111" t="n">
        <v>57</v>
      </c>
      <c r="S67" s="111" t="n">
        <v>59</v>
      </c>
      <c r="T67" s="111" t="n">
        <v>58</v>
      </c>
      <c r="U67" s="111" t="n">
        <v>67</v>
      </c>
      <c r="V67" s="111" t="n">
        <v>64</v>
      </c>
      <c r="W67" s="111" t="n">
        <v>59</v>
      </c>
      <c r="X67" s="111" t="n">
        <v>55</v>
      </c>
      <c r="Y67" s="111" t="n">
        <v>54</v>
      </c>
      <c r="Z67" s="111" t="n">
        <v>66</v>
      </c>
      <c r="AA67" s="111" t="n">
        <v>64</v>
      </c>
      <c r="AB67" s="100" t="n"/>
      <c r="AC67" s="100" t="inlineStr">
        <is>
          <t>Pode complementar a cobertura vacinal geral com indicador padronizado.</t>
        </is>
      </c>
    </row>
    <row r="68">
      <c r="A68" s="100" t="inlineStr">
        <is>
          <t>7. Segurança Alimentar e Saúde</t>
        </is>
      </c>
      <c r="B68" s="100" t="inlineStr">
        <is>
          <t>7. Seg. Alimentar/Saúde</t>
        </is>
      </c>
      <c r="C68" s="100" t="inlineStr">
        <is>
          <t>Despesa corrente em saúde (% PIB)</t>
        </is>
      </c>
      <c r="D68" s="100" t="inlineStr">
        <is>
          <t>Substituto</t>
        </is>
      </c>
      <c r="E68" s="100" t="inlineStr">
        <is>
          <t>SH.XPD.CHEX.GD.ZS</t>
        </is>
      </c>
      <c r="F68" s="100" t="inlineStr">
        <is>
          <t>Current health expenditure (% of GDP)</t>
        </is>
      </c>
      <c r="G68" s="100" t="inlineStr">
        <is>
          <t>Banco Mundial/OMS</t>
        </is>
      </c>
      <c r="H68" s="109" t="inlineStr">
        <is>
          <t>https://data.worldbank.org/indicator/SH.XPD.CHEX.GD.ZS?locations=AO</t>
        </is>
      </c>
      <c r="I68" s="100" t="inlineStr">
        <is>
          <t>%</t>
        </is>
      </c>
      <c r="J68" s="100" t="inlineStr">
        <is>
          <t>+</t>
        </is>
      </c>
      <c r="K68" s="100" t="n">
        <v>0</v>
      </c>
      <c r="L68" s="100" t="n">
        <v>15</v>
      </c>
      <c r="M68" s="100" t="n">
        <v>5</v>
      </c>
      <c r="N68" s="100" t="n">
        <v>1</v>
      </c>
      <c r="O68" s="100" t="inlineStr">
        <is>
          <t>Alta</t>
        </is>
      </c>
      <c r="P68" s="100" t="inlineStr">
        <is>
          <t>Preenchido via Banco Mundial API/CSV</t>
        </is>
      </c>
      <c r="Q68" s="100" t="inlineStr">
        <is>
          <t>9/11</t>
        </is>
      </c>
      <c r="R68" s="111" t="n">
        <v>2.29966879</v>
      </c>
      <c r="S68" s="111" t="n">
        <v>2.39068723</v>
      </c>
      <c r="T68" s="111" t="n">
        <v>2.4379425</v>
      </c>
      <c r="U68" s="111" t="n">
        <v>2.29887486</v>
      </c>
      <c r="V68" s="111" t="n">
        <v>2.20394278</v>
      </c>
      <c r="W68" s="111" t="n">
        <v>2.81688905</v>
      </c>
      <c r="X68" s="111" t="n">
        <v>2.73987103</v>
      </c>
      <c r="Y68" s="111" t="n">
        <v>2.60041046</v>
      </c>
      <c r="Z68" s="111" t="n">
        <v>2.54692864</v>
      </c>
      <c r="AA68" s="100" t="n"/>
      <c r="AB68" s="100" t="n"/>
      <c r="AC68" s="100" t="inlineStr">
        <is>
          <t>Fonte internacional padronizada para a linha já existente.</t>
        </is>
      </c>
    </row>
    <row r="69">
      <c r="A69" s="100" t="inlineStr">
        <is>
          <t>7. Segurança Alimentar e Saúde</t>
        </is>
      </c>
      <c r="B69" s="100" t="inlineStr">
        <is>
          <t>7. Seg. Alimentar/Saúde</t>
        </is>
      </c>
      <c r="C69" s="100" t="inlineStr">
        <is>
          <t>Médicos por 1000 habitantes</t>
        </is>
      </c>
      <c r="D69" s="100" t="inlineStr">
        <is>
          <t>Complementar</t>
        </is>
      </c>
      <c r="E69" s="100" t="inlineStr">
        <is>
          <t>SH.MED.PHYS.ZS</t>
        </is>
      </c>
      <c r="F69" s="100" t="inlineStr">
        <is>
          <t>Physicians (per 1,000 people)</t>
        </is>
      </c>
      <c r="G69" s="100" t="inlineStr">
        <is>
          <t>Banco Mundial/OMS</t>
        </is>
      </c>
      <c r="H69" s="109" t="inlineStr">
        <is>
          <t>https://data.worldbank.org/indicator/SH.MED.PHYS.ZS?locations=AO</t>
        </is>
      </c>
      <c r="I69" s="100" t="inlineStr">
        <is>
          <t>por 1000</t>
        </is>
      </c>
      <c r="J69" s="100" t="inlineStr">
        <is>
          <t>+</t>
        </is>
      </c>
      <c r="K69" s="100" t="n">
        <v>0</v>
      </c>
      <c r="L69" s="100" t="n">
        <v>5</v>
      </c>
      <c r="M69" s="100" t="n">
        <v>1</v>
      </c>
      <c r="N69" s="100" t="n">
        <v>1</v>
      </c>
      <c r="O69" s="100" t="inlineStr">
        <is>
          <t>Média</t>
        </is>
      </c>
      <c r="P69" s="100" t="inlineStr">
        <is>
          <t>Preenchido via Banco Mundial API/CSV</t>
        </is>
      </c>
      <c r="Q69" s="100" t="inlineStr">
        <is>
          <t>3/11</t>
        </is>
      </c>
      <c r="R69" s="100" t="n"/>
      <c r="S69" s="100" t="n"/>
      <c r="T69" s="111" t="n">
        <v>0.212</v>
      </c>
      <c r="U69" s="111" t="n">
        <v>0.211</v>
      </c>
      <c r="V69" s="100" t="n"/>
      <c r="W69" s="100" t="n"/>
      <c r="X69" s="100" t="n"/>
      <c r="Y69" s="111" t="n">
        <v>0.244</v>
      </c>
      <c r="Z69" s="100" t="n"/>
      <c r="AA69" s="100" t="n"/>
      <c r="AB69" s="100" t="n"/>
      <c r="AC69" s="100" t="inlineStr">
        <is>
          <t>Complementa camas hospitalares com capacidade humana do sistema.</t>
        </is>
      </c>
    </row>
    <row r="70">
      <c r="A70" s="100" t="inlineStr">
        <is>
          <t>7. Segurança Alimentar e Saúde</t>
        </is>
      </c>
      <c r="B70" s="100" t="inlineStr">
        <is>
          <t>7. Seg. Alimentar/Saúde</t>
        </is>
      </c>
      <c r="C70" s="100" t="inlineStr">
        <is>
          <t>Camas hospitalares por 1000 habitantes</t>
        </is>
      </c>
      <c r="D70" s="100" t="inlineStr">
        <is>
          <t>Substituto</t>
        </is>
      </c>
      <c r="E70" s="100" t="inlineStr">
        <is>
          <t>SH.MED.BEDS.ZS</t>
        </is>
      </c>
      <c r="F70" s="100" t="inlineStr">
        <is>
          <t>Hospital beds (per 1,000 people)</t>
        </is>
      </c>
      <c r="G70" s="100" t="inlineStr">
        <is>
          <t>Banco Mundial/OMS</t>
        </is>
      </c>
      <c r="H70" s="109" t="inlineStr">
        <is>
          <t>https://data.worldbank.org/indicator/SH.MED.BEDS.ZS?locations=AO</t>
        </is>
      </c>
      <c r="I70" s="100" t="inlineStr">
        <is>
          <t>por 1000</t>
        </is>
      </c>
      <c r="J70" s="100" t="inlineStr">
        <is>
          <t>+</t>
        </is>
      </c>
      <c r="K70" s="100" t="n">
        <v>0</v>
      </c>
      <c r="L70" s="100" t="n">
        <v>10</v>
      </c>
      <c r="M70" s="100" t="n">
        <v>2</v>
      </c>
      <c r="N70" s="100" t="n">
        <v>1</v>
      </c>
      <c r="O70" s="100" t="inlineStr">
        <is>
          <t>Alta</t>
        </is>
      </c>
      <c r="P70" s="100" t="inlineStr">
        <is>
          <t>Preenchido via Banco Mundial API/CSV</t>
        </is>
      </c>
      <c r="Q70" s="100" t="inlineStr">
        <is>
          <t>1/11</t>
        </is>
      </c>
      <c r="R70" s="100" t="n"/>
      <c r="S70" s="100" t="n"/>
      <c r="T70" s="100" t="n"/>
      <c r="U70" s="100" t="n"/>
      <c r="V70" s="111" t="n">
        <v>0.75</v>
      </c>
      <c r="W70" s="100" t="n"/>
      <c r="X70" s="100" t="n"/>
      <c r="Y70" s="100" t="n"/>
      <c r="Z70" s="100" t="n"/>
      <c r="AA70" s="100" t="n"/>
      <c r="AB70" s="100" t="n"/>
      <c r="AC70" s="100" t="inlineStr">
        <is>
          <t>Fonte alternativa para preencher a série com baixa cobertura.</t>
        </is>
      </c>
    </row>
    <row r="71">
      <c r="A71" s="100" t="inlineStr">
        <is>
          <t>7. Segurança Alimentar e Saúde</t>
        </is>
      </c>
      <c r="B71" s="100" t="inlineStr">
        <is>
          <t>7. Seg. Alimentar/Saúde</t>
        </is>
      </c>
      <c r="C71" s="100" t="inlineStr">
        <is>
          <t>Índice de produção alimentar</t>
        </is>
      </c>
      <c r="D71" s="100" t="inlineStr">
        <is>
          <t>Complementar</t>
        </is>
      </c>
      <c r="E71" s="100" t="inlineStr">
        <is>
          <t>AG.PRD.FOOD.XD</t>
        </is>
      </c>
      <c r="F71" s="100" t="inlineStr">
        <is>
          <t>Food production index (2014-2016 = 100)</t>
        </is>
      </c>
      <c r="G71" s="100" t="inlineStr">
        <is>
          <t>Banco Mundial/FAO</t>
        </is>
      </c>
      <c r="H71" s="109" t="inlineStr">
        <is>
          <t>https://data.worldbank.org/indicator/AG.PRD.FOOD.XD?locations=AO</t>
        </is>
      </c>
      <c r="I71" s="100" t="inlineStr">
        <is>
          <t>2014-2016=100</t>
        </is>
      </c>
      <c r="J71" s="100" t="inlineStr">
        <is>
          <t>+</t>
        </is>
      </c>
      <c r="K71" s="100" t="n">
        <v>50</v>
      </c>
      <c r="L71" s="100" t="n">
        <v>150</v>
      </c>
      <c r="M71" s="100" t="n">
        <v>110</v>
      </c>
      <c r="N71" s="100" t="n">
        <v>1</v>
      </c>
      <c r="O71" s="100" t="inlineStr">
        <is>
          <t>Média</t>
        </is>
      </c>
      <c r="P71" s="100" t="inlineStr">
        <is>
          <t>Preenchido via Banco Mundial API/CSV</t>
        </is>
      </c>
      <c r="Q71" s="100" t="inlineStr">
        <is>
          <t>8/11</t>
        </is>
      </c>
      <c r="R71" s="111" t="n">
        <v>100.7</v>
      </c>
      <c r="S71" s="111" t="n">
        <v>104.88</v>
      </c>
      <c r="T71" s="111" t="n">
        <v>105.13</v>
      </c>
      <c r="U71" s="111" t="n">
        <v>107.35</v>
      </c>
      <c r="V71" s="111" t="n">
        <v>110.28</v>
      </c>
      <c r="W71" s="111" t="n">
        <v>114.88</v>
      </c>
      <c r="X71" s="111" t="n">
        <v>117.5</v>
      </c>
      <c r="Y71" s="111" t="n">
        <v>124.09</v>
      </c>
      <c r="Z71" s="100" t="n"/>
      <c r="AA71" s="100" t="n"/>
      <c r="AB71" s="100" t="n"/>
      <c r="AC71" s="100" t="inlineStr">
        <is>
          <t>Acompanha disponibilidade doméstica de alimentos.</t>
        </is>
      </c>
    </row>
    <row r="72">
      <c r="A72" s="100" t="inlineStr">
        <is>
          <t>7. Segurança Alimentar e Saúde</t>
        </is>
      </c>
      <c r="B72" s="100" t="inlineStr">
        <is>
          <t>7. Seg. Alimentar/Saúde</t>
        </is>
      </c>
      <c r="C72" s="100" t="inlineStr">
        <is>
          <t>Rendimento cerealífero</t>
        </is>
      </c>
      <c r="D72" s="100" t="inlineStr">
        <is>
          <t>Complementar</t>
        </is>
      </c>
      <c r="E72" s="100" t="inlineStr">
        <is>
          <t>AG.YLD.CREL.KG</t>
        </is>
      </c>
      <c r="F72" s="100" t="inlineStr">
        <is>
          <t>Cereal yield (kg per hectare)</t>
        </is>
      </c>
      <c r="G72" s="100" t="inlineStr">
        <is>
          <t>Banco Mundial/FAO</t>
        </is>
      </c>
      <c r="H72" s="109" t="inlineStr">
        <is>
          <t>https://data.worldbank.org/indicator/AG.YLD.CREL.KG?locations=AO</t>
        </is>
      </c>
      <c r="I72" s="100" t="inlineStr">
        <is>
          <t>kg/ha</t>
        </is>
      </c>
      <c r="J72" s="100" t="inlineStr">
        <is>
          <t>+</t>
        </is>
      </c>
      <c r="K72" s="100" t="n">
        <v>0</v>
      </c>
      <c r="L72" s="100" t="n">
        <v>6000</v>
      </c>
      <c r="M72" s="100" t="n">
        <v>2000</v>
      </c>
      <c r="N72" s="100" t="n">
        <v>1</v>
      </c>
      <c r="O72" s="100" t="inlineStr">
        <is>
          <t>Média</t>
        </is>
      </c>
      <c r="P72" s="100" t="inlineStr">
        <is>
          <t>Preenchido via Banco Mundial API/CSV</t>
        </is>
      </c>
      <c r="Q72" s="100" t="inlineStr">
        <is>
          <t>9/11</t>
        </is>
      </c>
      <c r="R72" s="111" t="n">
        <v>982.3</v>
      </c>
      <c r="S72" s="111" t="n">
        <v>852.3</v>
      </c>
      <c r="T72" s="111" t="n">
        <v>809.2</v>
      </c>
      <c r="U72" s="111" t="n">
        <v>948.3</v>
      </c>
      <c r="V72" s="111" t="n">
        <v>961.1</v>
      </c>
      <c r="W72" s="111" t="n">
        <v>984.8</v>
      </c>
      <c r="X72" s="111" t="n">
        <v>996.1</v>
      </c>
      <c r="Y72" s="111" t="n">
        <v>1033</v>
      </c>
      <c r="Z72" s="111" t="n">
        <v>1061.8</v>
      </c>
      <c r="AA72" s="100" t="n"/>
      <c r="AB72" s="100" t="n"/>
      <c r="AC72" s="100" t="inlineStr">
        <is>
          <t>Proxy de produtividade agrícola e segurança alimentar.</t>
        </is>
      </c>
    </row>
  </sheetData>
  <autoFilter ref="A4:AC72"/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</hyperlinks>
  <pageMargins left="0.75" right="0.75" top="1" bottom="1" header="0.5" footer="0.5"/>
  <tableParts count="1">
    <tablePart xmlns:r="http://schemas.openxmlformats.org/officeDocument/2006/relationships" r:id="rId69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style="50" min="1" max="1"/>
    <col width="44" customWidth="1" style="50" min="2" max="2"/>
    <col width="18" customWidth="1" style="50" min="3" max="3"/>
    <col width="10" customWidth="1" style="50" min="4" max="4"/>
    <col width="18" customWidth="1" style="50" min="5" max="5"/>
    <col width="12" customWidth="1" style="50" min="6" max="6"/>
    <col width="12" customWidth="1" style="50" min="7" max="7"/>
    <col width="14" customWidth="1" style="50" min="8" max="8"/>
    <col width="10" customWidth="1" style="50" min="9" max="9"/>
    <col width="20" customWidth="1" style="50" min="10" max="10"/>
    <col width="26" customWidth="1" style="50" min="11" max="11"/>
  </cols>
  <sheetData>
    <row r="1">
      <c r="A1" s="97" t="inlineStr">
        <is>
          <t>Parâmetros da base alargada</t>
        </is>
      </c>
    </row>
    <row r="2">
      <c r="A2" t="inlineStr">
        <is>
          <t>Limiar de cobertura mínima por subíndice</t>
        </is>
      </c>
      <c r="B2" t="n">
        <v>0.5</v>
      </c>
    </row>
    <row r="3">
      <c r="A3" t="inlineStr">
        <is>
          <t>Nº mínimo de subíndices para calcular IGDA alargado</t>
        </is>
      </c>
      <c r="B3" t="n">
        <v>4</v>
      </c>
    </row>
    <row r="5">
      <c r="A5" s="107" t="inlineStr">
        <is>
          <t>Dimensão</t>
        </is>
      </c>
      <c r="B5" s="107" t="inlineStr">
        <is>
          <t>Indicador</t>
        </is>
      </c>
      <c r="C5" s="107" t="inlineStr">
        <is>
          <t>Código</t>
        </is>
      </c>
      <c r="D5" s="107" t="inlineStr">
        <is>
          <t>Sentido</t>
        </is>
      </c>
      <c r="E5" s="107" t="inlineStr">
        <is>
          <t>Unidade</t>
        </is>
      </c>
      <c r="F5" s="107" t="inlineStr">
        <is>
          <t>Mínimo</t>
        </is>
      </c>
      <c r="G5" s="107" t="inlineStr">
        <is>
          <t>Máximo</t>
        </is>
      </c>
      <c r="H5" s="107" t="inlineStr">
        <is>
          <t>Meta 2027</t>
        </is>
      </c>
      <c r="I5" s="107" t="inlineStr">
        <is>
          <t>Peso</t>
        </is>
      </c>
      <c r="J5" s="107" t="inlineStr">
        <is>
          <t>Tipo</t>
        </is>
      </c>
      <c r="K5" s="107" t="inlineStr">
        <is>
          <t>Fonte</t>
        </is>
      </c>
    </row>
    <row r="6">
      <c r="A6" s="100" t="inlineStr">
        <is>
          <t>1. Governança e Estado de Direito</t>
        </is>
      </c>
      <c r="B6" s="100" t="inlineStr">
        <is>
          <t>Índice de Percepção da Corrupção</t>
        </is>
      </c>
      <c r="C6" s="100" t="inlineStr"/>
      <c r="D6" s="100" t="inlineStr">
        <is>
          <t>+</t>
        </is>
      </c>
      <c r="E6" s="100" t="inlineStr">
        <is>
          <t>0-100</t>
        </is>
      </c>
      <c r="F6" s="100" t="n">
        <v>0</v>
      </c>
      <c r="G6" s="100" t="n">
        <v>100</v>
      </c>
      <c r="H6" s="100" t="n">
        <v>35</v>
      </c>
      <c r="I6" s="100" t="n">
        <v>1</v>
      </c>
      <c r="J6" s="100" t="inlineStr">
        <is>
          <t>Atual no modelo</t>
        </is>
      </c>
      <c r="K6" s="100" t="inlineStr">
        <is>
          <t>Transparency Int.</t>
        </is>
      </c>
    </row>
    <row r="7">
      <c r="A7" s="100" t="inlineStr">
        <is>
          <t>1. Governança e Estado de Direito</t>
        </is>
      </c>
      <c r="B7" s="100" t="inlineStr">
        <is>
          <t>WGI - Estado de Direito</t>
        </is>
      </c>
      <c r="C7" s="100" t="inlineStr">
        <is>
          <t>RL.EST</t>
        </is>
      </c>
      <c r="D7" s="100" t="inlineStr">
        <is>
          <t>+</t>
        </is>
      </c>
      <c r="E7" s="100" t="inlineStr">
        <is>
          <t>-2.5 a 2.5</t>
        </is>
      </c>
      <c r="F7" s="100" t="n">
        <v>-2.5</v>
      </c>
      <c r="G7" s="100" t="n">
        <v>2.5</v>
      </c>
      <c r="H7" s="100" t="n">
        <v>0</v>
      </c>
      <c r="I7" s="100" t="n">
        <v>1</v>
      </c>
      <c r="J7" s="100" t="inlineStr">
        <is>
          <t>Atual no modelo</t>
        </is>
      </c>
      <c r="K7" s="100" t="inlineStr">
        <is>
          <t>Banco Mundial</t>
        </is>
      </c>
    </row>
    <row r="8">
      <c r="A8" s="100" t="inlineStr">
        <is>
          <t>1. Governança e Estado de Direito</t>
        </is>
      </c>
      <c r="B8" s="100" t="inlineStr">
        <is>
          <t>WGI - Eficiência do Governo</t>
        </is>
      </c>
      <c r="C8" s="100" t="inlineStr">
        <is>
          <t>GE.EST</t>
        </is>
      </c>
      <c r="D8" s="100" t="inlineStr">
        <is>
          <t>+</t>
        </is>
      </c>
      <c r="E8" s="100" t="inlineStr">
        <is>
          <t>-2.5 a 2.5</t>
        </is>
      </c>
      <c r="F8" s="100" t="n">
        <v>-2.5</v>
      </c>
      <c r="G8" s="100" t="n">
        <v>2.5</v>
      </c>
      <c r="H8" s="100" t="n">
        <v>0</v>
      </c>
      <c r="I8" s="100" t="n">
        <v>1</v>
      </c>
      <c r="J8" s="100" t="inlineStr">
        <is>
          <t>Atual no modelo</t>
        </is>
      </c>
      <c r="K8" s="100" t="inlineStr">
        <is>
          <t>Banco Mundial</t>
        </is>
      </c>
    </row>
    <row r="9">
      <c r="A9" s="100" t="inlineStr">
        <is>
          <t>1. Governança e Estado de Direito</t>
        </is>
      </c>
      <c r="B9" s="100" t="inlineStr">
        <is>
          <t>Estabilidade Política (WGI)</t>
        </is>
      </c>
      <c r="C9" s="100" t="inlineStr">
        <is>
          <t>PV.EST</t>
        </is>
      </c>
      <c r="D9" s="100" t="inlineStr">
        <is>
          <t>+</t>
        </is>
      </c>
      <c r="E9" s="100" t="inlineStr">
        <is>
          <t>-2.5 a 2.5</t>
        </is>
      </c>
      <c r="F9" s="100" t="n">
        <v>-2.5</v>
      </c>
      <c r="G9" s="100" t="n">
        <v>2.5</v>
      </c>
      <c r="H9" s="100" t="n">
        <v>0</v>
      </c>
      <c r="I9" s="100" t="n">
        <v>1</v>
      </c>
      <c r="J9" s="100" t="inlineStr">
        <is>
          <t>Atual no modelo</t>
        </is>
      </c>
      <c r="K9" s="100" t="inlineStr">
        <is>
          <t>Banco Mundial</t>
        </is>
      </c>
    </row>
    <row r="10">
      <c r="A10" s="100" t="inlineStr">
        <is>
          <t>1. Governança e Estado de Direito</t>
        </is>
      </c>
      <c r="B10" s="100" t="inlineStr">
        <is>
          <t>Doing Business / Ease of Business</t>
        </is>
      </c>
      <c r="C10" s="100" t="inlineStr"/>
      <c r="D10" s="100" t="inlineStr">
        <is>
          <t>+</t>
        </is>
      </c>
      <c r="E10" s="100" t="inlineStr">
        <is>
          <t>0-100</t>
        </is>
      </c>
      <c r="F10" s="100" t="n">
        <v>0</v>
      </c>
      <c r="G10" s="100" t="n">
        <v>100</v>
      </c>
      <c r="H10" s="100" t="n">
        <v>55</v>
      </c>
      <c r="I10" s="100" t="n">
        <v>1</v>
      </c>
      <c r="J10" s="100" t="inlineStr">
        <is>
          <t>Atual no modelo</t>
        </is>
      </c>
      <c r="K10" s="100" t="inlineStr">
        <is>
          <t>Banco Mundial</t>
        </is>
      </c>
    </row>
    <row r="11">
      <c r="A11" s="100" t="inlineStr">
        <is>
          <t>1. Governança e Estado de Direito</t>
        </is>
      </c>
      <c r="B11" s="100" t="inlineStr">
        <is>
          <t>WGI - Controlo da Corrupção</t>
        </is>
      </c>
      <c r="C11" s="100" t="inlineStr">
        <is>
          <t>CC.EST</t>
        </is>
      </c>
      <c r="D11" s="100" t="inlineStr">
        <is>
          <t>+</t>
        </is>
      </c>
      <c r="E11" s="100" t="inlineStr">
        <is>
          <t>-2.5 a 2.5</t>
        </is>
      </c>
      <c r="F11" s="100" t="n">
        <v>-2.5</v>
      </c>
      <c r="G11" s="100" t="n">
        <v>2.5</v>
      </c>
      <c r="H11" s="100" t="n">
        <v>0</v>
      </c>
      <c r="I11" s="100" t="n">
        <v>1</v>
      </c>
      <c r="J11" s="100" t="inlineStr">
        <is>
          <t>Substituto/Complementar</t>
        </is>
      </c>
      <c r="K11" s="100" t="inlineStr">
        <is>
          <t>WGI/Banco Mundial</t>
        </is>
      </c>
    </row>
    <row r="12">
      <c r="A12" s="100" t="inlineStr">
        <is>
          <t>1. Governança e Estado de Direito</t>
        </is>
      </c>
      <c r="B12" s="100" t="inlineStr">
        <is>
          <t>WGI - Qualidade Regulatória</t>
        </is>
      </c>
      <c r="C12" s="100" t="inlineStr">
        <is>
          <t>RQ.EST</t>
        </is>
      </c>
      <c r="D12" s="100" t="inlineStr">
        <is>
          <t>+</t>
        </is>
      </c>
      <c r="E12" s="100" t="inlineStr">
        <is>
          <t>-2.5 a 2.5</t>
        </is>
      </c>
      <c r="F12" s="100" t="n">
        <v>-2.5</v>
      </c>
      <c r="G12" s="100" t="n">
        <v>2.5</v>
      </c>
      <c r="H12" s="100" t="n">
        <v>0</v>
      </c>
      <c r="I12" s="100" t="n">
        <v>1</v>
      </c>
      <c r="J12" s="100" t="inlineStr">
        <is>
          <t>Substituto</t>
        </is>
      </c>
      <c r="K12" s="100" t="inlineStr">
        <is>
          <t>WGI/Banco Mundial</t>
        </is>
      </c>
    </row>
    <row r="13">
      <c r="A13" s="100" t="inlineStr">
        <is>
          <t>1. Governança e Estado de Direito</t>
        </is>
      </c>
      <c r="B13" s="100" t="inlineStr">
        <is>
          <t>WGI - Voz e Responsabilização</t>
        </is>
      </c>
      <c r="C13" s="100" t="inlineStr">
        <is>
          <t>VA.EST</t>
        </is>
      </c>
      <c r="D13" s="100" t="inlineStr">
        <is>
          <t>+</t>
        </is>
      </c>
      <c r="E13" s="100" t="inlineStr">
        <is>
          <t>-2.5 a 2.5</t>
        </is>
      </c>
      <c r="F13" s="100" t="n">
        <v>-2.5</v>
      </c>
      <c r="G13" s="100" t="n">
        <v>2.5</v>
      </c>
      <c r="H13" s="100" t="n">
        <v>0</v>
      </c>
      <c r="I13" s="100" t="n">
        <v>1</v>
      </c>
      <c r="J13" s="100" t="inlineStr">
        <is>
          <t>Complementar</t>
        </is>
      </c>
      <c r="K13" s="100" t="inlineStr">
        <is>
          <t>WGI/Banco Mundial</t>
        </is>
      </c>
    </row>
    <row r="14">
      <c r="A14" s="100" t="inlineStr">
        <is>
          <t>1. Governança e Estado de Direito</t>
        </is>
      </c>
      <c r="B14" s="100" t="inlineStr">
        <is>
          <t>Índice Ibrahim - Governação Global</t>
        </is>
      </c>
      <c r="C14" s="100" t="inlineStr"/>
      <c r="D14" s="100" t="inlineStr">
        <is>
          <t>+</t>
        </is>
      </c>
      <c r="E14" s="100" t="inlineStr">
        <is>
          <t>0-100</t>
        </is>
      </c>
      <c r="F14" s="100" t="n">
        <v>0</v>
      </c>
      <c r="G14" s="100" t="n">
        <v>100</v>
      </c>
      <c r="H14" s="100" t="n">
        <v>55</v>
      </c>
      <c r="I14" s="100" t="n">
        <v>1</v>
      </c>
      <c r="J14" s="100" t="inlineStr">
        <is>
          <t>Complementar</t>
        </is>
      </c>
      <c r="K14" s="100" t="inlineStr">
        <is>
          <t>Mo Ibrahim Foundation</t>
        </is>
      </c>
    </row>
    <row r="15">
      <c r="A15" s="100" t="inlineStr">
        <is>
          <t>1. Governança e Estado de Direito</t>
        </is>
      </c>
      <c r="B15" s="100" t="inlineStr">
        <is>
          <t>Índice Ibrahim - Segurança e Estado de Direito</t>
        </is>
      </c>
      <c r="C15" s="100" t="inlineStr"/>
      <c r="D15" s="100" t="inlineStr">
        <is>
          <t>+</t>
        </is>
      </c>
      <c r="E15" s="100" t="inlineStr">
        <is>
          <t>0-100</t>
        </is>
      </c>
      <c r="F15" s="100" t="n">
        <v>0</v>
      </c>
      <c r="G15" s="100" t="n">
        <v>100</v>
      </c>
      <c r="H15" s="100" t="n">
        <v>55</v>
      </c>
      <c r="I15" s="100" t="n">
        <v>1</v>
      </c>
      <c r="J15" s="100" t="inlineStr">
        <is>
          <t>Complementar</t>
        </is>
      </c>
      <c r="K15" s="100" t="inlineStr">
        <is>
          <t>Mo Ibrahim Foundation</t>
        </is>
      </c>
    </row>
    <row r="16">
      <c r="A16" s="100" t="inlineStr">
        <is>
          <t>1. Governança e Estado de Direito</t>
        </is>
      </c>
      <c r="B16" s="100" t="inlineStr">
        <is>
          <t>Open Budget Index</t>
        </is>
      </c>
      <c r="C16" s="100" t="inlineStr"/>
      <c r="D16" s="100" t="inlineStr">
        <is>
          <t>+</t>
        </is>
      </c>
      <c r="E16" s="100" t="inlineStr">
        <is>
          <t>0-100</t>
        </is>
      </c>
      <c r="F16" s="100" t="n">
        <v>0</v>
      </c>
      <c r="G16" s="100" t="n">
        <v>100</v>
      </c>
      <c r="H16" s="100" t="n">
        <v>50</v>
      </c>
      <c r="I16" s="100" t="n">
        <v>1</v>
      </c>
      <c r="J16" s="100" t="inlineStr">
        <is>
          <t>Complementar</t>
        </is>
      </c>
      <c r="K16" s="100" t="inlineStr">
        <is>
          <t>International Budget Partnership</t>
        </is>
      </c>
    </row>
    <row r="17">
      <c r="A17" s="100" t="inlineStr">
        <is>
          <t>1. Governança e Estado de Direito</t>
        </is>
      </c>
      <c r="B17" s="100" t="inlineStr">
        <is>
          <t>Empresas solicitadas a fazer pagamentos informais</t>
        </is>
      </c>
      <c r="C17" s="100" t="inlineStr"/>
      <c r="D17" s="100" t="inlineStr">
        <is>
          <t>-</t>
        </is>
      </c>
      <c r="E17" s="100" t="inlineStr">
        <is>
          <t>%</t>
        </is>
      </c>
      <c r="F17" s="100" t="n">
        <v>0</v>
      </c>
      <c r="G17" s="100" t="n">
        <v>100</v>
      </c>
      <c r="H17" s="100" t="n">
        <v>10</v>
      </c>
      <c r="I17" s="100" t="n">
        <v>1</v>
      </c>
      <c r="J17" s="100" t="inlineStr">
        <is>
          <t>Complementar</t>
        </is>
      </c>
      <c r="K17" s="100" t="inlineStr">
        <is>
          <t>World Bank Enterprise Surveys</t>
        </is>
      </c>
    </row>
    <row r="18">
      <c r="A18" s="100" t="inlineStr">
        <is>
          <t>1. Governança e Estado de Direito</t>
        </is>
      </c>
      <c r="B18" s="100" t="inlineStr">
        <is>
          <t>Statistical Performance Index - score geral</t>
        </is>
      </c>
      <c r="C18" s="100" t="inlineStr">
        <is>
          <t>IQ.SPI.OVRL</t>
        </is>
      </c>
      <c r="D18" s="100" t="inlineStr">
        <is>
          <t>+</t>
        </is>
      </c>
      <c r="E18" s="100" t="inlineStr">
        <is>
          <t>0-100</t>
        </is>
      </c>
      <c r="F18" s="100" t="n">
        <v>0</v>
      </c>
      <c r="G18" s="100" t="n">
        <v>100</v>
      </c>
      <c r="H18" s="100" t="n">
        <v>65</v>
      </c>
      <c r="I18" s="100" t="n">
        <v>1</v>
      </c>
      <c r="J18" s="100" t="inlineStr">
        <is>
          <t>Complementar</t>
        </is>
      </c>
      <c r="K18" s="100" t="inlineStr">
        <is>
          <t>Banco Mundial</t>
        </is>
      </c>
    </row>
    <row r="19">
      <c r="A19" s="100" t="inlineStr">
        <is>
          <t>2. Estabilidade Macroeconómica</t>
        </is>
      </c>
      <c r="B19" s="100" t="inlineStr">
        <is>
          <t>Taxa de Crescimento do PIB</t>
        </is>
      </c>
      <c r="C19" s="100" t="inlineStr">
        <is>
          <t>NY.GDP.MKTP.KD.ZG</t>
        </is>
      </c>
      <c r="D19" s="100" t="inlineStr">
        <is>
          <t>+</t>
        </is>
      </c>
      <c r="E19" s="100" t="inlineStr">
        <is>
          <t>%</t>
        </is>
      </c>
      <c r="F19" s="100" t="n">
        <v>-10</v>
      </c>
      <c r="G19" s="100" t="n">
        <v>15</v>
      </c>
      <c r="H19" s="100" t="n">
        <v>5</v>
      </c>
      <c r="I19" s="100" t="n">
        <v>1</v>
      </c>
      <c r="J19" s="100" t="inlineStr">
        <is>
          <t>Atual no modelo</t>
        </is>
      </c>
      <c r="K19" s="100" t="inlineStr">
        <is>
          <t>INE/MEP</t>
        </is>
      </c>
    </row>
    <row r="20">
      <c r="A20" s="100" t="inlineStr">
        <is>
          <t>2. Estabilidade Macroeconómica</t>
        </is>
      </c>
      <c r="B20" s="100" t="inlineStr">
        <is>
          <t>PIB per Capita (USD)</t>
        </is>
      </c>
      <c r="C20" s="100" t="inlineStr">
        <is>
          <t>NY.GDP.PCAP.CD</t>
        </is>
      </c>
      <c r="D20" s="100" t="inlineStr">
        <is>
          <t>+</t>
        </is>
      </c>
      <c r="E20" s="100" t="inlineStr">
        <is>
          <t>USD</t>
        </is>
      </c>
      <c r="F20" s="100" t="n">
        <v>500</v>
      </c>
      <c r="G20" s="100" t="n">
        <v>15000</v>
      </c>
      <c r="H20" s="100" t="n">
        <v>5000</v>
      </c>
      <c r="I20" s="100" t="n">
        <v>1</v>
      </c>
      <c r="J20" s="100" t="inlineStr">
        <is>
          <t>Atual no modelo</t>
        </is>
      </c>
      <c r="K20" s="100" t="inlineStr">
        <is>
          <t>INE/MEP</t>
        </is>
      </c>
    </row>
    <row r="21">
      <c r="A21" s="100" t="inlineStr">
        <is>
          <t>2. Estabilidade Macroeconómica</t>
        </is>
      </c>
      <c r="B21" s="100" t="inlineStr">
        <is>
          <t>Inflação (IPC)</t>
        </is>
      </c>
      <c r="C21" s="100" t="inlineStr">
        <is>
          <t>FP.CPI.TOTL.ZG</t>
        </is>
      </c>
      <c r="D21" s="100" t="inlineStr">
        <is>
          <t>-</t>
        </is>
      </c>
      <c r="E21" s="100" t="inlineStr">
        <is>
          <t>%</t>
        </is>
      </c>
      <c r="F21" s="100" t="n">
        <v>0</v>
      </c>
      <c r="G21" s="100" t="n">
        <v>50</v>
      </c>
      <c r="H21" s="100" t="n">
        <v>10</v>
      </c>
      <c r="I21" s="100" t="n">
        <v>1</v>
      </c>
      <c r="J21" s="100" t="inlineStr">
        <is>
          <t>Atual no modelo</t>
        </is>
      </c>
      <c r="K21" s="100" t="inlineStr">
        <is>
          <t>INE/BNA</t>
        </is>
      </c>
    </row>
    <row r="22">
      <c r="A22" s="100" t="inlineStr">
        <is>
          <t>2. Estabilidade Macroeconómica</t>
        </is>
      </c>
      <c r="B22" s="100" t="inlineStr">
        <is>
          <t>Dívida Pública (% do PIB)</t>
        </is>
      </c>
      <c r="C22" s="100" t="inlineStr">
        <is>
          <t>GC.DOD.TOTL.GD.ZS</t>
        </is>
      </c>
      <c r="D22" s="100" t="inlineStr">
        <is>
          <t>-</t>
        </is>
      </c>
      <c r="E22" s="100" t="inlineStr">
        <is>
          <t>%</t>
        </is>
      </c>
      <c r="F22" s="100" t="n">
        <v>0</v>
      </c>
      <c r="G22" s="100" t="n">
        <v>150</v>
      </c>
      <c r="H22" s="100" t="n">
        <v>60</v>
      </c>
      <c r="I22" s="100" t="n">
        <v>1</v>
      </c>
      <c r="J22" s="100" t="inlineStr">
        <is>
          <t>Atual no modelo</t>
        </is>
      </c>
      <c r="K22" s="100" t="inlineStr">
        <is>
          <t>MINFIN</t>
        </is>
      </c>
    </row>
    <row r="23">
      <c r="A23" s="100" t="inlineStr">
        <is>
          <t>2. Estabilidade Macroeconómica</t>
        </is>
      </c>
      <c r="B23" s="100" t="inlineStr">
        <is>
          <t>Saldo Orçamental (% do PIB)</t>
        </is>
      </c>
      <c r="C23" s="100" t="inlineStr">
        <is>
          <t>GC.BAL.CASH.GD.ZS</t>
        </is>
      </c>
      <c r="D23" s="100" t="inlineStr">
        <is>
          <t>+</t>
        </is>
      </c>
      <c r="E23" s="100" t="inlineStr">
        <is>
          <t>%</t>
        </is>
      </c>
      <c r="F23" s="100" t="n">
        <v>-15</v>
      </c>
      <c r="G23" s="100" t="n">
        <v>10</v>
      </c>
      <c r="H23" s="100" t="n">
        <v>0</v>
      </c>
      <c r="I23" s="100" t="n">
        <v>1</v>
      </c>
      <c r="J23" s="100" t="inlineStr">
        <is>
          <t>Atual no modelo</t>
        </is>
      </c>
      <c r="K23" s="100" t="inlineStr">
        <is>
          <t>MINFIN</t>
        </is>
      </c>
    </row>
    <row r="24">
      <c r="A24" s="100" t="inlineStr">
        <is>
          <t>2. Estabilidade Macroeconómica</t>
        </is>
      </c>
      <c r="B24" s="100" t="inlineStr">
        <is>
          <t>IDE não-petrolífero (% PIB)</t>
        </is>
      </c>
      <c r="C24" s="100" t="inlineStr"/>
      <c r="D24" s="100" t="inlineStr">
        <is>
          <t>+</t>
        </is>
      </c>
      <c r="E24" s="100" t="inlineStr">
        <is>
          <t>%</t>
        </is>
      </c>
      <c r="F24" s="100" t="n">
        <v>0</v>
      </c>
      <c r="G24" s="100" t="n">
        <v>10</v>
      </c>
      <c r="H24" s="100" t="n">
        <v>3</v>
      </c>
      <c r="I24" s="100" t="n">
        <v>1</v>
      </c>
      <c r="J24" s="100" t="inlineStr">
        <is>
          <t>Atual no modelo</t>
        </is>
      </c>
      <c r="K24" s="100" t="inlineStr">
        <is>
          <t>AIPEX/BNA</t>
        </is>
      </c>
    </row>
    <row r="25">
      <c r="A25" s="100" t="inlineStr">
        <is>
          <t>2. Estabilidade Macroeconómica</t>
        </is>
      </c>
      <c r="B25" s="100" t="inlineStr">
        <is>
          <t>Reservas Internacionais (meses)</t>
        </is>
      </c>
      <c r="C25" s="100" t="inlineStr">
        <is>
          <t>FI.RES.TOTL.MO</t>
        </is>
      </c>
      <c r="D25" s="100" t="inlineStr">
        <is>
          <t>+</t>
        </is>
      </c>
      <c r="E25" s="100" t="inlineStr">
        <is>
          <t>Meses</t>
        </is>
      </c>
      <c r="F25" s="100" t="n">
        <v>0</v>
      </c>
      <c r="G25" s="100" t="n">
        <v>12</v>
      </c>
      <c r="H25" s="100" t="n">
        <v>6</v>
      </c>
      <c r="I25" s="100" t="n">
        <v>1</v>
      </c>
      <c r="J25" s="100" t="inlineStr">
        <is>
          <t>Atual no modelo</t>
        </is>
      </c>
      <c r="K25" s="100" t="inlineStr">
        <is>
          <t>BNA</t>
        </is>
      </c>
    </row>
    <row r="26">
      <c r="A26" s="100" t="inlineStr">
        <is>
          <t>2. Estabilidade Macroeconómica</t>
        </is>
      </c>
      <c r="B26" s="100" t="inlineStr">
        <is>
          <t>Saldo da conta corrente (% PIB)</t>
        </is>
      </c>
      <c r="C26" s="100" t="inlineStr">
        <is>
          <t>BN.CAB.XOKA.GD.ZS</t>
        </is>
      </c>
      <c r="D26" s="100" t="inlineStr">
        <is>
          <t>+</t>
        </is>
      </c>
      <c r="E26" s="100" t="inlineStr">
        <is>
          <t>%</t>
        </is>
      </c>
      <c r="F26" s="100" t="n">
        <v>-30</v>
      </c>
      <c r="G26" s="100" t="n">
        <v>30</v>
      </c>
      <c r="H26" s="100" t="n">
        <v>0</v>
      </c>
      <c r="I26" s="100" t="n">
        <v>1</v>
      </c>
      <c r="J26" s="100" t="inlineStr">
        <is>
          <t>Complementar</t>
        </is>
      </c>
      <c r="K26" s="100" t="inlineStr">
        <is>
          <t>Banco Mundial/WDI</t>
        </is>
      </c>
    </row>
    <row r="27">
      <c r="A27" s="100" t="inlineStr">
        <is>
          <t>2. Estabilidade Macroeconómica</t>
        </is>
      </c>
      <c r="B27" s="100" t="inlineStr">
        <is>
          <t>Receita fiscal (% PIB)</t>
        </is>
      </c>
      <c r="C27" s="100" t="inlineStr">
        <is>
          <t>GC.TAX.TOTL.GD.ZS</t>
        </is>
      </c>
      <c r="D27" s="100" t="inlineStr">
        <is>
          <t>+</t>
        </is>
      </c>
      <c r="E27" s="100" t="inlineStr">
        <is>
          <t>%</t>
        </is>
      </c>
      <c r="F27" s="100" t="n">
        <v>0</v>
      </c>
      <c r="G27" s="100" t="n">
        <v>40</v>
      </c>
      <c r="H27" s="100" t="n">
        <v>18</v>
      </c>
      <c r="I27" s="100" t="n">
        <v>1</v>
      </c>
      <c r="J27" s="100" t="inlineStr">
        <is>
          <t>Complementar</t>
        </is>
      </c>
      <c r="K27" s="100" t="inlineStr">
        <is>
          <t>Banco Mundial/WDI</t>
        </is>
      </c>
    </row>
    <row r="28">
      <c r="A28" s="100" t="inlineStr">
        <is>
          <t>2. Estabilidade Macroeconómica</t>
        </is>
      </c>
      <c r="B28" s="100" t="inlineStr">
        <is>
          <t>IDE líquido total (% PIB)</t>
        </is>
      </c>
      <c r="C28" s="100" t="inlineStr">
        <is>
          <t>BX.KLT.DINV.WD.GD.ZS</t>
        </is>
      </c>
      <c r="D28" s="100" t="inlineStr">
        <is>
          <t>+</t>
        </is>
      </c>
      <c r="E28" s="100" t="inlineStr">
        <is>
          <t>%</t>
        </is>
      </c>
      <c r="F28" s="100" t="n">
        <v>-10</v>
      </c>
      <c r="G28" s="100" t="n">
        <v>20</v>
      </c>
      <c r="H28" s="100" t="n">
        <v>5</v>
      </c>
      <c r="I28" s="100" t="n">
        <v>1</v>
      </c>
      <c r="J28" s="100" t="inlineStr">
        <is>
          <t>Substituto</t>
        </is>
      </c>
      <c r="K28" s="100" t="inlineStr">
        <is>
          <t>Banco Mundial/WDI</t>
        </is>
      </c>
    </row>
    <row r="29">
      <c r="A29" s="100" t="inlineStr">
        <is>
          <t>2. Estabilidade Macroeconómica</t>
        </is>
      </c>
      <c r="B29" s="100" t="inlineStr">
        <is>
          <t>Rendas petrolíferas (% PIB)</t>
        </is>
      </c>
      <c r="C29" s="100" t="inlineStr">
        <is>
          <t>NY.GDP.PETR.RT.ZS</t>
        </is>
      </c>
      <c r="D29" s="100" t="inlineStr">
        <is>
          <t>-</t>
        </is>
      </c>
      <c r="E29" s="100" t="inlineStr">
        <is>
          <t>%</t>
        </is>
      </c>
      <c r="F29" s="100" t="n">
        <v>0</v>
      </c>
      <c r="G29" s="100" t="n">
        <v>60</v>
      </c>
      <c r="H29" s="100" t="n">
        <v>15</v>
      </c>
      <c r="I29" s="100" t="n">
        <v>1</v>
      </c>
      <c r="J29" s="100" t="inlineStr">
        <is>
          <t>Complementar</t>
        </is>
      </c>
      <c r="K29" s="100" t="inlineStr">
        <is>
          <t>Banco Mundial/WDI</t>
        </is>
      </c>
    </row>
    <row r="30">
      <c r="A30" s="100" t="inlineStr">
        <is>
          <t>2. Estabilidade Macroeconómica</t>
        </is>
      </c>
      <c r="B30" s="100" t="inlineStr">
        <is>
          <t>Exportações de bens e serviços (% PIB)</t>
        </is>
      </c>
      <c r="C30" s="100" t="inlineStr">
        <is>
          <t>NE.EXP.GNFS.ZS</t>
        </is>
      </c>
      <c r="D30" s="100" t="inlineStr">
        <is>
          <t>+</t>
        </is>
      </c>
      <c r="E30" s="100" t="inlineStr">
        <is>
          <t>%</t>
        </is>
      </c>
      <c r="F30" s="100" t="n">
        <v>0</v>
      </c>
      <c r="G30" s="100" t="n">
        <v>100</v>
      </c>
      <c r="H30" s="100" t="n">
        <v>40</v>
      </c>
      <c r="I30" s="100" t="n">
        <v>1</v>
      </c>
      <c r="J30" s="100" t="inlineStr">
        <is>
          <t>Complementar</t>
        </is>
      </c>
      <c r="K30" s="100" t="inlineStr">
        <is>
          <t>Banco Mundial/WDI</t>
        </is>
      </c>
    </row>
    <row r="31">
      <c r="A31" s="100" t="inlineStr">
        <is>
          <t>2. Estabilidade Macroeconómica</t>
        </is>
      </c>
      <c r="B31" s="100" t="inlineStr">
        <is>
          <t>Reservas internacionais em meses de importações</t>
        </is>
      </c>
      <c r="C31" s="100" t="inlineStr">
        <is>
          <t>FI.RES.TOTL.MO</t>
        </is>
      </c>
      <c r="D31" s="100" t="inlineStr">
        <is>
          <t>+</t>
        </is>
      </c>
      <c r="E31" s="100" t="inlineStr">
        <is>
          <t>Meses</t>
        </is>
      </c>
      <c r="F31" s="100" t="n">
        <v>0</v>
      </c>
      <c r="G31" s="100" t="n">
        <v>12</v>
      </c>
      <c r="H31" s="100" t="n">
        <v>6</v>
      </c>
      <c r="I31" s="100" t="n">
        <v>1</v>
      </c>
      <c r="J31" s="100" t="inlineStr">
        <is>
          <t>Substituto</t>
        </is>
      </c>
      <c r="K31" s="100" t="inlineStr">
        <is>
          <t>Banco Mundial/WDI</t>
        </is>
      </c>
    </row>
    <row r="32">
      <c r="A32" s="100" t="inlineStr">
        <is>
          <t>2. Estabilidade Macroeconómica</t>
        </is>
      </c>
      <c r="B32" s="100" t="inlineStr">
        <is>
          <t>Crédito doméstico ao setor privado (% PIB)</t>
        </is>
      </c>
      <c r="C32" s="100" t="inlineStr">
        <is>
          <t>FS.AST.PRVT.GD.ZS</t>
        </is>
      </c>
      <c r="D32" s="100" t="inlineStr">
        <is>
          <t>+</t>
        </is>
      </c>
      <c r="E32" s="100" t="inlineStr">
        <is>
          <t>%</t>
        </is>
      </c>
      <c r="F32" s="100" t="n">
        <v>0</v>
      </c>
      <c r="G32" s="100" t="n">
        <v>100</v>
      </c>
      <c r="H32" s="100" t="n">
        <v>35</v>
      </c>
      <c r="I32" s="100" t="n">
        <v>1</v>
      </c>
      <c r="J32" s="100" t="inlineStr">
        <is>
          <t>Complementar</t>
        </is>
      </c>
      <c r="K32" s="100" t="inlineStr">
        <is>
          <t>Banco Mundial/WDI</t>
        </is>
      </c>
    </row>
    <row r="33">
      <c r="A33" s="100" t="inlineStr">
        <is>
          <t>2. Estabilidade Macroeconómica</t>
        </is>
      </c>
      <c r="B33" s="100" t="inlineStr">
        <is>
          <t>Crescimento do PIB não petrolífero</t>
        </is>
      </c>
      <c r="C33" s="100" t="inlineStr"/>
      <c r="D33" s="100" t="inlineStr">
        <is>
          <t>+</t>
        </is>
      </c>
      <c r="E33" s="100" t="inlineStr">
        <is>
          <t>%</t>
        </is>
      </c>
      <c r="F33" s="100" t="n">
        <v>-10</v>
      </c>
      <c r="G33" s="100" t="n">
        <v>15</v>
      </c>
      <c r="H33" s="100" t="n">
        <v>5</v>
      </c>
      <c r="I33" s="100" t="n">
        <v>1</v>
      </c>
      <c r="J33" s="100" t="inlineStr">
        <is>
          <t>Complementar</t>
        </is>
      </c>
      <c r="K33" s="100" t="inlineStr">
        <is>
          <t>INE/MEP/BNA</t>
        </is>
      </c>
    </row>
    <row r="34">
      <c r="A34" s="100" t="inlineStr">
        <is>
          <t>2. Estabilidade Macroeconómica</t>
        </is>
      </c>
      <c r="B34" s="100" t="inlineStr">
        <is>
          <t>Volatilidade da taxa de câmbio nominal</t>
        </is>
      </c>
      <c r="C34" s="100" t="inlineStr">
        <is>
          <t>PA.NUS.FCRF</t>
        </is>
      </c>
      <c r="D34" s="100" t="inlineStr">
        <is>
          <t>-</t>
        </is>
      </c>
      <c r="E34" s="100" t="inlineStr">
        <is>
          <t>% variação anual</t>
        </is>
      </c>
      <c r="F34" s="100" t="n">
        <v>0</v>
      </c>
      <c r="G34" s="100" t="n">
        <v>80</v>
      </c>
      <c r="H34" s="100" t="n">
        <v>10</v>
      </c>
      <c r="I34" s="100" t="n">
        <v>1</v>
      </c>
      <c r="J34" s="100" t="inlineStr">
        <is>
          <t>Complementar</t>
        </is>
      </c>
      <c r="K34" s="100" t="inlineStr">
        <is>
          <t>Banco Mundial/WDI ou BNA</t>
        </is>
      </c>
    </row>
    <row r="35">
      <c r="A35" s="100" t="inlineStr">
        <is>
          <t>3. Capital Humano</t>
        </is>
      </c>
      <c r="B35" s="100" t="inlineStr">
        <is>
          <t>Índice de Desenvolvimento Humano</t>
        </is>
      </c>
      <c r="C35" s="100" t="inlineStr"/>
      <c r="D35" s="100" t="inlineStr">
        <is>
          <t>+</t>
        </is>
      </c>
      <c r="E35" s="100" t="inlineStr">
        <is>
          <t>0-1</t>
        </is>
      </c>
      <c r="F35" s="100" t="n">
        <v>0</v>
      </c>
      <c r="G35" s="100" t="n">
        <v>1</v>
      </c>
      <c r="H35" s="100" t="n">
        <v>0.6</v>
      </c>
      <c r="I35" s="100" t="n">
        <v>1</v>
      </c>
      <c r="J35" s="100" t="inlineStr">
        <is>
          <t>Atual no modelo</t>
        </is>
      </c>
      <c r="K35" s="100" t="inlineStr">
        <is>
          <t>PNUD</t>
        </is>
      </c>
    </row>
    <row r="36">
      <c r="A36" s="100" t="inlineStr">
        <is>
          <t>3. Capital Humano</t>
        </is>
      </c>
      <c r="B36" s="100" t="inlineStr">
        <is>
          <t>Esperança Média de Vida</t>
        </is>
      </c>
      <c r="C36" s="100" t="inlineStr">
        <is>
          <t>SP.DYN.LE00.IN</t>
        </is>
      </c>
      <c r="D36" s="100" t="inlineStr">
        <is>
          <t>+</t>
        </is>
      </c>
      <c r="E36" s="100" t="inlineStr">
        <is>
          <t>Anos</t>
        </is>
      </c>
      <c r="F36" s="100" t="n">
        <v>40</v>
      </c>
      <c r="G36" s="100" t="n">
        <v>85</v>
      </c>
      <c r="H36" s="100" t="n">
        <v>65</v>
      </c>
      <c r="I36" s="100" t="n">
        <v>1</v>
      </c>
      <c r="J36" s="100" t="inlineStr">
        <is>
          <t>Atual no modelo</t>
        </is>
      </c>
      <c r="K36" s="100" t="inlineStr">
        <is>
          <t>INE/OMS</t>
        </is>
      </c>
    </row>
    <row r="37">
      <c r="A37" s="100" t="inlineStr">
        <is>
          <t>3. Capital Humano</t>
        </is>
      </c>
      <c r="B37" s="100" t="inlineStr">
        <is>
          <t>Taxa de Alfabetização (+15 anos)</t>
        </is>
      </c>
      <c r="C37" s="100" t="inlineStr">
        <is>
          <t>SE.ADT.LITR.ZS</t>
        </is>
      </c>
      <c r="D37" s="100" t="inlineStr">
        <is>
          <t>+</t>
        </is>
      </c>
      <c r="E37" s="100" t="inlineStr">
        <is>
          <t>%</t>
        </is>
      </c>
      <c r="F37" s="100" t="n">
        <v>0</v>
      </c>
      <c r="G37" s="100" t="n">
        <v>100</v>
      </c>
      <c r="H37" s="100" t="n">
        <v>75</v>
      </c>
      <c r="I37" s="100" t="n">
        <v>1</v>
      </c>
      <c r="J37" s="100" t="inlineStr">
        <is>
          <t>Atual no modelo</t>
        </is>
      </c>
      <c r="K37" s="100" t="inlineStr">
        <is>
          <t>INE/MED</t>
        </is>
      </c>
    </row>
    <row r="38">
      <c r="A38" s="100" t="inlineStr">
        <is>
          <t>3. Capital Humano</t>
        </is>
      </c>
      <c r="B38" s="100" t="inlineStr">
        <is>
          <t>Taxa de Matrícula (primário)</t>
        </is>
      </c>
      <c r="C38" s="100" t="inlineStr">
        <is>
          <t>SE.PRM.NENR</t>
        </is>
      </c>
      <c r="D38" s="100" t="inlineStr">
        <is>
          <t>+</t>
        </is>
      </c>
      <c r="E38" s="100" t="inlineStr">
        <is>
          <t>%</t>
        </is>
      </c>
      <c r="F38" s="100" t="n">
        <v>0</v>
      </c>
      <c r="G38" s="100" t="n">
        <v>100</v>
      </c>
      <c r="H38" s="100" t="n">
        <v>95</v>
      </c>
      <c r="I38" s="100" t="n">
        <v>1</v>
      </c>
      <c r="J38" s="100" t="inlineStr">
        <is>
          <t>Atual no modelo</t>
        </is>
      </c>
      <c r="K38" s="100" t="inlineStr">
        <is>
          <t>MED</t>
        </is>
      </c>
    </row>
    <row r="39">
      <c r="A39" s="100" t="inlineStr">
        <is>
          <t>3. Capital Humano</t>
        </is>
      </c>
      <c r="B39" s="100" t="inlineStr">
        <is>
          <t>Anos Médios de Escolaridade</t>
        </is>
      </c>
      <c r="C39" s="100" t="inlineStr"/>
      <c r="D39" s="100" t="inlineStr">
        <is>
          <t>+</t>
        </is>
      </c>
      <c r="E39" s="100" t="inlineStr">
        <is>
          <t>Anos</t>
        </is>
      </c>
      <c r="F39" s="100" t="n">
        <v>0</v>
      </c>
      <c r="G39" s="100" t="n">
        <v>15</v>
      </c>
      <c r="H39" s="100" t="n">
        <v>8</v>
      </c>
      <c r="I39" s="100" t="n">
        <v>1</v>
      </c>
      <c r="J39" s="100" t="inlineStr">
        <is>
          <t>Atual no modelo</t>
        </is>
      </c>
      <c r="K39" s="100" t="inlineStr">
        <is>
          <t>UNESCO</t>
        </is>
      </c>
    </row>
    <row r="40">
      <c r="A40" s="100" t="inlineStr">
        <is>
          <t>3. Capital Humano</t>
        </is>
      </c>
      <c r="B40" s="100" t="inlineStr">
        <is>
          <t>Mortalidade Infantil (por 1000)</t>
        </is>
      </c>
      <c r="C40" s="100" t="inlineStr">
        <is>
          <t>SP.DYN.IMRT.IN</t>
        </is>
      </c>
      <c r="D40" s="100" t="inlineStr">
        <is>
          <t>-</t>
        </is>
      </c>
      <c r="E40" s="100" t="inlineStr">
        <is>
          <t>‰</t>
        </is>
      </c>
      <c r="F40" s="100" t="n">
        <v>0</v>
      </c>
      <c r="G40" s="100" t="n">
        <v>150</v>
      </c>
      <c r="H40" s="100" t="n">
        <v>40</v>
      </c>
      <c r="I40" s="100" t="n">
        <v>1</v>
      </c>
      <c r="J40" s="100" t="inlineStr">
        <is>
          <t>Atual no modelo</t>
        </is>
      </c>
      <c r="K40" s="100" t="inlineStr">
        <is>
          <t>INE/MINSA</t>
        </is>
      </c>
    </row>
    <row r="41">
      <c r="A41" s="100" t="inlineStr">
        <is>
          <t>3. Capital Humano</t>
        </is>
      </c>
      <c r="B41" s="100" t="inlineStr">
        <is>
          <t>Taxa de alfabetização adulta</t>
        </is>
      </c>
      <c r="C41" s="100" t="inlineStr">
        <is>
          <t>SE.ADT.LITR.ZS</t>
        </is>
      </c>
      <c r="D41" s="100" t="inlineStr">
        <is>
          <t>+</t>
        </is>
      </c>
      <c r="E41" s="100" t="inlineStr">
        <is>
          <t>%</t>
        </is>
      </c>
      <c r="F41" s="100" t="n">
        <v>0</v>
      </c>
      <c r="G41" s="100" t="n">
        <v>100</v>
      </c>
      <c r="H41" s="100" t="n">
        <v>75</v>
      </c>
      <c r="I41" s="100" t="n">
        <v>1</v>
      </c>
      <c r="J41" s="100" t="inlineStr">
        <is>
          <t>Substituto</t>
        </is>
      </c>
      <c r="K41" s="100" t="inlineStr">
        <is>
          <t>Banco Mundial/UNESCO</t>
        </is>
      </c>
    </row>
    <row r="42">
      <c r="A42" s="100" t="inlineStr">
        <is>
          <t>3. Capital Humano</t>
        </is>
      </c>
      <c r="B42" s="100" t="inlineStr">
        <is>
          <t>Taxa de conclusão do ensino primário</t>
        </is>
      </c>
      <c r="C42" s="100" t="inlineStr">
        <is>
          <t>SE.PRM.CMPT.ZS</t>
        </is>
      </c>
      <c r="D42" s="100" t="inlineStr">
        <is>
          <t>+</t>
        </is>
      </c>
      <c r="E42" s="100" t="inlineStr">
        <is>
          <t>%</t>
        </is>
      </c>
      <c r="F42" s="100" t="n">
        <v>0</v>
      </c>
      <c r="G42" s="100" t="n">
        <v>100</v>
      </c>
      <c r="H42" s="100" t="n">
        <v>90</v>
      </c>
      <c r="I42" s="100" t="n">
        <v>1</v>
      </c>
      <c r="J42" s="100" t="inlineStr">
        <is>
          <t>Complementar</t>
        </is>
      </c>
      <c r="K42" s="100" t="inlineStr">
        <is>
          <t>Banco Mundial/UNESCO</t>
        </is>
      </c>
    </row>
    <row r="43">
      <c r="A43" s="100" t="inlineStr">
        <is>
          <t>3. Capital Humano</t>
        </is>
      </c>
      <c r="B43" s="100" t="inlineStr">
        <is>
          <t>Matrícula no ensino secundário, bruta</t>
        </is>
      </c>
      <c r="C43" s="100" t="inlineStr">
        <is>
          <t>SE.SEC.ENRR</t>
        </is>
      </c>
      <c r="D43" s="100" t="inlineStr">
        <is>
          <t>+</t>
        </is>
      </c>
      <c r="E43" s="100" t="inlineStr">
        <is>
          <t>%</t>
        </is>
      </c>
      <c r="F43" s="100" t="n">
        <v>0</v>
      </c>
      <c r="G43" s="100" t="n">
        <v>150</v>
      </c>
      <c r="H43" s="100" t="n">
        <v>80</v>
      </c>
      <c r="I43" s="100" t="n">
        <v>1</v>
      </c>
      <c r="J43" s="100" t="inlineStr">
        <is>
          <t>Complementar</t>
        </is>
      </c>
      <c r="K43" s="100" t="inlineStr">
        <is>
          <t>Banco Mundial/UNESCO</t>
        </is>
      </c>
    </row>
    <row r="44">
      <c r="A44" s="100" t="inlineStr">
        <is>
          <t>3. Capital Humano</t>
        </is>
      </c>
      <c r="B44" s="100" t="inlineStr">
        <is>
          <t>Matrícula no ensino terciário, bruta</t>
        </is>
      </c>
      <c r="C44" s="100" t="inlineStr">
        <is>
          <t>SE.TER.ENRR</t>
        </is>
      </c>
      <c r="D44" s="100" t="inlineStr">
        <is>
          <t>+</t>
        </is>
      </c>
      <c r="E44" s="100" t="inlineStr">
        <is>
          <t>%</t>
        </is>
      </c>
      <c r="F44" s="100" t="n">
        <v>0</v>
      </c>
      <c r="G44" s="100" t="n">
        <v>100</v>
      </c>
      <c r="H44" s="100" t="n">
        <v>20</v>
      </c>
      <c r="I44" s="100" t="n">
        <v>1</v>
      </c>
      <c r="J44" s="100" t="inlineStr">
        <is>
          <t>Complementar</t>
        </is>
      </c>
      <c r="K44" s="100" t="inlineStr">
        <is>
          <t>Banco Mundial/UNESCO</t>
        </is>
      </c>
    </row>
    <row r="45">
      <c r="A45" s="100" t="inlineStr">
        <is>
          <t>3. Capital Humano</t>
        </is>
      </c>
      <c r="B45" s="100" t="inlineStr">
        <is>
          <t>Despesa pública em educação (% PIB)</t>
        </is>
      </c>
      <c r="C45" s="100" t="inlineStr">
        <is>
          <t>SE.XPD.TOTL.GD.ZS</t>
        </is>
      </c>
      <c r="D45" s="100" t="inlineStr">
        <is>
          <t>+</t>
        </is>
      </c>
      <c r="E45" s="100" t="inlineStr">
        <is>
          <t>%</t>
        </is>
      </c>
      <c r="F45" s="100" t="n">
        <v>0</v>
      </c>
      <c r="G45" s="100" t="n">
        <v>10</v>
      </c>
      <c r="H45" s="100" t="n">
        <v>5</v>
      </c>
      <c r="I45" s="100" t="n">
        <v>1</v>
      </c>
      <c r="J45" s="100" t="inlineStr">
        <is>
          <t>Complementar</t>
        </is>
      </c>
      <c r="K45" s="100" t="inlineStr">
        <is>
          <t>Banco Mundial/UNESCO</t>
        </is>
      </c>
    </row>
    <row r="46">
      <c r="A46" s="100" t="inlineStr">
        <is>
          <t>3. Capital Humano</t>
        </is>
      </c>
      <c r="B46" s="100" t="inlineStr">
        <is>
          <t>Learning poverty - crianças sem proficiência mínima de leitura</t>
        </is>
      </c>
      <c r="C46" s="100" t="inlineStr">
        <is>
          <t>SE.LPV.PRIM</t>
        </is>
      </c>
      <c r="D46" s="100" t="inlineStr">
        <is>
          <t>-</t>
        </is>
      </c>
      <c r="E46" s="100" t="inlineStr">
        <is>
          <t>%</t>
        </is>
      </c>
      <c r="F46" s="100" t="n">
        <v>0</v>
      </c>
      <c r="G46" s="100" t="n">
        <v>100</v>
      </c>
      <c r="H46" s="100" t="n">
        <v>50</v>
      </c>
      <c r="I46" s="100" t="n">
        <v>1</v>
      </c>
      <c r="J46" s="100" t="inlineStr">
        <is>
          <t>Complementar</t>
        </is>
      </c>
      <c r="K46" s="100" t="inlineStr">
        <is>
          <t>Banco Mundial/UNESCO</t>
        </is>
      </c>
    </row>
    <row r="47">
      <c r="A47" s="100" t="inlineStr">
        <is>
          <t>3. Capital Humano</t>
        </is>
      </c>
      <c r="B47" s="100" t="inlineStr">
        <is>
          <t>Rácio alunos/professor no primário</t>
        </is>
      </c>
      <c r="C47" s="100" t="inlineStr">
        <is>
          <t>SE.PRM.ENRL.TC.ZS</t>
        </is>
      </c>
      <c r="D47" s="100" t="inlineStr">
        <is>
          <t>-</t>
        </is>
      </c>
      <c r="E47" s="100" t="inlineStr">
        <is>
          <t>Alunos por professor</t>
        </is>
      </c>
      <c r="F47" s="100" t="n">
        <v>10</v>
      </c>
      <c r="G47" s="100" t="n">
        <v>80</v>
      </c>
      <c r="H47" s="100" t="n">
        <v>35</v>
      </c>
      <c r="I47" s="100" t="n">
        <v>1</v>
      </c>
      <c r="J47" s="100" t="inlineStr">
        <is>
          <t>Complementar</t>
        </is>
      </c>
      <c r="K47" s="100" t="inlineStr">
        <is>
          <t>Banco Mundial/UNESCO</t>
        </is>
      </c>
    </row>
    <row r="48">
      <c r="A48" s="100" t="inlineStr">
        <is>
          <t>3. Capital Humano</t>
        </is>
      </c>
      <c r="B48" s="100" t="inlineStr">
        <is>
          <t>Índice de Capital Humano</t>
        </is>
      </c>
      <c r="C48" s="100" t="inlineStr">
        <is>
          <t>HD.HCI.OVRL</t>
        </is>
      </c>
      <c r="D48" s="100" t="inlineStr">
        <is>
          <t>+</t>
        </is>
      </c>
      <c r="E48" s="100" t="inlineStr">
        <is>
          <t>0-1</t>
        </is>
      </c>
      <c r="F48" s="100" t="n">
        <v>0</v>
      </c>
      <c r="G48" s="100" t="n">
        <v>1</v>
      </c>
      <c r="H48" s="100" t="n">
        <v>0.5</v>
      </c>
      <c r="I48" s="100" t="n">
        <v>1</v>
      </c>
      <c r="J48" s="100" t="inlineStr">
        <is>
          <t>Complementar</t>
        </is>
      </c>
      <c r="K48" s="100" t="inlineStr">
        <is>
          <t>Banco Mundial</t>
        </is>
      </c>
    </row>
    <row r="49">
      <c r="A49" s="100" t="inlineStr">
        <is>
          <t>3. Capital Humano</t>
        </is>
      </c>
      <c r="B49" s="100" t="inlineStr">
        <is>
          <t>Anos esperados de escolaridade</t>
        </is>
      </c>
      <c r="C49" s="100" t="inlineStr"/>
      <c r="D49" s="100" t="inlineStr">
        <is>
          <t>+</t>
        </is>
      </c>
      <c r="E49" s="100" t="inlineStr">
        <is>
          <t>Anos</t>
        </is>
      </c>
      <c r="F49" s="100" t="n">
        <v>0</v>
      </c>
      <c r="G49" s="100" t="n">
        <v>18</v>
      </c>
      <c r="H49" s="100" t="n">
        <v>12</v>
      </c>
      <c r="I49" s="100" t="n">
        <v>1</v>
      </c>
      <c r="J49" s="100" t="inlineStr">
        <is>
          <t>Substituto</t>
        </is>
      </c>
      <c r="K49" s="100" t="inlineStr">
        <is>
          <t>PNUD/HDR</t>
        </is>
      </c>
    </row>
    <row r="50">
      <c r="A50" s="100" t="inlineStr">
        <is>
          <t>4. Inclusão Social e Protecção</t>
        </is>
      </c>
      <c r="B50" s="100" t="inlineStr">
        <is>
          <t>Taxa de Pobreza (&lt; 2.15 USD/dia)</t>
        </is>
      </c>
      <c r="C50" s="100" t="inlineStr">
        <is>
          <t>SI.POV.DDAY</t>
        </is>
      </c>
      <c r="D50" s="100" t="inlineStr">
        <is>
          <t>-</t>
        </is>
      </c>
      <c r="E50" s="100" t="inlineStr">
        <is>
          <t>%</t>
        </is>
      </c>
      <c r="F50" s="100" t="n">
        <v>0</v>
      </c>
      <c r="G50" s="100" t="n">
        <v>80</v>
      </c>
      <c r="H50" s="100" t="n">
        <v>30</v>
      </c>
      <c r="I50" s="100" t="n">
        <v>1</v>
      </c>
      <c r="J50" s="100" t="inlineStr">
        <is>
          <t>Atual no modelo</t>
        </is>
      </c>
      <c r="K50" s="100" t="inlineStr">
        <is>
          <t>INE/BM</t>
        </is>
      </c>
    </row>
    <row r="51">
      <c r="A51" s="100" t="inlineStr">
        <is>
          <t>4. Inclusão Social e Protecção</t>
        </is>
      </c>
      <c r="B51" s="100" t="inlineStr">
        <is>
          <t>Índice de Gini</t>
        </is>
      </c>
      <c r="C51" s="100" t="inlineStr">
        <is>
          <t>SI.POV.GINI</t>
        </is>
      </c>
      <c r="D51" s="100" t="inlineStr">
        <is>
          <t>-</t>
        </is>
      </c>
      <c r="E51" s="100" t="inlineStr">
        <is>
          <t>0-100</t>
        </is>
      </c>
      <c r="F51" s="100" t="n">
        <v>0</v>
      </c>
      <c r="G51" s="100" t="n">
        <v>70</v>
      </c>
      <c r="H51" s="100" t="n">
        <v>40</v>
      </c>
      <c r="I51" s="100" t="n">
        <v>1</v>
      </c>
      <c r="J51" s="100" t="inlineStr">
        <is>
          <t>Atual no modelo</t>
        </is>
      </c>
      <c r="K51" s="100" t="inlineStr">
        <is>
          <t>INE/BM</t>
        </is>
      </c>
    </row>
    <row r="52">
      <c r="A52" s="100" t="inlineStr">
        <is>
          <t>4. Inclusão Social e Protecção</t>
        </is>
      </c>
      <c r="B52" s="100" t="inlineStr">
        <is>
          <t>Cobertura Protecção Social</t>
        </is>
      </c>
      <c r="C52" s="100" t="inlineStr"/>
      <c r="D52" s="100" t="inlineStr">
        <is>
          <t>+</t>
        </is>
      </c>
      <c r="E52" s="100" t="inlineStr">
        <is>
          <t>%</t>
        </is>
      </c>
      <c r="F52" s="100" t="n">
        <v>0</v>
      </c>
      <c r="G52" s="100" t="n">
        <v>100</v>
      </c>
      <c r="H52" s="100" t="n">
        <v>40</v>
      </c>
      <c r="I52" s="100" t="n">
        <v>1</v>
      </c>
      <c r="J52" s="100" t="inlineStr">
        <is>
          <t>Atual no modelo</t>
        </is>
      </c>
      <c r="K52" s="100" t="inlineStr">
        <is>
          <t>INSS</t>
        </is>
      </c>
    </row>
    <row r="53">
      <c r="A53" s="100" t="inlineStr">
        <is>
          <t>4. Inclusão Social e Protecção</t>
        </is>
      </c>
      <c r="B53" s="100" t="inlineStr">
        <is>
          <t>Global Gender Gap Index</t>
        </is>
      </c>
      <c r="C53" s="100" t="inlineStr"/>
      <c r="D53" s="100" t="inlineStr">
        <is>
          <t>+</t>
        </is>
      </c>
      <c r="E53" s="100" t="inlineStr">
        <is>
          <t>0-1</t>
        </is>
      </c>
      <c r="F53" s="100" t="n">
        <v>0</v>
      </c>
      <c r="G53" s="100" t="n">
        <v>1</v>
      </c>
      <c r="H53" s="100" t="n">
        <v>0.7</v>
      </c>
      <c r="I53" s="100" t="n">
        <v>1</v>
      </c>
      <c r="J53" s="100" t="inlineStr">
        <is>
          <t>Atual no modelo</t>
        </is>
      </c>
      <c r="K53" s="100" t="inlineStr">
        <is>
          <t>WEF</t>
        </is>
      </c>
    </row>
    <row r="54">
      <c r="A54" s="100" t="inlineStr">
        <is>
          <t>4. Inclusão Social e Protecção</t>
        </is>
      </c>
      <c r="B54" s="100" t="inlineStr">
        <is>
          <t>RNB per Capita (USD)</t>
        </is>
      </c>
      <c r="C54" s="100" t="inlineStr">
        <is>
          <t>NY.GNP.PCAP.CD</t>
        </is>
      </c>
      <c r="D54" s="100" t="inlineStr">
        <is>
          <t>+</t>
        </is>
      </c>
      <c r="E54" s="100" t="inlineStr">
        <is>
          <t>USD</t>
        </is>
      </c>
      <c r="F54" s="100" t="n">
        <v>500</v>
      </c>
      <c r="G54" s="100" t="n">
        <v>15000</v>
      </c>
      <c r="H54" s="100" t="n">
        <v>4500</v>
      </c>
      <c r="I54" s="100" t="n">
        <v>1</v>
      </c>
      <c r="J54" s="100" t="inlineStr">
        <is>
          <t>Atual no modelo</t>
        </is>
      </c>
      <c r="K54" s="100" t="inlineStr">
        <is>
          <t>INE</t>
        </is>
      </c>
    </row>
    <row r="55">
      <c r="A55" s="100" t="inlineStr">
        <is>
          <t>4. Inclusão Social e Protecção</t>
        </is>
      </c>
      <c r="B55" s="100" t="inlineStr">
        <is>
          <t>Pobreza pela linha nacional</t>
        </is>
      </c>
      <c r="C55" s="100" t="inlineStr">
        <is>
          <t>SI.POV.NAHC</t>
        </is>
      </c>
      <c r="D55" s="100" t="inlineStr">
        <is>
          <t>-</t>
        </is>
      </c>
      <c r="E55" s="100" t="inlineStr">
        <is>
          <t>%</t>
        </is>
      </c>
      <c r="F55" s="100" t="n">
        <v>0</v>
      </c>
      <c r="G55" s="100" t="n">
        <v>80</v>
      </c>
      <c r="H55" s="100" t="n">
        <v>30</v>
      </c>
      <c r="I55" s="100" t="n">
        <v>1</v>
      </c>
      <c r="J55" s="100" t="inlineStr">
        <is>
          <t>Substituto</t>
        </is>
      </c>
      <c r="K55" s="100" t="inlineStr">
        <is>
          <t>Banco Mundial/PIP</t>
        </is>
      </c>
    </row>
    <row r="56">
      <c r="A56" s="100" t="inlineStr">
        <is>
          <t>4. Inclusão Social e Protecção</t>
        </is>
      </c>
      <c r="B56" s="100" t="inlineStr">
        <is>
          <t>Pobreza internacional a 3,00 USD/dia, PPP 2021</t>
        </is>
      </c>
      <c r="C56" s="100" t="inlineStr">
        <is>
          <t>SI.POV.DDAY</t>
        </is>
      </c>
      <c r="D56" s="100" t="inlineStr">
        <is>
          <t>-</t>
        </is>
      </c>
      <c r="E56" s="100" t="inlineStr">
        <is>
          <t>%</t>
        </is>
      </c>
      <c r="F56" s="100" t="n">
        <v>0</v>
      </c>
      <c r="G56" s="100" t="n">
        <v>90</v>
      </c>
      <c r="H56" s="100" t="n">
        <v>40</v>
      </c>
      <c r="I56" s="100" t="n">
        <v>1</v>
      </c>
      <c r="J56" s="100" t="inlineStr">
        <is>
          <t>Substituto</t>
        </is>
      </c>
      <c r="K56" s="100" t="inlineStr">
        <is>
          <t>Banco Mundial/PIP</t>
        </is>
      </c>
    </row>
    <row r="57">
      <c r="A57" s="100" t="inlineStr">
        <is>
          <t>4. Inclusão Social e Protecção</t>
        </is>
      </c>
      <c r="B57" s="100" t="inlineStr">
        <is>
          <t>Índice de Gini</t>
        </is>
      </c>
      <c r="C57" s="100" t="inlineStr">
        <is>
          <t>SI.POV.GINI</t>
        </is>
      </c>
      <c r="D57" s="100" t="inlineStr">
        <is>
          <t>-</t>
        </is>
      </c>
      <c r="E57" s="100" t="inlineStr">
        <is>
          <t>0-100</t>
        </is>
      </c>
      <c r="F57" s="100" t="n">
        <v>0</v>
      </c>
      <c r="G57" s="100" t="n">
        <v>70</v>
      </c>
      <c r="H57" s="100" t="n">
        <v>40</v>
      </c>
      <c r="I57" s="100" t="n">
        <v>1</v>
      </c>
      <c r="J57" s="100" t="inlineStr">
        <is>
          <t>Substituto</t>
        </is>
      </c>
      <c r="K57" s="100" t="inlineStr">
        <is>
          <t>Banco Mundial/PIP</t>
        </is>
      </c>
    </row>
    <row r="58">
      <c r="A58" s="100" t="inlineStr">
        <is>
          <t>4. Inclusão Social e Protecção</t>
        </is>
      </c>
      <c r="B58" s="100" t="inlineStr">
        <is>
          <t>Quota de rendimento dos 20% mais pobres</t>
        </is>
      </c>
      <c r="C58" s="100" t="inlineStr">
        <is>
          <t>SI.DST.FRST.20</t>
        </is>
      </c>
      <c r="D58" s="100" t="inlineStr">
        <is>
          <t>+</t>
        </is>
      </c>
      <c r="E58" s="100" t="inlineStr">
        <is>
          <t>%</t>
        </is>
      </c>
      <c r="F58" s="100" t="n">
        <v>0</v>
      </c>
      <c r="G58" s="100" t="n">
        <v>20</v>
      </c>
      <c r="H58" s="100" t="n">
        <v>7</v>
      </c>
      <c r="I58" s="100" t="n">
        <v>1</v>
      </c>
      <c r="J58" s="100" t="inlineStr">
        <is>
          <t>Complementar</t>
        </is>
      </c>
      <c r="K58" s="100" t="inlineStr">
        <is>
          <t>Banco Mundial/PIP</t>
        </is>
      </c>
    </row>
    <row r="59">
      <c r="A59" s="100" t="inlineStr">
        <is>
          <t>4. Inclusão Social e Protecção</t>
        </is>
      </c>
      <c r="B59" s="100" t="inlineStr">
        <is>
          <t>Cobertura de proteção social da população</t>
        </is>
      </c>
      <c r="C59" s="100" t="inlineStr"/>
      <c r="D59" s="100" t="inlineStr">
        <is>
          <t>+</t>
        </is>
      </c>
      <c r="E59" s="100" t="inlineStr">
        <is>
          <t>%</t>
        </is>
      </c>
      <c r="F59" s="100" t="n">
        <v>0</v>
      </c>
      <c r="G59" s="100" t="n">
        <v>100</v>
      </c>
      <c r="H59" s="100" t="n">
        <v>40</v>
      </c>
      <c r="I59" s="100" t="n">
        <v>1</v>
      </c>
      <c r="J59" s="100" t="inlineStr">
        <is>
          <t>Substituto</t>
        </is>
      </c>
      <c r="K59" s="100" t="inlineStr">
        <is>
          <t>Banco Mundial ASPIRE/OIT</t>
        </is>
      </c>
    </row>
    <row r="60">
      <c r="A60" s="100" t="inlineStr">
        <is>
          <t>4. Inclusão Social e Protecção</t>
        </is>
      </c>
      <c r="B60" s="100" t="inlineStr">
        <is>
          <t>Índice de Pobreza Multidimensional - incidência</t>
        </is>
      </c>
      <c r="C60" s="100" t="inlineStr"/>
      <c r="D60" s="100" t="inlineStr">
        <is>
          <t>-</t>
        </is>
      </c>
      <c r="E60" s="100" t="inlineStr">
        <is>
          <t>%</t>
        </is>
      </c>
      <c r="F60" s="100" t="n">
        <v>0</v>
      </c>
      <c r="G60" s="100" t="n">
        <v>80</v>
      </c>
      <c r="H60" s="100" t="n">
        <v>25</v>
      </c>
      <c r="I60" s="100" t="n">
        <v>1</v>
      </c>
      <c r="J60" s="100" t="inlineStr">
        <is>
          <t>Complementar</t>
        </is>
      </c>
      <c r="K60" s="100" t="inlineStr">
        <is>
          <t>PNUD/OPHI</t>
        </is>
      </c>
    </row>
    <row r="61">
      <c r="A61" s="100" t="inlineStr">
        <is>
          <t>4. Inclusão Social e Protecção</t>
        </is>
      </c>
      <c r="B61" s="100" t="inlineStr">
        <is>
          <t>Jovens NEET</t>
        </is>
      </c>
      <c r="C61" s="100" t="inlineStr">
        <is>
          <t>SL.UEM.NEET.ZS</t>
        </is>
      </c>
      <c r="D61" s="100" t="inlineStr">
        <is>
          <t>-</t>
        </is>
      </c>
      <c r="E61" s="100" t="inlineStr">
        <is>
          <t>%</t>
        </is>
      </c>
      <c r="F61" s="100" t="n">
        <v>0</v>
      </c>
      <c r="G61" s="100" t="n">
        <v>70</v>
      </c>
      <c r="H61" s="100" t="n">
        <v>30</v>
      </c>
      <c r="I61" s="100" t="n">
        <v>1</v>
      </c>
      <c r="J61" s="100" t="inlineStr">
        <is>
          <t>Complementar</t>
        </is>
      </c>
      <c r="K61" s="100" t="inlineStr">
        <is>
          <t>Banco Mundial/OIT</t>
        </is>
      </c>
    </row>
    <row r="62">
      <c r="A62" s="100" t="inlineStr">
        <is>
          <t>4. Inclusão Social e Protecção</t>
        </is>
      </c>
      <c r="B62" s="100" t="inlineStr">
        <is>
          <t>Mulheres no parlamento</t>
        </is>
      </c>
      <c r="C62" s="100" t="inlineStr">
        <is>
          <t>SG.GEN.PARL.ZS</t>
        </is>
      </c>
      <c r="D62" s="100" t="inlineStr">
        <is>
          <t>+</t>
        </is>
      </c>
      <c r="E62" s="100" t="inlineStr">
        <is>
          <t>%</t>
        </is>
      </c>
      <c r="F62" s="100" t="n">
        <v>0</v>
      </c>
      <c r="G62" s="100" t="n">
        <v>60</v>
      </c>
      <c r="H62" s="100" t="n">
        <v>35</v>
      </c>
      <c r="I62" s="100" t="n">
        <v>1</v>
      </c>
      <c r="J62" s="100" t="inlineStr">
        <is>
          <t>Complementar</t>
        </is>
      </c>
      <c r="K62" s="100" t="inlineStr">
        <is>
          <t>Banco Mundial/IPU</t>
        </is>
      </c>
    </row>
    <row r="63">
      <c r="A63" s="100" t="inlineStr">
        <is>
          <t>4. Inclusão Social e Protecção</t>
        </is>
      </c>
      <c r="B63" s="100" t="inlineStr">
        <is>
          <t>Participação feminina na força de trabalho</t>
        </is>
      </c>
      <c r="C63" s="100" t="inlineStr">
        <is>
          <t>SL.TLF.CACT.FE.ZS</t>
        </is>
      </c>
      <c r="D63" s="100" t="inlineStr">
        <is>
          <t>+</t>
        </is>
      </c>
      <c r="E63" s="100" t="inlineStr">
        <is>
          <t>%</t>
        </is>
      </c>
      <c r="F63" s="100" t="n">
        <v>0</v>
      </c>
      <c r="G63" s="100" t="n">
        <v>100</v>
      </c>
      <c r="H63" s="100" t="n">
        <v>65</v>
      </c>
      <c r="I63" s="100" t="n">
        <v>1</v>
      </c>
      <c r="J63" s="100" t="inlineStr">
        <is>
          <t>Complementar</t>
        </is>
      </c>
      <c r="K63" s="100" t="inlineStr">
        <is>
          <t>Banco Mundial/OIT</t>
        </is>
      </c>
    </row>
    <row r="64">
      <c r="A64" s="100" t="inlineStr">
        <is>
          <t>4. Inclusão Social e Protecção</t>
        </is>
      </c>
      <c r="B64" s="100" t="inlineStr">
        <is>
          <t>Registo de nascimento completo</t>
        </is>
      </c>
      <c r="C64" s="100" t="inlineStr">
        <is>
          <t>SP.REG.BRTH.ZS</t>
        </is>
      </c>
      <c r="D64" s="100" t="inlineStr">
        <is>
          <t>+</t>
        </is>
      </c>
      <c r="E64" s="100" t="inlineStr">
        <is>
          <t>%</t>
        </is>
      </c>
      <c r="F64" s="100" t="n">
        <v>0</v>
      </c>
      <c r="G64" s="100" t="n">
        <v>100</v>
      </c>
      <c r="H64" s="100" t="n">
        <v>80</v>
      </c>
      <c r="I64" s="100" t="n">
        <v>1</v>
      </c>
      <c r="J64" s="100" t="inlineStr">
        <is>
          <t>Complementar</t>
        </is>
      </c>
      <c r="K64" s="100" t="inlineStr">
        <is>
          <t>Banco Mundial/UNICEF</t>
        </is>
      </c>
    </row>
    <row r="65">
      <c r="A65" s="100" t="inlineStr">
        <is>
          <t>5. Infraestruturas e Serviços</t>
        </is>
      </c>
      <c r="B65" s="100" t="inlineStr">
        <is>
          <t>Taxa de Electrificação</t>
        </is>
      </c>
      <c r="C65" s="100" t="inlineStr">
        <is>
          <t>EG.ELC.ACCS.ZS</t>
        </is>
      </c>
      <c r="D65" s="100" t="inlineStr">
        <is>
          <t>+</t>
        </is>
      </c>
      <c r="E65" s="100" t="inlineStr">
        <is>
          <t>%</t>
        </is>
      </c>
      <c r="F65" s="100" t="n">
        <v>0</v>
      </c>
      <c r="G65" s="100" t="n">
        <v>100</v>
      </c>
      <c r="H65" s="100" t="n">
        <v>60</v>
      </c>
      <c r="I65" s="100" t="n">
        <v>1</v>
      </c>
      <c r="J65" s="100" t="inlineStr">
        <is>
          <t>Atual no modelo</t>
        </is>
      </c>
      <c r="K65" s="100" t="inlineStr">
        <is>
          <t>MINEA</t>
        </is>
      </c>
    </row>
    <row r="66">
      <c r="A66" s="100" t="inlineStr">
        <is>
          <t>5. Infraestruturas e Serviços</t>
        </is>
      </c>
      <c r="B66" s="100" t="inlineStr">
        <is>
          <t>Acesso a Água Potável</t>
        </is>
      </c>
      <c r="C66" s="100" t="inlineStr">
        <is>
          <t>SH.H2O.BASW.ZS</t>
        </is>
      </c>
      <c r="D66" s="100" t="inlineStr">
        <is>
          <t>+</t>
        </is>
      </c>
      <c r="E66" s="100" t="inlineStr">
        <is>
          <t>%</t>
        </is>
      </c>
      <c r="F66" s="100" t="n">
        <v>0</v>
      </c>
      <c r="G66" s="100" t="n">
        <v>100</v>
      </c>
      <c r="H66" s="100" t="n">
        <v>70</v>
      </c>
      <c r="I66" s="100" t="n">
        <v>1</v>
      </c>
      <c r="J66" s="100" t="inlineStr">
        <is>
          <t>Atual no modelo</t>
        </is>
      </c>
      <c r="K66" s="100" t="inlineStr">
        <is>
          <t>MINEA/INE</t>
        </is>
      </c>
    </row>
    <row r="67">
      <c r="A67" s="100" t="inlineStr">
        <is>
          <t>5. Infraestruturas e Serviços</t>
        </is>
      </c>
      <c r="B67" s="100" t="inlineStr">
        <is>
          <t>Acesso a Saneamento Básico</t>
        </is>
      </c>
      <c r="C67" s="100" t="inlineStr">
        <is>
          <t>SH.STA.BASS.ZS</t>
        </is>
      </c>
      <c r="D67" s="100" t="inlineStr">
        <is>
          <t>+</t>
        </is>
      </c>
      <c r="E67" s="100" t="inlineStr">
        <is>
          <t>%</t>
        </is>
      </c>
      <c r="F67" s="100" t="n">
        <v>0</v>
      </c>
      <c r="G67" s="100" t="n">
        <v>100</v>
      </c>
      <c r="H67" s="100" t="n">
        <v>60</v>
      </c>
      <c r="I67" s="100" t="n">
        <v>1</v>
      </c>
      <c r="J67" s="100" t="inlineStr">
        <is>
          <t>Atual no modelo</t>
        </is>
      </c>
      <c r="K67" s="100" t="inlineStr">
        <is>
          <t>MINEA/INE</t>
        </is>
      </c>
    </row>
    <row r="68">
      <c r="A68" s="100" t="inlineStr">
        <is>
          <t>5. Infraestruturas e Serviços</t>
        </is>
      </c>
      <c r="B68" s="100" t="inlineStr">
        <is>
          <t>Cobertura de Rede 4G</t>
        </is>
      </c>
      <c r="C68" s="100" t="inlineStr"/>
      <c r="D68" s="100" t="inlineStr">
        <is>
          <t>+</t>
        </is>
      </c>
      <c r="E68" s="100" t="inlineStr">
        <is>
          <t>%</t>
        </is>
      </c>
      <c r="F68" s="100" t="n">
        <v>0</v>
      </c>
      <c r="G68" s="100" t="n">
        <v>100</v>
      </c>
      <c r="H68" s="100" t="n">
        <v>70</v>
      </c>
      <c r="I68" s="100" t="n">
        <v>1</v>
      </c>
      <c r="J68" s="100" t="inlineStr">
        <is>
          <t>Atual no modelo</t>
        </is>
      </c>
      <c r="K68" s="100" t="inlineStr">
        <is>
          <t>INACOM</t>
        </is>
      </c>
    </row>
    <row r="69">
      <c r="A69" s="100" t="inlineStr">
        <is>
          <t>5. Infraestruturas e Serviços</t>
        </is>
      </c>
      <c r="B69" s="100" t="inlineStr">
        <is>
          <t>Utilizadores de Internet (%)</t>
        </is>
      </c>
      <c r="C69" s="100" t="inlineStr">
        <is>
          <t>IT.NET.USER.ZS</t>
        </is>
      </c>
      <c r="D69" s="100" t="inlineStr">
        <is>
          <t>+</t>
        </is>
      </c>
      <c r="E69" s="100" t="inlineStr">
        <is>
          <t>%</t>
        </is>
      </c>
      <c r="F69" s="100" t="n">
        <v>0</v>
      </c>
      <c r="G69" s="100" t="n">
        <v>100</v>
      </c>
      <c r="H69" s="100" t="n">
        <v>40</v>
      </c>
      <c r="I69" s="100" t="n">
        <v>1</v>
      </c>
      <c r="J69" s="100" t="inlineStr">
        <is>
          <t>Atual no modelo</t>
        </is>
      </c>
      <c r="K69" s="100" t="inlineStr">
        <is>
          <t>INACOM</t>
        </is>
      </c>
    </row>
    <row r="70">
      <c r="A70" s="100" t="inlineStr">
        <is>
          <t>5. Infraestruturas e Serviços</t>
        </is>
      </c>
      <c r="B70" s="100" t="inlineStr">
        <is>
          <t>Densidade Rodoviária (km/1000km²)</t>
        </is>
      </c>
      <c r="C70" s="100" t="inlineStr">
        <is>
          <t>IS.ROD.DNST.K2</t>
        </is>
      </c>
      <c r="D70" s="100" t="inlineStr">
        <is>
          <t>+</t>
        </is>
      </c>
      <c r="E70" s="100" t="inlineStr">
        <is>
          <t>km</t>
        </is>
      </c>
      <c r="F70" s="100" t="n">
        <v>0</v>
      </c>
      <c r="G70" s="100" t="n">
        <v>100</v>
      </c>
      <c r="H70" s="100" t="n">
        <v>30</v>
      </c>
      <c r="I70" s="100" t="n">
        <v>1</v>
      </c>
      <c r="J70" s="100" t="inlineStr">
        <is>
          <t>Atual no modelo</t>
        </is>
      </c>
      <c r="K70" s="100" t="inlineStr">
        <is>
          <t>MINTRANS</t>
        </is>
      </c>
    </row>
    <row r="71">
      <c r="A71" s="100" t="inlineStr">
        <is>
          <t>5. Infraestruturas e Serviços</t>
        </is>
      </c>
      <c r="B71" s="100" t="inlineStr">
        <is>
          <t>Acesso rural à eletricidade</t>
        </is>
      </c>
      <c r="C71" s="100" t="inlineStr">
        <is>
          <t>EG.ELC.ACCS.RU.ZS</t>
        </is>
      </c>
      <c r="D71" s="100" t="inlineStr">
        <is>
          <t>+</t>
        </is>
      </c>
      <c r="E71" s="100" t="inlineStr">
        <is>
          <t>%</t>
        </is>
      </c>
      <c r="F71" s="100" t="n">
        <v>0</v>
      </c>
      <c r="G71" s="100" t="n">
        <v>100</v>
      </c>
      <c r="H71" s="100" t="n">
        <v>50</v>
      </c>
      <c r="I71" s="100" t="n">
        <v>1</v>
      </c>
      <c r="J71" s="100" t="inlineStr">
        <is>
          <t>Complementar</t>
        </is>
      </c>
      <c r="K71" s="100" t="inlineStr">
        <is>
          <t>Banco Mundial/IEA</t>
        </is>
      </c>
    </row>
    <row r="72">
      <c r="A72" s="100" t="inlineStr">
        <is>
          <t>5. Infraestruturas e Serviços</t>
        </is>
      </c>
      <c r="B72" s="100" t="inlineStr">
        <is>
          <t>Acesso a energia limpa para cozinhar</t>
        </is>
      </c>
      <c r="C72" s="100" t="inlineStr">
        <is>
          <t>EG.CFT.ACCS.ZS</t>
        </is>
      </c>
      <c r="D72" s="100" t="inlineStr">
        <is>
          <t>+</t>
        </is>
      </c>
      <c r="E72" s="100" t="inlineStr">
        <is>
          <t>%</t>
        </is>
      </c>
      <c r="F72" s="100" t="n">
        <v>0</v>
      </c>
      <c r="G72" s="100" t="n">
        <v>100</v>
      </c>
      <c r="H72" s="100" t="n">
        <v>35</v>
      </c>
      <c r="I72" s="100" t="n">
        <v>1</v>
      </c>
      <c r="J72" s="100" t="inlineStr">
        <is>
          <t>Complementar</t>
        </is>
      </c>
      <c r="K72" s="100" t="inlineStr">
        <is>
          <t>Banco Mundial/OMS</t>
        </is>
      </c>
    </row>
    <row r="73">
      <c r="A73" s="100" t="inlineStr">
        <is>
          <t>5. Infraestruturas e Serviços</t>
        </is>
      </c>
      <c r="B73" s="100" t="inlineStr">
        <is>
          <t>Perdas de transmissão e distribuição elétrica</t>
        </is>
      </c>
      <c r="C73" s="100" t="inlineStr">
        <is>
          <t>EG.ELC.LOSS.ZS</t>
        </is>
      </c>
      <c r="D73" s="100" t="inlineStr">
        <is>
          <t>-</t>
        </is>
      </c>
      <c r="E73" s="100" t="inlineStr">
        <is>
          <t>%</t>
        </is>
      </c>
      <c r="F73" s="100" t="n">
        <v>0</v>
      </c>
      <c r="G73" s="100" t="n">
        <v>60</v>
      </c>
      <c r="H73" s="100" t="n">
        <v>15</v>
      </c>
      <c r="I73" s="100" t="n">
        <v>1</v>
      </c>
      <c r="J73" s="100" t="inlineStr">
        <is>
          <t>Complementar</t>
        </is>
      </c>
      <c r="K73" s="100" t="inlineStr">
        <is>
          <t>Banco Mundial/IEA</t>
        </is>
      </c>
    </row>
    <row r="74">
      <c r="A74" s="100" t="inlineStr">
        <is>
          <t>5. Infraestruturas e Serviços</t>
        </is>
      </c>
      <c r="B74" s="100" t="inlineStr">
        <is>
          <t>Subscrições móveis por 100 habitantes</t>
        </is>
      </c>
      <c r="C74" s="100" t="inlineStr">
        <is>
          <t>IT.CEL.SETS.P2</t>
        </is>
      </c>
      <c r="D74" s="100" t="inlineStr">
        <is>
          <t>+</t>
        </is>
      </c>
      <c r="E74" s="100" t="inlineStr">
        <is>
          <t>por 100 hab.</t>
        </is>
      </c>
      <c r="F74" s="100" t="n">
        <v>0</v>
      </c>
      <c r="G74" s="100" t="n">
        <v>160</v>
      </c>
      <c r="H74" s="100" t="n">
        <v>100</v>
      </c>
      <c r="I74" s="100" t="n">
        <v>1</v>
      </c>
      <c r="J74" s="100" t="inlineStr">
        <is>
          <t>Substituto/Complementar</t>
        </is>
      </c>
      <c r="K74" s="100" t="inlineStr">
        <is>
          <t>Banco Mundial/ITU</t>
        </is>
      </c>
    </row>
    <row r="75">
      <c r="A75" s="100" t="inlineStr">
        <is>
          <t>5. Infraestruturas e Serviços</t>
        </is>
      </c>
      <c r="B75" s="100" t="inlineStr">
        <is>
          <t>Banda larga fixa por 100 habitantes</t>
        </is>
      </c>
      <c r="C75" s="100" t="inlineStr">
        <is>
          <t>IT.NET.BBND.P2</t>
        </is>
      </c>
      <c r="D75" s="100" t="inlineStr">
        <is>
          <t>+</t>
        </is>
      </c>
      <c r="E75" s="100" t="inlineStr">
        <is>
          <t>por 100 hab.</t>
        </is>
      </c>
      <c r="F75" s="100" t="n">
        <v>0</v>
      </c>
      <c r="G75" s="100" t="n">
        <v>50</v>
      </c>
      <c r="H75" s="100" t="n">
        <v>8</v>
      </c>
      <c r="I75" s="100" t="n">
        <v>1</v>
      </c>
      <c r="J75" s="100" t="inlineStr">
        <is>
          <t>Complementar</t>
        </is>
      </c>
      <c r="K75" s="100" t="inlineStr">
        <is>
          <t>Banco Mundial/ITU</t>
        </is>
      </c>
    </row>
    <row r="76">
      <c r="A76" s="100" t="inlineStr">
        <is>
          <t>5. Infraestruturas e Serviços</t>
        </is>
      </c>
      <c r="B76" s="100" t="inlineStr">
        <is>
          <t>Preço de cabaz móvel-banda larga (% RNB per capita)</t>
        </is>
      </c>
      <c r="C76" s="100" t="inlineStr"/>
      <c r="D76" s="100" t="inlineStr">
        <is>
          <t>-</t>
        </is>
      </c>
      <c r="E76" s="100" t="inlineStr">
        <is>
          <t>% RNB per capita</t>
        </is>
      </c>
      <c r="F76" s="100" t="n">
        <v>0</v>
      </c>
      <c r="G76" s="100" t="n">
        <v>30</v>
      </c>
      <c r="H76" s="100" t="n">
        <v>5</v>
      </c>
      <c r="I76" s="100" t="n">
        <v>1</v>
      </c>
      <c r="J76" s="100" t="inlineStr">
        <is>
          <t>Complementar</t>
        </is>
      </c>
      <c r="K76" s="100" t="inlineStr">
        <is>
          <t>ITU DataHub</t>
        </is>
      </c>
    </row>
    <row r="77">
      <c r="A77" s="100" t="inlineStr">
        <is>
          <t>5. Infraestruturas e Serviços</t>
        </is>
      </c>
      <c r="B77" s="100" t="inlineStr">
        <is>
          <t>Água potável básica - população total</t>
        </is>
      </c>
      <c r="C77" s="100" t="inlineStr">
        <is>
          <t>SH.H2O.BASW.ZS</t>
        </is>
      </c>
      <c r="D77" s="100" t="inlineStr">
        <is>
          <t>+</t>
        </is>
      </c>
      <c r="E77" s="100" t="inlineStr">
        <is>
          <t>%</t>
        </is>
      </c>
      <c r="F77" s="100" t="n">
        <v>0</v>
      </c>
      <c r="G77" s="100" t="n">
        <v>100</v>
      </c>
      <c r="H77" s="100" t="n">
        <v>70</v>
      </c>
      <c r="I77" s="100" t="n">
        <v>1</v>
      </c>
      <c r="J77" s="100" t="inlineStr">
        <is>
          <t>Substituto</t>
        </is>
      </c>
      <c r="K77" s="100" t="inlineStr">
        <is>
          <t>Banco Mundial/JMP</t>
        </is>
      </c>
    </row>
    <row r="78">
      <c r="A78" s="100" t="inlineStr">
        <is>
          <t>5. Infraestruturas e Serviços</t>
        </is>
      </c>
      <c r="B78" s="100" t="inlineStr">
        <is>
          <t>Saneamento básico - população total</t>
        </is>
      </c>
      <c r="C78" s="100" t="inlineStr">
        <is>
          <t>SH.STA.BASS.ZS</t>
        </is>
      </c>
      <c r="D78" s="100" t="inlineStr">
        <is>
          <t>+</t>
        </is>
      </c>
      <c r="E78" s="100" t="inlineStr">
        <is>
          <t>%</t>
        </is>
      </c>
      <c r="F78" s="100" t="n">
        <v>0</v>
      </c>
      <c r="G78" s="100" t="n">
        <v>100</v>
      </c>
      <c r="H78" s="100" t="n">
        <v>60</v>
      </c>
      <c r="I78" s="100" t="n">
        <v>1</v>
      </c>
      <c r="J78" s="100" t="inlineStr">
        <is>
          <t>Substituto</t>
        </is>
      </c>
      <c r="K78" s="100" t="inlineStr">
        <is>
          <t>Banco Mundial/JMP</t>
        </is>
      </c>
    </row>
    <row r="79">
      <c r="A79" s="100" t="inlineStr">
        <is>
          <t>5. Infraestruturas e Serviços</t>
        </is>
      </c>
      <c r="B79" s="100" t="inlineStr">
        <is>
          <t>Estradas pavimentadas (% total)</t>
        </is>
      </c>
      <c r="C79" s="100" t="inlineStr">
        <is>
          <t>IS.ROD.PAVE.ZS</t>
        </is>
      </c>
      <c r="D79" s="100" t="inlineStr">
        <is>
          <t>+</t>
        </is>
      </c>
      <c r="E79" s="100" t="inlineStr">
        <is>
          <t>%</t>
        </is>
      </c>
      <c r="F79" s="100" t="n">
        <v>0</v>
      </c>
      <c r="G79" s="100" t="n">
        <v>100</v>
      </c>
      <c r="H79" s="100" t="n">
        <v>30</v>
      </c>
      <c r="I79" s="100" t="n">
        <v>1</v>
      </c>
      <c r="J79" s="100" t="inlineStr">
        <is>
          <t>Complementar</t>
        </is>
      </c>
      <c r="K79" s="100" t="inlineStr">
        <is>
          <t>Banco Mundial/WDI</t>
        </is>
      </c>
    </row>
    <row r="80">
      <c r="A80" s="100" t="inlineStr">
        <is>
          <t>5. Infraestruturas e Serviços</t>
        </is>
      </c>
      <c r="B80" s="100" t="inlineStr">
        <is>
          <t>Logistics Performance Index - geral</t>
        </is>
      </c>
      <c r="C80" s="100" t="inlineStr">
        <is>
          <t>LP.LPI.OVRL.XQ</t>
        </is>
      </c>
      <c r="D80" s="100" t="inlineStr">
        <is>
          <t>+</t>
        </is>
      </c>
      <c r="E80" s="100" t="inlineStr">
        <is>
          <t>1-5</t>
        </is>
      </c>
      <c r="F80" s="100" t="n">
        <v>1</v>
      </c>
      <c r="G80" s="100" t="n">
        <v>5</v>
      </c>
      <c r="H80" s="100" t="n">
        <v>3</v>
      </c>
      <c r="I80" s="100" t="n">
        <v>1</v>
      </c>
      <c r="J80" s="100" t="inlineStr">
        <is>
          <t>Complementar</t>
        </is>
      </c>
      <c r="K80" s="100" t="inlineStr">
        <is>
          <t>Banco Mundial/LPI</t>
        </is>
      </c>
    </row>
    <row r="81">
      <c r="A81" s="100" t="inlineStr">
        <is>
          <t>6. Mercado de Trabalho</t>
        </is>
      </c>
      <c r="B81" s="100" t="inlineStr">
        <is>
          <t>Taxa de Emprego</t>
        </is>
      </c>
      <c r="C81" s="100" t="inlineStr">
        <is>
          <t>SL.EMP.TOTL.SP.ZS</t>
        </is>
      </c>
      <c r="D81" s="100" t="inlineStr">
        <is>
          <t>+</t>
        </is>
      </c>
      <c r="E81" s="100" t="inlineStr">
        <is>
          <t>%</t>
        </is>
      </c>
      <c r="F81" s="100" t="n">
        <v>0</v>
      </c>
      <c r="G81" s="100" t="n">
        <v>100</v>
      </c>
      <c r="H81" s="100" t="n">
        <v>65</v>
      </c>
      <c r="I81" s="100" t="n">
        <v>1</v>
      </c>
      <c r="J81" s="100" t="inlineStr">
        <is>
          <t>Atual no modelo</t>
        </is>
      </c>
      <c r="K81" s="100" t="inlineStr">
        <is>
          <t>INE</t>
        </is>
      </c>
    </row>
    <row r="82">
      <c r="A82" s="100" t="inlineStr">
        <is>
          <t>6. Mercado de Trabalho</t>
        </is>
      </c>
      <c r="B82" s="100" t="inlineStr">
        <is>
          <t>Taxa de Desemprego</t>
        </is>
      </c>
      <c r="C82" s="100" t="inlineStr">
        <is>
          <t>SL.UEM.TOTL.ZS</t>
        </is>
      </c>
      <c r="D82" s="100" t="inlineStr">
        <is>
          <t>-</t>
        </is>
      </c>
      <c r="E82" s="100" t="inlineStr">
        <is>
          <t>%</t>
        </is>
      </c>
      <c r="F82" s="100" t="n">
        <v>0</v>
      </c>
      <c r="G82" s="100" t="n">
        <v>50</v>
      </c>
      <c r="H82" s="100" t="n">
        <v>20</v>
      </c>
      <c r="I82" s="100" t="n">
        <v>1</v>
      </c>
      <c r="J82" s="100" t="inlineStr">
        <is>
          <t>Atual no modelo</t>
        </is>
      </c>
      <c r="K82" s="100" t="inlineStr">
        <is>
          <t>INE</t>
        </is>
      </c>
    </row>
    <row r="83">
      <c r="A83" s="100" t="inlineStr">
        <is>
          <t>6. Mercado de Trabalho</t>
        </is>
      </c>
      <c r="B83" s="100" t="inlineStr">
        <is>
          <t>Desemprego Juvenil (15-25)</t>
        </is>
      </c>
      <c r="C83" s="100" t="inlineStr">
        <is>
          <t>SL.UEM.1524.ZS</t>
        </is>
      </c>
      <c r="D83" s="100" t="inlineStr">
        <is>
          <t>-</t>
        </is>
      </c>
      <c r="E83" s="100" t="inlineStr">
        <is>
          <t>%</t>
        </is>
      </c>
      <c r="F83" s="100" t="n"/>
      <c r="G83" s="100" t="n"/>
      <c r="H83" s="100" t="n"/>
      <c r="I83" s="100" t="n">
        <v>1</v>
      </c>
      <c r="J83" s="100" t="inlineStr">
        <is>
          <t>Atual no modelo</t>
        </is>
      </c>
      <c r="K83" s="100" t="inlineStr">
        <is>
          <t>INE</t>
        </is>
      </c>
    </row>
    <row r="84">
      <c r="A84" s="100" t="inlineStr">
        <is>
          <t>6. Mercado de Trabalho</t>
        </is>
      </c>
      <c r="B84" s="100" t="inlineStr">
        <is>
          <t>Emprego Informal (%)</t>
        </is>
      </c>
      <c r="C84" s="100" t="inlineStr"/>
      <c r="D84" s="100" t="inlineStr">
        <is>
          <t>-</t>
        </is>
      </c>
      <c r="E84" s="100" t="inlineStr">
        <is>
          <t>%</t>
        </is>
      </c>
      <c r="F84" s="100" t="n">
        <v>0</v>
      </c>
      <c r="G84" s="100" t="n">
        <v>100</v>
      </c>
      <c r="H84" s="100" t="n">
        <v>50</v>
      </c>
      <c r="I84" s="100" t="n">
        <v>1</v>
      </c>
      <c r="J84" s="100" t="inlineStr">
        <is>
          <t>Atual no modelo</t>
        </is>
      </c>
      <c r="K84" s="100" t="inlineStr">
        <is>
          <t>INE</t>
        </is>
      </c>
    </row>
    <row r="85">
      <c r="A85" s="100" t="inlineStr">
        <is>
          <t>6. Mercado de Trabalho</t>
        </is>
      </c>
      <c r="B85" s="100" t="inlineStr">
        <is>
          <t>Taxa de Formalização</t>
        </is>
      </c>
      <c r="C85" s="100" t="inlineStr"/>
      <c r="D85" s="100" t="inlineStr">
        <is>
          <t>+</t>
        </is>
      </c>
      <c r="E85" s="100" t="inlineStr">
        <is>
          <t>%</t>
        </is>
      </c>
      <c r="F85" s="100" t="n">
        <v>0</v>
      </c>
      <c r="G85" s="100" t="n">
        <v>100</v>
      </c>
      <c r="H85" s="100" t="n">
        <v>40</v>
      </c>
      <c r="I85" s="100" t="n">
        <v>1</v>
      </c>
      <c r="J85" s="100" t="inlineStr">
        <is>
          <t>Atual no modelo</t>
        </is>
      </c>
      <c r="K85" s="100" t="inlineStr">
        <is>
          <t>INSS</t>
        </is>
      </c>
    </row>
    <row r="86">
      <c r="A86" s="100" t="inlineStr">
        <is>
          <t>6. Mercado de Trabalho</t>
        </is>
      </c>
      <c r="B86" s="100" t="inlineStr">
        <is>
          <t>Crescimento da Produtividade</t>
        </is>
      </c>
      <c r="C86" s="100" t="inlineStr"/>
      <c r="D86" s="100" t="inlineStr">
        <is>
          <t>+</t>
        </is>
      </c>
      <c r="E86" s="100" t="inlineStr">
        <is>
          <t>%</t>
        </is>
      </c>
      <c r="F86" s="100" t="n">
        <v>-5</v>
      </c>
      <c r="G86" s="100" t="n">
        <v>10</v>
      </c>
      <c r="H86" s="100" t="n">
        <v>3</v>
      </c>
      <c r="I86" s="100" t="n">
        <v>1</v>
      </c>
      <c r="J86" s="100" t="inlineStr">
        <is>
          <t>Atual no modelo</t>
        </is>
      </c>
      <c r="K86" s="100" t="inlineStr">
        <is>
          <t>INE/MEP</t>
        </is>
      </c>
    </row>
    <row r="87">
      <c r="A87" s="100" t="inlineStr">
        <is>
          <t>6. Mercado de Trabalho</t>
        </is>
      </c>
      <c r="B87" s="100" t="inlineStr">
        <is>
          <t>Emprego/população 15+</t>
        </is>
      </c>
      <c r="C87" s="100" t="inlineStr">
        <is>
          <t>SL.EMP.TOTL.SP.ZS</t>
        </is>
      </c>
      <c r="D87" s="100" t="inlineStr">
        <is>
          <t>+</t>
        </is>
      </c>
      <c r="E87" s="100" t="inlineStr">
        <is>
          <t>%</t>
        </is>
      </c>
      <c r="F87" s="100" t="n">
        <v>0</v>
      </c>
      <c r="G87" s="100" t="n">
        <v>100</v>
      </c>
      <c r="H87" s="100" t="n">
        <v>65</v>
      </c>
      <c r="I87" s="100" t="n">
        <v>1</v>
      </c>
      <c r="J87" s="100" t="inlineStr">
        <is>
          <t>Substituto</t>
        </is>
      </c>
      <c r="K87" s="100" t="inlineStr">
        <is>
          <t>Banco Mundial/OIT</t>
        </is>
      </c>
    </row>
    <row r="88">
      <c r="A88" s="100" t="inlineStr">
        <is>
          <t>6. Mercado de Trabalho</t>
        </is>
      </c>
      <c r="B88" s="100" t="inlineStr">
        <is>
          <t>Desemprego total modelado OIT</t>
        </is>
      </c>
      <c r="C88" s="100" t="inlineStr">
        <is>
          <t>SL.UEM.TOTL.ZS</t>
        </is>
      </c>
      <c r="D88" s="100" t="inlineStr">
        <is>
          <t>-</t>
        </is>
      </c>
      <c r="E88" s="100" t="inlineStr">
        <is>
          <t>%</t>
        </is>
      </c>
      <c r="F88" s="100" t="n">
        <v>0</v>
      </c>
      <c r="G88" s="100" t="n">
        <v>50</v>
      </c>
      <c r="H88" s="100" t="n">
        <v>15</v>
      </c>
      <c r="I88" s="100" t="n">
        <v>1</v>
      </c>
      <c r="J88" s="100" t="inlineStr">
        <is>
          <t>Substituto</t>
        </is>
      </c>
      <c r="K88" s="100" t="inlineStr">
        <is>
          <t>Banco Mundial/OIT</t>
        </is>
      </c>
    </row>
    <row r="89">
      <c r="A89" s="100" t="inlineStr">
        <is>
          <t>6. Mercado de Trabalho</t>
        </is>
      </c>
      <c r="B89" s="100" t="inlineStr">
        <is>
          <t>Desemprego juvenil 15-24</t>
        </is>
      </c>
      <c r="C89" s="100" t="inlineStr">
        <is>
          <t>SL.UEM.1524.ZS</t>
        </is>
      </c>
      <c r="D89" s="100" t="inlineStr">
        <is>
          <t>-</t>
        </is>
      </c>
      <c r="E89" s="100" t="inlineStr">
        <is>
          <t>%</t>
        </is>
      </c>
      <c r="F89" s="100" t="n">
        <v>0</v>
      </c>
      <c r="G89" s="100" t="n">
        <v>70</v>
      </c>
      <c r="H89" s="100" t="n">
        <v>30</v>
      </c>
      <c r="I89" s="100" t="n">
        <v>1</v>
      </c>
      <c r="J89" s="100" t="inlineStr">
        <is>
          <t>Substituto</t>
        </is>
      </c>
      <c r="K89" s="100" t="inlineStr">
        <is>
          <t>Banco Mundial/OIT</t>
        </is>
      </c>
    </row>
    <row r="90">
      <c r="A90" s="100" t="inlineStr">
        <is>
          <t>6. Mercado de Trabalho</t>
        </is>
      </c>
      <c r="B90" s="100" t="inlineStr">
        <is>
          <t>Participação na força de trabalho</t>
        </is>
      </c>
      <c r="C90" s="100" t="inlineStr">
        <is>
          <t>SL.TLF.CACT.ZS</t>
        </is>
      </c>
      <c r="D90" s="100" t="inlineStr">
        <is>
          <t>+</t>
        </is>
      </c>
      <c r="E90" s="100" t="inlineStr">
        <is>
          <t>%</t>
        </is>
      </c>
      <c r="F90" s="100" t="n">
        <v>0</v>
      </c>
      <c r="G90" s="100" t="n">
        <v>100</v>
      </c>
      <c r="H90" s="100" t="n">
        <v>70</v>
      </c>
      <c r="I90" s="100" t="n">
        <v>1</v>
      </c>
      <c r="J90" s="100" t="inlineStr">
        <is>
          <t>Complementar</t>
        </is>
      </c>
      <c r="K90" s="100" t="inlineStr">
        <is>
          <t>Banco Mundial/OIT</t>
        </is>
      </c>
    </row>
    <row r="91">
      <c r="A91" s="100" t="inlineStr">
        <is>
          <t>6. Mercado de Trabalho</t>
        </is>
      </c>
      <c r="B91" s="100" t="inlineStr">
        <is>
          <t>Emprego vulnerável</t>
        </is>
      </c>
      <c r="C91" s="100" t="inlineStr">
        <is>
          <t>SL.EMP.VULN.ZS</t>
        </is>
      </c>
      <c r="D91" s="100" t="inlineStr">
        <is>
          <t>-</t>
        </is>
      </c>
      <c r="E91" s="100" t="inlineStr">
        <is>
          <t>%</t>
        </is>
      </c>
      <c r="F91" s="100" t="n">
        <v>0</v>
      </c>
      <c r="G91" s="100" t="n">
        <v>100</v>
      </c>
      <c r="H91" s="100" t="n">
        <v>50</v>
      </c>
      <c r="I91" s="100" t="n">
        <v>1</v>
      </c>
      <c r="J91" s="100" t="inlineStr">
        <is>
          <t>Complementar</t>
        </is>
      </c>
      <c r="K91" s="100" t="inlineStr">
        <is>
          <t>Banco Mundial/OIT</t>
        </is>
      </c>
    </row>
    <row r="92">
      <c r="A92" s="100" t="inlineStr">
        <is>
          <t>6. Mercado de Trabalho</t>
        </is>
      </c>
      <c r="B92" s="100" t="inlineStr">
        <is>
          <t>Trabalhadores assalariados</t>
        </is>
      </c>
      <c r="C92" s="100" t="inlineStr">
        <is>
          <t>SL.EMP.WORK.ZS</t>
        </is>
      </c>
      <c r="D92" s="100" t="inlineStr">
        <is>
          <t>+</t>
        </is>
      </c>
      <c r="E92" s="100" t="inlineStr">
        <is>
          <t>% emprego total</t>
        </is>
      </c>
      <c r="F92" s="100" t="n">
        <v>0</v>
      </c>
      <c r="G92" s="100" t="n">
        <v>100</v>
      </c>
      <c r="H92" s="100" t="n">
        <v>50</v>
      </c>
      <c r="I92" s="100" t="n">
        <v>1</v>
      </c>
      <c r="J92" s="100" t="inlineStr">
        <is>
          <t>Complementar</t>
        </is>
      </c>
      <c r="K92" s="100" t="inlineStr">
        <is>
          <t>Banco Mundial/OIT</t>
        </is>
      </c>
    </row>
    <row r="93">
      <c r="A93" s="100" t="inlineStr">
        <is>
          <t>6. Mercado de Trabalho</t>
        </is>
      </c>
      <c r="B93" s="100" t="inlineStr">
        <is>
          <t>Emprego na agricultura</t>
        </is>
      </c>
      <c r="C93" s="100" t="inlineStr">
        <is>
          <t>SL.AGR.EMPL.ZS</t>
        </is>
      </c>
      <c r="D93" s="100" t="inlineStr">
        <is>
          <t>-</t>
        </is>
      </c>
      <c r="E93" s="100" t="inlineStr">
        <is>
          <t>% emprego total</t>
        </is>
      </c>
      <c r="F93" s="100" t="n">
        <v>0</v>
      </c>
      <c r="G93" s="100" t="n">
        <v>100</v>
      </c>
      <c r="H93" s="100" t="n">
        <v>35</v>
      </c>
      <c r="I93" s="100" t="n">
        <v>1</v>
      </c>
      <c r="J93" s="100" t="inlineStr">
        <is>
          <t>Complementar</t>
        </is>
      </c>
      <c r="K93" s="100" t="inlineStr">
        <is>
          <t>Banco Mundial/OIT</t>
        </is>
      </c>
    </row>
    <row r="94">
      <c r="A94" s="100" t="inlineStr">
        <is>
          <t>6. Mercado de Trabalho</t>
        </is>
      </c>
      <c r="B94" s="100" t="inlineStr">
        <is>
          <t>PIB por pessoa empregada</t>
        </is>
      </c>
      <c r="C94" s="100" t="inlineStr">
        <is>
          <t>SL.GDP.PCAP.EM.KD</t>
        </is>
      </c>
      <c r="D94" s="100" t="inlineStr">
        <is>
          <t>+</t>
        </is>
      </c>
      <c r="E94" s="100" t="inlineStr">
        <is>
          <t>USD PPP constantes</t>
        </is>
      </c>
      <c r="F94" s="100" t="n">
        <v>1000</v>
      </c>
      <c r="G94" s="100" t="n">
        <v>50000</v>
      </c>
      <c r="H94" s="100" t="n">
        <v>12000</v>
      </c>
      <c r="I94" s="100" t="n">
        <v>1</v>
      </c>
      <c r="J94" s="100" t="inlineStr">
        <is>
          <t>Substituto</t>
        </is>
      </c>
      <c r="K94" s="100" t="inlineStr">
        <is>
          <t>Banco Mundial/OIT</t>
        </is>
      </c>
    </row>
    <row r="95">
      <c r="A95" s="100" t="inlineStr">
        <is>
          <t>6. Mercado de Trabalho</t>
        </is>
      </c>
      <c r="B95" s="100" t="inlineStr">
        <is>
          <t>Jovens NEET</t>
        </is>
      </c>
      <c r="C95" s="100" t="inlineStr">
        <is>
          <t>SL.UEM.NEET.ZS</t>
        </is>
      </c>
      <c r="D95" s="100" t="inlineStr">
        <is>
          <t>-</t>
        </is>
      </c>
      <c r="E95" s="100" t="inlineStr">
        <is>
          <t>%</t>
        </is>
      </c>
      <c r="F95" s="100" t="n">
        <v>0</v>
      </c>
      <c r="G95" s="100" t="n">
        <v>70</v>
      </c>
      <c r="H95" s="100" t="n">
        <v>25</v>
      </c>
      <c r="I95" s="100" t="n">
        <v>1</v>
      </c>
      <c r="J95" s="100" t="inlineStr">
        <is>
          <t>Complementar</t>
        </is>
      </c>
      <c r="K95" s="100" t="inlineStr">
        <is>
          <t>Banco Mundial/OIT</t>
        </is>
      </c>
    </row>
    <row r="96">
      <c r="A96" s="100" t="inlineStr">
        <is>
          <t>6. Mercado de Trabalho</t>
        </is>
      </c>
      <c r="B96" s="100" t="inlineStr">
        <is>
          <t>Emprego informal fora da agricultura</t>
        </is>
      </c>
      <c r="C96" s="100" t="inlineStr"/>
      <c r="D96" s="100" t="inlineStr">
        <is>
          <t>-</t>
        </is>
      </c>
      <c r="E96" s="100" t="inlineStr">
        <is>
          <t>% emprego</t>
        </is>
      </c>
      <c r="F96" s="100" t="n">
        <v>0</v>
      </c>
      <c r="G96" s="100" t="n">
        <v>100</v>
      </c>
      <c r="H96" s="100" t="n">
        <v>55</v>
      </c>
      <c r="I96" s="100" t="n">
        <v>1</v>
      </c>
      <c r="J96" s="100" t="inlineStr">
        <is>
          <t>Complementar</t>
        </is>
      </c>
      <c r="K96" s="100" t="inlineStr">
        <is>
          <t>INE/OIT ILOSTAT</t>
        </is>
      </c>
    </row>
    <row r="97">
      <c r="A97" s="100" t="inlineStr">
        <is>
          <t>7. Segurança Alimentar e Saúde</t>
        </is>
      </c>
      <c r="B97" s="100" t="inlineStr">
        <is>
          <t>Índice Global Seg. Alimentar</t>
        </is>
      </c>
      <c r="C97" s="100" t="inlineStr"/>
      <c r="D97" s="100" t="inlineStr">
        <is>
          <t>+</t>
        </is>
      </c>
      <c r="E97" s="100" t="inlineStr">
        <is>
          <t>0-100</t>
        </is>
      </c>
      <c r="F97" s="100" t="n">
        <v>0</v>
      </c>
      <c r="G97" s="100" t="n">
        <v>100</v>
      </c>
      <c r="H97" s="100" t="n">
        <v>50</v>
      </c>
      <c r="I97" s="100" t="n">
        <v>1</v>
      </c>
      <c r="J97" s="100" t="inlineStr">
        <is>
          <t>Atual no modelo</t>
        </is>
      </c>
      <c r="K97" s="100" t="inlineStr">
        <is>
          <t>EIU</t>
        </is>
      </c>
    </row>
    <row r="98">
      <c r="A98" s="100" t="inlineStr">
        <is>
          <t>7. Segurança Alimentar e Saúde</t>
        </is>
      </c>
      <c r="B98" s="100" t="inlineStr">
        <is>
          <t>Prevalência de Desnutrição</t>
        </is>
      </c>
      <c r="C98" s="100" t="inlineStr">
        <is>
          <t>SN.ITK.DEFC.ZS</t>
        </is>
      </c>
      <c r="D98" s="100" t="inlineStr">
        <is>
          <t>-</t>
        </is>
      </c>
      <c r="E98" s="100" t="inlineStr">
        <is>
          <t>%</t>
        </is>
      </c>
      <c r="F98" s="100" t="n">
        <v>0</v>
      </c>
      <c r="G98" s="100" t="n">
        <v>50</v>
      </c>
      <c r="H98" s="100" t="n">
        <v>15</v>
      </c>
      <c r="I98" s="100" t="n">
        <v>1</v>
      </c>
      <c r="J98" s="100" t="inlineStr">
        <is>
          <t>Atual no modelo</t>
        </is>
      </c>
      <c r="K98" s="100" t="inlineStr">
        <is>
          <t>MINSA/FAO</t>
        </is>
      </c>
    </row>
    <row r="99">
      <c r="A99" s="100" t="inlineStr">
        <is>
          <t>7. Segurança Alimentar e Saúde</t>
        </is>
      </c>
      <c r="B99" s="100" t="inlineStr">
        <is>
          <t>Mortalidade Materna (por 100k)</t>
        </is>
      </c>
      <c r="C99" s="100" t="inlineStr">
        <is>
          <t>SH.STA.MMRT</t>
        </is>
      </c>
      <c r="D99" s="100" t="inlineStr">
        <is>
          <t>-</t>
        </is>
      </c>
      <c r="E99" s="100" t="inlineStr">
        <is>
          <t>por 100k</t>
        </is>
      </c>
      <c r="F99" s="100" t="n">
        <v>0</v>
      </c>
      <c r="G99" s="100" t="n">
        <v>1000</v>
      </c>
      <c r="H99" s="100" t="n">
        <v>300</v>
      </c>
      <c r="I99" s="100" t="n">
        <v>1</v>
      </c>
      <c r="J99" s="100" t="inlineStr">
        <is>
          <t>Atual no modelo</t>
        </is>
      </c>
      <c r="K99" s="100" t="inlineStr">
        <is>
          <t>MINSA/OMS</t>
        </is>
      </c>
    </row>
    <row r="100">
      <c r="A100" s="100" t="inlineStr">
        <is>
          <t>7. Segurança Alimentar e Saúde</t>
        </is>
      </c>
      <c r="B100" s="100" t="inlineStr">
        <is>
          <t>Despesas Saúde (% PIB)</t>
        </is>
      </c>
      <c r="C100" s="100" t="inlineStr">
        <is>
          <t>SH.XPD.CHEX.GD.ZS</t>
        </is>
      </c>
      <c r="D100" s="100" t="inlineStr">
        <is>
          <t>+</t>
        </is>
      </c>
      <c r="E100" s="100" t="inlineStr">
        <is>
          <t>%</t>
        </is>
      </c>
      <c r="F100" s="100" t="n">
        <v>0</v>
      </c>
      <c r="G100" s="100" t="n">
        <v>15</v>
      </c>
      <c r="H100" s="100" t="n">
        <v>5</v>
      </c>
      <c r="I100" s="100" t="n">
        <v>1</v>
      </c>
      <c r="J100" s="100" t="inlineStr">
        <is>
          <t>Atual no modelo</t>
        </is>
      </c>
      <c r="K100" s="100" t="inlineStr">
        <is>
          <t>MINFIN/OMS</t>
        </is>
      </c>
    </row>
    <row r="101">
      <c r="A101" s="100" t="inlineStr">
        <is>
          <t>7. Segurança Alimentar e Saúde</t>
        </is>
      </c>
      <c r="B101" s="100" t="inlineStr">
        <is>
          <t>Camas Hospitalares (por 1000)</t>
        </is>
      </c>
      <c r="C101" s="100" t="inlineStr">
        <is>
          <t>SH.MED.BEDS.ZS</t>
        </is>
      </c>
      <c r="D101" s="100" t="inlineStr">
        <is>
          <t>+</t>
        </is>
      </c>
      <c r="E101" s="100" t="inlineStr">
        <is>
          <t>por 1000</t>
        </is>
      </c>
      <c r="F101" s="100" t="n">
        <v>0</v>
      </c>
      <c r="G101" s="100" t="n">
        <v>10</v>
      </c>
      <c r="H101" s="100" t="n">
        <v>2</v>
      </c>
      <c r="I101" s="100" t="n">
        <v>1</v>
      </c>
      <c r="J101" s="100" t="inlineStr">
        <is>
          <t>Atual no modelo</t>
        </is>
      </c>
      <c r="K101" s="100" t="inlineStr">
        <is>
          <t>MINSA</t>
        </is>
      </c>
    </row>
    <row r="102">
      <c r="A102" s="100" t="inlineStr">
        <is>
          <t>7. Segurança Alimentar e Saúde</t>
        </is>
      </c>
      <c r="B102" s="100" t="inlineStr">
        <is>
          <t>Cobertura Vacinal (%)</t>
        </is>
      </c>
      <c r="C102" s="100" t="inlineStr">
        <is>
          <t>SH.IMM.MEAS</t>
        </is>
      </c>
      <c r="D102" s="100" t="inlineStr">
        <is>
          <t>+</t>
        </is>
      </c>
      <c r="E102" s="100" t="inlineStr">
        <is>
          <t>%</t>
        </is>
      </c>
      <c r="F102" s="100" t="n">
        <v>0</v>
      </c>
      <c r="G102" s="100" t="n">
        <v>100</v>
      </c>
      <c r="H102" s="100" t="n">
        <v>80</v>
      </c>
      <c r="I102" s="100" t="n">
        <v>1</v>
      </c>
      <c r="J102" s="100" t="inlineStr">
        <is>
          <t>Atual no modelo</t>
        </is>
      </c>
      <c r="K102" s="100" t="inlineStr">
        <is>
          <t>MINSA/OMS</t>
        </is>
      </c>
    </row>
    <row r="103">
      <c r="A103" s="100" t="inlineStr">
        <is>
          <t>7. Segurança Alimentar e Saúde</t>
        </is>
      </c>
      <c r="B103" s="100" t="inlineStr">
        <is>
          <t>Insegurança alimentar moderada ou severa</t>
        </is>
      </c>
      <c r="C103" s="100" t="inlineStr">
        <is>
          <t>SN.ITK.MSFI.ZS</t>
        </is>
      </c>
      <c r="D103" s="100" t="inlineStr">
        <is>
          <t>-</t>
        </is>
      </c>
      <c r="E103" s="100" t="inlineStr">
        <is>
          <t>%</t>
        </is>
      </c>
      <c r="F103" s="100" t="n">
        <v>0</v>
      </c>
      <c r="G103" s="100" t="n">
        <v>100</v>
      </c>
      <c r="H103" s="100" t="n">
        <v>45</v>
      </c>
      <c r="I103" s="100" t="n">
        <v>1</v>
      </c>
      <c r="J103" s="100" t="inlineStr">
        <is>
          <t>Substituto/Complementar</t>
        </is>
      </c>
      <c r="K103" s="100" t="inlineStr">
        <is>
          <t>Banco Mundial/FAO</t>
        </is>
      </c>
    </row>
    <row r="104">
      <c r="A104" s="100" t="inlineStr">
        <is>
          <t>7. Segurança Alimentar e Saúde</t>
        </is>
      </c>
      <c r="B104" s="100" t="inlineStr">
        <is>
          <t>Prevalência de subalimentação</t>
        </is>
      </c>
      <c r="C104" s="100" t="inlineStr">
        <is>
          <t>SN.ITK.DEFC.ZS</t>
        </is>
      </c>
      <c r="D104" s="100" t="inlineStr">
        <is>
          <t>-</t>
        </is>
      </c>
      <c r="E104" s="100" t="inlineStr">
        <is>
          <t>%</t>
        </is>
      </c>
      <c r="F104" s="100" t="n">
        <v>0</v>
      </c>
      <c r="G104" s="100" t="n">
        <v>60</v>
      </c>
      <c r="H104" s="100" t="n">
        <v>20</v>
      </c>
      <c r="I104" s="100" t="n">
        <v>1</v>
      </c>
      <c r="J104" s="100" t="inlineStr">
        <is>
          <t>Substituto</t>
        </is>
      </c>
      <c r="K104" s="100" t="inlineStr">
        <is>
          <t>Banco Mundial/FAO</t>
        </is>
      </c>
    </row>
    <row r="105">
      <c r="A105" s="100" t="inlineStr">
        <is>
          <t>7. Segurança Alimentar e Saúde</t>
        </is>
      </c>
      <c r="B105" s="100" t="inlineStr">
        <is>
          <t>Atraso de crescimento infantil</t>
        </is>
      </c>
      <c r="C105" s="100" t="inlineStr">
        <is>
          <t>SH.STA.STNT.ZS</t>
        </is>
      </c>
      <c r="D105" s="100" t="inlineStr">
        <is>
          <t>-</t>
        </is>
      </c>
      <c r="E105" s="100" t="inlineStr">
        <is>
          <t>% crianças &lt;5</t>
        </is>
      </c>
      <c r="F105" s="100" t="n">
        <v>0</v>
      </c>
      <c r="G105" s="100" t="n">
        <v>60</v>
      </c>
      <c r="H105" s="100" t="n">
        <v>25</v>
      </c>
      <c r="I105" s="100" t="n">
        <v>1</v>
      </c>
      <c r="J105" s="100" t="inlineStr">
        <is>
          <t>Complementar</t>
        </is>
      </c>
      <c r="K105" s="100" t="inlineStr">
        <is>
          <t>Banco Mundial/OMS/UNICEF</t>
        </is>
      </c>
    </row>
    <row r="106">
      <c r="A106" s="100" t="inlineStr">
        <is>
          <t>7. Segurança Alimentar e Saúde</t>
        </is>
      </c>
      <c r="B106" s="100" t="inlineStr">
        <is>
          <t>Emaciação infantil</t>
        </is>
      </c>
      <c r="C106" s="100" t="inlineStr">
        <is>
          <t>SH.STA.WAST.ZS</t>
        </is>
      </c>
      <c r="D106" s="100" t="inlineStr">
        <is>
          <t>-</t>
        </is>
      </c>
      <c r="E106" s="100" t="inlineStr">
        <is>
          <t>% crianças &lt;5</t>
        </is>
      </c>
      <c r="F106" s="100" t="n">
        <v>0</v>
      </c>
      <c r="G106" s="100" t="n">
        <v>25</v>
      </c>
      <c r="H106" s="100" t="n">
        <v>5</v>
      </c>
      <c r="I106" s="100" t="n">
        <v>1</v>
      </c>
      <c r="J106" s="100" t="inlineStr">
        <is>
          <t>Complementar</t>
        </is>
      </c>
      <c r="K106" s="100" t="inlineStr">
        <is>
          <t>Banco Mundial/OMS/UNICEF</t>
        </is>
      </c>
    </row>
    <row r="107">
      <c r="A107" s="100" t="inlineStr">
        <is>
          <t>7. Segurança Alimentar e Saúde</t>
        </is>
      </c>
      <c r="B107" s="100" t="inlineStr">
        <is>
          <t>Mortalidade de menores de 5 anos</t>
        </is>
      </c>
      <c r="C107" s="100" t="inlineStr">
        <is>
          <t>SH.DYN.MORT</t>
        </is>
      </c>
      <c r="D107" s="100" t="inlineStr">
        <is>
          <t>-</t>
        </is>
      </c>
      <c r="E107" s="100" t="inlineStr">
        <is>
          <t>por 1000</t>
        </is>
      </c>
      <c r="F107" s="100" t="n">
        <v>0</v>
      </c>
      <c r="G107" s="100" t="n">
        <v>200</v>
      </c>
      <c r="H107" s="100" t="n">
        <v>50</v>
      </c>
      <c r="I107" s="100" t="n">
        <v>1</v>
      </c>
      <c r="J107" s="100" t="inlineStr">
        <is>
          <t>Complementar</t>
        </is>
      </c>
      <c r="K107" s="100" t="inlineStr">
        <is>
          <t>Banco Mundial/UNICEF</t>
        </is>
      </c>
    </row>
    <row r="108">
      <c r="A108" s="100" t="inlineStr">
        <is>
          <t>7. Segurança Alimentar e Saúde</t>
        </is>
      </c>
      <c r="B108" s="100" t="inlineStr">
        <is>
          <t>Cobertura universal de saúde - UHC service coverage index</t>
        </is>
      </c>
      <c r="C108" s="100" t="inlineStr">
        <is>
          <t>SH.UHC.SRVS.CV.XD</t>
        </is>
      </c>
      <c r="D108" s="100" t="inlineStr">
        <is>
          <t>+</t>
        </is>
      </c>
      <c r="E108" s="100" t="inlineStr">
        <is>
          <t>0-100</t>
        </is>
      </c>
      <c r="F108" s="100" t="n">
        <v>0</v>
      </c>
      <c r="G108" s="100" t="n">
        <v>100</v>
      </c>
      <c r="H108" s="100" t="n">
        <v>55</v>
      </c>
      <c r="I108" s="100" t="n">
        <v>1</v>
      </c>
      <c r="J108" s="100" t="inlineStr">
        <is>
          <t>Complementar</t>
        </is>
      </c>
      <c r="K108" s="100" t="inlineStr">
        <is>
          <t>Banco Mundial/OMS</t>
        </is>
      </c>
    </row>
    <row r="109">
      <c r="A109" s="100" t="inlineStr">
        <is>
          <t>7. Segurança Alimentar e Saúde</t>
        </is>
      </c>
      <c r="B109" s="100" t="inlineStr">
        <is>
          <t>Vacinação DPT</t>
        </is>
      </c>
      <c r="C109" s="100" t="inlineStr">
        <is>
          <t>SH.IMM.IDPT</t>
        </is>
      </c>
      <c r="D109" s="100" t="inlineStr">
        <is>
          <t>+</t>
        </is>
      </c>
      <c r="E109" s="100" t="inlineStr">
        <is>
          <t>% crianças 12-23m</t>
        </is>
      </c>
      <c r="F109" s="100" t="n">
        <v>0</v>
      </c>
      <c r="G109" s="100" t="n">
        <v>100</v>
      </c>
      <c r="H109" s="100" t="n">
        <v>85</v>
      </c>
      <c r="I109" s="100" t="n">
        <v>1</v>
      </c>
      <c r="J109" s="100" t="inlineStr">
        <is>
          <t>Substituto/Complementar</t>
        </is>
      </c>
      <c r="K109" s="100" t="inlineStr">
        <is>
          <t>Banco Mundial/OMS/UNICEF</t>
        </is>
      </c>
    </row>
    <row r="110">
      <c r="A110" s="100" t="inlineStr">
        <is>
          <t>7. Segurança Alimentar e Saúde</t>
        </is>
      </c>
      <c r="B110" s="100" t="inlineStr">
        <is>
          <t>Despesa corrente em saúde (% PIB)</t>
        </is>
      </c>
      <c r="C110" s="100" t="inlineStr">
        <is>
          <t>SH.XPD.CHEX.GD.ZS</t>
        </is>
      </c>
      <c r="D110" s="100" t="inlineStr">
        <is>
          <t>+</t>
        </is>
      </c>
      <c r="E110" s="100" t="inlineStr">
        <is>
          <t>%</t>
        </is>
      </c>
      <c r="F110" s="100" t="n">
        <v>0</v>
      </c>
      <c r="G110" s="100" t="n">
        <v>15</v>
      </c>
      <c r="H110" s="100" t="n">
        <v>5</v>
      </c>
      <c r="I110" s="100" t="n">
        <v>1</v>
      </c>
      <c r="J110" s="100" t="inlineStr">
        <is>
          <t>Substituto</t>
        </is>
      </c>
      <c r="K110" s="100" t="inlineStr">
        <is>
          <t>Banco Mundial/OMS</t>
        </is>
      </c>
    </row>
    <row r="111">
      <c r="A111" s="100" t="inlineStr">
        <is>
          <t>7. Segurança Alimentar e Saúde</t>
        </is>
      </c>
      <c r="B111" s="100" t="inlineStr">
        <is>
          <t>Médicos por 1000 habitantes</t>
        </is>
      </c>
      <c r="C111" s="100" t="inlineStr">
        <is>
          <t>SH.MED.PHYS.ZS</t>
        </is>
      </c>
      <c r="D111" s="100" t="inlineStr">
        <is>
          <t>+</t>
        </is>
      </c>
      <c r="E111" s="100" t="inlineStr">
        <is>
          <t>por 1000</t>
        </is>
      </c>
      <c r="F111" s="100" t="n">
        <v>0</v>
      </c>
      <c r="G111" s="100" t="n">
        <v>5</v>
      </c>
      <c r="H111" s="100" t="n">
        <v>1</v>
      </c>
      <c r="I111" s="100" t="n">
        <v>1</v>
      </c>
      <c r="J111" s="100" t="inlineStr">
        <is>
          <t>Complementar</t>
        </is>
      </c>
      <c r="K111" s="100" t="inlineStr">
        <is>
          <t>Banco Mundial/OMS</t>
        </is>
      </c>
    </row>
    <row r="112">
      <c r="A112" s="100" t="inlineStr">
        <is>
          <t>7. Segurança Alimentar e Saúde</t>
        </is>
      </c>
      <c r="B112" s="100" t="inlineStr">
        <is>
          <t>Camas hospitalares por 1000 habitantes</t>
        </is>
      </c>
      <c r="C112" s="100" t="inlineStr">
        <is>
          <t>SH.MED.BEDS.ZS</t>
        </is>
      </c>
      <c r="D112" s="100" t="inlineStr">
        <is>
          <t>+</t>
        </is>
      </c>
      <c r="E112" s="100" t="inlineStr">
        <is>
          <t>por 1000</t>
        </is>
      </c>
      <c r="F112" s="100" t="n">
        <v>0</v>
      </c>
      <c r="G112" s="100" t="n">
        <v>10</v>
      </c>
      <c r="H112" s="100" t="n">
        <v>2</v>
      </c>
      <c r="I112" s="100" t="n">
        <v>1</v>
      </c>
      <c r="J112" s="100" t="inlineStr">
        <is>
          <t>Substituto</t>
        </is>
      </c>
      <c r="K112" s="100" t="inlineStr">
        <is>
          <t>Banco Mundial/OMS</t>
        </is>
      </c>
    </row>
    <row r="113">
      <c r="A113" s="100" t="inlineStr">
        <is>
          <t>7. Segurança Alimentar e Saúde</t>
        </is>
      </c>
      <c r="B113" s="100" t="inlineStr">
        <is>
          <t>Índice de produção alimentar</t>
        </is>
      </c>
      <c r="C113" s="100" t="inlineStr">
        <is>
          <t>AG.PRD.FOOD.XD</t>
        </is>
      </c>
      <c r="D113" s="100" t="inlineStr">
        <is>
          <t>+</t>
        </is>
      </c>
      <c r="E113" s="100" t="inlineStr">
        <is>
          <t>2014-2016=100</t>
        </is>
      </c>
      <c r="F113" s="100" t="n">
        <v>50</v>
      </c>
      <c r="G113" s="100" t="n">
        <v>150</v>
      </c>
      <c r="H113" s="100" t="n">
        <v>110</v>
      </c>
      <c r="I113" s="100" t="n">
        <v>1</v>
      </c>
      <c r="J113" s="100" t="inlineStr">
        <is>
          <t>Complementar</t>
        </is>
      </c>
      <c r="K113" s="100" t="inlineStr">
        <is>
          <t>Banco Mundial/FAO</t>
        </is>
      </c>
    </row>
    <row r="114">
      <c r="A114" s="100" t="inlineStr">
        <is>
          <t>7. Segurança Alimentar e Saúde</t>
        </is>
      </c>
      <c r="B114" s="100" t="inlineStr">
        <is>
          <t>Rendimento cerealífero</t>
        </is>
      </c>
      <c r="C114" s="100" t="inlineStr">
        <is>
          <t>AG.YLD.CREL.KG</t>
        </is>
      </c>
      <c r="D114" s="100" t="inlineStr">
        <is>
          <t>+</t>
        </is>
      </c>
      <c r="E114" s="100" t="inlineStr">
        <is>
          <t>kg/ha</t>
        </is>
      </c>
      <c r="F114" s="100" t="n">
        <v>0</v>
      </c>
      <c r="G114" s="100" t="n">
        <v>6000</v>
      </c>
      <c r="H114" s="100" t="n">
        <v>2000</v>
      </c>
      <c r="I114" s="100" t="n">
        <v>1</v>
      </c>
      <c r="J114" s="100" t="inlineStr">
        <is>
          <t>Complementar</t>
        </is>
      </c>
      <c r="K114" s="100" t="inlineStr">
        <is>
          <t>Banco Mundial/FAO</t>
        </is>
      </c>
    </row>
  </sheetData>
  <autoFilter ref="A5:K1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50" min="1" max="1"/>
    <col width="44" customWidth="1" style="50" min="2" max="2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  <col width="13" customWidth="1" style="50" min="11" max="11"/>
    <col width="13" customWidth="1" style="50" min="12" max="12"/>
    <col width="13" customWidth="1" style="50" min="13" max="13"/>
  </cols>
  <sheetData>
    <row r="1">
      <c r="A1" s="114" t="inlineStr">
        <is>
          <t>Dimensão</t>
        </is>
      </c>
      <c r="B1" s="114" t="inlineStr">
        <is>
          <t>Indicador</t>
        </is>
      </c>
      <c r="C1" s="114" t="inlineStr">
        <is>
          <t>2015</t>
        </is>
      </c>
      <c r="D1" s="114" t="inlineStr">
        <is>
          <t>2016</t>
        </is>
      </c>
      <c r="E1" s="114" t="inlineStr">
        <is>
          <t>2017</t>
        </is>
      </c>
      <c r="F1" s="114" t="inlineStr">
        <is>
          <t>2018</t>
        </is>
      </c>
      <c r="G1" s="114" t="inlineStr">
        <is>
          <t>2019</t>
        </is>
      </c>
      <c r="H1" s="114" t="inlineStr">
        <is>
          <t>2020</t>
        </is>
      </c>
      <c r="I1" s="114" t="inlineStr">
        <is>
          <t>2021</t>
        </is>
      </c>
      <c r="J1" s="114" t="inlineStr">
        <is>
          <t>2022</t>
        </is>
      </c>
      <c r="K1" s="114" t="inlineStr">
        <is>
          <t>2023</t>
        </is>
      </c>
      <c r="L1" s="114" t="inlineStr">
        <is>
          <t>2024</t>
        </is>
      </c>
      <c r="M1" s="114" t="inlineStr">
        <is>
          <t>2025</t>
        </is>
      </c>
    </row>
    <row r="2">
      <c r="A2" t="inlineStr">
        <is>
          <t>1. Governança e Estado de Direito</t>
        </is>
      </c>
      <c r="B2" t="inlineStr">
        <is>
          <t>Índice de Percepção da Corrupção</t>
        </is>
      </c>
      <c r="C2" s="115">
        <f>IF(Base_Alargada!R5="","",IF(Parametros_Alargados!$D6="+",MIN(100,MAX(0,(Base_Alargada!R5-Parametros_Alargados!$F6)/(Parametros_Alargados!$G6-Parametros_Alargados!$F6)*100)),MIN(100,MAX(0,(Parametros_Alargados!$G6-Base_Alargada!R5)/(Parametros_Alargados!$G6-Parametros_Alargados!$F6)*100))))</f>
        <v/>
      </c>
      <c r="D2" s="115">
        <f>IF(Base_Alargada!S5="","",IF(Parametros_Alargados!$D6="+",MIN(100,MAX(0,(Base_Alargada!S5-Parametros_Alargados!$F6)/(Parametros_Alargados!$G6-Parametros_Alargados!$F6)*100)),MIN(100,MAX(0,(Parametros_Alargados!$G6-Base_Alargada!S5)/(Parametros_Alargados!$G6-Parametros_Alargados!$F6)*100))))</f>
        <v/>
      </c>
      <c r="E2" s="115">
        <f>IF(Base_Alargada!T5="","",IF(Parametros_Alargados!$D6="+",MIN(100,MAX(0,(Base_Alargada!T5-Parametros_Alargados!$F6)/(Parametros_Alargados!$G6-Parametros_Alargados!$F6)*100)),MIN(100,MAX(0,(Parametros_Alargados!$G6-Base_Alargada!T5)/(Parametros_Alargados!$G6-Parametros_Alargados!$F6)*100))))</f>
        <v/>
      </c>
      <c r="F2" s="115">
        <f>IF(Base_Alargada!U5="","",IF(Parametros_Alargados!$D6="+",MIN(100,MAX(0,(Base_Alargada!U5-Parametros_Alargados!$F6)/(Parametros_Alargados!$G6-Parametros_Alargados!$F6)*100)),MIN(100,MAX(0,(Parametros_Alargados!$G6-Base_Alargada!U5)/(Parametros_Alargados!$G6-Parametros_Alargados!$F6)*100))))</f>
        <v/>
      </c>
      <c r="G2" s="115">
        <f>IF(Base_Alargada!V5="","",IF(Parametros_Alargados!$D6="+",MIN(100,MAX(0,(Base_Alargada!V5-Parametros_Alargados!$F6)/(Parametros_Alargados!$G6-Parametros_Alargados!$F6)*100)),MIN(100,MAX(0,(Parametros_Alargados!$G6-Base_Alargada!V5)/(Parametros_Alargados!$G6-Parametros_Alargados!$F6)*100))))</f>
        <v/>
      </c>
      <c r="H2" s="115">
        <f>IF(Base_Alargada!W5="","",IF(Parametros_Alargados!$D6="+",MIN(100,MAX(0,(Base_Alargada!W5-Parametros_Alargados!$F6)/(Parametros_Alargados!$G6-Parametros_Alargados!$F6)*100)),MIN(100,MAX(0,(Parametros_Alargados!$G6-Base_Alargada!W5)/(Parametros_Alargados!$G6-Parametros_Alargados!$F6)*100))))</f>
        <v/>
      </c>
      <c r="I2" s="115">
        <f>IF(Base_Alargada!X5="","",IF(Parametros_Alargados!$D6="+",MIN(100,MAX(0,(Base_Alargada!X5-Parametros_Alargados!$F6)/(Parametros_Alargados!$G6-Parametros_Alargados!$F6)*100)),MIN(100,MAX(0,(Parametros_Alargados!$G6-Base_Alargada!X5)/(Parametros_Alargados!$G6-Parametros_Alargados!$F6)*100))))</f>
        <v/>
      </c>
      <c r="J2" s="115">
        <f>IF(Base_Alargada!Y5="","",IF(Parametros_Alargados!$D6="+",MIN(100,MAX(0,(Base_Alargada!Y5-Parametros_Alargados!$F6)/(Parametros_Alargados!$G6-Parametros_Alargados!$F6)*100)),MIN(100,MAX(0,(Parametros_Alargados!$G6-Base_Alargada!Y5)/(Parametros_Alargados!$G6-Parametros_Alargados!$F6)*100))))</f>
        <v/>
      </c>
      <c r="K2" s="115">
        <f>IF(Base_Alargada!Z5="","",IF(Parametros_Alargados!$D6="+",MIN(100,MAX(0,(Base_Alargada!Z5-Parametros_Alargados!$F6)/(Parametros_Alargados!$G6-Parametros_Alargados!$F6)*100)),MIN(100,MAX(0,(Parametros_Alargados!$G6-Base_Alargada!Z5)/(Parametros_Alargados!$G6-Parametros_Alargados!$F6)*100))))</f>
        <v/>
      </c>
      <c r="L2" s="115">
        <f>IF(Base_Alargada!AA5="","",IF(Parametros_Alargados!$D6="+",MIN(100,MAX(0,(Base_Alargada!AA5-Parametros_Alargados!$F6)/(Parametros_Alargados!$G6-Parametros_Alargados!$F6)*100)),MIN(100,MAX(0,(Parametros_Alargados!$G6-Base_Alargada!AA5)/(Parametros_Alargados!$G6-Parametros_Alargados!$F6)*100))))</f>
        <v/>
      </c>
      <c r="M2" s="115">
        <f>IF(Base_Alargada!AB5="","",IF(Parametros_Alargados!$D6="+",MIN(100,MAX(0,(Base_Alargada!AB5-Parametros_Alargados!$F6)/(Parametros_Alargados!$G6-Parametros_Alargados!$F6)*100)),MIN(100,MAX(0,(Parametros_Alargados!$G6-Base_Alargada!AB5)/(Parametros_Alargados!$G6-Parametros_Alargados!$F6)*100))))</f>
        <v/>
      </c>
    </row>
    <row r="3">
      <c r="A3" t="inlineStr">
        <is>
          <t>1. Governança e Estado de Direito</t>
        </is>
      </c>
      <c r="B3" t="inlineStr">
        <is>
          <t>WGI - Estado de Direito</t>
        </is>
      </c>
      <c r="C3" s="115">
        <f>IF(Base_Alargada!R6="","",IF(Parametros_Alargados!$D7="+",MIN(100,MAX(0,(Base_Alargada!R6-Parametros_Alargados!$F7)/(Parametros_Alargados!$G7-Parametros_Alargados!$F7)*100)),MIN(100,MAX(0,(Parametros_Alargados!$G7-Base_Alargada!R6)/(Parametros_Alargados!$G7-Parametros_Alargados!$F7)*100))))</f>
        <v/>
      </c>
      <c r="D3" s="115">
        <f>IF(Base_Alargada!S6="","",IF(Parametros_Alargados!$D7="+",MIN(100,MAX(0,(Base_Alargada!S6-Parametros_Alargados!$F7)/(Parametros_Alargados!$G7-Parametros_Alargados!$F7)*100)),MIN(100,MAX(0,(Parametros_Alargados!$G7-Base_Alargada!S6)/(Parametros_Alargados!$G7-Parametros_Alargados!$F7)*100))))</f>
        <v/>
      </c>
      <c r="E3" s="115">
        <f>IF(Base_Alargada!T6="","",IF(Parametros_Alargados!$D7="+",MIN(100,MAX(0,(Base_Alargada!T6-Parametros_Alargados!$F7)/(Parametros_Alargados!$G7-Parametros_Alargados!$F7)*100)),MIN(100,MAX(0,(Parametros_Alargados!$G7-Base_Alargada!T6)/(Parametros_Alargados!$G7-Parametros_Alargados!$F7)*100))))</f>
        <v/>
      </c>
      <c r="F3" s="115">
        <f>IF(Base_Alargada!U6="","",IF(Parametros_Alargados!$D7="+",MIN(100,MAX(0,(Base_Alargada!U6-Parametros_Alargados!$F7)/(Parametros_Alargados!$G7-Parametros_Alargados!$F7)*100)),MIN(100,MAX(0,(Parametros_Alargados!$G7-Base_Alargada!U6)/(Parametros_Alargados!$G7-Parametros_Alargados!$F7)*100))))</f>
        <v/>
      </c>
      <c r="G3" s="115">
        <f>IF(Base_Alargada!V6="","",IF(Parametros_Alargados!$D7="+",MIN(100,MAX(0,(Base_Alargada!V6-Parametros_Alargados!$F7)/(Parametros_Alargados!$G7-Parametros_Alargados!$F7)*100)),MIN(100,MAX(0,(Parametros_Alargados!$G7-Base_Alargada!V6)/(Parametros_Alargados!$G7-Parametros_Alargados!$F7)*100))))</f>
        <v/>
      </c>
      <c r="H3" s="115">
        <f>IF(Base_Alargada!W6="","",IF(Parametros_Alargados!$D7="+",MIN(100,MAX(0,(Base_Alargada!W6-Parametros_Alargados!$F7)/(Parametros_Alargados!$G7-Parametros_Alargados!$F7)*100)),MIN(100,MAX(0,(Parametros_Alargados!$G7-Base_Alargada!W6)/(Parametros_Alargados!$G7-Parametros_Alargados!$F7)*100))))</f>
        <v/>
      </c>
      <c r="I3" s="115">
        <f>IF(Base_Alargada!X6="","",IF(Parametros_Alargados!$D7="+",MIN(100,MAX(0,(Base_Alargada!X6-Parametros_Alargados!$F7)/(Parametros_Alargados!$G7-Parametros_Alargados!$F7)*100)),MIN(100,MAX(0,(Parametros_Alargados!$G7-Base_Alargada!X6)/(Parametros_Alargados!$G7-Parametros_Alargados!$F7)*100))))</f>
        <v/>
      </c>
      <c r="J3" s="115">
        <f>IF(Base_Alargada!Y6="","",IF(Parametros_Alargados!$D7="+",MIN(100,MAX(0,(Base_Alargada!Y6-Parametros_Alargados!$F7)/(Parametros_Alargados!$G7-Parametros_Alargados!$F7)*100)),MIN(100,MAX(0,(Parametros_Alargados!$G7-Base_Alargada!Y6)/(Parametros_Alargados!$G7-Parametros_Alargados!$F7)*100))))</f>
        <v/>
      </c>
      <c r="K3" s="115">
        <f>IF(Base_Alargada!Z6="","",IF(Parametros_Alargados!$D7="+",MIN(100,MAX(0,(Base_Alargada!Z6-Parametros_Alargados!$F7)/(Parametros_Alargados!$G7-Parametros_Alargados!$F7)*100)),MIN(100,MAX(0,(Parametros_Alargados!$G7-Base_Alargada!Z6)/(Parametros_Alargados!$G7-Parametros_Alargados!$F7)*100))))</f>
        <v/>
      </c>
      <c r="L3" s="115">
        <f>IF(Base_Alargada!AA6="","",IF(Parametros_Alargados!$D7="+",MIN(100,MAX(0,(Base_Alargada!AA6-Parametros_Alargados!$F7)/(Parametros_Alargados!$G7-Parametros_Alargados!$F7)*100)),MIN(100,MAX(0,(Parametros_Alargados!$G7-Base_Alargada!AA6)/(Parametros_Alargados!$G7-Parametros_Alargados!$F7)*100))))</f>
        <v/>
      </c>
      <c r="M3" s="115">
        <f>IF(Base_Alargada!AB6="","",IF(Parametros_Alargados!$D7="+",MIN(100,MAX(0,(Base_Alargada!AB6-Parametros_Alargados!$F7)/(Parametros_Alargados!$G7-Parametros_Alargados!$F7)*100)),MIN(100,MAX(0,(Parametros_Alargados!$G7-Base_Alargada!AB6)/(Parametros_Alargados!$G7-Parametros_Alargados!$F7)*100))))</f>
        <v/>
      </c>
    </row>
    <row r="4">
      <c r="A4" t="inlineStr">
        <is>
          <t>1. Governança e Estado de Direito</t>
        </is>
      </c>
      <c r="B4" t="inlineStr">
        <is>
          <t>WGI - Eficiência do Governo</t>
        </is>
      </c>
      <c r="C4" s="115">
        <f>IF(Base_Alargada!R7="","",IF(Parametros_Alargados!$D8="+",MIN(100,MAX(0,(Base_Alargada!R7-Parametros_Alargados!$F8)/(Parametros_Alargados!$G8-Parametros_Alargados!$F8)*100)),MIN(100,MAX(0,(Parametros_Alargados!$G8-Base_Alargada!R7)/(Parametros_Alargados!$G8-Parametros_Alargados!$F8)*100))))</f>
        <v/>
      </c>
      <c r="D4" s="115">
        <f>IF(Base_Alargada!S7="","",IF(Parametros_Alargados!$D8="+",MIN(100,MAX(0,(Base_Alargada!S7-Parametros_Alargados!$F8)/(Parametros_Alargados!$G8-Parametros_Alargados!$F8)*100)),MIN(100,MAX(0,(Parametros_Alargados!$G8-Base_Alargada!S7)/(Parametros_Alargados!$G8-Parametros_Alargados!$F8)*100))))</f>
        <v/>
      </c>
      <c r="E4" s="115">
        <f>IF(Base_Alargada!T7="","",IF(Parametros_Alargados!$D8="+",MIN(100,MAX(0,(Base_Alargada!T7-Parametros_Alargados!$F8)/(Parametros_Alargados!$G8-Parametros_Alargados!$F8)*100)),MIN(100,MAX(0,(Parametros_Alargados!$G8-Base_Alargada!T7)/(Parametros_Alargados!$G8-Parametros_Alargados!$F8)*100))))</f>
        <v/>
      </c>
      <c r="F4" s="115">
        <f>IF(Base_Alargada!U7="","",IF(Parametros_Alargados!$D8="+",MIN(100,MAX(0,(Base_Alargada!U7-Parametros_Alargados!$F8)/(Parametros_Alargados!$G8-Parametros_Alargados!$F8)*100)),MIN(100,MAX(0,(Parametros_Alargados!$G8-Base_Alargada!U7)/(Parametros_Alargados!$G8-Parametros_Alargados!$F8)*100))))</f>
        <v/>
      </c>
      <c r="G4" s="115">
        <f>IF(Base_Alargada!V7="","",IF(Parametros_Alargados!$D8="+",MIN(100,MAX(0,(Base_Alargada!V7-Parametros_Alargados!$F8)/(Parametros_Alargados!$G8-Parametros_Alargados!$F8)*100)),MIN(100,MAX(0,(Parametros_Alargados!$G8-Base_Alargada!V7)/(Parametros_Alargados!$G8-Parametros_Alargados!$F8)*100))))</f>
        <v/>
      </c>
      <c r="H4" s="115">
        <f>IF(Base_Alargada!W7="","",IF(Parametros_Alargados!$D8="+",MIN(100,MAX(0,(Base_Alargada!W7-Parametros_Alargados!$F8)/(Parametros_Alargados!$G8-Parametros_Alargados!$F8)*100)),MIN(100,MAX(0,(Parametros_Alargados!$G8-Base_Alargada!W7)/(Parametros_Alargados!$G8-Parametros_Alargados!$F8)*100))))</f>
        <v/>
      </c>
      <c r="I4" s="115">
        <f>IF(Base_Alargada!X7="","",IF(Parametros_Alargados!$D8="+",MIN(100,MAX(0,(Base_Alargada!X7-Parametros_Alargados!$F8)/(Parametros_Alargados!$G8-Parametros_Alargados!$F8)*100)),MIN(100,MAX(0,(Parametros_Alargados!$G8-Base_Alargada!X7)/(Parametros_Alargados!$G8-Parametros_Alargados!$F8)*100))))</f>
        <v/>
      </c>
      <c r="J4" s="115">
        <f>IF(Base_Alargada!Y7="","",IF(Parametros_Alargados!$D8="+",MIN(100,MAX(0,(Base_Alargada!Y7-Parametros_Alargados!$F8)/(Parametros_Alargados!$G8-Parametros_Alargados!$F8)*100)),MIN(100,MAX(0,(Parametros_Alargados!$G8-Base_Alargada!Y7)/(Parametros_Alargados!$G8-Parametros_Alargados!$F8)*100))))</f>
        <v/>
      </c>
      <c r="K4" s="115">
        <f>IF(Base_Alargada!Z7="","",IF(Parametros_Alargados!$D8="+",MIN(100,MAX(0,(Base_Alargada!Z7-Parametros_Alargados!$F8)/(Parametros_Alargados!$G8-Parametros_Alargados!$F8)*100)),MIN(100,MAX(0,(Parametros_Alargados!$G8-Base_Alargada!Z7)/(Parametros_Alargados!$G8-Parametros_Alargados!$F8)*100))))</f>
        <v/>
      </c>
      <c r="L4" s="115">
        <f>IF(Base_Alargada!AA7="","",IF(Parametros_Alargados!$D8="+",MIN(100,MAX(0,(Base_Alargada!AA7-Parametros_Alargados!$F8)/(Parametros_Alargados!$G8-Parametros_Alargados!$F8)*100)),MIN(100,MAX(0,(Parametros_Alargados!$G8-Base_Alargada!AA7)/(Parametros_Alargados!$G8-Parametros_Alargados!$F8)*100))))</f>
        <v/>
      </c>
      <c r="M4" s="115">
        <f>IF(Base_Alargada!AB7="","",IF(Parametros_Alargados!$D8="+",MIN(100,MAX(0,(Base_Alargada!AB7-Parametros_Alargados!$F8)/(Parametros_Alargados!$G8-Parametros_Alargados!$F8)*100)),MIN(100,MAX(0,(Parametros_Alargados!$G8-Base_Alargada!AB7)/(Parametros_Alargados!$G8-Parametros_Alargados!$F8)*100))))</f>
        <v/>
      </c>
    </row>
    <row r="5">
      <c r="A5" t="inlineStr">
        <is>
          <t>1. Governança e Estado de Direito</t>
        </is>
      </c>
      <c r="B5" t="inlineStr">
        <is>
          <t>Estabilidade Política (WGI)</t>
        </is>
      </c>
      <c r="C5" s="115">
        <f>IF(Base_Alargada!R8="","",IF(Parametros_Alargados!$D9="+",MIN(100,MAX(0,(Base_Alargada!R8-Parametros_Alargados!$F9)/(Parametros_Alargados!$G9-Parametros_Alargados!$F9)*100)),MIN(100,MAX(0,(Parametros_Alargados!$G9-Base_Alargada!R8)/(Parametros_Alargados!$G9-Parametros_Alargados!$F9)*100))))</f>
        <v/>
      </c>
      <c r="D5" s="115">
        <f>IF(Base_Alargada!S8="","",IF(Parametros_Alargados!$D9="+",MIN(100,MAX(0,(Base_Alargada!S8-Parametros_Alargados!$F9)/(Parametros_Alargados!$G9-Parametros_Alargados!$F9)*100)),MIN(100,MAX(0,(Parametros_Alargados!$G9-Base_Alargada!S8)/(Parametros_Alargados!$G9-Parametros_Alargados!$F9)*100))))</f>
        <v/>
      </c>
      <c r="E5" s="115">
        <f>IF(Base_Alargada!T8="","",IF(Parametros_Alargados!$D9="+",MIN(100,MAX(0,(Base_Alargada!T8-Parametros_Alargados!$F9)/(Parametros_Alargados!$G9-Parametros_Alargados!$F9)*100)),MIN(100,MAX(0,(Parametros_Alargados!$G9-Base_Alargada!T8)/(Parametros_Alargados!$G9-Parametros_Alargados!$F9)*100))))</f>
        <v/>
      </c>
      <c r="F5" s="115">
        <f>IF(Base_Alargada!U8="","",IF(Parametros_Alargados!$D9="+",MIN(100,MAX(0,(Base_Alargada!U8-Parametros_Alargados!$F9)/(Parametros_Alargados!$G9-Parametros_Alargados!$F9)*100)),MIN(100,MAX(0,(Parametros_Alargados!$G9-Base_Alargada!U8)/(Parametros_Alargados!$G9-Parametros_Alargados!$F9)*100))))</f>
        <v/>
      </c>
      <c r="G5" s="115">
        <f>IF(Base_Alargada!V8="","",IF(Parametros_Alargados!$D9="+",MIN(100,MAX(0,(Base_Alargada!V8-Parametros_Alargados!$F9)/(Parametros_Alargados!$G9-Parametros_Alargados!$F9)*100)),MIN(100,MAX(0,(Parametros_Alargados!$G9-Base_Alargada!V8)/(Parametros_Alargados!$G9-Parametros_Alargados!$F9)*100))))</f>
        <v/>
      </c>
      <c r="H5" s="115">
        <f>IF(Base_Alargada!W8="","",IF(Parametros_Alargados!$D9="+",MIN(100,MAX(0,(Base_Alargada!W8-Parametros_Alargados!$F9)/(Parametros_Alargados!$G9-Parametros_Alargados!$F9)*100)),MIN(100,MAX(0,(Parametros_Alargados!$G9-Base_Alargada!W8)/(Parametros_Alargados!$G9-Parametros_Alargados!$F9)*100))))</f>
        <v/>
      </c>
      <c r="I5" s="115">
        <f>IF(Base_Alargada!X8="","",IF(Parametros_Alargados!$D9="+",MIN(100,MAX(0,(Base_Alargada!X8-Parametros_Alargados!$F9)/(Parametros_Alargados!$G9-Parametros_Alargados!$F9)*100)),MIN(100,MAX(0,(Parametros_Alargados!$G9-Base_Alargada!X8)/(Parametros_Alargados!$G9-Parametros_Alargados!$F9)*100))))</f>
        <v/>
      </c>
      <c r="J5" s="115">
        <f>IF(Base_Alargada!Y8="","",IF(Parametros_Alargados!$D9="+",MIN(100,MAX(0,(Base_Alargada!Y8-Parametros_Alargados!$F9)/(Parametros_Alargados!$G9-Parametros_Alargados!$F9)*100)),MIN(100,MAX(0,(Parametros_Alargados!$G9-Base_Alargada!Y8)/(Parametros_Alargados!$G9-Parametros_Alargados!$F9)*100))))</f>
        <v/>
      </c>
      <c r="K5" s="115">
        <f>IF(Base_Alargada!Z8="","",IF(Parametros_Alargados!$D9="+",MIN(100,MAX(0,(Base_Alargada!Z8-Parametros_Alargados!$F9)/(Parametros_Alargados!$G9-Parametros_Alargados!$F9)*100)),MIN(100,MAX(0,(Parametros_Alargados!$G9-Base_Alargada!Z8)/(Parametros_Alargados!$G9-Parametros_Alargados!$F9)*100))))</f>
        <v/>
      </c>
      <c r="L5" s="115">
        <f>IF(Base_Alargada!AA8="","",IF(Parametros_Alargados!$D9="+",MIN(100,MAX(0,(Base_Alargada!AA8-Parametros_Alargados!$F9)/(Parametros_Alargados!$G9-Parametros_Alargados!$F9)*100)),MIN(100,MAX(0,(Parametros_Alargados!$G9-Base_Alargada!AA8)/(Parametros_Alargados!$G9-Parametros_Alargados!$F9)*100))))</f>
        <v/>
      </c>
      <c r="M5" s="115">
        <f>IF(Base_Alargada!AB8="","",IF(Parametros_Alargados!$D9="+",MIN(100,MAX(0,(Base_Alargada!AB8-Parametros_Alargados!$F9)/(Parametros_Alargados!$G9-Parametros_Alargados!$F9)*100)),MIN(100,MAX(0,(Parametros_Alargados!$G9-Base_Alargada!AB8)/(Parametros_Alargados!$G9-Parametros_Alargados!$F9)*100))))</f>
        <v/>
      </c>
    </row>
    <row r="6">
      <c r="A6" t="inlineStr">
        <is>
          <t>1. Governança e Estado de Direito</t>
        </is>
      </c>
      <c r="B6" t="inlineStr">
        <is>
          <t>Doing Business / Ease of Business</t>
        </is>
      </c>
      <c r="C6" s="115">
        <f>IF(Base_Alargada!R9="","",IF(Parametros_Alargados!$D10="+",MIN(100,MAX(0,(Base_Alargada!R9-Parametros_Alargados!$F10)/(Parametros_Alargados!$G10-Parametros_Alargados!$F10)*100)),MIN(100,MAX(0,(Parametros_Alargados!$G10-Base_Alargada!R9)/(Parametros_Alargados!$G10-Parametros_Alargados!$F10)*100))))</f>
        <v/>
      </c>
      <c r="D6" s="115">
        <f>IF(Base_Alargada!S9="","",IF(Parametros_Alargados!$D10="+",MIN(100,MAX(0,(Base_Alargada!S9-Parametros_Alargados!$F10)/(Parametros_Alargados!$G10-Parametros_Alargados!$F10)*100)),MIN(100,MAX(0,(Parametros_Alargados!$G10-Base_Alargada!S9)/(Parametros_Alargados!$G10-Parametros_Alargados!$F10)*100))))</f>
        <v/>
      </c>
      <c r="E6" s="115">
        <f>IF(Base_Alargada!T9="","",IF(Parametros_Alargados!$D10="+",MIN(100,MAX(0,(Base_Alargada!T9-Parametros_Alargados!$F10)/(Parametros_Alargados!$G10-Parametros_Alargados!$F10)*100)),MIN(100,MAX(0,(Parametros_Alargados!$G10-Base_Alargada!T9)/(Parametros_Alargados!$G10-Parametros_Alargados!$F10)*100))))</f>
        <v/>
      </c>
      <c r="F6" s="115">
        <f>IF(Base_Alargada!U9="","",IF(Parametros_Alargados!$D10="+",MIN(100,MAX(0,(Base_Alargada!U9-Parametros_Alargados!$F10)/(Parametros_Alargados!$G10-Parametros_Alargados!$F10)*100)),MIN(100,MAX(0,(Parametros_Alargados!$G10-Base_Alargada!U9)/(Parametros_Alargados!$G10-Parametros_Alargados!$F10)*100))))</f>
        <v/>
      </c>
      <c r="G6" s="115">
        <f>IF(Base_Alargada!V9="","",IF(Parametros_Alargados!$D10="+",MIN(100,MAX(0,(Base_Alargada!V9-Parametros_Alargados!$F10)/(Parametros_Alargados!$G10-Parametros_Alargados!$F10)*100)),MIN(100,MAX(0,(Parametros_Alargados!$G10-Base_Alargada!V9)/(Parametros_Alargados!$G10-Parametros_Alargados!$F10)*100))))</f>
        <v/>
      </c>
      <c r="H6" s="115">
        <f>IF(Base_Alargada!W9="","",IF(Parametros_Alargados!$D10="+",MIN(100,MAX(0,(Base_Alargada!W9-Parametros_Alargados!$F10)/(Parametros_Alargados!$G10-Parametros_Alargados!$F10)*100)),MIN(100,MAX(0,(Parametros_Alargados!$G10-Base_Alargada!W9)/(Parametros_Alargados!$G10-Parametros_Alargados!$F10)*100))))</f>
        <v/>
      </c>
      <c r="I6" s="115">
        <f>IF(Base_Alargada!X9="","",IF(Parametros_Alargados!$D10="+",MIN(100,MAX(0,(Base_Alargada!X9-Parametros_Alargados!$F10)/(Parametros_Alargados!$G10-Parametros_Alargados!$F10)*100)),MIN(100,MAX(0,(Parametros_Alargados!$G10-Base_Alargada!X9)/(Parametros_Alargados!$G10-Parametros_Alargados!$F10)*100))))</f>
        <v/>
      </c>
      <c r="J6" s="115">
        <f>IF(Base_Alargada!Y9="","",IF(Parametros_Alargados!$D10="+",MIN(100,MAX(0,(Base_Alargada!Y9-Parametros_Alargados!$F10)/(Parametros_Alargados!$G10-Parametros_Alargados!$F10)*100)),MIN(100,MAX(0,(Parametros_Alargados!$G10-Base_Alargada!Y9)/(Parametros_Alargados!$G10-Parametros_Alargados!$F10)*100))))</f>
        <v/>
      </c>
      <c r="K6" s="115">
        <f>IF(Base_Alargada!Z9="","",IF(Parametros_Alargados!$D10="+",MIN(100,MAX(0,(Base_Alargada!Z9-Parametros_Alargados!$F10)/(Parametros_Alargados!$G10-Parametros_Alargados!$F10)*100)),MIN(100,MAX(0,(Parametros_Alargados!$G10-Base_Alargada!Z9)/(Parametros_Alargados!$G10-Parametros_Alargados!$F10)*100))))</f>
        <v/>
      </c>
      <c r="L6" s="115">
        <f>IF(Base_Alargada!AA9="","",IF(Parametros_Alargados!$D10="+",MIN(100,MAX(0,(Base_Alargada!AA9-Parametros_Alargados!$F10)/(Parametros_Alargados!$G10-Parametros_Alargados!$F10)*100)),MIN(100,MAX(0,(Parametros_Alargados!$G10-Base_Alargada!AA9)/(Parametros_Alargados!$G10-Parametros_Alargados!$F10)*100))))</f>
        <v/>
      </c>
      <c r="M6" s="115">
        <f>IF(Base_Alargada!AB9="","",IF(Parametros_Alargados!$D10="+",MIN(100,MAX(0,(Base_Alargada!AB9-Parametros_Alargados!$F10)/(Parametros_Alargados!$G10-Parametros_Alargados!$F10)*100)),MIN(100,MAX(0,(Parametros_Alargados!$G10-Base_Alargada!AB9)/(Parametros_Alargados!$G10-Parametros_Alargados!$F10)*100))))</f>
        <v/>
      </c>
    </row>
    <row r="7">
      <c r="A7" t="inlineStr">
        <is>
          <t>1. Governança e Estado de Direito</t>
        </is>
      </c>
      <c r="B7" t="inlineStr">
        <is>
          <t>WGI - Controlo da Corrupção</t>
        </is>
      </c>
      <c r="C7" s="115">
        <f>IF(Base_Alargada!R10="","",IF(Parametros_Alargados!$D11="+",MIN(100,MAX(0,(Base_Alargada!R10-Parametros_Alargados!$F11)/(Parametros_Alargados!$G11-Parametros_Alargados!$F11)*100)),MIN(100,MAX(0,(Parametros_Alargados!$G11-Base_Alargada!R10)/(Parametros_Alargados!$G11-Parametros_Alargados!$F11)*100))))</f>
        <v/>
      </c>
      <c r="D7" s="115">
        <f>IF(Base_Alargada!S10="","",IF(Parametros_Alargados!$D11="+",MIN(100,MAX(0,(Base_Alargada!S10-Parametros_Alargados!$F11)/(Parametros_Alargados!$G11-Parametros_Alargados!$F11)*100)),MIN(100,MAX(0,(Parametros_Alargados!$G11-Base_Alargada!S10)/(Parametros_Alargados!$G11-Parametros_Alargados!$F11)*100))))</f>
        <v/>
      </c>
      <c r="E7" s="115">
        <f>IF(Base_Alargada!T10="","",IF(Parametros_Alargados!$D11="+",MIN(100,MAX(0,(Base_Alargada!T10-Parametros_Alargados!$F11)/(Parametros_Alargados!$G11-Parametros_Alargados!$F11)*100)),MIN(100,MAX(0,(Parametros_Alargados!$G11-Base_Alargada!T10)/(Parametros_Alargados!$G11-Parametros_Alargados!$F11)*100))))</f>
        <v/>
      </c>
      <c r="F7" s="115">
        <f>IF(Base_Alargada!U10="","",IF(Parametros_Alargados!$D11="+",MIN(100,MAX(0,(Base_Alargada!U10-Parametros_Alargados!$F11)/(Parametros_Alargados!$G11-Parametros_Alargados!$F11)*100)),MIN(100,MAX(0,(Parametros_Alargados!$G11-Base_Alargada!U10)/(Parametros_Alargados!$G11-Parametros_Alargados!$F11)*100))))</f>
        <v/>
      </c>
      <c r="G7" s="115">
        <f>IF(Base_Alargada!V10="","",IF(Parametros_Alargados!$D11="+",MIN(100,MAX(0,(Base_Alargada!V10-Parametros_Alargados!$F11)/(Parametros_Alargados!$G11-Parametros_Alargados!$F11)*100)),MIN(100,MAX(0,(Parametros_Alargados!$G11-Base_Alargada!V10)/(Parametros_Alargados!$G11-Parametros_Alargados!$F11)*100))))</f>
        <v/>
      </c>
      <c r="H7" s="115">
        <f>IF(Base_Alargada!W10="","",IF(Parametros_Alargados!$D11="+",MIN(100,MAX(0,(Base_Alargada!W10-Parametros_Alargados!$F11)/(Parametros_Alargados!$G11-Parametros_Alargados!$F11)*100)),MIN(100,MAX(0,(Parametros_Alargados!$G11-Base_Alargada!W10)/(Parametros_Alargados!$G11-Parametros_Alargados!$F11)*100))))</f>
        <v/>
      </c>
      <c r="I7" s="115">
        <f>IF(Base_Alargada!X10="","",IF(Parametros_Alargados!$D11="+",MIN(100,MAX(0,(Base_Alargada!X10-Parametros_Alargados!$F11)/(Parametros_Alargados!$G11-Parametros_Alargados!$F11)*100)),MIN(100,MAX(0,(Parametros_Alargados!$G11-Base_Alargada!X10)/(Parametros_Alargados!$G11-Parametros_Alargados!$F11)*100))))</f>
        <v/>
      </c>
      <c r="J7" s="115">
        <f>IF(Base_Alargada!Y10="","",IF(Parametros_Alargados!$D11="+",MIN(100,MAX(0,(Base_Alargada!Y10-Parametros_Alargados!$F11)/(Parametros_Alargados!$G11-Parametros_Alargados!$F11)*100)),MIN(100,MAX(0,(Parametros_Alargados!$G11-Base_Alargada!Y10)/(Parametros_Alargados!$G11-Parametros_Alargados!$F11)*100))))</f>
        <v/>
      </c>
      <c r="K7" s="115">
        <f>IF(Base_Alargada!Z10="","",IF(Parametros_Alargados!$D11="+",MIN(100,MAX(0,(Base_Alargada!Z10-Parametros_Alargados!$F11)/(Parametros_Alargados!$G11-Parametros_Alargados!$F11)*100)),MIN(100,MAX(0,(Parametros_Alargados!$G11-Base_Alargada!Z10)/(Parametros_Alargados!$G11-Parametros_Alargados!$F11)*100))))</f>
        <v/>
      </c>
      <c r="L7" s="115">
        <f>IF(Base_Alargada!AA10="","",IF(Parametros_Alargados!$D11="+",MIN(100,MAX(0,(Base_Alargada!AA10-Parametros_Alargados!$F11)/(Parametros_Alargados!$G11-Parametros_Alargados!$F11)*100)),MIN(100,MAX(0,(Parametros_Alargados!$G11-Base_Alargada!AA10)/(Parametros_Alargados!$G11-Parametros_Alargados!$F11)*100))))</f>
        <v/>
      </c>
      <c r="M7" s="115">
        <f>IF(Base_Alargada!AB10="","",IF(Parametros_Alargados!$D11="+",MIN(100,MAX(0,(Base_Alargada!AB10-Parametros_Alargados!$F11)/(Parametros_Alargados!$G11-Parametros_Alargados!$F11)*100)),MIN(100,MAX(0,(Parametros_Alargados!$G11-Base_Alargada!AB10)/(Parametros_Alargados!$G11-Parametros_Alargados!$F11)*100))))</f>
        <v/>
      </c>
    </row>
    <row r="8">
      <c r="A8" t="inlineStr">
        <is>
          <t>1. Governança e Estado de Direito</t>
        </is>
      </c>
      <c r="B8" t="inlineStr">
        <is>
          <t>WGI - Qualidade Regulatória</t>
        </is>
      </c>
      <c r="C8" s="115">
        <f>IF(Base_Alargada!R11="","",IF(Parametros_Alargados!$D12="+",MIN(100,MAX(0,(Base_Alargada!R11-Parametros_Alargados!$F12)/(Parametros_Alargados!$G12-Parametros_Alargados!$F12)*100)),MIN(100,MAX(0,(Parametros_Alargados!$G12-Base_Alargada!R11)/(Parametros_Alargados!$G12-Parametros_Alargados!$F12)*100))))</f>
        <v/>
      </c>
      <c r="D8" s="115">
        <f>IF(Base_Alargada!S11="","",IF(Parametros_Alargados!$D12="+",MIN(100,MAX(0,(Base_Alargada!S11-Parametros_Alargados!$F12)/(Parametros_Alargados!$G12-Parametros_Alargados!$F12)*100)),MIN(100,MAX(0,(Parametros_Alargados!$G12-Base_Alargada!S11)/(Parametros_Alargados!$G12-Parametros_Alargados!$F12)*100))))</f>
        <v/>
      </c>
      <c r="E8" s="115">
        <f>IF(Base_Alargada!T11="","",IF(Parametros_Alargados!$D12="+",MIN(100,MAX(0,(Base_Alargada!T11-Parametros_Alargados!$F12)/(Parametros_Alargados!$G12-Parametros_Alargados!$F12)*100)),MIN(100,MAX(0,(Parametros_Alargados!$G12-Base_Alargada!T11)/(Parametros_Alargados!$G12-Parametros_Alargados!$F12)*100))))</f>
        <v/>
      </c>
      <c r="F8" s="115">
        <f>IF(Base_Alargada!U11="","",IF(Parametros_Alargados!$D12="+",MIN(100,MAX(0,(Base_Alargada!U11-Parametros_Alargados!$F12)/(Parametros_Alargados!$G12-Parametros_Alargados!$F12)*100)),MIN(100,MAX(0,(Parametros_Alargados!$G12-Base_Alargada!U11)/(Parametros_Alargados!$G12-Parametros_Alargados!$F12)*100))))</f>
        <v/>
      </c>
      <c r="G8" s="115">
        <f>IF(Base_Alargada!V11="","",IF(Parametros_Alargados!$D12="+",MIN(100,MAX(0,(Base_Alargada!V11-Parametros_Alargados!$F12)/(Parametros_Alargados!$G12-Parametros_Alargados!$F12)*100)),MIN(100,MAX(0,(Parametros_Alargados!$G12-Base_Alargada!V11)/(Parametros_Alargados!$G12-Parametros_Alargados!$F12)*100))))</f>
        <v/>
      </c>
      <c r="H8" s="115">
        <f>IF(Base_Alargada!W11="","",IF(Parametros_Alargados!$D12="+",MIN(100,MAX(0,(Base_Alargada!W11-Parametros_Alargados!$F12)/(Parametros_Alargados!$G12-Parametros_Alargados!$F12)*100)),MIN(100,MAX(0,(Parametros_Alargados!$G12-Base_Alargada!W11)/(Parametros_Alargados!$G12-Parametros_Alargados!$F12)*100))))</f>
        <v/>
      </c>
      <c r="I8" s="115">
        <f>IF(Base_Alargada!X11="","",IF(Parametros_Alargados!$D12="+",MIN(100,MAX(0,(Base_Alargada!X11-Parametros_Alargados!$F12)/(Parametros_Alargados!$G12-Parametros_Alargados!$F12)*100)),MIN(100,MAX(0,(Parametros_Alargados!$G12-Base_Alargada!X11)/(Parametros_Alargados!$G12-Parametros_Alargados!$F12)*100))))</f>
        <v/>
      </c>
      <c r="J8" s="115">
        <f>IF(Base_Alargada!Y11="","",IF(Parametros_Alargados!$D12="+",MIN(100,MAX(0,(Base_Alargada!Y11-Parametros_Alargados!$F12)/(Parametros_Alargados!$G12-Parametros_Alargados!$F12)*100)),MIN(100,MAX(0,(Parametros_Alargados!$G12-Base_Alargada!Y11)/(Parametros_Alargados!$G12-Parametros_Alargados!$F12)*100))))</f>
        <v/>
      </c>
      <c r="K8" s="115">
        <f>IF(Base_Alargada!Z11="","",IF(Parametros_Alargados!$D12="+",MIN(100,MAX(0,(Base_Alargada!Z11-Parametros_Alargados!$F12)/(Parametros_Alargados!$G12-Parametros_Alargados!$F12)*100)),MIN(100,MAX(0,(Parametros_Alargados!$G12-Base_Alargada!Z11)/(Parametros_Alargados!$G12-Parametros_Alargados!$F12)*100))))</f>
        <v/>
      </c>
      <c r="L8" s="115">
        <f>IF(Base_Alargada!AA11="","",IF(Parametros_Alargados!$D12="+",MIN(100,MAX(0,(Base_Alargada!AA11-Parametros_Alargados!$F12)/(Parametros_Alargados!$G12-Parametros_Alargados!$F12)*100)),MIN(100,MAX(0,(Parametros_Alargados!$G12-Base_Alargada!AA11)/(Parametros_Alargados!$G12-Parametros_Alargados!$F12)*100))))</f>
        <v/>
      </c>
      <c r="M8" s="115">
        <f>IF(Base_Alargada!AB11="","",IF(Parametros_Alargados!$D12="+",MIN(100,MAX(0,(Base_Alargada!AB11-Parametros_Alargados!$F12)/(Parametros_Alargados!$G12-Parametros_Alargados!$F12)*100)),MIN(100,MAX(0,(Parametros_Alargados!$G12-Base_Alargada!AB11)/(Parametros_Alargados!$G12-Parametros_Alargados!$F12)*100))))</f>
        <v/>
      </c>
    </row>
    <row r="9">
      <c r="A9" t="inlineStr">
        <is>
          <t>1. Governança e Estado de Direito</t>
        </is>
      </c>
      <c r="B9" t="inlineStr">
        <is>
          <t>WGI - Voz e Responsabilização</t>
        </is>
      </c>
      <c r="C9" s="115">
        <f>IF(Base_Alargada!R12="","",IF(Parametros_Alargados!$D13="+",MIN(100,MAX(0,(Base_Alargada!R12-Parametros_Alargados!$F13)/(Parametros_Alargados!$G13-Parametros_Alargados!$F13)*100)),MIN(100,MAX(0,(Parametros_Alargados!$G13-Base_Alargada!R12)/(Parametros_Alargados!$G13-Parametros_Alargados!$F13)*100))))</f>
        <v/>
      </c>
      <c r="D9" s="115">
        <f>IF(Base_Alargada!S12="","",IF(Parametros_Alargados!$D13="+",MIN(100,MAX(0,(Base_Alargada!S12-Parametros_Alargados!$F13)/(Parametros_Alargados!$G13-Parametros_Alargados!$F13)*100)),MIN(100,MAX(0,(Parametros_Alargados!$G13-Base_Alargada!S12)/(Parametros_Alargados!$G13-Parametros_Alargados!$F13)*100))))</f>
        <v/>
      </c>
      <c r="E9" s="115">
        <f>IF(Base_Alargada!T12="","",IF(Parametros_Alargados!$D13="+",MIN(100,MAX(0,(Base_Alargada!T12-Parametros_Alargados!$F13)/(Parametros_Alargados!$G13-Parametros_Alargados!$F13)*100)),MIN(100,MAX(0,(Parametros_Alargados!$G13-Base_Alargada!T12)/(Parametros_Alargados!$G13-Parametros_Alargados!$F13)*100))))</f>
        <v/>
      </c>
      <c r="F9" s="115">
        <f>IF(Base_Alargada!U12="","",IF(Parametros_Alargados!$D13="+",MIN(100,MAX(0,(Base_Alargada!U12-Parametros_Alargados!$F13)/(Parametros_Alargados!$G13-Parametros_Alargados!$F13)*100)),MIN(100,MAX(0,(Parametros_Alargados!$G13-Base_Alargada!U12)/(Parametros_Alargados!$G13-Parametros_Alargados!$F13)*100))))</f>
        <v/>
      </c>
      <c r="G9" s="115">
        <f>IF(Base_Alargada!V12="","",IF(Parametros_Alargados!$D13="+",MIN(100,MAX(0,(Base_Alargada!V12-Parametros_Alargados!$F13)/(Parametros_Alargados!$G13-Parametros_Alargados!$F13)*100)),MIN(100,MAX(0,(Parametros_Alargados!$G13-Base_Alargada!V12)/(Parametros_Alargados!$G13-Parametros_Alargados!$F13)*100))))</f>
        <v/>
      </c>
      <c r="H9" s="115">
        <f>IF(Base_Alargada!W12="","",IF(Parametros_Alargados!$D13="+",MIN(100,MAX(0,(Base_Alargada!W12-Parametros_Alargados!$F13)/(Parametros_Alargados!$G13-Parametros_Alargados!$F13)*100)),MIN(100,MAX(0,(Parametros_Alargados!$G13-Base_Alargada!W12)/(Parametros_Alargados!$G13-Parametros_Alargados!$F13)*100))))</f>
        <v/>
      </c>
      <c r="I9" s="115">
        <f>IF(Base_Alargada!X12="","",IF(Parametros_Alargados!$D13="+",MIN(100,MAX(0,(Base_Alargada!X12-Parametros_Alargados!$F13)/(Parametros_Alargados!$G13-Parametros_Alargados!$F13)*100)),MIN(100,MAX(0,(Parametros_Alargados!$G13-Base_Alargada!X12)/(Parametros_Alargados!$G13-Parametros_Alargados!$F13)*100))))</f>
        <v/>
      </c>
      <c r="J9" s="115">
        <f>IF(Base_Alargada!Y12="","",IF(Parametros_Alargados!$D13="+",MIN(100,MAX(0,(Base_Alargada!Y12-Parametros_Alargados!$F13)/(Parametros_Alargados!$G13-Parametros_Alargados!$F13)*100)),MIN(100,MAX(0,(Parametros_Alargados!$G13-Base_Alargada!Y12)/(Parametros_Alargados!$G13-Parametros_Alargados!$F13)*100))))</f>
        <v/>
      </c>
      <c r="K9" s="115">
        <f>IF(Base_Alargada!Z12="","",IF(Parametros_Alargados!$D13="+",MIN(100,MAX(0,(Base_Alargada!Z12-Parametros_Alargados!$F13)/(Parametros_Alargados!$G13-Parametros_Alargados!$F13)*100)),MIN(100,MAX(0,(Parametros_Alargados!$G13-Base_Alargada!Z12)/(Parametros_Alargados!$G13-Parametros_Alargados!$F13)*100))))</f>
        <v/>
      </c>
      <c r="L9" s="115">
        <f>IF(Base_Alargada!AA12="","",IF(Parametros_Alargados!$D13="+",MIN(100,MAX(0,(Base_Alargada!AA12-Parametros_Alargados!$F13)/(Parametros_Alargados!$G13-Parametros_Alargados!$F13)*100)),MIN(100,MAX(0,(Parametros_Alargados!$G13-Base_Alargada!AA12)/(Parametros_Alargados!$G13-Parametros_Alargados!$F13)*100))))</f>
        <v/>
      </c>
      <c r="M9" s="115">
        <f>IF(Base_Alargada!AB12="","",IF(Parametros_Alargados!$D13="+",MIN(100,MAX(0,(Base_Alargada!AB12-Parametros_Alargados!$F13)/(Parametros_Alargados!$G13-Parametros_Alargados!$F13)*100)),MIN(100,MAX(0,(Parametros_Alargados!$G13-Base_Alargada!AB12)/(Parametros_Alargados!$G13-Parametros_Alargados!$F13)*100))))</f>
        <v/>
      </c>
    </row>
    <row r="10">
      <c r="A10" t="inlineStr">
        <is>
          <t>1. Governança e Estado de Direito</t>
        </is>
      </c>
      <c r="B10" t="inlineStr">
        <is>
          <t>Índice Ibrahim - Governação Global</t>
        </is>
      </c>
      <c r="C10" s="115">
        <f>IF(Base_Alargada!R13="","",IF(Parametros_Alargados!$D14="+",MIN(100,MAX(0,(Base_Alargada!R13-Parametros_Alargados!$F14)/(Parametros_Alargados!$G14-Parametros_Alargados!$F14)*100)),MIN(100,MAX(0,(Parametros_Alargados!$G14-Base_Alargada!R13)/(Parametros_Alargados!$G14-Parametros_Alargados!$F14)*100))))</f>
        <v/>
      </c>
      <c r="D10" s="115">
        <f>IF(Base_Alargada!S13="","",IF(Parametros_Alargados!$D14="+",MIN(100,MAX(0,(Base_Alargada!S13-Parametros_Alargados!$F14)/(Parametros_Alargados!$G14-Parametros_Alargados!$F14)*100)),MIN(100,MAX(0,(Parametros_Alargados!$G14-Base_Alargada!S13)/(Parametros_Alargados!$G14-Parametros_Alargados!$F14)*100))))</f>
        <v/>
      </c>
      <c r="E10" s="115">
        <f>IF(Base_Alargada!T13="","",IF(Parametros_Alargados!$D14="+",MIN(100,MAX(0,(Base_Alargada!T13-Parametros_Alargados!$F14)/(Parametros_Alargados!$G14-Parametros_Alargados!$F14)*100)),MIN(100,MAX(0,(Parametros_Alargados!$G14-Base_Alargada!T13)/(Parametros_Alargados!$G14-Parametros_Alargados!$F14)*100))))</f>
        <v/>
      </c>
      <c r="F10" s="115">
        <f>IF(Base_Alargada!U13="","",IF(Parametros_Alargados!$D14="+",MIN(100,MAX(0,(Base_Alargada!U13-Parametros_Alargados!$F14)/(Parametros_Alargados!$G14-Parametros_Alargados!$F14)*100)),MIN(100,MAX(0,(Parametros_Alargados!$G14-Base_Alargada!U13)/(Parametros_Alargados!$G14-Parametros_Alargados!$F14)*100))))</f>
        <v/>
      </c>
      <c r="G10" s="115">
        <f>IF(Base_Alargada!V13="","",IF(Parametros_Alargados!$D14="+",MIN(100,MAX(0,(Base_Alargada!V13-Parametros_Alargados!$F14)/(Parametros_Alargados!$G14-Parametros_Alargados!$F14)*100)),MIN(100,MAX(0,(Parametros_Alargados!$G14-Base_Alargada!V13)/(Parametros_Alargados!$G14-Parametros_Alargados!$F14)*100))))</f>
        <v/>
      </c>
      <c r="H10" s="115">
        <f>IF(Base_Alargada!W13="","",IF(Parametros_Alargados!$D14="+",MIN(100,MAX(0,(Base_Alargada!W13-Parametros_Alargados!$F14)/(Parametros_Alargados!$G14-Parametros_Alargados!$F14)*100)),MIN(100,MAX(0,(Parametros_Alargados!$G14-Base_Alargada!W13)/(Parametros_Alargados!$G14-Parametros_Alargados!$F14)*100))))</f>
        <v/>
      </c>
      <c r="I10" s="115">
        <f>IF(Base_Alargada!X13="","",IF(Parametros_Alargados!$D14="+",MIN(100,MAX(0,(Base_Alargada!X13-Parametros_Alargados!$F14)/(Parametros_Alargados!$G14-Parametros_Alargados!$F14)*100)),MIN(100,MAX(0,(Parametros_Alargados!$G14-Base_Alargada!X13)/(Parametros_Alargados!$G14-Parametros_Alargados!$F14)*100))))</f>
        <v/>
      </c>
      <c r="J10" s="115">
        <f>IF(Base_Alargada!Y13="","",IF(Parametros_Alargados!$D14="+",MIN(100,MAX(0,(Base_Alargada!Y13-Parametros_Alargados!$F14)/(Parametros_Alargados!$G14-Parametros_Alargados!$F14)*100)),MIN(100,MAX(0,(Parametros_Alargados!$G14-Base_Alargada!Y13)/(Parametros_Alargados!$G14-Parametros_Alargados!$F14)*100))))</f>
        <v/>
      </c>
      <c r="K10" s="115">
        <f>IF(Base_Alargada!Z13="","",IF(Parametros_Alargados!$D14="+",MIN(100,MAX(0,(Base_Alargada!Z13-Parametros_Alargados!$F14)/(Parametros_Alargados!$G14-Parametros_Alargados!$F14)*100)),MIN(100,MAX(0,(Parametros_Alargados!$G14-Base_Alargada!Z13)/(Parametros_Alargados!$G14-Parametros_Alargados!$F14)*100))))</f>
        <v/>
      </c>
      <c r="L10" s="115">
        <f>IF(Base_Alargada!AA13="","",IF(Parametros_Alargados!$D14="+",MIN(100,MAX(0,(Base_Alargada!AA13-Parametros_Alargados!$F14)/(Parametros_Alargados!$G14-Parametros_Alargados!$F14)*100)),MIN(100,MAX(0,(Parametros_Alargados!$G14-Base_Alargada!AA13)/(Parametros_Alargados!$G14-Parametros_Alargados!$F14)*100))))</f>
        <v/>
      </c>
      <c r="M10" s="115">
        <f>IF(Base_Alargada!AB13="","",IF(Parametros_Alargados!$D14="+",MIN(100,MAX(0,(Base_Alargada!AB13-Parametros_Alargados!$F14)/(Parametros_Alargados!$G14-Parametros_Alargados!$F14)*100)),MIN(100,MAX(0,(Parametros_Alargados!$G14-Base_Alargada!AB13)/(Parametros_Alargados!$G14-Parametros_Alargados!$F14)*100))))</f>
        <v/>
      </c>
    </row>
    <row r="11">
      <c r="A11" t="inlineStr">
        <is>
          <t>1. Governança e Estado de Direito</t>
        </is>
      </c>
      <c r="B11" t="inlineStr">
        <is>
          <t>Índice Ibrahim - Segurança e Estado de Direito</t>
        </is>
      </c>
      <c r="C11" s="115">
        <f>IF(Base_Alargada!R14="","",IF(Parametros_Alargados!$D15="+",MIN(100,MAX(0,(Base_Alargada!R14-Parametros_Alargados!$F15)/(Parametros_Alargados!$G15-Parametros_Alargados!$F15)*100)),MIN(100,MAX(0,(Parametros_Alargados!$G15-Base_Alargada!R14)/(Parametros_Alargados!$G15-Parametros_Alargados!$F15)*100))))</f>
        <v/>
      </c>
      <c r="D11" s="115">
        <f>IF(Base_Alargada!S14="","",IF(Parametros_Alargados!$D15="+",MIN(100,MAX(0,(Base_Alargada!S14-Parametros_Alargados!$F15)/(Parametros_Alargados!$G15-Parametros_Alargados!$F15)*100)),MIN(100,MAX(0,(Parametros_Alargados!$G15-Base_Alargada!S14)/(Parametros_Alargados!$G15-Parametros_Alargados!$F15)*100))))</f>
        <v/>
      </c>
      <c r="E11" s="115">
        <f>IF(Base_Alargada!T14="","",IF(Parametros_Alargados!$D15="+",MIN(100,MAX(0,(Base_Alargada!T14-Parametros_Alargados!$F15)/(Parametros_Alargados!$G15-Parametros_Alargados!$F15)*100)),MIN(100,MAX(0,(Parametros_Alargados!$G15-Base_Alargada!T14)/(Parametros_Alargados!$G15-Parametros_Alargados!$F15)*100))))</f>
        <v/>
      </c>
      <c r="F11" s="115">
        <f>IF(Base_Alargada!U14="","",IF(Parametros_Alargados!$D15="+",MIN(100,MAX(0,(Base_Alargada!U14-Parametros_Alargados!$F15)/(Parametros_Alargados!$G15-Parametros_Alargados!$F15)*100)),MIN(100,MAX(0,(Parametros_Alargados!$G15-Base_Alargada!U14)/(Parametros_Alargados!$G15-Parametros_Alargados!$F15)*100))))</f>
        <v/>
      </c>
      <c r="G11" s="115">
        <f>IF(Base_Alargada!V14="","",IF(Parametros_Alargados!$D15="+",MIN(100,MAX(0,(Base_Alargada!V14-Parametros_Alargados!$F15)/(Parametros_Alargados!$G15-Parametros_Alargados!$F15)*100)),MIN(100,MAX(0,(Parametros_Alargados!$G15-Base_Alargada!V14)/(Parametros_Alargados!$G15-Parametros_Alargados!$F15)*100))))</f>
        <v/>
      </c>
      <c r="H11" s="115">
        <f>IF(Base_Alargada!W14="","",IF(Parametros_Alargados!$D15="+",MIN(100,MAX(0,(Base_Alargada!W14-Parametros_Alargados!$F15)/(Parametros_Alargados!$G15-Parametros_Alargados!$F15)*100)),MIN(100,MAX(0,(Parametros_Alargados!$G15-Base_Alargada!W14)/(Parametros_Alargados!$G15-Parametros_Alargados!$F15)*100))))</f>
        <v/>
      </c>
      <c r="I11" s="115">
        <f>IF(Base_Alargada!X14="","",IF(Parametros_Alargados!$D15="+",MIN(100,MAX(0,(Base_Alargada!X14-Parametros_Alargados!$F15)/(Parametros_Alargados!$G15-Parametros_Alargados!$F15)*100)),MIN(100,MAX(0,(Parametros_Alargados!$G15-Base_Alargada!X14)/(Parametros_Alargados!$G15-Parametros_Alargados!$F15)*100))))</f>
        <v/>
      </c>
      <c r="J11" s="115">
        <f>IF(Base_Alargada!Y14="","",IF(Parametros_Alargados!$D15="+",MIN(100,MAX(0,(Base_Alargada!Y14-Parametros_Alargados!$F15)/(Parametros_Alargados!$G15-Parametros_Alargados!$F15)*100)),MIN(100,MAX(0,(Parametros_Alargados!$G15-Base_Alargada!Y14)/(Parametros_Alargados!$G15-Parametros_Alargados!$F15)*100))))</f>
        <v/>
      </c>
      <c r="K11" s="115">
        <f>IF(Base_Alargada!Z14="","",IF(Parametros_Alargados!$D15="+",MIN(100,MAX(0,(Base_Alargada!Z14-Parametros_Alargados!$F15)/(Parametros_Alargados!$G15-Parametros_Alargados!$F15)*100)),MIN(100,MAX(0,(Parametros_Alargados!$G15-Base_Alargada!Z14)/(Parametros_Alargados!$G15-Parametros_Alargados!$F15)*100))))</f>
        <v/>
      </c>
      <c r="L11" s="115">
        <f>IF(Base_Alargada!AA14="","",IF(Parametros_Alargados!$D15="+",MIN(100,MAX(0,(Base_Alargada!AA14-Parametros_Alargados!$F15)/(Parametros_Alargados!$G15-Parametros_Alargados!$F15)*100)),MIN(100,MAX(0,(Parametros_Alargados!$G15-Base_Alargada!AA14)/(Parametros_Alargados!$G15-Parametros_Alargados!$F15)*100))))</f>
        <v/>
      </c>
      <c r="M11" s="115">
        <f>IF(Base_Alargada!AB14="","",IF(Parametros_Alargados!$D15="+",MIN(100,MAX(0,(Base_Alargada!AB14-Parametros_Alargados!$F15)/(Parametros_Alargados!$G15-Parametros_Alargados!$F15)*100)),MIN(100,MAX(0,(Parametros_Alargados!$G15-Base_Alargada!AB14)/(Parametros_Alargados!$G15-Parametros_Alargados!$F15)*100))))</f>
        <v/>
      </c>
    </row>
    <row r="12">
      <c r="A12" t="inlineStr">
        <is>
          <t>1. Governança e Estado de Direito</t>
        </is>
      </c>
      <c r="B12" t="inlineStr">
        <is>
          <t>Open Budget Index</t>
        </is>
      </c>
      <c r="C12" s="115">
        <f>IF(Base_Alargada!R15="","",IF(Parametros_Alargados!$D16="+",MIN(100,MAX(0,(Base_Alargada!R15-Parametros_Alargados!$F16)/(Parametros_Alargados!$G16-Parametros_Alargados!$F16)*100)),MIN(100,MAX(0,(Parametros_Alargados!$G16-Base_Alargada!R15)/(Parametros_Alargados!$G16-Parametros_Alargados!$F16)*100))))</f>
        <v/>
      </c>
      <c r="D12" s="115">
        <f>IF(Base_Alargada!S15="","",IF(Parametros_Alargados!$D16="+",MIN(100,MAX(0,(Base_Alargada!S15-Parametros_Alargados!$F16)/(Parametros_Alargados!$G16-Parametros_Alargados!$F16)*100)),MIN(100,MAX(0,(Parametros_Alargados!$G16-Base_Alargada!S15)/(Parametros_Alargados!$G16-Parametros_Alargados!$F16)*100))))</f>
        <v/>
      </c>
      <c r="E12" s="115">
        <f>IF(Base_Alargada!T15="","",IF(Parametros_Alargados!$D16="+",MIN(100,MAX(0,(Base_Alargada!T15-Parametros_Alargados!$F16)/(Parametros_Alargados!$G16-Parametros_Alargados!$F16)*100)),MIN(100,MAX(0,(Parametros_Alargados!$G16-Base_Alargada!T15)/(Parametros_Alargados!$G16-Parametros_Alargados!$F16)*100))))</f>
        <v/>
      </c>
      <c r="F12" s="115">
        <f>IF(Base_Alargada!U15="","",IF(Parametros_Alargados!$D16="+",MIN(100,MAX(0,(Base_Alargada!U15-Parametros_Alargados!$F16)/(Parametros_Alargados!$G16-Parametros_Alargados!$F16)*100)),MIN(100,MAX(0,(Parametros_Alargados!$G16-Base_Alargada!U15)/(Parametros_Alargados!$G16-Parametros_Alargados!$F16)*100))))</f>
        <v/>
      </c>
      <c r="G12" s="115">
        <f>IF(Base_Alargada!V15="","",IF(Parametros_Alargados!$D16="+",MIN(100,MAX(0,(Base_Alargada!V15-Parametros_Alargados!$F16)/(Parametros_Alargados!$G16-Parametros_Alargados!$F16)*100)),MIN(100,MAX(0,(Parametros_Alargados!$G16-Base_Alargada!V15)/(Parametros_Alargados!$G16-Parametros_Alargados!$F16)*100))))</f>
        <v/>
      </c>
      <c r="H12" s="115">
        <f>IF(Base_Alargada!W15="","",IF(Parametros_Alargados!$D16="+",MIN(100,MAX(0,(Base_Alargada!W15-Parametros_Alargados!$F16)/(Parametros_Alargados!$G16-Parametros_Alargados!$F16)*100)),MIN(100,MAX(0,(Parametros_Alargados!$G16-Base_Alargada!W15)/(Parametros_Alargados!$G16-Parametros_Alargados!$F16)*100))))</f>
        <v/>
      </c>
      <c r="I12" s="115">
        <f>IF(Base_Alargada!X15="","",IF(Parametros_Alargados!$D16="+",MIN(100,MAX(0,(Base_Alargada!X15-Parametros_Alargados!$F16)/(Parametros_Alargados!$G16-Parametros_Alargados!$F16)*100)),MIN(100,MAX(0,(Parametros_Alargados!$G16-Base_Alargada!X15)/(Parametros_Alargados!$G16-Parametros_Alargados!$F16)*100))))</f>
        <v/>
      </c>
      <c r="J12" s="115">
        <f>IF(Base_Alargada!Y15="","",IF(Parametros_Alargados!$D16="+",MIN(100,MAX(0,(Base_Alargada!Y15-Parametros_Alargados!$F16)/(Parametros_Alargados!$G16-Parametros_Alargados!$F16)*100)),MIN(100,MAX(0,(Parametros_Alargados!$G16-Base_Alargada!Y15)/(Parametros_Alargados!$G16-Parametros_Alargados!$F16)*100))))</f>
        <v/>
      </c>
      <c r="K12" s="115">
        <f>IF(Base_Alargada!Z15="","",IF(Parametros_Alargados!$D16="+",MIN(100,MAX(0,(Base_Alargada!Z15-Parametros_Alargados!$F16)/(Parametros_Alargados!$G16-Parametros_Alargados!$F16)*100)),MIN(100,MAX(0,(Parametros_Alargados!$G16-Base_Alargada!Z15)/(Parametros_Alargados!$G16-Parametros_Alargados!$F16)*100))))</f>
        <v/>
      </c>
      <c r="L12" s="115">
        <f>IF(Base_Alargada!AA15="","",IF(Parametros_Alargados!$D16="+",MIN(100,MAX(0,(Base_Alargada!AA15-Parametros_Alargados!$F16)/(Parametros_Alargados!$G16-Parametros_Alargados!$F16)*100)),MIN(100,MAX(0,(Parametros_Alargados!$G16-Base_Alargada!AA15)/(Parametros_Alargados!$G16-Parametros_Alargados!$F16)*100))))</f>
        <v/>
      </c>
      <c r="M12" s="115">
        <f>IF(Base_Alargada!AB15="","",IF(Parametros_Alargados!$D16="+",MIN(100,MAX(0,(Base_Alargada!AB15-Parametros_Alargados!$F16)/(Parametros_Alargados!$G16-Parametros_Alargados!$F16)*100)),MIN(100,MAX(0,(Parametros_Alargados!$G16-Base_Alargada!AB15)/(Parametros_Alargados!$G16-Parametros_Alargados!$F16)*100))))</f>
        <v/>
      </c>
    </row>
    <row r="13">
      <c r="A13" t="inlineStr">
        <is>
          <t>1. Governança e Estado de Direito</t>
        </is>
      </c>
      <c r="B13" t="inlineStr">
        <is>
          <t>Empresas solicitadas a fazer pagamentos informais</t>
        </is>
      </c>
      <c r="C13" s="115">
        <f>IF(Base_Alargada!R16="","",IF(Parametros_Alargados!$D17="+",MIN(100,MAX(0,(Base_Alargada!R16-Parametros_Alargados!$F17)/(Parametros_Alargados!$G17-Parametros_Alargados!$F17)*100)),MIN(100,MAX(0,(Parametros_Alargados!$G17-Base_Alargada!R16)/(Parametros_Alargados!$G17-Parametros_Alargados!$F17)*100))))</f>
        <v/>
      </c>
      <c r="D13" s="115">
        <f>IF(Base_Alargada!S16="","",IF(Parametros_Alargados!$D17="+",MIN(100,MAX(0,(Base_Alargada!S16-Parametros_Alargados!$F17)/(Parametros_Alargados!$G17-Parametros_Alargados!$F17)*100)),MIN(100,MAX(0,(Parametros_Alargados!$G17-Base_Alargada!S16)/(Parametros_Alargados!$G17-Parametros_Alargados!$F17)*100))))</f>
        <v/>
      </c>
      <c r="E13" s="115">
        <f>IF(Base_Alargada!T16="","",IF(Parametros_Alargados!$D17="+",MIN(100,MAX(0,(Base_Alargada!T16-Parametros_Alargados!$F17)/(Parametros_Alargados!$G17-Parametros_Alargados!$F17)*100)),MIN(100,MAX(0,(Parametros_Alargados!$G17-Base_Alargada!T16)/(Parametros_Alargados!$G17-Parametros_Alargados!$F17)*100))))</f>
        <v/>
      </c>
      <c r="F13" s="115">
        <f>IF(Base_Alargada!U16="","",IF(Parametros_Alargados!$D17="+",MIN(100,MAX(0,(Base_Alargada!U16-Parametros_Alargados!$F17)/(Parametros_Alargados!$G17-Parametros_Alargados!$F17)*100)),MIN(100,MAX(0,(Parametros_Alargados!$G17-Base_Alargada!U16)/(Parametros_Alargados!$G17-Parametros_Alargados!$F17)*100))))</f>
        <v/>
      </c>
      <c r="G13" s="115">
        <f>IF(Base_Alargada!V16="","",IF(Parametros_Alargados!$D17="+",MIN(100,MAX(0,(Base_Alargada!V16-Parametros_Alargados!$F17)/(Parametros_Alargados!$G17-Parametros_Alargados!$F17)*100)),MIN(100,MAX(0,(Parametros_Alargados!$G17-Base_Alargada!V16)/(Parametros_Alargados!$G17-Parametros_Alargados!$F17)*100))))</f>
        <v/>
      </c>
      <c r="H13" s="115">
        <f>IF(Base_Alargada!W16="","",IF(Parametros_Alargados!$D17="+",MIN(100,MAX(0,(Base_Alargada!W16-Parametros_Alargados!$F17)/(Parametros_Alargados!$G17-Parametros_Alargados!$F17)*100)),MIN(100,MAX(0,(Parametros_Alargados!$G17-Base_Alargada!W16)/(Parametros_Alargados!$G17-Parametros_Alargados!$F17)*100))))</f>
        <v/>
      </c>
      <c r="I13" s="115">
        <f>IF(Base_Alargada!X16="","",IF(Parametros_Alargados!$D17="+",MIN(100,MAX(0,(Base_Alargada!X16-Parametros_Alargados!$F17)/(Parametros_Alargados!$G17-Parametros_Alargados!$F17)*100)),MIN(100,MAX(0,(Parametros_Alargados!$G17-Base_Alargada!X16)/(Parametros_Alargados!$G17-Parametros_Alargados!$F17)*100))))</f>
        <v/>
      </c>
      <c r="J13" s="115">
        <f>IF(Base_Alargada!Y16="","",IF(Parametros_Alargados!$D17="+",MIN(100,MAX(0,(Base_Alargada!Y16-Parametros_Alargados!$F17)/(Parametros_Alargados!$G17-Parametros_Alargados!$F17)*100)),MIN(100,MAX(0,(Parametros_Alargados!$G17-Base_Alargada!Y16)/(Parametros_Alargados!$G17-Parametros_Alargados!$F17)*100))))</f>
        <v/>
      </c>
      <c r="K13" s="115">
        <f>IF(Base_Alargada!Z16="","",IF(Parametros_Alargados!$D17="+",MIN(100,MAX(0,(Base_Alargada!Z16-Parametros_Alargados!$F17)/(Parametros_Alargados!$G17-Parametros_Alargados!$F17)*100)),MIN(100,MAX(0,(Parametros_Alargados!$G17-Base_Alargada!Z16)/(Parametros_Alargados!$G17-Parametros_Alargados!$F17)*100))))</f>
        <v/>
      </c>
      <c r="L13" s="115">
        <f>IF(Base_Alargada!AA16="","",IF(Parametros_Alargados!$D17="+",MIN(100,MAX(0,(Base_Alargada!AA16-Parametros_Alargados!$F17)/(Parametros_Alargados!$G17-Parametros_Alargados!$F17)*100)),MIN(100,MAX(0,(Parametros_Alargados!$G17-Base_Alargada!AA16)/(Parametros_Alargados!$G17-Parametros_Alargados!$F17)*100))))</f>
        <v/>
      </c>
      <c r="M13" s="115">
        <f>IF(Base_Alargada!AB16="","",IF(Parametros_Alargados!$D17="+",MIN(100,MAX(0,(Base_Alargada!AB16-Parametros_Alargados!$F17)/(Parametros_Alargados!$G17-Parametros_Alargados!$F17)*100)),MIN(100,MAX(0,(Parametros_Alargados!$G17-Base_Alargada!AB16)/(Parametros_Alargados!$G17-Parametros_Alargados!$F17)*100))))</f>
        <v/>
      </c>
    </row>
    <row r="14">
      <c r="A14" t="inlineStr">
        <is>
          <t>1. Governança e Estado de Direito</t>
        </is>
      </c>
      <c r="B14" t="inlineStr">
        <is>
          <t>Statistical Performance Index - score geral</t>
        </is>
      </c>
      <c r="C14" s="115">
        <f>IF(Base_Alargada!R17="","",IF(Parametros_Alargados!$D18="+",MIN(100,MAX(0,(Base_Alargada!R17-Parametros_Alargados!$F18)/(Parametros_Alargados!$G18-Parametros_Alargados!$F18)*100)),MIN(100,MAX(0,(Parametros_Alargados!$G18-Base_Alargada!R17)/(Parametros_Alargados!$G18-Parametros_Alargados!$F18)*100))))</f>
        <v/>
      </c>
      <c r="D14" s="115">
        <f>IF(Base_Alargada!S17="","",IF(Parametros_Alargados!$D18="+",MIN(100,MAX(0,(Base_Alargada!S17-Parametros_Alargados!$F18)/(Parametros_Alargados!$G18-Parametros_Alargados!$F18)*100)),MIN(100,MAX(0,(Parametros_Alargados!$G18-Base_Alargada!S17)/(Parametros_Alargados!$G18-Parametros_Alargados!$F18)*100))))</f>
        <v/>
      </c>
      <c r="E14" s="115">
        <f>IF(Base_Alargada!T17="","",IF(Parametros_Alargados!$D18="+",MIN(100,MAX(0,(Base_Alargada!T17-Parametros_Alargados!$F18)/(Parametros_Alargados!$G18-Parametros_Alargados!$F18)*100)),MIN(100,MAX(0,(Parametros_Alargados!$G18-Base_Alargada!T17)/(Parametros_Alargados!$G18-Parametros_Alargados!$F18)*100))))</f>
        <v/>
      </c>
      <c r="F14" s="115">
        <f>IF(Base_Alargada!U17="","",IF(Parametros_Alargados!$D18="+",MIN(100,MAX(0,(Base_Alargada!U17-Parametros_Alargados!$F18)/(Parametros_Alargados!$G18-Parametros_Alargados!$F18)*100)),MIN(100,MAX(0,(Parametros_Alargados!$G18-Base_Alargada!U17)/(Parametros_Alargados!$G18-Parametros_Alargados!$F18)*100))))</f>
        <v/>
      </c>
      <c r="G14" s="115">
        <f>IF(Base_Alargada!V17="","",IF(Parametros_Alargados!$D18="+",MIN(100,MAX(0,(Base_Alargada!V17-Parametros_Alargados!$F18)/(Parametros_Alargados!$G18-Parametros_Alargados!$F18)*100)),MIN(100,MAX(0,(Parametros_Alargados!$G18-Base_Alargada!V17)/(Parametros_Alargados!$G18-Parametros_Alargados!$F18)*100))))</f>
        <v/>
      </c>
      <c r="H14" s="115">
        <f>IF(Base_Alargada!W17="","",IF(Parametros_Alargados!$D18="+",MIN(100,MAX(0,(Base_Alargada!W17-Parametros_Alargados!$F18)/(Parametros_Alargados!$G18-Parametros_Alargados!$F18)*100)),MIN(100,MAX(0,(Parametros_Alargados!$G18-Base_Alargada!W17)/(Parametros_Alargados!$G18-Parametros_Alargados!$F18)*100))))</f>
        <v/>
      </c>
      <c r="I14" s="115">
        <f>IF(Base_Alargada!X17="","",IF(Parametros_Alargados!$D18="+",MIN(100,MAX(0,(Base_Alargada!X17-Parametros_Alargados!$F18)/(Parametros_Alargados!$G18-Parametros_Alargados!$F18)*100)),MIN(100,MAX(0,(Parametros_Alargados!$G18-Base_Alargada!X17)/(Parametros_Alargados!$G18-Parametros_Alargados!$F18)*100))))</f>
        <v/>
      </c>
      <c r="J14" s="115">
        <f>IF(Base_Alargada!Y17="","",IF(Parametros_Alargados!$D18="+",MIN(100,MAX(0,(Base_Alargada!Y17-Parametros_Alargados!$F18)/(Parametros_Alargados!$G18-Parametros_Alargados!$F18)*100)),MIN(100,MAX(0,(Parametros_Alargados!$G18-Base_Alargada!Y17)/(Parametros_Alargados!$G18-Parametros_Alargados!$F18)*100))))</f>
        <v/>
      </c>
      <c r="K14" s="115">
        <f>IF(Base_Alargada!Z17="","",IF(Parametros_Alargados!$D18="+",MIN(100,MAX(0,(Base_Alargada!Z17-Parametros_Alargados!$F18)/(Parametros_Alargados!$G18-Parametros_Alargados!$F18)*100)),MIN(100,MAX(0,(Parametros_Alargados!$G18-Base_Alargada!Z17)/(Parametros_Alargados!$G18-Parametros_Alargados!$F18)*100))))</f>
        <v/>
      </c>
      <c r="L14" s="115">
        <f>IF(Base_Alargada!AA17="","",IF(Parametros_Alargados!$D18="+",MIN(100,MAX(0,(Base_Alargada!AA17-Parametros_Alargados!$F18)/(Parametros_Alargados!$G18-Parametros_Alargados!$F18)*100)),MIN(100,MAX(0,(Parametros_Alargados!$G18-Base_Alargada!AA17)/(Parametros_Alargados!$G18-Parametros_Alargados!$F18)*100))))</f>
        <v/>
      </c>
      <c r="M14" s="115">
        <f>IF(Base_Alargada!AB17="","",IF(Parametros_Alargados!$D18="+",MIN(100,MAX(0,(Base_Alargada!AB17-Parametros_Alargados!$F18)/(Parametros_Alargados!$G18-Parametros_Alargados!$F18)*100)),MIN(100,MAX(0,(Parametros_Alargados!$G18-Base_Alargada!AB17)/(Parametros_Alargados!$G18-Parametros_Alargados!$F18)*100))))</f>
        <v/>
      </c>
    </row>
    <row r="15">
      <c r="A15" t="inlineStr">
        <is>
          <t>2. Estabilidade Macroeconómica</t>
        </is>
      </c>
      <c r="B15" t="inlineStr">
        <is>
          <t>Taxa de Crescimento do PIB</t>
        </is>
      </c>
      <c r="C15" s="115">
        <f>IF(Base_Alargada!R18="","",IF(Parametros_Alargados!$D19="+",MIN(100,MAX(0,(Base_Alargada!R18-Parametros_Alargados!$F19)/(Parametros_Alargados!$G19-Parametros_Alargados!$F19)*100)),MIN(100,MAX(0,(Parametros_Alargados!$G19-Base_Alargada!R18)/(Parametros_Alargados!$G19-Parametros_Alargados!$F19)*100))))</f>
        <v/>
      </c>
      <c r="D15" s="115">
        <f>IF(Base_Alargada!S18="","",IF(Parametros_Alargados!$D19="+",MIN(100,MAX(0,(Base_Alargada!S18-Parametros_Alargados!$F19)/(Parametros_Alargados!$G19-Parametros_Alargados!$F19)*100)),MIN(100,MAX(0,(Parametros_Alargados!$G19-Base_Alargada!S18)/(Parametros_Alargados!$G19-Parametros_Alargados!$F19)*100))))</f>
        <v/>
      </c>
      <c r="E15" s="115">
        <f>IF(Base_Alargada!T18="","",IF(Parametros_Alargados!$D19="+",MIN(100,MAX(0,(Base_Alargada!T18-Parametros_Alargados!$F19)/(Parametros_Alargados!$G19-Parametros_Alargados!$F19)*100)),MIN(100,MAX(0,(Parametros_Alargados!$G19-Base_Alargada!T18)/(Parametros_Alargados!$G19-Parametros_Alargados!$F19)*100))))</f>
        <v/>
      </c>
      <c r="F15" s="115">
        <f>IF(Base_Alargada!U18="","",IF(Parametros_Alargados!$D19="+",MIN(100,MAX(0,(Base_Alargada!U18-Parametros_Alargados!$F19)/(Parametros_Alargados!$G19-Parametros_Alargados!$F19)*100)),MIN(100,MAX(0,(Parametros_Alargados!$G19-Base_Alargada!U18)/(Parametros_Alargados!$G19-Parametros_Alargados!$F19)*100))))</f>
        <v/>
      </c>
      <c r="G15" s="115">
        <f>IF(Base_Alargada!V18="","",IF(Parametros_Alargados!$D19="+",MIN(100,MAX(0,(Base_Alargada!V18-Parametros_Alargados!$F19)/(Parametros_Alargados!$G19-Parametros_Alargados!$F19)*100)),MIN(100,MAX(0,(Parametros_Alargados!$G19-Base_Alargada!V18)/(Parametros_Alargados!$G19-Parametros_Alargados!$F19)*100))))</f>
        <v/>
      </c>
      <c r="H15" s="115">
        <f>IF(Base_Alargada!W18="","",IF(Parametros_Alargados!$D19="+",MIN(100,MAX(0,(Base_Alargada!W18-Parametros_Alargados!$F19)/(Parametros_Alargados!$G19-Parametros_Alargados!$F19)*100)),MIN(100,MAX(0,(Parametros_Alargados!$G19-Base_Alargada!W18)/(Parametros_Alargados!$G19-Parametros_Alargados!$F19)*100))))</f>
        <v/>
      </c>
      <c r="I15" s="115">
        <f>IF(Base_Alargada!X18="","",IF(Parametros_Alargados!$D19="+",MIN(100,MAX(0,(Base_Alargada!X18-Parametros_Alargados!$F19)/(Parametros_Alargados!$G19-Parametros_Alargados!$F19)*100)),MIN(100,MAX(0,(Parametros_Alargados!$G19-Base_Alargada!X18)/(Parametros_Alargados!$G19-Parametros_Alargados!$F19)*100))))</f>
        <v/>
      </c>
      <c r="J15" s="115">
        <f>IF(Base_Alargada!Y18="","",IF(Parametros_Alargados!$D19="+",MIN(100,MAX(0,(Base_Alargada!Y18-Parametros_Alargados!$F19)/(Parametros_Alargados!$G19-Parametros_Alargados!$F19)*100)),MIN(100,MAX(0,(Parametros_Alargados!$G19-Base_Alargada!Y18)/(Parametros_Alargados!$G19-Parametros_Alargados!$F19)*100))))</f>
        <v/>
      </c>
      <c r="K15" s="115">
        <f>IF(Base_Alargada!Z18="","",IF(Parametros_Alargados!$D19="+",MIN(100,MAX(0,(Base_Alargada!Z18-Parametros_Alargados!$F19)/(Parametros_Alargados!$G19-Parametros_Alargados!$F19)*100)),MIN(100,MAX(0,(Parametros_Alargados!$G19-Base_Alargada!Z18)/(Parametros_Alargados!$G19-Parametros_Alargados!$F19)*100))))</f>
        <v/>
      </c>
      <c r="L15" s="115">
        <f>IF(Base_Alargada!AA18="","",IF(Parametros_Alargados!$D19="+",MIN(100,MAX(0,(Base_Alargada!AA18-Parametros_Alargados!$F19)/(Parametros_Alargados!$G19-Parametros_Alargados!$F19)*100)),MIN(100,MAX(0,(Parametros_Alargados!$G19-Base_Alargada!AA18)/(Parametros_Alargados!$G19-Parametros_Alargados!$F19)*100))))</f>
        <v/>
      </c>
      <c r="M15" s="115">
        <f>IF(Base_Alargada!AB18="","",IF(Parametros_Alargados!$D19="+",MIN(100,MAX(0,(Base_Alargada!AB18-Parametros_Alargados!$F19)/(Parametros_Alargados!$G19-Parametros_Alargados!$F19)*100)),MIN(100,MAX(0,(Parametros_Alargados!$G19-Base_Alargada!AB18)/(Parametros_Alargados!$G19-Parametros_Alargados!$F19)*100))))</f>
        <v/>
      </c>
    </row>
    <row r="16">
      <c r="A16" t="inlineStr">
        <is>
          <t>2. Estabilidade Macroeconómica</t>
        </is>
      </c>
      <c r="B16" t="inlineStr">
        <is>
          <t>PIB per Capita (USD)</t>
        </is>
      </c>
      <c r="C16" s="115">
        <f>IF(Base_Alargada!R19="","",IF(Parametros_Alargados!$D20="+",MIN(100,MAX(0,(Base_Alargada!R19-Parametros_Alargados!$F20)/(Parametros_Alargados!$G20-Parametros_Alargados!$F20)*100)),MIN(100,MAX(0,(Parametros_Alargados!$G20-Base_Alargada!R19)/(Parametros_Alargados!$G20-Parametros_Alargados!$F20)*100))))</f>
        <v/>
      </c>
      <c r="D16" s="115">
        <f>IF(Base_Alargada!S19="","",IF(Parametros_Alargados!$D20="+",MIN(100,MAX(0,(Base_Alargada!S19-Parametros_Alargados!$F20)/(Parametros_Alargados!$G20-Parametros_Alargados!$F20)*100)),MIN(100,MAX(0,(Parametros_Alargados!$G20-Base_Alargada!S19)/(Parametros_Alargados!$G20-Parametros_Alargados!$F20)*100))))</f>
        <v/>
      </c>
      <c r="E16" s="115">
        <f>IF(Base_Alargada!T19="","",IF(Parametros_Alargados!$D20="+",MIN(100,MAX(0,(Base_Alargada!T19-Parametros_Alargados!$F20)/(Parametros_Alargados!$G20-Parametros_Alargados!$F20)*100)),MIN(100,MAX(0,(Parametros_Alargados!$G20-Base_Alargada!T19)/(Parametros_Alargados!$G20-Parametros_Alargados!$F20)*100))))</f>
        <v/>
      </c>
      <c r="F16" s="115">
        <f>IF(Base_Alargada!U19="","",IF(Parametros_Alargados!$D20="+",MIN(100,MAX(0,(Base_Alargada!U19-Parametros_Alargados!$F20)/(Parametros_Alargados!$G20-Parametros_Alargados!$F20)*100)),MIN(100,MAX(0,(Parametros_Alargados!$G20-Base_Alargada!U19)/(Parametros_Alargados!$G20-Parametros_Alargados!$F20)*100))))</f>
        <v/>
      </c>
      <c r="G16" s="115">
        <f>IF(Base_Alargada!V19="","",IF(Parametros_Alargados!$D20="+",MIN(100,MAX(0,(Base_Alargada!V19-Parametros_Alargados!$F20)/(Parametros_Alargados!$G20-Parametros_Alargados!$F20)*100)),MIN(100,MAX(0,(Parametros_Alargados!$G20-Base_Alargada!V19)/(Parametros_Alargados!$G20-Parametros_Alargados!$F20)*100))))</f>
        <v/>
      </c>
      <c r="H16" s="115">
        <f>IF(Base_Alargada!W19="","",IF(Parametros_Alargados!$D20="+",MIN(100,MAX(0,(Base_Alargada!W19-Parametros_Alargados!$F20)/(Parametros_Alargados!$G20-Parametros_Alargados!$F20)*100)),MIN(100,MAX(0,(Parametros_Alargados!$G20-Base_Alargada!W19)/(Parametros_Alargados!$G20-Parametros_Alargados!$F20)*100))))</f>
        <v/>
      </c>
      <c r="I16" s="115">
        <f>IF(Base_Alargada!X19="","",IF(Parametros_Alargados!$D20="+",MIN(100,MAX(0,(Base_Alargada!X19-Parametros_Alargados!$F20)/(Parametros_Alargados!$G20-Parametros_Alargados!$F20)*100)),MIN(100,MAX(0,(Parametros_Alargados!$G20-Base_Alargada!X19)/(Parametros_Alargados!$G20-Parametros_Alargados!$F20)*100))))</f>
        <v/>
      </c>
      <c r="J16" s="115">
        <f>IF(Base_Alargada!Y19="","",IF(Parametros_Alargados!$D20="+",MIN(100,MAX(0,(Base_Alargada!Y19-Parametros_Alargados!$F20)/(Parametros_Alargados!$G20-Parametros_Alargados!$F20)*100)),MIN(100,MAX(0,(Parametros_Alargados!$G20-Base_Alargada!Y19)/(Parametros_Alargados!$G20-Parametros_Alargados!$F20)*100))))</f>
        <v/>
      </c>
      <c r="K16" s="115">
        <f>IF(Base_Alargada!Z19="","",IF(Parametros_Alargados!$D20="+",MIN(100,MAX(0,(Base_Alargada!Z19-Parametros_Alargados!$F20)/(Parametros_Alargados!$G20-Parametros_Alargados!$F20)*100)),MIN(100,MAX(0,(Parametros_Alargados!$G20-Base_Alargada!Z19)/(Parametros_Alargados!$G20-Parametros_Alargados!$F20)*100))))</f>
        <v/>
      </c>
      <c r="L16" s="115">
        <f>IF(Base_Alargada!AA19="","",IF(Parametros_Alargados!$D20="+",MIN(100,MAX(0,(Base_Alargada!AA19-Parametros_Alargados!$F20)/(Parametros_Alargados!$G20-Parametros_Alargados!$F20)*100)),MIN(100,MAX(0,(Parametros_Alargados!$G20-Base_Alargada!AA19)/(Parametros_Alargados!$G20-Parametros_Alargados!$F20)*100))))</f>
        <v/>
      </c>
      <c r="M16" s="115">
        <f>IF(Base_Alargada!AB19="","",IF(Parametros_Alargados!$D20="+",MIN(100,MAX(0,(Base_Alargada!AB19-Parametros_Alargados!$F20)/(Parametros_Alargados!$G20-Parametros_Alargados!$F20)*100)),MIN(100,MAX(0,(Parametros_Alargados!$G20-Base_Alargada!AB19)/(Parametros_Alargados!$G20-Parametros_Alargados!$F20)*100))))</f>
        <v/>
      </c>
    </row>
    <row r="17">
      <c r="A17" t="inlineStr">
        <is>
          <t>2. Estabilidade Macroeconómica</t>
        </is>
      </c>
      <c r="B17" t="inlineStr">
        <is>
          <t>Inflação (IPC)</t>
        </is>
      </c>
      <c r="C17" s="115">
        <f>IF(Base_Alargada!R20="","",IF(Parametros_Alargados!$D21="+",MIN(100,MAX(0,(Base_Alargada!R20-Parametros_Alargados!$F21)/(Parametros_Alargados!$G21-Parametros_Alargados!$F21)*100)),MIN(100,MAX(0,(Parametros_Alargados!$G21-Base_Alargada!R20)/(Parametros_Alargados!$G21-Parametros_Alargados!$F21)*100))))</f>
        <v/>
      </c>
      <c r="D17" s="115">
        <f>IF(Base_Alargada!S20="","",IF(Parametros_Alargados!$D21="+",MIN(100,MAX(0,(Base_Alargada!S20-Parametros_Alargados!$F21)/(Parametros_Alargados!$G21-Parametros_Alargados!$F21)*100)),MIN(100,MAX(0,(Parametros_Alargados!$G21-Base_Alargada!S20)/(Parametros_Alargados!$G21-Parametros_Alargados!$F21)*100))))</f>
        <v/>
      </c>
      <c r="E17" s="115">
        <f>IF(Base_Alargada!T20="","",IF(Parametros_Alargados!$D21="+",MIN(100,MAX(0,(Base_Alargada!T20-Parametros_Alargados!$F21)/(Parametros_Alargados!$G21-Parametros_Alargados!$F21)*100)),MIN(100,MAX(0,(Parametros_Alargados!$G21-Base_Alargada!T20)/(Parametros_Alargados!$G21-Parametros_Alargados!$F21)*100))))</f>
        <v/>
      </c>
      <c r="F17" s="115">
        <f>IF(Base_Alargada!U20="","",IF(Parametros_Alargados!$D21="+",MIN(100,MAX(0,(Base_Alargada!U20-Parametros_Alargados!$F21)/(Parametros_Alargados!$G21-Parametros_Alargados!$F21)*100)),MIN(100,MAX(0,(Parametros_Alargados!$G21-Base_Alargada!U20)/(Parametros_Alargados!$G21-Parametros_Alargados!$F21)*100))))</f>
        <v/>
      </c>
      <c r="G17" s="115">
        <f>IF(Base_Alargada!V20="","",IF(Parametros_Alargados!$D21="+",MIN(100,MAX(0,(Base_Alargada!V20-Parametros_Alargados!$F21)/(Parametros_Alargados!$G21-Parametros_Alargados!$F21)*100)),MIN(100,MAX(0,(Parametros_Alargados!$G21-Base_Alargada!V20)/(Parametros_Alargados!$G21-Parametros_Alargados!$F21)*100))))</f>
        <v/>
      </c>
      <c r="H17" s="115">
        <f>IF(Base_Alargada!W20="","",IF(Parametros_Alargados!$D21="+",MIN(100,MAX(0,(Base_Alargada!W20-Parametros_Alargados!$F21)/(Parametros_Alargados!$G21-Parametros_Alargados!$F21)*100)),MIN(100,MAX(0,(Parametros_Alargados!$G21-Base_Alargada!W20)/(Parametros_Alargados!$G21-Parametros_Alargados!$F21)*100))))</f>
        <v/>
      </c>
      <c r="I17" s="115">
        <f>IF(Base_Alargada!X20="","",IF(Parametros_Alargados!$D21="+",MIN(100,MAX(0,(Base_Alargada!X20-Parametros_Alargados!$F21)/(Parametros_Alargados!$G21-Parametros_Alargados!$F21)*100)),MIN(100,MAX(0,(Parametros_Alargados!$G21-Base_Alargada!X20)/(Parametros_Alargados!$G21-Parametros_Alargados!$F21)*100))))</f>
        <v/>
      </c>
      <c r="J17" s="115">
        <f>IF(Base_Alargada!Y20="","",IF(Parametros_Alargados!$D21="+",MIN(100,MAX(0,(Base_Alargada!Y20-Parametros_Alargados!$F21)/(Parametros_Alargados!$G21-Parametros_Alargados!$F21)*100)),MIN(100,MAX(0,(Parametros_Alargados!$G21-Base_Alargada!Y20)/(Parametros_Alargados!$G21-Parametros_Alargados!$F21)*100))))</f>
        <v/>
      </c>
      <c r="K17" s="115">
        <f>IF(Base_Alargada!Z20="","",IF(Parametros_Alargados!$D21="+",MIN(100,MAX(0,(Base_Alargada!Z20-Parametros_Alargados!$F21)/(Parametros_Alargados!$G21-Parametros_Alargados!$F21)*100)),MIN(100,MAX(0,(Parametros_Alargados!$G21-Base_Alargada!Z20)/(Parametros_Alargados!$G21-Parametros_Alargados!$F21)*100))))</f>
        <v/>
      </c>
      <c r="L17" s="115">
        <f>IF(Base_Alargada!AA20="","",IF(Parametros_Alargados!$D21="+",MIN(100,MAX(0,(Base_Alargada!AA20-Parametros_Alargados!$F21)/(Parametros_Alargados!$G21-Parametros_Alargados!$F21)*100)),MIN(100,MAX(0,(Parametros_Alargados!$G21-Base_Alargada!AA20)/(Parametros_Alargados!$G21-Parametros_Alargados!$F21)*100))))</f>
        <v/>
      </c>
      <c r="M17" s="115">
        <f>IF(Base_Alargada!AB20="","",IF(Parametros_Alargados!$D21="+",MIN(100,MAX(0,(Base_Alargada!AB20-Parametros_Alargados!$F21)/(Parametros_Alargados!$G21-Parametros_Alargados!$F21)*100)),MIN(100,MAX(0,(Parametros_Alargados!$G21-Base_Alargada!AB20)/(Parametros_Alargados!$G21-Parametros_Alargados!$F21)*100))))</f>
        <v/>
      </c>
    </row>
    <row r="18">
      <c r="A18" t="inlineStr">
        <is>
          <t>2. Estabilidade Macroeconómica</t>
        </is>
      </c>
      <c r="B18" t="inlineStr">
        <is>
          <t>Dívida Pública (% do PIB)</t>
        </is>
      </c>
      <c r="C18" s="115">
        <f>IF(Base_Alargada!R21="","",IF(Parametros_Alargados!$D22="+",MIN(100,MAX(0,(Base_Alargada!R21-Parametros_Alargados!$F22)/(Parametros_Alargados!$G22-Parametros_Alargados!$F22)*100)),MIN(100,MAX(0,(Parametros_Alargados!$G22-Base_Alargada!R21)/(Parametros_Alargados!$G22-Parametros_Alargados!$F22)*100))))</f>
        <v/>
      </c>
      <c r="D18" s="115">
        <f>IF(Base_Alargada!S21="","",IF(Parametros_Alargados!$D22="+",MIN(100,MAX(0,(Base_Alargada!S21-Parametros_Alargados!$F22)/(Parametros_Alargados!$G22-Parametros_Alargados!$F22)*100)),MIN(100,MAX(0,(Parametros_Alargados!$G22-Base_Alargada!S21)/(Parametros_Alargados!$G22-Parametros_Alargados!$F22)*100))))</f>
        <v/>
      </c>
      <c r="E18" s="115">
        <f>IF(Base_Alargada!T21="","",IF(Parametros_Alargados!$D22="+",MIN(100,MAX(0,(Base_Alargada!T21-Parametros_Alargados!$F22)/(Parametros_Alargados!$G22-Parametros_Alargados!$F22)*100)),MIN(100,MAX(0,(Parametros_Alargados!$G22-Base_Alargada!T21)/(Parametros_Alargados!$G22-Parametros_Alargados!$F22)*100))))</f>
        <v/>
      </c>
      <c r="F18" s="115">
        <f>IF(Base_Alargada!U21="","",IF(Parametros_Alargados!$D22="+",MIN(100,MAX(0,(Base_Alargada!U21-Parametros_Alargados!$F22)/(Parametros_Alargados!$G22-Parametros_Alargados!$F22)*100)),MIN(100,MAX(0,(Parametros_Alargados!$G22-Base_Alargada!U21)/(Parametros_Alargados!$G22-Parametros_Alargados!$F22)*100))))</f>
        <v/>
      </c>
      <c r="G18" s="115">
        <f>IF(Base_Alargada!V21="","",IF(Parametros_Alargados!$D22="+",MIN(100,MAX(0,(Base_Alargada!V21-Parametros_Alargados!$F22)/(Parametros_Alargados!$G22-Parametros_Alargados!$F22)*100)),MIN(100,MAX(0,(Parametros_Alargados!$G22-Base_Alargada!V21)/(Parametros_Alargados!$G22-Parametros_Alargados!$F22)*100))))</f>
        <v/>
      </c>
      <c r="H18" s="115">
        <f>IF(Base_Alargada!W21="","",IF(Parametros_Alargados!$D22="+",MIN(100,MAX(0,(Base_Alargada!W21-Parametros_Alargados!$F22)/(Parametros_Alargados!$G22-Parametros_Alargados!$F22)*100)),MIN(100,MAX(0,(Parametros_Alargados!$G22-Base_Alargada!W21)/(Parametros_Alargados!$G22-Parametros_Alargados!$F22)*100))))</f>
        <v/>
      </c>
      <c r="I18" s="115">
        <f>IF(Base_Alargada!X21="","",IF(Parametros_Alargados!$D22="+",MIN(100,MAX(0,(Base_Alargada!X21-Parametros_Alargados!$F22)/(Parametros_Alargados!$G22-Parametros_Alargados!$F22)*100)),MIN(100,MAX(0,(Parametros_Alargados!$G22-Base_Alargada!X21)/(Parametros_Alargados!$G22-Parametros_Alargados!$F22)*100))))</f>
        <v/>
      </c>
      <c r="J18" s="115">
        <f>IF(Base_Alargada!Y21="","",IF(Parametros_Alargados!$D22="+",MIN(100,MAX(0,(Base_Alargada!Y21-Parametros_Alargados!$F22)/(Parametros_Alargados!$G22-Parametros_Alargados!$F22)*100)),MIN(100,MAX(0,(Parametros_Alargados!$G22-Base_Alargada!Y21)/(Parametros_Alargados!$G22-Parametros_Alargados!$F22)*100))))</f>
        <v/>
      </c>
      <c r="K18" s="115">
        <f>IF(Base_Alargada!Z21="","",IF(Parametros_Alargados!$D22="+",MIN(100,MAX(0,(Base_Alargada!Z21-Parametros_Alargados!$F22)/(Parametros_Alargados!$G22-Parametros_Alargados!$F22)*100)),MIN(100,MAX(0,(Parametros_Alargados!$G22-Base_Alargada!Z21)/(Parametros_Alargados!$G22-Parametros_Alargados!$F22)*100))))</f>
        <v/>
      </c>
      <c r="L18" s="115">
        <f>IF(Base_Alargada!AA21="","",IF(Parametros_Alargados!$D22="+",MIN(100,MAX(0,(Base_Alargada!AA21-Parametros_Alargados!$F22)/(Parametros_Alargados!$G22-Parametros_Alargados!$F22)*100)),MIN(100,MAX(0,(Parametros_Alargados!$G22-Base_Alargada!AA21)/(Parametros_Alargados!$G22-Parametros_Alargados!$F22)*100))))</f>
        <v/>
      </c>
      <c r="M18" s="115">
        <f>IF(Base_Alargada!AB21="","",IF(Parametros_Alargados!$D22="+",MIN(100,MAX(0,(Base_Alargada!AB21-Parametros_Alargados!$F22)/(Parametros_Alargados!$G22-Parametros_Alargados!$F22)*100)),MIN(100,MAX(0,(Parametros_Alargados!$G22-Base_Alargada!AB21)/(Parametros_Alargados!$G22-Parametros_Alargados!$F22)*100))))</f>
        <v/>
      </c>
    </row>
    <row r="19">
      <c r="A19" t="inlineStr">
        <is>
          <t>2. Estabilidade Macroeconómica</t>
        </is>
      </c>
      <c r="B19" t="inlineStr">
        <is>
          <t>Saldo Orçamental (% do PIB)</t>
        </is>
      </c>
      <c r="C19" s="115">
        <f>IF(Base_Alargada!R22="","",IF(Parametros_Alargados!$D23="+",MIN(100,MAX(0,(Base_Alargada!R22-Parametros_Alargados!$F23)/(Parametros_Alargados!$G23-Parametros_Alargados!$F23)*100)),MIN(100,MAX(0,(Parametros_Alargados!$G23-Base_Alargada!R22)/(Parametros_Alargados!$G23-Parametros_Alargados!$F23)*100))))</f>
        <v/>
      </c>
      <c r="D19" s="115">
        <f>IF(Base_Alargada!S22="","",IF(Parametros_Alargados!$D23="+",MIN(100,MAX(0,(Base_Alargada!S22-Parametros_Alargados!$F23)/(Parametros_Alargados!$G23-Parametros_Alargados!$F23)*100)),MIN(100,MAX(0,(Parametros_Alargados!$G23-Base_Alargada!S22)/(Parametros_Alargados!$G23-Parametros_Alargados!$F23)*100))))</f>
        <v/>
      </c>
      <c r="E19" s="115">
        <f>IF(Base_Alargada!T22="","",IF(Parametros_Alargados!$D23="+",MIN(100,MAX(0,(Base_Alargada!T22-Parametros_Alargados!$F23)/(Parametros_Alargados!$G23-Parametros_Alargados!$F23)*100)),MIN(100,MAX(0,(Parametros_Alargados!$G23-Base_Alargada!T22)/(Parametros_Alargados!$G23-Parametros_Alargados!$F23)*100))))</f>
        <v/>
      </c>
      <c r="F19" s="115">
        <f>IF(Base_Alargada!U22="","",IF(Parametros_Alargados!$D23="+",MIN(100,MAX(0,(Base_Alargada!U22-Parametros_Alargados!$F23)/(Parametros_Alargados!$G23-Parametros_Alargados!$F23)*100)),MIN(100,MAX(0,(Parametros_Alargados!$G23-Base_Alargada!U22)/(Parametros_Alargados!$G23-Parametros_Alargados!$F23)*100))))</f>
        <v/>
      </c>
      <c r="G19" s="115">
        <f>IF(Base_Alargada!V22="","",IF(Parametros_Alargados!$D23="+",MIN(100,MAX(0,(Base_Alargada!V22-Parametros_Alargados!$F23)/(Parametros_Alargados!$G23-Parametros_Alargados!$F23)*100)),MIN(100,MAX(0,(Parametros_Alargados!$G23-Base_Alargada!V22)/(Parametros_Alargados!$G23-Parametros_Alargados!$F23)*100))))</f>
        <v/>
      </c>
      <c r="H19" s="115">
        <f>IF(Base_Alargada!W22="","",IF(Parametros_Alargados!$D23="+",MIN(100,MAX(0,(Base_Alargada!W22-Parametros_Alargados!$F23)/(Parametros_Alargados!$G23-Parametros_Alargados!$F23)*100)),MIN(100,MAX(0,(Parametros_Alargados!$G23-Base_Alargada!W22)/(Parametros_Alargados!$G23-Parametros_Alargados!$F23)*100))))</f>
        <v/>
      </c>
      <c r="I19" s="115">
        <f>IF(Base_Alargada!X22="","",IF(Parametros_Alargados!$D23="+",MIN(100,MAX(0,(Base_Alargada!X22-Parametros_Alargados!$F23)/(Parametros_Alargados!$G23-Parametros_Alargados!$F23)*100)),MIN(100,MAX(0,(Parametros_Alargados!$G23-Base_Alargada!X22)/(Parametros_Alargados!$G23-Parametros_Alargados!$F23)*100))))</f>
        <v/>
      </c>
      <c r="J19" s="115">
        <f>IF(Base_Alargada!Y22="","",IF(Parametros_Alargados!$D23="+",MIN(100,MAX(0,(Base_Alargada!Y22-Parametros_Alargados!$F23)/(Parametros_Alargados!$G23-Parametros_Alargados!$F23)*100)),MIN(100,MAX(0,(Parametros_Alargados!$G23-Base_Alargada!Y22)/(Parametros_Alargados!$G23-Parametros_Alargados!$F23)*100))))</f>
        <v/>
      </c>
      <c r="K19" s="115">
        <f>IF(Base_Alargada!Z22="","",IF(Parametros_Alargados!$D23="+",MIN(100,MAX(0,(Base_Alargada!Z22-Parametros_Alargados!$F23)/(Parametros_Alargados!$G23-Parametros_Alargados!$F23)*100)),MIN(100,MAX(0,(Parametros_Alargados!$G23-Base_Alargada!Z22)/(Parametros_Alargados!$G23-Parametros_Alargados!$F23)*100))))</f>
        <v/>
      </c>
      <c r="L19" s="115">
        <f>IF(Base_Alargada!AA22="","",IF(Parametros_Alargados!$D23="+",MIN(100,MAX(0,(Base_Alargada!AA22-Parametros_Alargados!$F23)/(Parametros_Alargados!$G23-Parametros_Alargados!$F23)*100)),MIN(100,MAX(0,(Parametros_Alargados!$G23-Base_Alargada!AA22)/(Parametros_Alargados!$G23-Parametros_Alargados!$F23)*100))))</f>
        <v/>
      </c>
      <c r="M19" s="115">
        <f>IF(Base_Alargada!AB22="","",IF(Parametros_Alargados!$D23="+",MIN(100,MAX(0,(Base_Alargada!AB22-Parametros_Alargados!$F23)/(Parametros_Alargados!$G23-Parametros_Alargados!$F23)*100)),MIN(100,MAX(0,(Parametros_Alargados!$G23-Base_Alargada!AB22)/(Parametros_Alargados!$G23-Parametros_Alargados!$F23)*100))))</f>
        <v/>
      </c>
    </row>
    <row r="20">
      <c r="A20" t="inlineStr">
        <is>
          <t>2. Estabilidade Macroeconómica</t>
        </is>
      </c>
      <c r="B20" t="inlineStr">
        <is>
          <t>IDE não-petrolífero (% PIB)</t>
        </is>
      </c>
      <c r="C20" s="115">
        <f>IF(Base_Alargada!R23="","",IF(Parametros_Alargados!$D24="+",MIN(100,MAX(0,(Base_Alargada!R23-Parametros_Alargados!$F24)/(Parametros_Alargados!$G24-Parametros_Alargados!$F24)*100)),MIN(100,MAX(0,(Parametros_Alargados!$G24-Base_Alargada!R23)/(Parametros_Alargados!$G24-Parametros_Alargados!$F24)*100))))</f>
        <v/>
      </c>
      <c r="D20" s="115">
        <f>IF(Base_Alargada!S23="","",IF(Parametros_Alargados!$D24="+",MIN(100,MAX(0,(Base_Alargada!S23-Parametros_Alargados!$F24)/(Parametros_Alargados!$G24-Parametros_Alargados!$F24)*100)),MIN(100,MAX(0,(Parametros_Alargados!$G24-Base_Alargada!S23)/(Parametros_Alargados!$G24-Parametros_Alargados!$F24)*100))))</f>
        <v/>
      </c>
      <c r="E20" s="115">
        <f>IF(Base_Alargada!T23="","",IF(Parametros_Alargados!$D24="+",MIN(100,MAX(0,(Base_Alargada!T23-Parametros_Alargados!$F24)/(Parametros_Alargados!$G24-Parametros_Alargados!$F24)*100)),MIN(100,MAX(0,(Parametros_Alargados!$G24-Base_Alargada!T23)/(Parametros_Alargados!$G24-Parametros_Alargados!$F24)*100))))</f>
        <v/>
      </c>
      <c r="F20" s="115">
        <f>IF(Base_Alargada!U23="","",IF(Parametros_Alargados!$D24="+",MIN(100,MAX(0,(Base_Alargada!U23-Parametros_Alargados!$F24)/(Parametros_Alargados!$G24-Parametros_Alargados!$F24)*100)),MIN(100,MAX(0,(Parametros_Alargados!$G24-Base_Alargada!U23)/(Parametros_Alargados!$G24-Parametros_Alargados!$F24)*100))))</f>
        <v/>
      </c>
      <c r="G20" s="115">
        <f>IF(Base_Alargada!V23="","",IF(Parametros_Alargados!$D24="+",MIN(100,MAX(0,(Base_Alargada!V23-Parametros_Alargados!$F24)/(Parametros_Alargados!$G24-Parametros_Alargados!$F24)*100)),MIN(100,MAX(0,(Parametros_Alargados!$G24-Base_Alargada!V23)/(Parametros_Alargados!$G24-Parametros_Alargados!$F24)*100))))</f>
        <v/>
      </c>
      <c r="H20" s="115">
        <f>IF(Base_Alargada!W23="","",IF(Parametros_Alargados!$D24="+",MIN(100,MAX(0,(Base_Alargada!W23-Parametros_Alargados!$F24)/(Parametros_Alargados!$G24-Parametros_Alargados!$F24)*100)),MIN(100,MAX(0,(Parametros_Alargados!$G24-Base_Alargada!W23)/(Parametros_Alargados!$G24-Parametros_Alargados!$F24)*100))))</f>
        <v/>
      </c>
      <c r="I20" s="115">
        <f>IF(Base_Alargada!X23="","",IF(Parametros_Alargados!$D24="+",MIN(100,MAX(0,(Base_Alargada!X23-Parametros_Alargados!$F24)/(Parametros_Alargados!$G24-Parametros_Alargados!$F24)*100)),MIN(100,MAX(0,(Parametros_Alargados!$G24-Base_Alargada!X23)/(Parametros_Alargados!$G24-Parametros_Alargados!$F24)*100))))</f>
        <v/>
      </c>
      <c r="J20" s="115">
        <f>IF(Base_Alargada!Y23="","",IF(Parametros_Alargados!$D24="+",MIN(100,MAX(0,(Base_Alargada!Y23-Parametros_Alargados!$F24)/(Parametros_Alargados!$G24-Parametros_Alargados!$F24)*100)),MIN(100,MAX(0,(Parametros_Alargados!$G24-Base_Alargada!Y23)/(Parametros_Alargados!$G24-Parametros_Alargados!$F24)*100))))</f>
        <v/>
      </c>
      <c r="K20" s="115">
        <f>IF(Base_Alargada!Z23="","",IF(Parametros_Alargados!$D24="+",MIN(100,MAX(0,(Base_Alargada!Z23-Parametros_Alargados!$F24)/(Parametros_Alargados!$G24-Parametros_Alargados!$F24)*100)),MIN(100,MAX(0,(Parametros_Alargados!$G24-Base_Alargada!Z23)/(Parametros_Alargados!$G24-Parametros_Alargados!$F24)*100))))</f>
        <v/>
      </c>
      <c r="L20" s="115">
        <f>IF(Base_Alargada!AA23="","",IF(Parametros_Alargados!$D24="+",MIN(100,MAX(0,(Base_Alargada!AA23-Parametros_Alargados!$F24)/(Parametros_Alargados!$G24-Parametros_Alargados!$F24)*100)),MIN(100,MAX(0,(Parametros_Alargados!$G24-Base_Alargada!AA23)/(Parametros_Alargados!$G24-Parametros_Alargados!$F24)*100))))</f>
        <v/>
      </c>
      <c r="M20" s="115">
        <f>IF(Base_Alargada!AB23="","",IF(Parametros_Alargados!$D24="+",MIN(100,MAX(0,(Base_Alargada!AB23-Parametros_Alargados!$F24)/(Parametros_Alargados!$G24-Parametros_Alargados!$F24)*100)),MIN(100,MAX(0,(Parametros_Alargados!$G24-Base_Alargada!AB23)/(Parametros_Alargados!$G24-Parametros_Alargados!$F24)*100))))</f>
        <v/>
      </c>
    </row>
    <row r="21">
      <c r="A21" t="inlineStr">
        <is>
          <t>2. Estabilidade Macroeconómica</t>
        </is>
      </c>
      <c r="B21" t="inlineStr">
        <is>
          <t>Reservas Internacionais (meses)</t>
        </is>
      </c>
      <c r="C21" s="115">
        <f>IF(Base_Alargada!R24="","",IF(Parametros_Alargados!$D25="+",MIN(100,MAX(0,(Base_Alargada!R24-Parametros_Alargados!$F25)/(Parametros_Alargados!$G25-Parametros_Alargados!$F25)*100)),MIN(100,MAX(0,(Parametros_Alargados!$G25-Base_Alargada!R24)/(Parametros_Alargados!$G25-Parametros_Alargados!$F25)*100))))</f>
        <v/>
      </c>
      <c r="D21" s="115">
        <f>IF(Base_Alargada!S24="","",IF(Parametros_Alargados!$D25="+",MIN(100,MAX(0,(Base_Alargada!S24-Parametros_Alargados!$F25)/(Parametros_Alargados!$G25-Parametros_Alargados!$F25)*100)),MIN(100,MAX(0,(Parametros_Alargados!$G25-Base_Alargada!S24)/(Parametros_Alargados!$G25-Parametros_Alargados!$F25)*100))))</f>
        <v/>
      </c>
      <c r="E21" s="115">
        <f>IF(Base_Alargada!T24="","",IF(Parametros_Alargados!$D25="+",MIN(100,MAX(0,(Base_Alargada!T24-Parametros_Alargados!$F25)/(Parametros_Alargados!$G25-Parametros_Alargados!$F25)*100)),MIN(100,MAX(0,(Parametros_Alargados!$G25-Base_Alargada!T24)/(Parametros_Alargados!$G25-Parametros_Alargados!$F25)*100))))</f>
        <v/>
      </c>
      <c r="F21" s="115">
        <f>IF(Base_Alargada!U24="","",IF(Parametros_Alargados!$D25="+",MIN(100,MAX(0,(Base_Alargada!U24-Parametros_Alargados!$F25)/(Parametros_Alargados!$G25-Parametros_Alargados!$F25)*100)),MIN(100,MAX(0,(Parametros_Alargados!$G25-Base_Alargada!U24)/(Parametros_Alargados!$G25-Parametros_Alargados!$F25)*100))))</f>
        <v/>
      </c>
      <c r="G21" s="115">
        <f>IF(Base_Alargada!V24="","",IF(Parametros_Alargados!$D25="+",MIN(100,MAX(0,(Base_Alargada!V24-Parametros_Alargados!$F25)/(Parametros_Alargados!$G25-Parametros_Alargados!$F25)*100)),MIN(100,MAX(0,(Parametros_Alargados!$G25-Base_Alargada!V24)/(Parametros_Alargados!$G25-Parametros_Alargados!$F25)*100))))</f>
        <v/>
      </c>
      <c r="H21" s="115">
        <f>IF(Base_Alargada!W24="","",IF(Parametros_Alargados!$D25="+",MIN(100,MAX(0,(Base_Alargada!W24-Parametros_Alargados!$F25)/(Parametros_Alargados!$G25-Parametros_Alargados!$F25)*100)),MIN(100,MAX(0,(Parametros_Alargados!$G25-Base_Alargada!W24)/(Parametros_Alargados!$G25-Parametros_Alargados!$F25)*100))))</f>
        <v/>
      </c>
      <c r="I21" s="115">
        <f>IF(Base_Alargada!X24="","",IF(Parametros_Alargados!$D25="+",MIN(100,MAX(0,(Base_Alargada!X24-Parametros_Alargados!$F25)/(Parametros_Alargados!$G25-Parametros_Alargados!$F25)*100)),MIN(100,MAX(0,(Parametros_Alargados!$G25-Base_Alargada!X24)/(Parametros_Alargados!$G25-Parametros_Alargados!$F25)*100))))</f>
        <v/>
      </c>
      <c r="J21" s="115">
        <f>IF(Base_Alargada!Y24="","",IF(Parametros_Alargados!$D25="+",MIN(100,MAX(0,(Base_Alargada!Y24-Parametros_Alargados!$F25)/(Parametros_Alargados!$G25-Parametros_Alargados!$F25)*100)),MIN(100,MAX(0,(Parametros_Alargados!$G25-Base_Alargada!Y24)/(Parametros_Alargados!$G25-Parametros_Alargados!$F25)*100))))</f>
        <v/>
      </c>
      <c r="K21" s="115">
        <f>IF(Base_Alargada!Z24="","",IF(Parametros_Alargados!$D25="+",MIN(100,MAX(0,(Base_Alargada!Z24-Parametros_Alargados!$F25)/(Parametros_Alargados!$G25-Parametros_Alargados!$F25)*100)),MIN(100,MAX(0,(Parametros_Alargados!$G25-Base_Alargada!Z24)/(Parametros_Alargados!$G25-Parametros_Alargados!$F25)*100))))</f>
        <v/>
      </c>
      <c r="L21" s="115">
        <f>IF(Base_Alargada!AA24="","",IF(Parametros_Alargados!$D25="+",MIN(100,MAX(0,(Base_Alargada!AA24-Parametros_Alargados!$F25)/(Parametros_Alargados!$G25-Parametros_Alargados!$F25)*100)),MIN(100,MAX(0,(Parametros_Alargados!$G25-Base_Alargada!AA24)/(Parametros_Alargados!$G25-Parametros_Alargados!$F25)*100))))</f>
        <v/>
      </c>
      <c r="M21" s="115">
        <f>IF(Base_Alargada!AB24="","",IF(Parametros_Alargados!$D25="+",MIN(100,MAX(0,(Base_Alargada!AB24-Parametros_Alargados!$F25)/(Parametros_Alargados!$G25-Parametros_Alargados!$F25)*100)),MIN(100,MAX(0,(Parametros_Alargados!$G25-Base_Alargada!AB24)/(Parametros_Alargados!$G25-Parametros_Alargados!$F25)*100))))</f>
        <v/>
      </c>
    </row>
    <row r="22">
      <c r="A22" t="inlineStr">
        <is>
          <t>2. Estabilidade Macroeconómica</t>
        </is>
      </c>
      <c r="B22" t="inlineStr">
        <is>
          <t>Saldo da conta corrente (% PIB)</t>
        </is>
      </c>
      <c r="C22" s="115">
        <f>IF(Base_Alargada!R25="","",IF(Parametros_Alargados!$D26="+",MIN(100,MAX(0,(Base_Alargada!R25-Parametros_Alargados!$F26)/(Parametros_Alargados!$G26-Parametros_Alargados!$F26)*100)),MIN(100,MAX(0,(Parametros_Alargados!$G26-Base_Alargada!R25)/(Parametros_Alargados!$G26-Parametros_Alargados!$F26)*100))))</f>
        <v/>
      </c>
      <c r="D22" s="115">
        <f>IF(Base_Alargada!S25="","",IF(Parametros_Alargados!$D26="+",MIN(100,MAX(0,(Base_Alargada!S25-Parametros_Alargados!$F26)/(Parametros_Alargados!$G26-Parametros_Alargados!$F26)*100)),MIN(100,MAX(0,(Parametros_Alargados!$G26-Base_Alargada!S25)/(Parametros_Alargados!$G26-Parametros_Alargados!$F26)*100))))</f>
        <v/>
      </c>
      <c r="E22" s="115">
        <f>IF(Base_Alargada!T25="","",IF(Parametros_Alargados!$D26="+",MIN(100,MAX(0,(Base_Alargada!T25-Parametros_Alargados!$F26)/(Parametros_Alargados!$G26-Parametros_Alargados!$F26)*100)),MIN(100,MAX(0,(Parametros_Alargados!$G26-Base_Alargada!T25)/(Parametros_Alargados!$G26-Parametros_Alargados!$F26)*100))))</f>
        <v/>
      </c>
      <c r="F22" s="115">
        <f>IF(Base_Alargada!U25="","",IF(Parametros_Alargados!$D26="+",MIN(100,MAX(0,(Base_Alargada!U25-Parametros_Alargados!$F26)/(Parametros_Alargados!$G26-Parametros_Alargados!$F26)*100)),MIN(100,MAX(0,(Parametros_Alargados!$G26-Base_Alargada!U25)/(Parametros_Alargados!$G26-Parametros_Alargados!$F26)*100))))</f>
        <v/>
      </c>
      <c r="G22" s="115">
        <f>IF(Base_Alargada!V25="","",IF(Parametros_Alargados!$D26="+",MIN(100,MAX(0,(Base_Alargada!V25-Parametros_Alargados!$F26)/(Parametros_Alargados!$G26-Parametros_Alargados!$F26)*100)),MIN(100,MAX(0,(Parametros_Alargados!$G26-Base_Alargada!V25)/(Parametros_Alargados!$G26-Parametros_Alargados!$F26)*100))))</f>
        <v/>
      </c>
      <c r="H22" s="115">
        <f>IF(Base_Alargada!W25="","",IF(Parametros_Alargados!$D26="+",MIN(100,MAX(0,(Base_Alargada!W25-Parametros_Alargados!$F26)/(Parametros_Alargados!$G26-Parametros_Alargados!$F26)*100)),MIN(100,MAX(0,(Parametros_Alargados!$G26-Base_Alargada!W25)/(Parametros_Alargados!$G26-Parametros_Alargados!$F26)*100))))</f>
        <v/>
      </c>
      <c r="I22" s="115">
        <f>IF(Base_Alargada!X25="","",IF(Parametros_Alargados!$D26="+",MIN(100,MAX(0,(Base_Alargada!X25-Parametros_Alargados!$F26)/(Parametros_Alargados!$G26-Parametros_Alargados!$F26)*100)),MIN(100,MAX(0,(Parametros_Alargados!$G26-Base_Alargada!X25)/(Parametros_Alargados!$G26-Parametros_Alargados!$F26)*100))))</f>
        <v/>
      </c>
      <c r="J22" s="115">
        <f>IF(Base_Alargada!Y25="","",IF(Parametros_Alargados!$D26="+",MIN(100,MAX(0,(Base_Alargada!Y25-Parametros_Alargados!$F26)/(Parametros_Alargados!$G26-Parametros_Alargados!$F26)*100)),MIN(100,MAX(0,(Parametros_Alargados!$G26-Base_Alargada!Y25)/(Parametros_Alargados!$G26-Parametros_Alargados!$F26)*100))))</f>
        <v/>
      </c>
      <c r="K22" s="115">
        <f>IF(Base_Alargada!Z25="","",IF(Parametros_Alargados!$D26="+",MIN(100,MAX(0,(Base_Alargada!Z25-Parametros_Alargados!$F26)/(Parametros_Alargados!$G26-Parametros_Alargados!$F26)*100)),MIN(100,MAX(0,(Parametros_Alargados!$G26-Base_Alargada!Z25)/(Parametros_Alargados!$G26-Parametros_Alargados!$F26)*100))))</f>
        <v/>
      </c>
      <c r="L22" s="115">
        <f>IF(Base_Alargada!AA25="","",IF(Parametros_Alargados!$D26="+",MIN(100,MAX(0,(Base_Alargada!AA25-Parametros_Alargados!$F26)/(Parametros_Alargados!$G26-Parametros_Alargados!$F26)*100)),MIN(100,MAX(0,(Parametros_Alargados!$G26-Base_Alargada!AA25)/(Parametros_Alargados!$G26-Parametros_Alargados!$F26)*100))))</f>
        <v/>
      </c>
      <c r="M22" s="115">
        <f>IF(Base_Alargada!AB25="","",IF(Parametros_Alargados!$D26="+",MIN(100,MAX(0,(Base_Alargada!AB25-Parametros_Alargados!$F26)/(Parametros_Alargados!$G26-Parametros_Alargados!$F26)*100)),MIN(100,MAX(0,(Parametros_Alargados!$G26-Base_Alargada!AB25)/(Parametros_Alargados!$G26-Parametros_Alargados!$F26)*100))))</f>
        <v/>
      </c>
    </row>
    <row r="23">
      <c r="A23" t="inlineStr">
        <is>
          <t>2. Estabilidade Macroeconómica</t>
        </is>
      </c>
      <c r="B23" t="inlineStr">
        <is>
          <t>Receita fiscal (% PIB)</t>
        </is>
      </c>
      <c r="C23" s="115">
        <f>IF(Base_Alargada!R26="","",IF(Parametros_Alargados!$D27="+",MIN(100,MAX(0,(Base_Alargada!R26-Parametros_Alargados!$F27)/(Parametros_Alargados!$G27-Parametros_Alargados!$F27)*100)),MIN(100,MAX(0,(Parametros_Alargados!$G27-Base_Alargada!R26)/(Parametros_Alargados!$G27-Parametros_Alargados!$F27)*100))))</f>
        <v/>
      </c>
      <c r="D23" s="115">
        <f>IF(Base_Alargada!S26="","",IF(Parametros_Alargados!$D27="+",MIN(100,MAX(0,(Base_Alargada!S26-Parametros_Alargados!$F27)/(Parametros_Alargados!$G27-Parametros_Alargados!$F27)*100)),MIN(100,MAX(0,(Parametros_Alargados!$G27-Base_Alargada!S26)/(Parametros_Alargados!$G27-Parametros_Alargados!$F27)*100))))</f>
        <v/>
      </c>
      <c r="E23" s="115">
        <f>IF(Base_Alargada!T26="","",IF(Parametros_Alargados!$D27="+",MIN(100,MAX(0,(Base_Alargada!T26-Parametros_Alargados!$F27)/(Parametros_Alargados!$G27-Parametros_Alargados!$F27)*100)),MIN(100,MAX(0,(Parametros_Alargados!$G27-Base_Alargada!T26)/(Parametros_Alargados!$G27-Parametros_Alargados!$F27)*100))))</f>
        <v/>
      </c>
      <c r="F23" s="115">
        <f>IF(Base_Alargada!U26="","",IF(Parametros_Alargados!$D27="+",MIN(100,MAX(0,(Base_Alargada!U26-Parametros_Alargados!$F27)/(Parametros_Alargados!$G27-Parametros_Alargados!$F27)*100)),MIN(100,MAX(0,(Parametros_Alargados!$G27-Base_Alargada!U26)/(Parametros_Alargados!$G27-Parametros_Alargados!$F27)*100))))</f>
        <v/>
      </c>
      <c r="G23" s="115">
        <f>IF(Base_Alargada!V26="","",IF(Parametros_Alargados!$D27="+",MIN(100,MAX(0,(Base_Alargada!V26-Parametros_Alargados!$F27)/(Parametros_Alargados!$G27-Parametros_Alargados!$F27)*100)),MIN(100,MAX(0,(Parametros_Alargados!$G27-Base_Alargada!V26)/(Parametros_Alargados!$G27-Parametros_Alargados!$F27)*100))))</f>
        <v/>
      </c>
      <c r="H23" s="115">
        <f>IF(Base_Alargada!W26="","",IF(Parametros_Alargados!$D27="+",MIN(100,MAX(0,(Base_Alargada!W26-Parametros_Alargados!$F27)/(Parametros_Alargados!$G27-Parametros_Alargados!$F27)*100)),MIN(100,MAX(0,(Parametros_Alargados!$G27-Base_Alargada!W26)/(Parametros_Alargados!$G27-Parametros_Alargados!$F27)*100))))</f>
        <v/>
      </c>
      <c r="I23" s="115">
        <f>IF(Base_Alargada!X26="","",IF(Parametros_Alargados!$D27="+",MIN(100,MAX(0,(Base_Alargada!X26-Parametros_Alargados!$F27)/(Parametros_Alargados!$G27-Parametros_Alargados!$F27)*100)),MIN(100,MAX(0,(Parametros_Alargados!$G27-Base_Alargada!X26)/(Parametros_Alargados!$G27-Parametros_Alargados!$F27)*100))))</f>
        <v/>
      </c>
      <c r="J23" s="115">
        <f>IF(Base_Alargada!Y26="","",IF(Parametros_Alargados!$D27="+",MIN(100,MAX(0,(Base_Alargada!Y26-Parametros_Alargados!$F27)/(Parametros_Alargados!$G27-Parametros_Alargados!$F27)*100)),MIN(100,MAX(0,(Parametros_Alargados!$G27-Base_Alargada!Y26)/(Parametros_Alargados!$G27-Parametros_Alargados!$F27)*100))))</f>
        <v/>
      </c>
      <c r="K23" s="115">
        <f>IF(Base_Alargada!Z26="","",IF(Parametros_Alargados!$D27="+",MIN(100,MAX(0,(Base_Alargada!Z26-Parametros_Alargados!$F27)/(Parametros_Alargados!$G27-Parametros_Alargados!$F27)*100)),MIN(100,MAX(0,(Parametros_Alargados!$G27-Base_Alargada!Z26)/(Parametros_Alargados!$G27-Parametros_Alargados!$F27)*100))))</f>
        <v/>
      </c>
      <c r="L23" s="115">
        <f>IF(Base_Alargada!AA26="","",IF(Parametros_Alargados!$D27="+",MIN(100,MAX(0,(Base_Alargada!AA26-Parametros_Alargados!$F27)/(Parametros_Alargados!$G27-Parametros_Alargados!$F27)*100)),MIN(100,MAX(0,(Parametros_Alargados!$G27-Base_Alargada!AA26)/(Parametros_Alargados!$G27-Parametros_Alargados!$F27)*100))))</f>
        <v/>
      </c>
      <c r="M23" s="115">
        <f>IF(Base_Alargada!AB26="","",IF(Parametros_Alargados!$D27="+",MIN(100,MAX(0,(Base_Alargada!AB26-Parametros_Alargados!$F27)/(Parametros_Alargados!$G27-Parametros_Alargados!$F27)*100)),MIN(100,MAX(0,(Parametros_Alargados!$G27-Base_Alargada!AB26)/(Parametros_Alargados!$G27-Parametros_Alargados!$F27)*100))))</f>
        <v/>
      </c>
    </row>
    <row r="24">
      <c r="A24" t="inlineStr">
        <is>
          <t>2. Estabilidade Macroeconómica</t>
        </is>
      </c>
      <c r="B24" t="inlineStr">
        <is>
          <t>IDE líquido total (% PIB)</t>
        </is>
      </c>
      <c r="C24" s="115">
        <f>IF(Base_Alargada!R27="","",IF(Parametros_Alargados!$D28="+",MIN(100,MAX(0,(Base_Alargada!R27-Parametros_Alargados!$F28)/(Parametros_Alargados!$G28-Parametros_Alargados!$F28)*100)),MIN(100,MAX(0,(Parametros_Alargados!$G28-Base_Alargada!R27)/(Parametros_Alargados!$G28-Parametros_Alargados!$F28)*100))))</f>
        <v/>
      </c>
      <c r="D24" s="115">
        <f>IF(Base_Alargada!S27="","",IF(Parametros_Alargados!$D28="+",MIN(100,MAX(0,(Base_Alargada!S27-Parametros_Alargados!$F28)/(Parametros_Alargados!$G28-Parametros_Alargados!$F28)*100)),MIN(100,MAX(0,(Parametros_Alargados!$G28-Base_Alargada!S27)/(Parametros_Alargados!$G28-Parametros_Alargados!$F28)*100))))</f>
        <v/>
      </c>
      <c r="E24" s="115">
        <f>IF(Base_Alargada!T27="","",IF(Parametros_Alargados!$D28="+",MIN(100,MAX(0,(Base_Alargada!T27-Parametros_Alargados!$F28)/(Parametros_Alargados!$G28-Parametros_Alargados!$F28)*100)),MIN(100,MAX(0,(Parametros_Alargados!$G28-Base_Alargada!T27)/(Parametros_Alargados!$G28-Parametros_Alargados!$F28)*100))))</f>
        <v/>
      </c>
      <c r="F24" s="115">
        <f>IF(Base_Alargada!U27="","",IF(Parametros_Alargados!$D28="+",MIN(100,MAX(0,(Base_Alargada!U27-Parametros_Alargados!$F28)/(Parametros_Alargados!$G28-Parametros_Alargados!$F28)*100)),MIN(100,MAX(0,(Parametros_Alargados!$G28-Base_Alargada!U27)/(Parametros_Alargados!$G28-Parametros_Alargados!$F28)*100))))</f>
        <v/>
      </c>
      <c r="G24" s="115">
        <f>IF(Base_Alargada!V27="","",IF(Parametros_Alargados!$D28="+",MIN(100,MAX(0,(Base_Alargada!V27-Parametros_Alargados!$F28)/(Parametros_Alargados!$G28-Parametros_Alargados!$F28)*100)),MIN(100,MAX(0,(Parametros_Alargados!$G28-Base_Alargada!V27)/(Parametros_Alargados!$G28-Parametros_Alargados!$F28)*100))))</f>
        <v/>
      </c>
      <c r="H24" s="115">
        <f>IF(Base_Alargada!W27="","",IF(Parametros_Alargados!$D28="+",MIN(100,MAX(0,(Base_Alargada!W27-Parametros_Alargados!$F28)/(Parametros_Alargados!$G28-Parametros_Alargados!$F28)*100)),MIN(100,MAX(0,(Parametros_Alargados!$G28-Base_Alargada!W27)/(Parametros_Alargados!$G28-Parametros_Alargados!$F28)*100))))</f>
        <v/>
      </c>
      <c r="I24" s="115">
        <f>IF(Base_Alargada!X27="","",IF(Parametros_Alargados!$D28="+",MIN(100,MAX(0,(Base_Alargada!X27-Parametros_Alargados!$F28)/(Parametros_Alargados!$G28-Parametros_Alargados!$F28)*100)),MIN(100,MAX(0,(Parametros_Alargados!$G28-Base_Alargada!X27)/(Parametros_Alargados!$G28-Parametros_Alargados!$F28)*100))))</f>
        <v/>
      </c>
      <c r="J24" s="115">
        <f>IF(Base_Alargada!Y27="","",IF(Parametros_Alargados!$D28="+",MIN(100,MAX(0,(Base_Alargada!Y27-Parametros_Alargados!$F28)/(Parametros_Alargados!$G28-Parametros_Alargados!$F28)*100)),MIN(100,MAX(0,(Parametros_Alargados!$G28-Base_Alargada!Y27)/(Parametros_Alargados!$G28-Parametros_Alargados!$F28)*100))))</f>
        <v/>
      </c>
      <c r="K24" s="115">
        <f>IF(Base_Alargada!Z27="","",IF(Parametros_Alargados!$D28="+",MIN(100,MAX(0,(Base_Alargada!Z27-Parametros_Alargados!$F28)/(Parametros_Alargados!$G28-Parametros_Alargados!$F28)*100)),MIN(100,MAX(0,(Parametros_Alargados!$G28-Base_Alargada!Z27)/(Parametros_Alargados!$G28-Parametros_Alargados!$F28)*100))))</f>
        <v/>
      </c>
      <c r="L24" s="115">
        <f>IF(Base_Alargada!AA27="","",IF(Parametros_Alargados!$D28="+",MIN(100,MAX(0,(Base_Alargada!AA27-Parametros_Alargados!$F28)/(Parametros_Alargados!$G28-Parametros_Alargados!$F28)*100)),MIN(100,MAX(0,(Parametros_Alargados!$G28-Base_Alargada!AA27)/(Parametros_Alargados!$G28-Parametros_Alargados!$F28)*100))))</f>
        <v/>
      </c>
      <c r="M24" s="115">
        <f>IF(Base_Alargada!AB27="","",IF(Parametros_Alargados!$D28="+",MIN(100,MAX(0,(Base_Alargada!AB27-Parametros_Alargados!$F28)/(Parametros_Alargados!$G28-Parametros_Alargados!$F28)*100)),MIN(100,MAX(0,(Parametros_Alargados!$G28-Base_Alargada!AB27)/(Parametros_Alargados!$G28-Parametros_Alargados!$F28)*100))))</f>
        <v/>
      </c>
    </row>
    <row r="25">
      <c r="A25" t="inlineStr">
        <is>
          <t>2. Estabilidade Macroeconómica</t>
        </is>
      </c>
      <c r="B25" t="inlineStr">
        <is>
          <t>Rendas petrolíferas (% PIB)</t>
        </is>
      </c>
      <c r="C25" s="115">
        <f>IF(Base_Alargada!R28="","",IF(Parametros_Alargados!$D29="+",MIN(100,MAX(0,(Base_Alargada!R28-Parametros_Alargados!$F29)/(Parametros_Alargados!$G29-Parametros_Alargados!$F29)*100)),MIN(100,MAX(0,(Parametros_Alargados!$G29-Base_Alargada!R28)/(Parametros_Alargados!$G29-Parametros_Alargados!$F29)*100))))</f>
        <v/>
      </c>
      <c r="D25" s="115">
        <f>IF(Base_Alargada!S28="","",IF(Parametros_Alargados!$D29="+",MIN(100,MAX(0,(Base_Alargada!S28-Parametros_Alargados!$F29)/(Parametros_Alargados!$G29-Parametros_Alargados!$F29)*100)),MIN(100,MAX(0,(Parametros_Alargados!$G29-Base_Alargada!S28)/(Parametros_Alargados!$G29-Parametros_Alargados!$F29)*100))))</f>
        <v/>
      </c>
      <c r="E25" s="115">
        <f>IF(Base_Alargada!T28="","",IF(Parametros_Alargados!$D29="+",MIN(100,MAX(0,(Base_Alargada!T28-Parametros_Alargados!$F29)/(Parametros_Alargados!$G29-Parametros_Alargados!$F29)*100)),MIN(100,MAX(0,(Parametros_Alargados!$G29-Base_Alargada!T28)/(Parametros_Alargados!$G29-Parametros_Alargados!$F29)*100))))</f>
        <v/>
      </c>
      <c r="F25" s="115">
        <f>IF(Base_Alargada!U28="","",IF(Parametros_Alargados!$D29="+",MIN(100,MAX(0,(Base_Alargada!U28-Parametros_Alargados!$F29)/(Parametros_Alargados!$G29-Parametros_Alargados!$F29)*100)),MIN(100,MAX(0,(Parametros_Alargados!$G29-Base_Alargada!U28)/(Parametros_Alargados!$G29-Parametros_Alargados!$F29)*100))))</f>
        <v/>
      </c>
      <c r="G25" s="115">
        <f>IF(Base_Alargada!V28="","",IF(Parametros_Alargados!$D29="+",MIN(100,MAX(0,(Base_Alargada!V28-Parametros_Alargados!$F29)/(Parametros_Alargados!$G29-Parametros_Alargados!$F29)*100)),MIN(100,MAX(0,(Parametros_Alargados!$G29-Base_Alargada!V28)/(Parametros_Alargados!$G29-Parametros_Alargados!$F29)*100))))</f>
        <v/>
      </c>
      <c r="H25" s="115">
        <f>IF(Base_Alargada!W28="","",IF(Parametros_Alargados!$D29="+",MIN(100,MAX(0,(Base_Alargada!W28-Parametros_Alargados!$F29)/(Parametros_Alargados!$G29-Parametros_Alargados!$F29)*100)),MIN(100,MAX(0,(Parametros_Alargados!$G29-Base_Alargada!W28)/(Parametros_Alargados!$G29-Parametros_Alargados!$F29)*100))))</f>
        <v/>
      </c>
      <c r="I25" s="115">
        <f>IF(Base_Alargada!X28="","",IF(Parametros_Alargados!$D29="+",MIN(100,MAX(0,(Base_Alargada!X28-Parametros_Alargados!$F29)/(Parametros_Alargados!$G29-Parametros_Alargados!$F29)*100)),MIN(100,MAX(0,(Parametros_Alargados!$G29-Base_Alargada!X28)/(Parametros_Alargados!$G29-Parametros_Alargados!$F29)*100))))</f>
        <v/>
      </c>
      <c r="J25" s="115">
        <f>IF(Base_Alargada!Y28="","",IF(Parametros_Alargados!$D29="+",MIN(100,MAX(0,(Base_Alargada!Y28-Parametros_Alargados!$F29)/(Parametros_Alargados!$G29-Parametros_Alargados!$F29)*100)),MIN(100,MAX(0,(Parametros_Alargados!$G29-Base_Alargada!Y28)/(Parametros_Alargados!$G29-Parametros_Alargados!$F29)*100))))</f>
        <v/>
      </c>
      <c r="K25" s="115">
        <f>IF(Base_Alargada!Z28="","",IF(Parametros_Alargados!$D29="+",MIN(100,MAX(0,(Base_Alargada!Z28-Parametros_Alargados!$F29)/(Parametros_Alargados!$G29-Parametros_Alargados!$F29)*100)),MIN(100,MAX(0,(Parametros_Alargados!$G29-Base_Alargada!Z28)/(Parametros_Alargados!$G29-Parametros_Alargados!$F29)*100))))</f>
        <v/>
      </c>
      <c r="L25" s="115">
        <f>IF(Base_Alargada!AA28="","",IF(Parametros_Alargados!$D29="+",MIN(100,MAX(0,(Base_Alargada!AA28-Parametros_Alargados!$F29)/(Parametros_Alargados!$G29-Parametros_Alargados!$F29)*100)),MIN(100,MAX(0,(Parametros_Alargados!$G29-Base_Alargada!AA28)/(Parametros_Alargados!$G29-Parametros_Alargados!$F29)*100))))</f>
        <v/>
      </c>
      <c r="M25" s="115">
        <f>IF(Base_Alargada!AB28="","",IF(Parametros_Alargados!$D29="+",MIN(100,MAX(0,(Base_Alargada!AB28-Parametros_Alargados!$F29)/(Parametros_Alargados!$G29-Parametros_Alargados!$F29)*100)),MIN(100,MAX(0,(Parametros_Alargados!$G29-Base_Alargada!AB28)/(Parametros_Alargados!$G29-Parametros_Alargados!$F29)*100))))</f>
        <v/>
      </c>
    </row>
    <row r="26">
      <c r="A26" t="inlineStr">
        <is>
          <t>2. Estabilidade Macroeconómica</t>
        </is>
      </c>
      <c r="B26" t="inlineStr">
        <is>
          <t>Exportações de bens e serviços (% PIB)</t>
        </is>
      </c>
      <c r="C26" s="115">
        <f>IF(Base_Alargada!R29="","",IF(Parametros_Alargados!$D30="+",MIN(100,MAX(0,(Base_Alargada!R29-Parametros_Alargados!$F30)/(Parametros_Alargados!$G30-Parametros_Alargados!$F30)*100)),MIN(100,MAX(0,(Parametros_Alargados!$G30-Base_Alargada!R29)/(Parametros_Alargados!$G30-Parametros_Alargados!$F30)*100))))</f>
        <v/>
      </c>
      <c r="D26" s="115">
        <f>IF(Base_Alargada!S29="","",IF(Parametros_Alargados!$D30="+",MIN(100,MAX(0,(Base_Alargada!S29-Parametros_Alargados!$F30)/(Parametros_Alargados!$G30-Parametros_Alargados!$F30)*100)),MIN(100,MAX(0,(Parametros_Alargados!$G30-Base_Alargada!S29)/(Parametros_Alargados!$G30-Parametros_Alargados!$F30)*100))))</f>
        <v/>
      </c>
      <c r="E26" s="115">
        <f>IF(Base_Alargada!T29="","",IF(Parametros_Alargados!$D30="+",MIN(100,MAX(0,(Base_Alargada!T29-Parametros_Alargados!$F30)/(Parametros_Alargados!$G30-Parametros_Alargados!$F30)*100)),MIN(100,MAX(0,(Parametros_Alargados!$G30-Base_Alargada!T29)/(Parametros_Alargados!$G30-Parametros_Alargados!$F30)*100))))</f>
        <v/>
      </c>
      <c r="F26" s="115">
        <f>IF(Base_Alargada!U29="","",IF(Parametros_Alargados!$D30="+",MIN(100,MAX(0,(Base_Alargada!U29-Parametros_Alargados!$F30)/(Parametros_Alargados!$G30-Parametros_Alargados!$F30)*100)),MIN(100,MAX(0,(Parametros_Alargados!$G30-Base_Alargada!U29)/(Parametros_Alargados!$G30-Parametros_Alargados!$F30)*100))))</f>
        <v/>
      </c>
      <c r="G26" s="115">
        <f>IF(Base_Alargada!V29="","",IF(Parametros_Alargados!$D30="+",MIN(100,MAX(0,(Base_Alargada!V29-Parametros_Alargados!$F30)/(Parametros_Alargados!$G30-Parametros_Alargados!$F30)*100)),MIN(100,MAX(0,(Parametros_Alargados!$G30-Base_Alargada!V29)/(Parametros_Alargados!$G30-Parametros_Alargados!$F30)*100))))</f>
        <v/>
      </c>
      <c r="H26" s="115">
        <f>IF(Base_Alargada!W29="","",IF(Parametros_Alargados!$D30="+",MIN(100,MAX(0,(Base_Alargada!W29-Parametros_Alargados!$F30)/(Parametros_Alargados!$G30-Parametros_Alargados!$F30)*100)),MIN(100,MAX(0,(Parametros_Alargados!$G30-Base_Alargada!W29)/(Parametros_Alargados!$G30-Parametros_Alargados!$F30)*100))))</f>
        <v/>
      </c>
      <c r="I26" s="115">
        <f>IF(Base_Alargada!X29="","",IF(Parametros_Alargados!$D30="+",MIN(100,MAX(0,(Base_Alargada!X29-Parametros_Alargados!$F30)/(Parametros_Alargados!$G30-Parametros_Alargados!$F30)*100)),MIN(100,MAX(0,(Parametros_Alargados!$G30-Base_Alargada!X29)/(Parametros_Alargados!$G30-Parametros_Alargados!$F30)*100))))</f>
        <v/>
      </c>
      <c r="J26" s="115">
        <f>IF(Base_Alargada!Y29="","",IF(Parametros_Alargados!$D30="+",MIN(100,MAX(0,(Base_Alargada!Y29-Parametros_Alargados!$F30)/(Parametros_Alargados!$G30-Parametros_Alargados!$F30)*100)),MIN(100,MAX(0,(Parametros_Alargados!$G30-Base_Alargada!Y29)/(Parametros_Alargados!$G30-Parametros_Alargados!$F30)*100))))</f>
        <v/>
      </c>
      <c r="K26" s="115">
        <f>IF(Base_Alargada!Z29="","",IF(Parametros_Alargados!$D30="+",MIN(100,MAX(0,(Base_Alargada!Z29-Parametros_Alargados!$F30)/(Parametros_Alargados!$G30-Parametros_Alargados!$F30)*100)),MIN(100,MAX(0,(Parametros_Alargados!$G30-Base_Alargada!Z29)/(Parametros_Alargados!$G30-Parametros_Alargados!$F30)*100))))</f>
        <v/>
      </c>
      <c r="L26" s="115">
        <f>IF(Base_Alargada!AA29="","",IF(Parametros_Alargados!$D30="+",MIN(100,MAX(0,(Base_Alargada!AA29-Parametros_Alargados!$F30)/(Parametros_Alargados!$G30-Parametros_Alargados!$F30)*100)),MIN(100,MAX(0,(Parametros_Alargados!$G30-Base_Alargada!AA29)/(Parametros_Alargados!$G30-Parametros_Alargados!$F30)*100))))</f>
        <v/>
      </c>
      <c r="M26" s="115">
        <f>IF(Base_Alargada!AB29="","",IF(Parametros_Alargados!$D30="+",MIN(100,MAX(0,(Base_Alargada!AB29-Parametros_Alargados!$F30)/(Parametros_Alargados!$G30-Parametros_Alargados!$F30)*100)),MIN(100,MAX(0,(Parametros_Alargados!$G30-Base_Alargada!AB29)/(Parametros_Alargados!$G30-Parametros_Alargados!$F30)*100))))</f>
        <v/>
      </c>
    </row>
    <row r="27">
      <c r="A27" t="inlineStr">
        <is>
          <t>2. Estabilidade Macroeconómica</t>
        </is>
      </c>
      <c r="B27" t="inlineStr">
        <is>
          <t>Reservas internacionais em meses de importações</t>
        </is>
      </c>
      <c r="C27" s="115">
        <f>IF(Base_Alargada!R30="","",IF(Parametros_Alargados!$D31="+",MIN(100,MAX(0,(Base_Alargada!R30-Parametros_Alargados!$F31)/(Parametros_Alargados!$G31-Parametros_Alargados!$F31)*100)),MIN(100,MAX(0,(Parametros_Alargados!$G31-Base_Alargada!R30)/(Parametros_Alargados!$G31-Parametros_Alargados!$F31)*100))))</f>
        <v/>
      </c>
      <c r="D27" s="115">
        <f>IF(Base_Alargada!S30="","",IF(Parametros_Alargados!$D31="+",MIN(100,MAX(0,(Base_Alargada!S30-Parametros_Alargados!$F31)/(Parametros_Alargados!$G31-Parametros_Alargados!$F31)*100)),MIN(100,MAX(0,(Parametros_Alargados!$G31-Base_Alargada!S30)/(Parametros_Alargados!$G31-Parametros_Alargados!$F31)*100))))</f>
        <v/>
      </c>
      <c r="E27" s="115">
        <f>IF(Base_Alargada!T30="","",IF(Parametros_Alargados!$D31="+",MIN(100,MAX(0,(Base_Alargada!T30-Parametros_Alargados!$F31)/(Parametros_Alargados!$G31-Parametros_Alargados!$F31)*100)),MIN(100,MAX(0,(Parametros_Alargados!$G31-Base_Alargada!T30)/(Parametros_Alargados!$G31-Parametros_Alargados!$F31)*100))))</f>
        <v/>
      </c>
      <c r="F27" s="115">
        <f>IF(Base_Alargada!U30="","",IF(Parametros_Alargados!$D31="+",MIN(100,MAX(0,(Base_Alargada!U30-Parametros_Alargados!$F31)/(Parametros_Alargados!$G31-Parametros_Alargados!$F31)*100)),MIN(100,MAX(0,(Parametros_Alargados!$G31-Base_Alargada!U30)/(Parametros_Alargados!$G31-Parametros_Alargados!$F31)*100))))</f>
        <v/>
      </c>
      <c r="G27" s="115">
        <f>IF(Base_Alargada!V30="","",IF(Parametros_Alargados!$D31="+",MIN(100,MAX(0,(Base_Alargada!V30-Parametros_Alargados!$F31)/(Parametros_Alargados!$G31-Parametros_Alargados!$F31)*100)),MIN(100,MAX(0,(Parametros_Alargados!$G31-Base_Alargada!V30)/(Parametros_Alargados!$G31-Parametros_Alargados!$F31)*100))))</f>
        <v/>
      </c>
      <c r="H27" s="115">
        <f>IF(Base_Alargada!W30="","",IF(Parametros_Alargados!$D31="+",MIN(100,MAX(0,(Base_Alargada!W30-Parametros_Alargados!$F31)/(Parametros_Alargados!$G31-Parametros_Alargados!$F31)*100)),MIN(100,MAX(0,(Parametros_Alargados!$G31-Base_Alargada!W30)/(Parametros_Alargados!$G31-Parametros_Alargados!$F31)*100))))</f>
        <v/>
      </c>
      <c r="I27" s="115">
        <f>IF(Base_Alargada!X30="","",IF(Parametros_Alargados!$D31="+",MIN(100,MAX(0,(Base_Alargada!X30-Parametros_Alargados!$F31)/(Parametros_Alargados!$G31-Parametros_Alargados!$F31)*100)),MIN(100,MAX(0,(Parametros_Alargados!$G31-Base_Alargada!X30)/(Parametros_Alargados!$G31-Parametros_Alargados!$F31)*100))))</f>
        <v/>
      </c>
      <c r="J27" s="115">
        <f>IF(Base_Alargada!Y30="","",IF(Parametros_Alargados!$D31="+",MIN(100,MAX(0,(Base_Alargada!Y30-Parametros_Alargados!$F31)/(Parametros_Alargados!$G31-Parametros_Alargados!$F31)*100)),MIN(100,MAX(0,(Parametros_Alargados!$G31-Base_Alargada!Y30)/(Parametros_Alargados!$G31-Parametros_Alargados!$F31)*100))))</f>
        <v/>
      </c>
      <c r="K27" s="115">
        <f>IF(Base_Alargada!Z30="","",IF(Parametros_Alargados!$D31="+",MIN(100,MAX(0,(Base_Alargada!Z30-Parametros_Alargados!$F31)/(Parametros_Alargados!$G31-Parametros_Alargados!$F31)*100)),MIN(100,MAX(0,(Parametros_Alargados!$G31-Base_Alargada!Z30)/(Parametros_Alargados!$G31-Parametros_Alargados!$F31)*100))))</f>
        <v/>
      </c>
      <c r="L27" s="115">
        <f>IF(Base_Alargada!AA30="","",IF(Parametros_Alargados!$D31="+",MIN(100,MAX(0,(Base_Alargada!AA30-Parametros_Alargados!$F31)/(Parametros_Alargados!$G31-Parametros_Alargados!$F31)*100)),MIN(100,MAX(0,(Parametros_Alargados!$G31-Base_Alargada!AA30)/(Parametros_Alargados!$G31-Parametros_Alargados!$F31)*100))))</f>
        <v/>
      </c>
      <c r="M27" s="115">
        <f>IF(Base_Alargada!AB30="","",IF(Parametros_Alargados!$D31="+",MIN(100,MAX(0,(Base_Alargada!AB30-Parametros_Alargados!$F31)/(Parametros_Alargados!$G31-Parametros_Alargados!$F31)*100)),MIN(100,MAX(0,(Parametros_Alargados!$G31-Base_Alargada!AB30)/(Parametros_Alargados!$G31-Parametros_Alargados!$F31)*100))))</f>
        <v/>
      </c>
    </row>
    <row r="28">
      <c r="A28" t="inlineStr">
        <is>
          <t>2. Estabilidade Macroeconómica</t>
        </is>
      </c>
      <c r="B28" t="inlineStr">
        <is>
          <t>Crédito doméstico ao setor privado (% PIB)</t>
        </is>
      </c>
      <c r="C28" s="115">
        <f>IF(Base_Alargada!R31="","",IF(Parametros_Alargados!$D32="+",MIN(100,MAX(0,(Base_Alargada!R31-Parametros_Alargados!$F32)/(Parametros_Alargados!$G32-Parametros_Alargados!$F32)*100)),MIN(100,MAX(0,(Parametros_Alargados!$G32-Base_Alargada!R31)/(Parametros_Alargados!$G32-Parametros_Alargados!$F32)*100))))</f>
        <v/>
      </c>
      <c r="D28" s="115">
        <f>IF(Base_Alargada!S31="","",IF(Parametros_Alargados!$D32="+",MIN(100,MAX(0,(Base_Alargada!S31-Parametros_Alargados!$F32)/(Parametros_Alargados!$G32-Parametros_Alargados!$F32)*100)),MIN(100,MAX(0,(Parametros_Alargados!$G32-Base_Alargada!S31)/(Parametros_Alargados!$G32-Parametros_Alargados!$F32)*100))))</f>
        <v/>
      </c>
      <c r="E28" s="115">
        <f>IF(Base_Alargada!T31="","",IF(Parametros_Alargados!$D32="+",MIN(100,MAX(0,(Base_Alargada!T31-Parametros_Alargados!$F32)/(Parametros_Alargados!$G32-Parametros_Alargados!$F32)*100)),MIN(100,MAX(0,(Parametros_Alargados!$G32-Base_Alargada!T31)/(Parametros_Alargados!$G32-Parametros_Alargados!$F32)*100))))</f>
        <v/>
      </c>
      <c r="F28" s="115">
        <f>IF(Base_Alargada!U31="","",IF(Parametros_Alargados!$D32="+",MIN(100,MAX(0,(Base_Alargada!U31-Parametros_Alargados!$F32)/(Parametros_Alargados!$G32-Parametros_Alargados!$F32)*100)),MIN(100,MAX(0,(Parametros_Alargados!$G32-Base_Alargada!U31)/(Parametros_Alargados!$G32-Parametros_Alargados!$F32)*100))))</f>
        <v/>
      </c>
      <c r="G28" s="115">
        <f>IF(Base_Alargada!V31="","",IF(Parametros_Alargados!$D32="+",MIN(100,MAX(0,(Base_Alargada!V31-Parametros_Alargados!$F32)/(Parametros_Alargados!$G32-Parametros_Alargados!$F32)*100)),MIN(100,MAX(0,(Parametros_Alargados!$G32-Base_Alargada!V31)/(Parametros_Alargados!$G32-Parametros_Alargados!$F32)*100))))</f>
        <v/>
      </c>
      <c r="H28" s="115">
        <f>IF(Base_Alargada!W31="","",IF(Parametros_Alargados!$D32="+",MIN(100,MAX(0,(Base_Alargada!W31-Parametros_Alargados!$F32)/(Parametros_Alargados!$G32-Parametros_Alargados!$F32)*100)),MIN(100,MAX(0,(Parametros_Alargados!$G32-Base_Alargada!W31)/(Parametros_Alargados!$G32-Parametros_Alargados!$F32)*100))))</f>
        <v/>
      </c>
      <c r="I28" s="115">
        <f>IF(Base_Alargada!X31="","",IF(Parametros_Alargados!$D32="+",MIN(100,MAX(0,(Base_Alargada!X31-Parametros_Alargados!$F32)/(Parametros_Alargados!$G32-Parametros_Alargados!$F32)*100)),MIN(100,MAX(0,(Parametros_Alargados!$G32-Base_Alargada!X31)/(Parametros_Alargados!$G32-Parametros_Alargados!$F32)*100))))</f>
        <v/>
      </c>
      <c r="J28" s="115">
        <f>IF(Base_Alargada!Y31="","",IF(Parametros_Alargados!$D32="+",MIN(100,MAX(0,(Base_Alargada!Y31-Parametros_Alargados!$F32)/(Parametros_Alargados!$G32-Parametros_Alargados!$F32)*100)),MIN(100,MAX(0,(Parametros_Alargados!$G32-Base_Alargada!Y31)/(Parametros_Alargados!$G32-Parametros_Alargados!$F32)*100))))</f>
        <v/>
      </c>
      <c r="K28" s="115">
        <f>IF(Base_Alargada!Z31="","",IF(Parametros_Alargados!$D32="+",MIN(100,MAX(0,(Base_Alargada!Z31-Parametros_Alargados!$F32)/(Parametros_Alargados!$G32-Parametros_Alargados!$F32)*100)),MIN(100,MAX(0,(Parametros_Alargados!$G32-Base_Alargada!Z31)/(Parametros_Alargados!$G32-Parametros_Alargados!$F32)*100))))</f>
        <v/>
      </c>
      <c r="L28" s="115">
        <f>IF(Base_Alargada!AA31="","",IF(Parametros_Alargados!$D32="+",MIN(100,MAX(0,(Base_Alargada!AA31-Parametros_Alargados!$F32)/(Parametros_Alargados!$G32-Parametros_Alargados!$F32)*100)),MIN(100,MAX(0,(Parametros_Alargados!$G32-Base_Alargada!AA31)/(Parametros_Alargados!$G32-Parametros_Alargados!$F32)*100))))</f>
        <v/>
      </c>
      <c r="M28" s="115">
        <f>IF(Base_Alargada!AB31="","",IF(Parametros_Alargados!$D32="+",MIN(100,MAX(0,(Base_Alargada!AB31-Parametros_Alargados!$F32)/(Parametros_Alargados!$G32-Parametros_Alargados!$F32)*100)),MIN(100,MAX(0,(Parametros_Alargados!$G32-Base_Alargada!AB31)/(Parametros_Alargados!$G32-Parametros_Alargados!$F32)*100))))</f>
        <v/>
      </c>
    </row>
    <row r="29">
      <c r="A29" t="inlineStr">
        <is>
          <t>2. Estabilidade Macroeconómica</t>
        </is>
      </c>
      <c r="B29" t="inlineStr">
        <is>
          <t>Crescimento do PIB não petrolífero</t>
        </is>
      </c>
      <c r="C29" s="115">
        <f>IF(Base_Alargada!R32="","",IF(Parametros_Alargados!$D33="+",MIN(100,MAX(0,(Base_Alargada!R32-Parametros_Alargados!$F33)/(Parametros_Alargados!$G33-Parametros_Alargados!$F33)*100)),MIN(100,MAX(0,(Parametros_Alargados!$G33-Base_Alargada!R32)/(Parametros_Alargados!$G33-Parametros_Alargados!$F33)*100))))</f>
        <v/>
      </c>
      <c r="D29" s="115">
        <f>IF(Base_Alargada!S32="","",IF(Parametros_Alargados!$D33="+",MIN(100,MAX(0,(Base_Alargada!S32-Parametros_Alargados!$F33)/(Parametros_Alargados!$G33-Parametros_Alargados!$F33)*100)),MIN(100,MAX(0,(Parametros_Alargados!$G33-Base_Alargada!S32)/(Parametros_Alargados!$G33-Parametros_Alargados!$F33)*100))))</f>
        <v/>
      </c>
      <c r="E29" s="115">
        <f>IF(Base_Alargada!T32="","",IF(Parametros_Alargados!$D33="+",MIN(100,MAX(0,(Base_Alargada!T32-Parametros_Alargados!$F33)/(Parametros_Alargados!$G33-Parametros_Alargados!$F33)*100)),MIN(100,MAX(0,(Parametros_Alargados!$G33-Base_Alargada!T32)/(Parametros_Alargados!$G33-Parametros_Alargados!$F33)*100))))</f>
        <v/>
      </c>
      <c r="F29" s="115">
        <f>IF(Base_Alargada!U32="","",IF(Parametros_Alargados!$D33="+",MIN(100,MAX(0,(Base_Alargada!U32-Parametros_Alargados!$F33)/(Parametros_Alargados!$G33-Parametros_Alargados!$F33)*100)),MIN(100,MAX(0,(Parametros_Alargados!$G33-Base_Alargada!U32)/(Parametros_Alargados!$G33-Parametros_Alargados!$F33)*100))))</f>
        <v/>
      </c>
      <c r="G29" s="115">
        <f>IF(Base_Alargada!V32="","",IF(Parametros_Alargados!$D33="+",MIN(100,MAX(0,(Base_Alargada!V32-Parametros_Alargados!$F33)/(Parametros_Alargados!$G33-Parametros_Alargados!$F33)*100)),MIN(100,MAX(0,(Parametros_Alargados!$G33-Base_Alargada!V32)/(Parametros_Alargados!$G33-Parametros_Alargados!$F33)*100))))</f>
        <v/>
      </c>
      <c r="H29" s="115">
        <f>IF(Base_Alargada!W32="","",IF(Parametros_Alargados!$D33="+",MIN(100,MAX(0,(Base_Alargada!W32-Parametros_Alargados!$F33)/(Parametros_Alargados!$G33-Parametros_Alargados!$F33)*100)),MIN(100,MAX(0,(Parametros_Alargados!$G33-Base_Alargada!W32)/(Parametros_Alargados!$G33-Parametros_Alargados!$F33)*100))))</f>
        <v/>
      </c>
      <c r="I29" s="115">
        <f>IF(Base_Alargada!X32="","",IF(Parametros_Alargados!$D33="+",MIN(100,MAX(0,(Base_Alargada!X32-Parametros_Alargados!$F33)/(Parametros_Alargados!$G33-Parametros_Alargados!$F33)*100)),MIN(100,MAX(0,(Parametros_Alargados!$G33-Base_Alargada!X32)/(Parametros_Alargados!$G33-Parametros_Alargados!$F33)*100))))</f>
        <v/>
      </c>
      <c r="J29" s="115">
        <f>IF(Base_Alargada!Y32="","",IF(Parametros_Alargados!$D33="+",MIN(100,MAX(0,(Base_Alargada!Y32-Parametros_Alargados!$F33)/(Parametros_Alargados!$G33-Parametros_Alargados!$F33)*100)),MIN(100,MAX(0,(Parametros_Alargados!$G33-Base_Alargada!Y32)/(Parametros_Alargados!$G33-Parametros_Alargados!$F33)*100))))</f>
        <v/>
      </c>
      <c r="K29" s="115">
        <f>IF(Base_Alargada!Z32="","",IF(Parametros_Alargados!$D33="+",MIN(100,MAX(0,(Base_Alargada!Z32-Parametros_Alargados!$F33)/(Parametros_Alargados!$G33-Parametros_Alargados!$F33)*100)),MIN(100,MAX(0,(Parametros_Alargados!$G33-Base_Alargada!Z32)/(Parametros_Alargados!$G33-Parametros_Alargados!$F33)*100))))</f>
        <v/>
      </c>
      <c r="L29" s="115">
        <f>IF(Base_Alargada!AA32="","",IF(Parametros_Alargados!$D33="+",MIN(100,MAX(0,(Base_Alargada!AA32-Parametros_Alargados!$F33)/(Parametros_Alargados!$G33-Parametros_Alargados!$F33)*100)),MIN(100,MAX(0,(Parametros_Alargados!$G33-Base_Alargada!AA32)/(Parametros_Alargados!$G33-Parametros_Alargados!$F33)*100))))</f>
        <v/>
      </c>
      <c r="M29" s="115">
        <f>IF(Base_Alargada!AB32="","",IF(Parametros_Alargados!$D33="+",MIN(100,MAX(0,(Base_Alargada!AB32-Parametros_Alargados!$F33)/(Parametros_Alargados!$G33-Parametros_Alargados!$F33)*100)),MIN(100,MAX(0,(Parametros_Alargados!$G33-Base_Alargada!AB32)/(Parametros_Alargados!$G33-Parametros_Alargados!$F33)*100))))</f>
        <v/>
      </c>
    </row>
    <row r="30">
      <c r="A30" t="inlineStr">
        <is>
          <t>2. Estabilidade Macroeconómica</t>
        </is>
      </c>
      <c r="B30" t="inlineStr">
        <is>
          <t>Volatilidade da taxa de câmbio nominal</t>
        </is>
      </c>
      <c r="C30" s="115">
        <f>IF(Base_Alargada!R33="","",IF(Parametros_Alargados!$D34="+",MIN(100,MAX(0,(Base_Alargada!R33-Parametros_Alargados!$F34)/(Parametros_Alargados!$G34-Parametros_Alargados!$F34)*100)),MIN(100,MAX(0,(Parametros_Alargados!$G34-Base_Alargada!R33)/(Parametros_Alargados!$G34-Parametros_Alargados!$F34)*100))))</f>
        <v/>
      </c>
      <c r="D30" s="115">
        <f>IF(Base_Alargada!S33="","",IF(Parametros_Alargados!$D34="+",MIN(100,MAX(0,(Base_Alargada!S33-Parametros_Alargados!$F34)/(Parametros_Alargados!$G34-Parametros_Alargados!$F34)*100)),MIN(100,MAX(0,(Parametros_Alargados!$G34-Base_Alargada!S33)/(Parametros_Alargados!$G34-Parametros_Alargados!$F34)*100))))</f>
        <v/>
      </c>
      <c r="E30" s="115">
        <f>IF(Base_Alargada!T33="","",IF(Parametros_Alargados!$D34="+",MIN(100,MAX(0,(Base_Alargada!T33-Parametros_Alargados!$F34)/(Parametros_Alargados!$G34-Parametros_Alargados!$F34)*100)),MIN(100,MAX(0,(Parametros_Alargados!$G34-Base_Alargada!T33)/(Parametros_Alargados!$G34-Parametros_Alargados!$F34)*100))))</f>
        <v/>
      </c>
      <c r="F30" s="115">
        <f>IF(Base_Alargada!U33="","",IF(Parametros_Alargados!$D34="+",MIN(100,MAX(0,(Base_Alargada!U33-Parametros_Alargados!$F34)/(Parametros_Alargados!$G34-Parametros_Alargados!$F34)*100)),MIN(100,MAX(0,(Parametros_Alargados!$G34-Base_Alargada!U33)/(Parametros_Alargados!$G34-Parametros_Alargados!$F34)*100))))</f>
        <v/>
      </c>
      <c r="G30" s="115">
        <f>IF(Base_Alargada!V33="","",IF(Parametros_Alargados!$D34="+",MIN(100,MAX(0,(Base_Alargada!V33-Parametros_Alargados!$F34)/(Parametros_Alargados!$G34-Parametros_Alargados!$F34)*100)),MIN(100,MAX(0,(Parametros_Alargados!$G34-Base_Alargada!V33)/(Parametros_Alargados!$G34-Parametros_Alargados!$F34)*100))))</f>
        <v/>
      </c>
      <c r="H30" s="115">
        <f>IF(Base_Alargada!W33="","",IF(Parametros_Alargados!$D34="+",MIN(100,MAX(0,(Base_Alargada!W33-Parametros_Alargados!$F34)/(Parametros_Alargados!$G34-Parametros_Alargados!$F34)*100)),MIN(100,MAX(0,(Parametros_Alargados!$G34-Base_Alargada!W33)/(Parametros_Alargados!$G34-Parametros_Alargados!$F34)*100))))</f>
        <v/>
      </c>
      <c r="I30" s="115">
        <f>IF(Base_Alargada!X33="","",IF(Parametros_Alargados!$D34="+",MIN(100,MAX(0,(Base_Alargada!X33-Parametros_Alargados!$F34)/(Parametros_Alargados!$G34-Parametros_Alargados!$F34)*100)),MIN(100,MAX(0,(Parametros_Alargados!$G34-Base_Alargada!X33)/(Parametros_Alargados!$G34-Parametros_Alargados!$F34)*100))))</f>
        <v/>
      </c>
      <c r="J30" s="115">
        <f>IF(Base_Alargada!Y33="","",IF(Parametros_Alargados!$D34="+",MIN(100,MAX(0,(Base_Alargada!Y33-Parametros_Alargados!$F34)/(Parametros_Alargados!$G34-Parametros_Alargados!$F34)*100)),MIN(100,MAX(0,(Parametros_Alargados!$G34-Base_Alargada!Y33)/(Parametros_Alargados!$G34-Parametros_Alargados!$F34)*100))))</f>
        <v/>
      </c>
      <c r="K30" s="115">
        <f>IF(Base_Alargada!Z33="","",IF(Parametros_Alargados!$D34="+",MIN(100,MAX(0,(Base_Alargada!Z33-Parametros_Alargados!$F34)/(Parametros_Alargados!$G34-Parametros_Alargados!$F34)*100)),MIN(100,MAX(0,(Parametros_Alargados!$G34-Base_Alargada!Z33)/(Parametros_Alargados!$G34-Parametros_Alargados!$F34)*100))))</f>
        <v/>
      </c>
      <c r="L30" s="115">
        <f>IF(Base_Alargada!AA33="","",IF(Parametros_Alargados!$D34="+",MIN(100,MAX(0,(Base_Alargada!AA33-Parametros_Alargados!$F34)/(Parametros_Alargados!$G34-Parametros_Alargados!$F34)*100)),MIN(100,MAX(0,(Parametros_Alargados!$G34-Base_Alargada!AA33)/(Parametros_Alargados!$G34-Parametros_Alargados!$F34)*100))))</f>
        <v/>
      </c>
      <c r="M30" s="115">
        <f>IF(Base_Alargada!AB33="","",IF(Parametros_Alargados!$D34="+",MIN(100,MAX(0,(Base_Alargada!AB33-Parametros_Alargados!$F34)/(Parametros_Alargados!$G34-Parametros_Alargados!$F34)*100)),MIN(100,MAX(0,(Parametros_Alargados!$G34-Base_Alargada!AB33)/(Parametros_Alargados!$G34-Parametros_Alargados!$F34)*100))))</f>
        <v/>
      </c>
    </row>
    <row r="31">
      <c r="A31" t="inlineStr">
        <is>
          <t>3. Capital Humano</t>
        </is>
      </c>
      <c r="B31" t="inlineStr">
        <is>
          <t>Índice de Desenvolvimento Humano</t>
        </is>
      </c>
      <c r="C31" s="115">
        <f>IF(Base_Alargada!R34="","",IF(Parametros_Alargados!$D35="+",MIN(100,MAX(0,(Base_Alargada!R34-Parametros_Alargados!$F35)/(Parametros_Alargados!$G35-Parametros_Alargados!$F35)*100)),MIN(100,MAX(0,(Parametros_Alargados!$G35-Base_Alargada!R34)/(Parametros_Alargados!$G35-Parametros_Alargados!$F35)*100))))</f>
        <v/>
      </c>
      <c r="D31" s="115">
        <f>IF(Base_Alargada!S34="","",IF(Parametros_Alargados!$D35="+",MIN(100,MAX(0,(Base_Alargada!S34-Parametros_Alargados!$F35)/(Parametros_Alargados!$G35-Parametros_Alargados!$F35)*100)),MIN(100,MAX(0,(Parametros_Alargados!$G35-Base_Alargada!S34)/(Parametros_Alargados!$G35-Parametros_Alargados!$F35)*100))))</f>
        <v/>
      </c>
      <c r="E31" s="115">
        <f>IF(Base_Alargada!T34="","",IF(Parametros_Alargados!$D35="+",MIN(100,MAX(0,(Base_Alargada!T34-Parametros_Alargados!$F35)/(Parametros_Alargados!$G35-Parametros_Alargados!$F35)*100)),MIN(100,MAX(0,(Parametros_Alargados!$G35-Base_Alargada!T34)/(Parametros_Alargados!$G35-Parametros_Alargados!$F35)*100))))</f>
        <v/>
      </c>
      <c r="F31" s="115">
        <f>IF(Base_Alargada!U34="","",IF(Parametros_Alargados!$D35="+",MIN(100,MAX(0,(Base_Alargada!U34-Parametros_Alargados!$F35)/(Parametros_Alargados!$G35-Parametros_Alargados!$F35)*100)),MIN(100,MAX(0,(Parametros_Alargados!$G35-Base_Alargada!U34)/(Parametros_Alargados!$G35-Parametros_Alargados!$F35)*100))))</f>
        <v/>
      </c>
      <c r="G31" s="115">
        <f>IF(Base_Alargada!V34="","",IF(Parametros_Alargados!$D35="+",MIN(100,MAX(0,(Base_Alargada!V34-Parametros_Alargados!$F35)/(Parametros_Alargados!$G35-Parametros_Alargados!$F35)*100)),MIN(100,MAX(0,(Parametros_Alargados!$G35-Base_Alargada!V34)/(Parametros_Alargados!$G35-Parametros_Alargados!$F35)*100))))</f>
        <v/>
      </c>
      <c r="H31" s="115">
        <f>IF(Base_Alargada!W34="","",IF(Parametros_Alargados!$D35="+",MIN(100,MAX(0,(Base_Alargada!W34-Parametros_Alargados!$F35)/(Parametros_Alargados!$G35-Parametros_Alargados!$F35)*100)),MIN(100,MAX(0,(Parametros_Alargados!$G35-Base_Alargada!W34)/(Parametros_Alargados!$G35-Parametros_Alargados!$F35)*100))))</f>
        <v/>
      </c>
      <c r="I31" s="115">
        <f>IF(Base_Alargada!X34="","",IF(Parametros_Alargados!$D35="+",MIN(100,MAX(0,(Base_Alargada!X34-Parametros_Alargados!$F35)/(Parametros_Alargados!$G35-Parametros_Alargados!$F35)*100)),MIN(100,MAX(0,(Parametros_Alargados!$G35-Base_Alargada!X34)/(Parametros_Alargados!$G35-Parametros_Alargados!$F35)*100))))</f>
        <v/>
      </c>
      <c r="J31" s="115">
        <f>IF(Base_Alargada!Y34="","",IF(Parametros_Alargados!$D35="+",MIN(100,MAX(0,(Base_Alargada!Y34-Parametros_Alargados!$F35)/(Parametros_Alargados!$G35-Parametros_Alargados!$F35)*100)),MIN(100,MAX(0,(Parametros_Alargados!$G35-Base_Alargada!Y34)/(Parametros_Alargados!$G35-Parametros_Alargados!$F35)*100))))</f>
        <v/>
      </c>
      <c r="K31" s="115">
        <f>IF(Base_Alargada!Z34="","",IF(Parametros_Alargados!$D35="+",MIN(100,MAX(0,(Base_Alargada!Z34-Parametros_Alargados!$F35)/(Parametros_Alargados!$G35-Parametros_Alargados!$F35)*100)),MIN(100,MAX(0,(Parametros_Alargados!$G35-Base_Alargada!Z34)/(Parametros_Alargados!$G35-Parametros_Alargados!$F35)*100))))</f>
        <v/>
      </c>
      <c r="L31" s="115">
        <f>IF(Base_Alargada!AA34="","",IF(Parametros_Alargados!$D35="+",MIN(100,MAX(0,(Base_Alargada!AA34-Parametros_Alargados!$F35)/(Parametros_Alargados!$G35-Parametros_Alargados!$F35)*100)),MIN(100,MAX(0,(Parametros_Alargados!$G35-Base_Alargada!AA34)/(Parametros_Alargados!$G35-Parametros_Alargados!$F35)*100))))</f>
        <v/>
      </c>
      <c r="M31" s="115">
        <f>IF(Base_Alargada!AB34="","",IF(Parametros_Alargados!$D35="+",MIN(100,MAX(0,(Base_Alargada!AB34-Parametros_Alargados!$F35)/(Parametros_Alargados!$G35-Parametros_Alargados!$F35)*100)),MIN(100,MAX(0,(Parametros_Alargados!$G35-Base_Alargada!AB34)/(Parametros_Alargados!$G35-Parametros_Alargados!$F35)*100))))</f>
        <v/>
      </c>
    </row>
    <row r="32">
      <c r="A32" t="inlineStr">
        <is>
          <t>3. Capital Humano</t>
        </is>
      </c>
      <c r="B32" t="inlineStr">
        <is>
          <t>Esperança Média de Vida</t>
        </is>
      </c>
      <c r="C32" s="115">
        <f>IF(Base_Alargada!R35="","",IF(Parametros_Alargados!$D36="+",MIN(100,MAX(0,(Base_Alargada!R35-Parametros_Alargados!$F36)/(Parametros_Alargados!$G36-Parametros_Alargados!$F36)*100)),MIN(100,MAX(0,(Parametros_Alargados!$G36-Base_Alargada!R35)/(Parametros_Alargados!$G36-Parametros_Alargados!$F36)*100))))</f>
        <v/>
      </c>
      <c r="D32" s="115">
        <f>IF(Base_Alargada!S35="","",IF(Parametros_Alargados!$D36="+",MIN(100,MAX(0,(Base_Alargada!S35-Parametros_Alargados!$F36)/(Parametros_Alargados!$G36-Parametros_Alargados!$F36)*100)),MIN(100,MAX(0,(Parametros_Alargados!$G36-Base_Alargada!S35)/(Parametros_Alargados!$G36-Parametros_Alargados!$F36)*100))))</f>
        <v/>
      </c>
      <c r="E32" s="115">
        <f>IF(Base_Alargada!T35="","",IF(Parametros_Alargados!$D36="+",MIN(100,MAX(0,(Base_Alargada!T35-Parametros_Alargados!$F36)/(Parametros_Alargados!$G36-Parametros_Alargados!$F36)*100)),MIN(100,MAX(0,(Parametros_Alargados!$G36-Base_Alargada!T35)/(Parametros_Alargados!$G36-Parametros_Alargados!$F36)*100))))</f>
        <v/>
      </c>
      <c r="F32" s="115">
        <f>IF(Base_Alargada!U35="","",IF(Parametros_Alargados!$D36="+",MIN(100,MAX(0,(Base_Alargada!U35-Parametros_Alargados!$F36)/(Parametros_Alargados!$G36-Parametros_Alargados!$F36)*100)),MIN(100,MAX(0,(Parametros_Alargados!$G36-Base_Alargada!U35)/(Parametros_Alargados!$G36-Parametros_Alargados!$F36)*100))))</f>
        <v/>
      </c>
      <c r="G32" s="115">
        <f>IF(Base_Alargada!V35="","",IF(Parametros_Alargados!$D36="+",MIN(100,MAX(0,(Base_Alargada!V35-Parametros_Alargados!$F36)/(Parametros_Alargados!$G36-Parametros_Alargados!$F36)*100)),MIN(100,MAX(0,(Parametros_Alargados!$G36-Base_Alargada!V35)/(Parametros_Alargados!$G36-Parametros_Alargados!$F36)*100))))</f>
        <v/>
      </c>
      <c r="H32" s="115">
        <f>IF(Base_Alargada!W35="","",IF(Parametros_Alargados!$D36="+",MIN(100,MAX(0,(Base_Alargada!W35-Parametros_Alargados!$F36)/(Parametros_Alargados!$G36-Parametros_Alargados!$F36)*100)),MIN(100,MAX(0,(Parametros_Alargados!$G36-Base_Alargada!W35)/(Parametros_Alargados!$G36-Parametros_Alargados!$F36)*100))))</f>
        <v/>
      </c>
      <c r="I32" s="115">
        <f>IF(Base_Alargada!X35="","",IF(Parametros_Alargados!$D36="+",MIN(100,MAX(0,(Base_Alargada!X35-Parametros_Alargados!$F36)/(Parametros_Alargados!$G36-Parametros_Alargados!$F36)*100)),MIN(100,MAX(0,(Parametros_Alargados!$G36-Base_Alargada!X35)/(Parametros_Alargados!$G36-Parametros_Alargados!$F36)*100))))</f>
        <v/>
      </c>
      <c r="J32" s="115">
        <f>IF(Base_Alargada!Y35="","",IF(Parametros_Alargados!$D36="+",MIN(100,MAX(0,(Base_Alargada!Y35-Parametros_Alargados!$F36)/(Parametros_Alargados!$G36-Parametros_Alargados!$F36)*100)),MIN(100,MAX(0,(Parametros_Alargados!$G36-Base_Alargada!Y35)/(Parametros_Alargados!$G36-Parametros_Alargados!$F36)*100))))</f>
        <v/>
      </c>
      <c r="K32" s="115">
        <f>IF(Base_Alargada!Z35="","",IF(Parametros_Alargados!$D36="+",MIN(100,MAX(0,(Base_Alargada!Z35-Parametros_Alargados!$F36)/(Parametros_Alargados!$G36-Parametros_Alargados!$F36)*100)),MIN(100,MAX(0,(Parametros_Alargados!$G36-Base_Alargada!Z35)/(Parametros_Alargados!$G36-Parametros_Alargados!$F36)*100))))</f>
        <v/>
      </c>
      <c r="L32" s="115">
        <f>IF(Base_Alargada!AA35="","",IF(Parametros_Alargados!$D36="+",MIN(100,MAX(0,(Base_Alargada!AA35-Parametros_Alargados!$F36)/(Parametros_Alargados!$G36-Parametros_Alargados!$F36)*100)),MIN(100,MAX(0,(Parametros_Alargados!$G36-Base_Alargada!AA35)/(Parametros_Alargados!$G36-Parametros_Alargados!$F36)*100))))</f>
        <v/>
      </c>
      <c r="M32" s="115">
        <f>IF(Base_Alargada!AB35="","",IF(Parametros_Alargados!$D36="+",MIN(100,MAX(0,(Base_Alargada!AB35-Parametros_Alargados!$F36)/(Parametros_Alargados!$G36-Parametros_Alargados!$F36)*100)),MIN(100,MAX(0,(Parametros_Alargados!$G36-Base_Alargada!AB35)/(Parametros_Alargados!$G36-Parametros_Alargados!$F36)*100))))</f>
        <v/>
      </c>
    </row>
    <row r="33">
      <c r="A33" t="inlineStr">
        <is>
          <t>3. Capital Humano</t>
        </is>
      </c>
      <c r="B33" t="inlineStr">
        <is>
          <t>Taxa de Alfabetização (+15 anos)</t>
        </is>
      </c>
      <c r="C33" s="115">
        <f>IF(Base_Alargada!R36="","",IF(Parametros_Alargados!$D37="+",MIN(100,MAX(0,(Base_Alargada!R36-Parametros_Alargados!$F37)/(Parametros_Alargados!$G37-Parametros_Alargados!$F37)*100)),MIN(100,MAX(0,(Parametros_Alargados!$G37-Base_Alargada!R36)/(Parametros_Alargados!$G37-Parametros_Alargados!$F37)*100))))</f>
        <v/>
      </c>
      <c r="D33" s="115">
        <f>IF(Base_Alargada!S36="","",IF(Parametros_Alargados!$D37="+",MIN(100,MAX(0,(Base_Alargada!S36-Parametros_Alargados!$F37)/(Parametros_Alargados!$G37-Parametros_Alargados!$F37)*100)),MIN(100,MAX(0,(Parametros_Alargados!$G37-Base_Alargada!S36)/(Parametros_Alargados!$G37-Parametros_Alargados!$F37)*100))))</f>
        <v/>
      </c>
      <c r="E33" s="115">
        <f>IF(Base_Alargada!T36="","",IF(Parametros_Alargados!$D37="+",MIN(100,MAX(0,(Base_Alargada!T36-Parametros_Alargados!$F37)/(Parametros_Alargados!$G37-Parametros_Alargados!$F37)*100)),MIN(100,MAX(0,(Parametros_Alargados!$G37-Base_Alargada!T36)/(Parametros_Alargados!$G37-Parametros_Alargados!$F37)*100))))</f>
        <v/>
      </c>
      <c r="F33" s="115">
        <f>IF(Base_Alargada!U36="","",IF(Parametros_Alargados!$D37="+",MIN(100,MAX(0,(Base_Alargada!U36-Parametros_Alargados!$F37)/(Parametros_Alargados!$G37-Parametros_Alargados!$F37)*100)),MIN(100,MAX(0,(Parametros_Alargados!$G37-Base_Alargada!U36)/(Parametros_Alargados!$G37-Parametros_Alargados!$F37)*100))))</f>
        <v/>
      </c>
      <c r="G33" s="115">
        <f>IF(Base_Alargada!V36="","",IF(Parametros_Alargados!$D37="+",MIN(100,MAX(0,(Base_Alargada!V36-Parametros_Alargados!$F37)/(Parametros_Alargados!$G37-Parametros_Alargados!$F37)*100)),MIN(100,MAX(0,(Parametros_Alargados!$G37-Base_Alargada!V36)/(Parametros_Alargados!$G37-Parametros_Alargados!$F37)*100))))</f>
        <v/>
      </c>
      <c r="H33" s="115">
        <f>IF(Base_Alargada!W36="","",IF(Parametros_Alargados!$D37="+",MIN(100,MAX(0,(Base_Alargada!W36-Parametros_Alargados!$F37)/(Parametros_Alargados!$G37-Parametros_Alargados!$F37)*100)),MIN(100,MAX(0,(Parametros_Alargados!$G37-Base_Alargada!W36)/(Parametros_Alargados!$G37-Parametros_Alargados!$F37)*100))))</f>
        <v/>
      </c>
      <c r="I33" s="115">
        <f>IF(Base_Alargada!X36="","",IF(Parametros_Alargados!$D37="+",MIN(100,MAX(0,(Base_Alargada!X36-Parametros_Alargados!$F37)/(Parametros_Alargados!$G37-Parametros_Alargados!$F37)*100)),MIN(100,MAX(0,(Parametros_Alargados!$G37-Base_Alargada!X36)/(Parametros_Alargados!$G37-Parametros_Alargados!$F37)*100))))</f>
        <v/>
      </c>
      <c r="J33" s="115">
        <f>IF(Base_Alargada!Y36="","",IF(Parametros_Alargados!$D37="+",MIN(100,MAX(0,(Base_Alargada!Y36-Parametros_Alargados!$F37)/(Parametros_Alargados!$G37-Parametros_Alargados!$F37)*100)),MIN(100,MAX(0,(Parametros_Alargados!$G37-Base_Alargada!Y36)/(Parametros_Alargados!$G37-Parametros_Alargados!$F37)*100))))</f>
        <v/>
      </c>
      <c r="K33" s="115">
        <f>IF(Base_Alargada!Z36="","",IF(Parametros_Alargados!$D37="+",MIN(100,MAX(0,(Base_Alargada!Z36-Parametros_Alargados!$F37)/(Parametros_Alargados!$G37-Parametros_Alargados!$F37)*100)),MIN(100,MAX(0,(Parametros_Alargados!$G37-Base_Alargada!Z36)/(Parametros_Alargados!$G37-Parametros_Alargados!$F37)*100))))</f>
        <v/>
      </c>
      <c r="L33" s="115">
        <f>IF(Base_Alargada!AA36="","",IF(Parametros_Alargados!$D37="+",MIN(100,MAX(0,(Base_Alargada!AA36-Parametros_Alargados!$F37)/(Parametros_Alargados!$G37-Parametros_Alargados!$F37)*100)),MIN(100,MAX(0,(Parametros_Alargados!$G37-Base_Alargada!AA36)/(Parametros_Alargados!$G37-Parametros_Alargados!$F37)*100))))</f>
        <v/>
      </c>
      <c r="M33" s="115">
        <f>IF(Base_Alargada!AB36="","",IF(Parametros_Alargados!$D37="+",MIN(100,MAX(0,(Base_Alargada!AB36-Parametros_Alargados!$F37)/(Parametros_Alargados!$G37-Parametros_Alargados!$F37)*100)),MIN(100,MAX(0,(Parametros_Alargados!$G37-Base_Alargada!AB36)/(Parametros_Alargados!$G37-Parametros_Alargados!$F37)*100))))</f>
        <v/>
      </c>
    </row>
    <row r="34">
      <c r="A34" t="inlineStr">
        <is>
          <t>3. Capital Humano</t>
        </is>
      </c>
      <c r="B34" t="inlineStr">
        <is>
          <t>Taxa de Matrícula (primário)</t>
        </is>
      </c>
      <c r="C34" s="115">
        <f>IF(Base_Alargada!R37="","",IF(Parametros_Alargados!$D38="+",MIN(100,MAX(0,(Base_Alargada!R37-Parametros_Alargados!$F38)/(Parametros_Alargados!$G38-Parametros_Alargados!$F38)*100)),MIN(100,MAX(0,(Parametros_Alargados!$G38-Base_Alargada!R37)/(Parametros_Alargados!$G38-Parametros_Alargados!$F38)*100))))</f>
        <v/>
      </c>
      <c r="D34" s="115">
        <f>IF(Base_Alargada!S37="","",IF(Parametros_Alargados!$D38="+",MIN(100,MAX(0,(Base_Alargada!S37-Parametros_Alargados!$F38)/(Parametros_Alargados!$G38-Parametros_Alargados!$F38)*100)),MIN(100,MAX(0,(Parametros_Alargados!$G38-Base_Alargada!S37)/(Parametros_Alargados!$G38-Parametros_Alargados!$F38)*100))))</f>
        <v/>
      </c>
      <c r="E34" s="115">
        <f>IF(Base_Alargada!T37="","",IF(Parametros_Alargados!$D38="+",MIN(100,MAX(0,(Base_Alargada!T37-Parametros_Alargados!$F38)/(Parametros_Alargados!$G38-Parametros_Alargados!$F38)*100)),MIN(100,MAX(0,(Parametros_Alargados!$G38-Base_Alargada!T37)/(Parametros_Alargados!$G38-Parametros_Alargados!$F38)*100))))</f>
        <v/>
      </c>
      <c r="F34" s="115">
        <f>IF(Base_Alargada!U37="","",IF(Parametros_Alargados!$D38="+",MIN(100,MAX(0,(Base_Alargada!U37-Parametros_Alargados!$F38)/(Parametros_Alargados!$G38-Parametros_Alargados!$F38)*100)),MIN(100,MAX(0,(Parametros_Alargados!$G38-Base_Alargada!U37)/(Parametros_Alargados!$G38-Parametros_Alargados!$F38)*100))))</f>
        <v/>
      </c>
      <c r="G34" s="115">
        <f>IF(Base_Alargada!V37="","",IF(Parametros_Alargados!$D38="+",MIN(100,MAX(0,(Base_Alargada!V37-Parametros_Alargados!$F38)/(Parametros_Alargados!$G38-Parametros_Alargados!$F38)*100)),MIN(100,MAX(0,(Parametros_Alargados!$G38-Base_Alargada!V37)/(Parametros_Alargados!$G38-Parametros_Alargados!$F38)*100))))</f>
        <v/>
      </c>
      <c r="H34" s="115">
        <f>IF(Base_Alargada!W37="","",IF(Parametros_Alargados!$D38="+",MIN(100,MAX(0,(Base_Alargada!W37-Parametros_Alargados!$F38)/(Parametros_Alargados!$G38-Parametros_Alargados!$F38)*100)),MIN(100,MAX(0,(Parametros_Alargados!$G38-Base_Alargada!W37)/(Parametros_Alargados!$G38-Parametros_Alargados!$F38)*100))))</f>
        <v/>
      </c>
      <c r="I34" s="115">
        <f>IF(Base_Alargada!X37="","",IF(Parametros_Alargados!$D38="+",MIN(100,MAX(0,(Base_Alargada!X37-Parametros_Alargados!$F38)/(Parametros_Alargados!$G38-Parametros_Alargados!$F38)*100)),MIN(100,MAX(0,(Parametros_Alargados!$G38-Base_Alargada!X37)/(Parametros_Alargados!$G38-Parametros_Alargados!$F38)*100))))</f>
        <v/>
      </c>
      <c r="J34" s="115">
        <f>IF(Base_Alargada!Y37="","",IF(Parametros_Alargados!$D38="+",MIN(100,MAX(0,(Base_Alargada!Y37-Parametros_Alargados!$F38)/(Parametros_Alargados!$G38-Parametros_Alargados!$F38)*100)),MIN(100,MAX(0,(Parametros_Alargados!$G38-Base_Alargada!Y37)/(Parametros_Alargados!$G38-Parametros_Alargados!$F38)*100))))</f>
        <v/>
      </c>
      <c r="K34" s="115">
        <f>IF(Base_Alargada!Z37="","",IF(Parametros_Alargados!$D38="+",MIN(100,MAX(0,(Base_Alargada!Z37-Parametros_Alargados!$F38)/(Parametros_Alargados!$G38-Parametros_Alargados!$F38)*100)),MIN(100,MAX(0,(Parametros_Alargados!$G38-Base_Alargada!Z37)/(Parametros_Alargados!$G38-Parametros_Alargados!$F38)*100))))</f>
        <v/>
      </c>
      <c r="L34" s="115">
        <f>IF(Base_Alargada!AA37="","",IF(Parametros_Alargados!$D38="+",MIN(100,MAX(0,(Base_Alargada!AA37-Parametros_Alargados!$F38)/(Parametros_Alargados!$G38-Parametros_Alargados!$F38)*100)),MIN(100,MAX(0,(Parametros_Alargados!$G38-Base_Alargada!AA37)/(Parametros_Alargados!$G38-Parametros_Alargados!$F38)*100))))</f>
        <v/>
      </c>
      <c r="M34" s="115">
        <f>IF(Base_Alargada!AB37="","",IF(Parametros_Alargados!$D38="+",MIN(100,MAX(0,(Base_Alargada!AB37-Parametros_Alargados!$F38)/(Parametros_Alargados!$G38-Parametros_Alargados!$F38)*100)),MIN(100,MAX(0,(Parametros_Alargados!$G38-Base_Alargada!AB37)/(Parametros_Alargados!$G38-Parametros_Alargados!$F38)*100))))</f>
        <v/>
      </c>
    </row>
    <row r="35">
      <c r="A35" t="inlineStr">
        <is>
          <t>3. Capital Humano</t>
        </is>
      </c>
      <c r="B35" t="inlineStr">
        <is>
          <t>Anos Médios de Escolaridade</t>
        </is>
      </c>
      <c r="C35" s="115">
        <f>IF(Base_Alargada!R38="","",IF(Parametros_Alargados!$D39="+",MIN(100,MAX(0,(Base_Alargada!R38-Parametros_Alargados!$F39)/(Parametros_Alargados!$G39-Parametros_Alargados!$F39)*100)),MIN(100,MAX(0,(Parametros_Alargados!$G39-Base_Alargada!R38)/(Parametros_Alargados!$G39-Parametros_Alargados!$F39)*100))))</f>
        <v/>
      </c>
      <c r="D35" s="115">
        <f>IF(Base_Alargada!S38="","",IF(Parametros_Alargados!$D39="+",MIN(100,MAX(0,(Base_Alargada!S38-Parametros_Alargados!$F39)/(Parametros_Alargados!$G39-Parametros_Alargados!$F39)*100)),MIN(100,MAX(0,(Parametros_Alargados!$G39-Base_Alargada!S38)/(Parametros_Alargados!$G39-Parametros_Alargados!$F39)*100))))</f>
        <v/>
      </c>
      <c r="E35" s="115">
        <f>IF(Base_Alargada!T38="","",IF(Parametros_Alargados!$D39="+",MIN(100,MAX(0,(Base_Alargada!T38-Parametros_Alargados!$F39)/(Parametros_Alargados!$G39-Parametros_Alargados!$F39)*100)),MIN(100,MAX(0,(Parametros_Alargados!$G39-Base_Alargada!T38)/(Parametros_Alargados!$G39-Parametros_Alargados!$F39)*100))))</f>
        <v/>
      </c>
      <c r="F35" s="115">
        <f>IF(Base_Alargada!U38="","",IF(Parametros_Alargados!$D39="+",MIN(100,MAX(0,(Base_Alargada!U38-Parametros_Alargados!$F39)/(Parametros_Alargados!$G39-Parametros_Alargados!$F39)*100)),MIN(100,MAX(0,(Parametros_Alargados!$G39-Base_Alargada!U38)/(Parametros_Alargados!$G39-Parametros_Alargados!$F39)*100))))</f>
        <v/>
      </c>
      <c r="G35" s="115">
        <f>IF(Base_Alargada!V38="","",IF(Parametros_Alargados!$D39="+",MIN(100,MAX(0,(Base_Alargada!V38-Parametros_Alargados!$F39)/(Parametros_Alargados!$G39-Parametros_Alargados!$F39)*100)),MIN(100,MAX(0,(Parametros_Alargados!$G39-Base_Alargada!V38)/(Parametros_Alargados!$G39-Parametros_Alargados!$F39)*100))))</f>
        <v/>
      </c>
      <c r="H35" s="115">
        <f>IF(Base_Alargada!W38="","",IF(Parametros_Alargados!$D39="+",MIN(100,MAX(0,(Base_Alargada!W38-Parametros_Alargados!$F39)/(Parametros_Alargados!$G39-Parametros_Alargados!$F39)*100)),MIN(100,MAX(0,(Parametros_Alargados!$G39-Base_Alargada!W38)/(Parametros_Alargados!$G39-Parametros_Alargados!$F39)*100))))</f>
        <v/>
      </c>
      <c r="I35" s="115">
        <f>IF(Base_Alargada!X38="","",IF(Parametros_Alargados!$D39="+",MIN(100,MAX(0,(Base_Alargada!X38-Parametros_Alargados!$F39)/(Parametros_Alargados!$G39-Parametros_Alargados!$F39)*100)),MIN(100,MAX(0,(Parametros_Alargados!$G39-Base_Alargada!X38)/(Parametros_Alargados!$G39-Parametros_Alargados!$F39)*100))))</f>
        <v/>
      </c>
      <c r="J35" s="115">
        <f>IF(Base_Alargada!Y38="","",IF(Parametros_Alargados!$D39="+",MIN(100,MAX(0,(Base_Alargada!Y38-Parametros_Alargados!$F39)/(Parametros_Alargados!$G39-Parametros_Alargados!$F39)*100)),MIN(100,MAX(0,(Parametros_Alargados!$G39-Base_Alargada!Y38)/(Parametros_Alargados!$G39-Parametros_Alargados!$F39)*100))))</f>
        <v/>
      </c>
      <c r="K35" s="115">
        <f>IF(Base_Alargada!Z38="","",IF(Parametros_Alargados!$D39="+",MIN(100,MAX(0,(Base_Alargada!Z38-Parametros_Alargados!$F39)/(Parametros_Alargados!$G39-Parametros_Alargados!$F39)*100)),MIN(100,MAX(0,(Parametros_Alargados!$G39-Base_Alargada!Z38)/(Parametros_Alargados!$G39-Parametros_Alargados!$F39)*100))))</f>
        <v/>
      </c>
      <c r="L35" s="115">
        <f>IF(Base_Alargada!AA38="","",IF(Parametros_Alargados!$D39="+",MIN(100,MAX(0,(Base_Alargada!AA38-Parametros_Alargados!$F39)/(Parametros_Alargados!$G39-Parametros_Alargados!$F39)*100)),MIN(100,MAX(0,(Parametros_Alargados!$G39-Base_Alargada!AA38)/(Parametros_Alargados!$G39-Parametros_Alargados!$F39)*100))))</f>
        <v/>
      </c>
      <c r="M35" s="115">
        <f>IF(Base_Alargada!AB38="","",IF(Parametros_Alargados!$D39="+",MIN(100,MAX(0,(Base_Alargada!AB38-Parametros_Alargados!$F39)/(Parametros_Alargados!$G39-Parametros_Alargados!$F39)*100)),MIN(100,MAX(0,(Parametros_Alargados!$G39-Base_Alargada!AB38)/(Parametros_Alargados!$G39-Parametros_Alargados!$F39)*100))))</f>
        <v/>
      </c>
    </row>
    <row r="36">
      <c r="A36" t="inlineStr">
        <is>
          <t>3. Capital Humano</t>
        </is>
      </c>
      <c r="B36" t="inlineStr">
        <is>
          <t>Mortalidade Infantil (por 1000)</t>
        </is>
      </c>
      <c r="C36" s="115">
        <f>IF(Base_Alargada!R39="","",IF(Parametros_Alargados!$D40="+",MIN(100,MAX(0,(Base_Alargada!R39-Parametros_Alargados!$F40)/(Parametros_Alargados!$G40-Parametros_Alargados!$F40)*100)),MIN(100,MAX(0,(Parametros_Alargados!$G40-Base_Alargada!R39)/(Parametros_Alargados!$G40-Parametros_Alargados!$F40)*100))))</f>
        <v/>
      </c>
      <c r="D36" s="115">
        <f>IF(Base_Alargada!S39="","",IF(Parametros_Alargados!$D40="+",MIN(100,MAX(0,(Base_Alargada!S39-Parametros_Alargados!$F40)/(Parametros_Alargados!$G40-Parametros_Alargados!$F40)*100)),MIN(100,MAX(0,(Parametros_Alargados!$G40-Base_Alargada!S39)/(Parametros_Alargados!$G40-Parametros_Alargados!$F40)*100))))</f>
        <v/>
      </c>
      <c r="E36" s="115">
        <f>IF(Base_Alargada!T39="","",IF(Parametros_Alargados!$D40="+",MIN(100,MAX(0,(Base_Alargada!T39-Parametros_Alargados!$F40)/(Parametros_Alargados!$G40-Parametros_Alargados!$F40)*100)),MIN(100,MAX(0,(Parametros_Alargados!$G40-Base_Alargada!T39)/(Parametros_Alargados!$G40-Parametros_Alargados!$F40)*100))))</f>
        <v/>
      </c>
      <c r="F36" s="115">
        <f>IF(Base_Alargada!U39="","",IF(Parametros_Alargados!$D40="+",MIN(100,MAX(0,(Base_Alargada!U39-Parametros_Alargados!$F40)/(Parametros_Alargados!$G40-Parametros_Alargados!$F40)*100)),MIN(100,MAX(0,(Parametros_Alargados!$G40-Base_Alargada!U39)/(Parametros_Alargados!$G40-Parametros_Alargados!$F40)*100))))</f>
        <v/>
      </c>
      <c r="G36" s="115">
        <f>IF(Base_Alargada!V39="","",IF(Parametros_Alargados!$D40="+",MIN(100,MAX(0,(Base_Alargada!V39-Parametros_Alargados!$F40)/(Parametros_Alargados!$G40-Parametros_Alargados!$F40)*100)),MIN(100,MAX(0,(Parametros_Alargados!$G40-Base_Alargada!V39)/(Parametros_Alargados!$G40-Parametros_Alargados!$F40)*100))))</f>
        <v/>
      </c>
      <c r="H36" s="115">
        <f>IF(Base_Alargada!W39="","",IF(Parametros_Alargados!$D40="+",MIN(100,MAX(0,(Base_Alargada!W39-Parametros_Alargados!$F40)/(Parametros_Alargados!$G40-Parametros_Alargados!$F40)*100)),MIN(100,MAX(0,(Parametros_Alargados!$G40-Base_Alargada!W39)/(Parametros_Alargados!$G40-Parametros_Alargados!$F40)*100))))</f>
        <v/>
      </c>
      <c r="I36" s="115">
        <f>IF(Base_Alargada!X39="","",IF(Parametros_Alargados!$D40="+",MIN(100,MAX(0,(Base_Alargada!X39-Parametros_Alargados!$F40)/(Parametros_Alargados!$G40-Parametros_Alargados!$F40)*100)),MIN(100,MAX(0,(Parametros_Alargados!$G40-Base_Alargada!X39)/(Parametros_Alargados!$G40-Parametros_Alargados!$F40)*100))))</f>
        <v/>
      </c>
      <c r="J36" s="115">
        <f>IF(Base_Alargada!Y39="","",IF(Parametros_Alargados!$D40="+",MIN(100,MAX(0,(Base_Alargada!Y39-Parametros_Alargados!$F40)/(Parametros_Alargados!$G40-Parametros_Alargados!$F40)*100)),MIN(100,MAX(0,(Parametros_Alargados!$G40-Base_Alargada!Y39)/(Parametros_Alargados!$G40-Parametros_Alargados!$F40)*100))))</f>
        <v/>
      </c>
      <c r="K36" s="115">
        <f>IF(Base_Alargada!Z39="","",IF(Parametros_Alargados!$D40="+",MIN(100,MAX(0,(Base_Alargada!Z39-Parametros_Alargados!$F40)/(Parametros_Alargados!$G40-Parametros_Alargados!$F40)*100)),MIN(100,MAX(0,(Parametros_Alargados!$G40-Base_Alargada!Z39)/(Parametros_Alargados!$G40-Parametros_Alargados!$F40)*100))))</f>
        <v/>
      </c>
      <c r="L36" s="115">
        <f>IF(Base_Alargada!AA39="","",IF(Parametros_Alargados!$D40="+",MIN(100,MAX(0,(Base_Alargada!AA39-Parametros_Alargados!$F40)/(Parametros_Alargados!$G40-Parametros_Alargados!$F40)*100)),MIN(100,MAX(0,(Parametros_Alargados!$G40-Base_Alargada!AA39)/(Parametros_Alargados!$G40-Parametros_Alargados!$F40)*100))))</f>
        <v/>
      </c>
      <c r="M36" s="115">
        <f>IF(Base_Alargada!AB39="","",IF(Parametros_Alargados!$D40="+",MIN(100,MAX(0,(Base_Alargada!AB39-Parametros_Alargados!$F40)/(Parametros_Alargados!$G40-Parametros_Alargados!$F40)*100)),MIN(100,MAX(0,(Parametros_Alargados!$G40-Base_Alargada!AB39)/(Parametros_Alargados!$G40-Parametros_Alargados!$F40)*100))))</f>
        <v/>
      </c>
    </row>
    <row r="37">
      <c r="A37" t="inlineStr">
        <is>
          <t>3. Capital Humano</t>
        </is>
      </c>
      <c r="B37" t="inlineStr">
        <is>
          <t>Taxa de alfabetização adulta</t>
        </is>
      </c>
      <c r="C37" s="115">
        <f>IF(Base_Alargada!R40="","",IF(Parametros_Alargados!$D41="+",MIN(100,MAX(0,(Base_Alargada!R40-Parametros_Alargados!$F41)/(Parametros_Alargados!$G41-Parametros_Alargados!$F41)*100)),MIN(100,MAX(0,(Parametros_Alargados!$G41-Base_Alargada!R40)/(Parametros_Alargados!$G41-Parametros_Alargados!$F41)*100))))</f>
        <v/>
      </c>
      <c r="D37" s="115">
        <f>IF(Base_Alargada!S40="","",IF(Parametros_Alargados!$D41="+",MIN(100,MAX(0,(Base_Alargada!S40-Parametros_Alargados!$F41)/(Parametros_Alargados!$G41-Parametros_Alargados!$F41)*100)),MIN(100,MAX(0,(Parametros_Alargados!$G41-Base_Alargada!S40)/(Parametros_Alargados!$G41-Parametros_Alargados!$F41)*100))))</f>
        <v/>
      </c>
      <c r="E37" s="115">
        <f>IF(Base_Alargada!T40="","",IF(Parametros_Alargados!$D41="+",MIN(100,MAX(0,(Base_Alargada!T40-Parametros_Alargados!$F41)/(Parametros_Alargados!$G41-Parametros_Alargados!$F41)*100)),MIN(100,MAX(0,(Parametros_Alargados!$G41-Base_Alargada!T40)/(Parametros_Alargados!$G41-Parametros_Alargados!$F41)*100))))</f>
        <v/>
      </c>
      <c r="F37" s="115">
        <f>IF(Base_Alargada!U40="","",IF(Parametros_Alargados!$D41="+",MIN(100,MAX(0,(Base_Alargada!U40-Parametros_Alargados!$F41)/(Parametros_Alargados!$G41-Parametros_Alargados!$F41)*100)),MIN(100,MAX(0,(Parametros_Alargados!$G41-Base_Alargada!U40)/(Parametros_Alargados!$G41-Parametros_Alargados!$F41)*100))))</f>
        <v/>
      </c>
      <c r="G37" s="115">
        <f>IF(Base_Alargada!V40="","",IF(Parametros_Alargados!$D41="+",MIN(100,MAX(0,(Base_Alargada!V40-Parametros_Alargados!$F41)/(Parametros_Alargados!$G41-Parametros_Alargados!$F41)*100)),MIN(100,MAX(0,(Parametros_Alargados!$G41-Base_Alargada!V40)/(Parametros_Alargados!$G41-Parametros_Alargados!$F41)*100))))</f>
        <v/>
      </c>
      <c r="H37" s="115">
        <f>IF(Base_Alargada!W40="","",IF(Parametros_Alargados!$D41="+",MIN(100,MAX(0,(Base_Alargada!W40-Parametros_Alargados!$F41)/(Parametros_Alargados!$G41-Parametros_Alargados!$F41)*100)),MIN(100,MAX(0,(Parametros_Alargados!$G41-Base_Alargada!W40)/(Parametros_Alargados!$G41-Parametros_Alargados!$F41)*100))))</f>
        <v/>
      </c>
      <c r="I37" s="115">
        <f>IF(Base_Alargada!X40="","",IF(Parametros_Alargados!$D41="+",MIN(100,MAX(0,(Base_Alargada!X40-Parametros_Alargados!$F41)/(Parametros_Alargados!$G41-Parametros_Alargados!$F41)*100)),MIN(100,MAX(0,(Parametros_Alargados!$G41-Base_Alargada!X40)/(Parametros_Alargados!$G41-Parametros_Alargados!$F41)*100))))</f>
        <v/>
      </c>
      <c r="J37" s="115">
        <f>IF(Base_Alargada!Y40="","",IF(Parametros_Alargados!$D41="+",MIN(100,MAX(0,(Base_Alargada!Y40-Parametros_Alargados!$F41)/(Parametros_Alargados!$G41-Parametros_Alargados!$F41)*100)),MIN(100,MAX(0,(Parametros_Alargados!$G41-Base_Alargada!Y40)/(Parametros_Alargados!$G41-Parametros_Alargados!$F41)*100))))</f>
        <v/>
      </c>
      <c r="K37" s="115">
        <f>IF(Base_Alargada!Z40="","",IF(Parametros_Alargados!$D41="+",MIN(100,MAX(0,(Base_Alargada!Z40-Parametros_Alargados!$F41)/(Parametros_Alargados!$G41-Parametros_Alargados!$F41)*100)),MIN(100,MAX(0,(Parametros_Alargados!$G41-Base_Alargada!Z40)/(Parametros_Alargados!$G41-Parametros_Alargados!$F41)*100))))</f>
        <v/>
      </c>
      <c r="L37" s="115">
        <f>IF(Base_Alargada!AA40="","",IF(Parametros_Alargados!$D41="+",MIN(100,MAX(0,(Base_Alargada!AA40-Parametros_Alargados!$F41)/(Parametros_Alargados!$G41-Parametros_Alargados!$F41)*100)),MIN(100,MAX(0,(Parametros_Alargados!$G41-Base_Alargada!AA40)/(Parametros_Alargados!$G41-Parametros_Alargados!$F41)*100))))</f>
        <v/>
      </c>
      <c r="M37" s="115">
        <f>IF(Base_Alargada!AB40="","",IF(Parametros_Alargados!$D41="+",MIN(100,MAX(0,(Base_Alargada!AB40-Parametros_Alargados!$F41)/(Parametros_Alargados!$G41-Parametros_Alargados!$F41)*100)),MIN(100,MAX(0,(Parametros_Alargados!$G41-Base_Alargada!AB40)/(Parametros_Alargados!$G41-Parametros_Alargados!$F41)*100))))</f>
        <v/>
      </c>
    </row>
    <row r="38">
      <c r="A38" t="inlineStr">
        <is>
          <t>3. Capital Humano</t>
        </is>
      </c>
      <c r="B38" t="inlineStr">
        <is>
          <t>Taxa de conclusão do ensino primário</t>
        </is>
      </c>
      <c r="C38" s="115">
        <f>IF(Base_Alargada!R41="","",IF(Parametros_Alargados!$D42="+",MIN(100,MAX(0,(Base_Alargada!R41-Parametros_Alargados!$F42)/(Parametros_Alargados!$G42-Parametros_Alargados!$F42)*100)),MIN(100,MAX(0,(Parametros_Alargados!$G42-Base_Alargada!R41)/(Parametros_Alargados!$G42-Parametros_Alargados!$F42)*100))))</f>
        <v/>
      </c>
      <c r="D38" s="115">
        <f>IF(Base_Alargada!S41="","",IF(Parametros_Alargados!$D42="+",MIN(100,MAX(0,(Base_Alargada!S41-Parametros_Alargados!$F42)/(Parametros_Alargados!$G42-Parametros_Alargados!$F42)*100)),MIN(100,MAX(0,(Parametros_Alargados!$G42-Base_Alargada!S41)/(Parametros_Alargados!$G42-Parametros_Alargados!$F42)*100))))</f>
        <v/>
      </c>
      <c r="E38" s="115">
        <f>IF(Base_Alargada!T41="","",IF(Parametros_Alargados!$D42="+",MIN(100,MAX(0,(Base_Alargada!T41-Parametros_Alargados!$F42)/(Parametros_Alargados!$G42-Parametros_Alargados!$F42)*100)),MIN(100,MAX(0,(Parametros_Alargados!$G42-Base_Alargada!T41)/(Parametros_Alargados!$G42-Parametros_Alargados!$F42)*100))))</f>
        <v/>
      </c>
      <c r="F38" s="115">
        <f>IF(Base_Alargada!U41="","",IF(Parametros_Alargados!$D42="+",MIN(100,MAX(0,(Base_Alargada!U41-Parametros_Alargados!$F42)/(Parametros_Alargados!$G42-Parametros_Alargados!$F42)*100)),MIN(100,MAX(0,(Parametros_Alargados!$G42-Base_Alargada!U41)/(Parametros_Alargados!$G42-Parametros_Alargados!$F42)*100))))</f>
        <v/>
      </c>
      <c r="G38" s="115">
        <f>IF(Base_Alargada!V41="","",IF(Parametros_Alargados!$D42="+",MIN(100,MAX(0,(Base_Alargada!V41-Parametros_Alargados!$F42)/(Parametros_Alargados!$G42-Parametros_Alargados!$F42)*100)),MIN(100,MAX(0,(Parametros_Alargados!$G42-Base_Alargada!V41)/(Parametros_Alargados!$G42-Parametros_Alargados!$F42)*100))))</f>
        <v/>
      </c>
      <c r="H38" s="115">
        <f>IF(Base_Alargada!W41="","",IF(Parametros_Alargados!$D42="+",MIN(100,MAX(0,(Base_Alargada!W41-Parametros_Alargados!$F42)/(Parametros_Alargados!$G42-Parametros_Alargados!$F42)*100)),MIN(100,MAX(0,(Parametros_Alargados!$G42-Base_Alargada!W41)/(Parametros_Alargados!$G42-Parametros_Alargados!$F42)*100))))</f>
        <v/>
      </c>
      <c r="I38" s="115">
        <f>IF(Base_Alargada!X41="","",IF(Parametros_Alargados!$D42="+",MIN(100,MAX(0,(Base_Alargada!X41-Parametros_Alargados!$F42)/(Parametros_Alargados!$G42-Parametros_Alargados!$F42)*100)),MIN(100,MAX(0,(Parametros_Alargados!$G42-Base_Alargada!X41)/(Parametros_Alargados!$G42-Parametros_Alargados!$F42)*100))))</f>
        <v/>
      </c>
      <c r="J38" s="115">
        <f>IF(Base_Alargada!Y41="","",IF(Parametros_Alargados!$D42="+",MIN(100,MAX(0,(Base_Alargada!Y41-Parametros_Alargados!$F42)/(Parametros_Alargados!$G42-Parametros_Alargados!$F42)*100)),MIN(100,MAX(0,(Parametros_Alargados!$G42-Base_Alargada!Y41)/(Parametros_Alargados!$G42-Parametros_Alargados!$F42)*100))))</f>
        <v/>
      </c>
      <c r="K38" s="115">
        <f>IF(Base_Alargada!Z41="","",IF(Parametros_Alargados!$D42="+",MIN(100,MAX(0,(Base_Alargada!Z41-Parametros_Alargados!$F42)/(Parametros_Alargados!$G42-Parametros_Alargados!$F42)*100)),MIN(100,MAX(0,(Parametros_Alargados!$G42-Base_Alargada!Z41)/(Parametros_Alargados!$G42-Parametros_Alargados!$F42)*100))))</f>
        <v/>
      </c>
      <c r="L38" s="115">
        <f>IF(Base_Alargada!AA41="","",IF(Parametros_Alargados!$D42="+",MIN(100,MAX(0,(Base_Alargada!AA41-Parametros_Alargados!$F42)/(Parametros_Alargados!$G42-Parametros_Alargados!$F42)*100)),MIN(100,MAX(0,(Parametros_Alargados!$G42-Base_Alargada!AA41)/(Parametros_Alargados!$G42-Parametros_Alargados!$F42)*100))))</f>
        <v/>
      </c>
      <c r="M38" s="115">
        <f>IF(Base_Alargada!AB41="","",IF(Parametros_Alargados!$D42="+",MIN(100,MAX(0,(Base_Alargada!AB41-Parametros_Alargados!$F42)/(Parametros_Alargados!$G42-Parametros_Alargados!$F42)*100)),MIN(100,MAX(0,(Parametros_Alargados!$G42-Base_Alargada!AB41)/(Parametros_Alargados!$G42-Parametros_Alargados!$F42)*100))))</f>
        <v/>
      </c>
    </row>
    <row r="39">
      <c r="A39" t="inlineStr">
        <is>
          <t>3. Capital Humano</t>
        </is>
      </c>
      <c r="B39" t="inlineStr">
        <is>
          <t>Matrícula no ensino secundário, bruta</t>
        </is>
      </c>
      <c r="C39" s="115">
        <f>IF(Base_Alargada!R42="","",IF(Parametros_Alargados!$D43="+",MIN(100,MAX(0,(Base_Alargada!R42-Parametros_Alargados!$F43)/(Parametros_Alargados!$G43-Parametros_Alargados!$F43)*100)),MIN(100,MAX(0,(Parametros_Alargados!$G43-Base_Alargada!R42)/(Parametros_Alargados!$G43-Parametros_Alargados!$F43)*100))))</f>
        <v/>
      </c>
      <c r="D39" s="115">
        <f>IF(Base_Alargada!S42="","",IF(Parametros_Alargados!$D43="+",MIN(100,MAX(0,(Base_Alargada!S42-Parametros_Alargados!$F43)/(Parametros_Alargados!$G43-Parametros_Alargados!$F43)*100)),MIN(100,MAX(0,(Parametros_Alargados!$G43-Base_Alargada!S42)/(Parametros_Alargados!$G43-Parametros_Alargados!$F43)*100))))</f>
        <v/>
      </c>
      <c r="E39" s="115">
        <f>IF(Base_Alargada!T42="","",IF(Parametros_Alargados!$D43="+",MIN(100,MAX(0,(Base_Alargada!T42-Parametros_Alargados!$F43)/(Parametros_Alargados!$G43-Parametros_Alargados!$F43)*100)),MIN(100,MAX(0,(Parametros_Alargados!$G43-Base_Alargada!T42)/(Parametros_Alargados!$G43-Parametros_Alargados!$F43)*100))))</f>
        <v/>
      </c>
      <c r="F39" s="115">
        <f>IF(Base_Alargada!U42="","",IF(Parametros_Alargados!$D43="+",MIN(100,MAX(0,(Base_Alargada!U42-Parametros_Alargados!$F43)/(Parametros_Alargados!$G43-Parametros_Alargados!$F43)*100)),MIN(100,MAX(0,(Parametros_Alargados!$G43-Base_Alargada!U42)/(Parametros_Alargados!$G43-Parametros_Alargados!$F43)*100))))</f>
        <v/>
      </c>
      <c r="G39" s="115">
        <f>IF(Base_Alargada!V42="","",IF(Parametros_Alargados!$D43="+",MIN(100,MAX(0,(Base_Alargada!V42-Parametros_Alargados!$F43)/(Parametros_Alargados!$G43-Parametros_Alargados!$F43)*100)),MIN(100,MAX(0,(Parametros_Alargados!$G43-Base_Alargada!V42)/(Parametros_Alargados!$G43-Parametros_Alargados!$F43)*100))))</f>
        <v/>
      </c>
      <c r="H39" s="115">
        <f>IF(Base_Alargada!W42="","",IF(Parametros_Alargados!$D43="+",MIN(100,MAX(0,(Base_Alargada!W42-Parametros_Alargados!$F43)/(Parametros_Alargados!$G43-Parametros_Alargados!$F43)*100)),MIN(100,MAX(0,(Parametros_Alargados!$G43-Base_Alargada!W42)/(Parametros_Alargados!$G43-Parametros_Alargados!$F43)*100))))</f>
        <v/>
      </c>
      <c r="I39" s="115">
        <f>IF(Base_Alargada!X42="","",IF(Parametros_Alargados!$D43="+",MIN(100,MAX(0,(Base_Alargada!X42-Parametros_Alargados!$F43)/(Parametros_Alargados!$G43-Parametros_Alargados!$F43)*100)),MIN(100,MAX(0,(Parametros_Alargados!$G43-Base_Alargada!X42)/(Parametros_Alargados!$G43-Parametros_Alargados!$F43)*100))))</f>
        <v/>
      </c>
      <c r="J39" s="115">
        <f>IF(Base_Alargada!Y42="","",IF(Parametros_Alargados!$D43="+",MIN(100,MAX(0,(Base_Alargada!Y42-Parametros_Alargados!$F43)/(Parametros_Alargados!$G43-Parametros_Alargados!$F43)*100)),MIN(100,MAX(0,(Parametros_Alargados!$G43-Base_Alargada!Y42)/(Parametros_Alargados!$G43-Parametros_Alargados!$F43)*100))))</f>
        <v/>
      </c>
      <c r="K39" s="115">
        <f>IF(Base_Alargada!Z42="","",IF(Parametros_Alargados!$D43="+",MIN(100,MAX(0,(Base_Alargada!Z42-Parametros_Alargados!$F43)/(Parametros_Alargados!$G43-Parametros_Alargados!$F43)*100)),MIN(100,MAX(0,(Parametros_Alargados!$G43-Base_Alargada!Z42)/(Parametros_Alargados!$G43-Parametros_Alargados!$F43)*100))))</f>
        <v/>
      </c>
      <c r="L39" s="115">
        <f>IF(Base_Alargada!AA42="","",IF(Parametros_Alargados!$D43="+",MIN(100,MAX(0,(Base_Alargada!AA42-Parametros_Alargados!$F43)/(Parametros_Alargados!$G43-Parametros_Alargados!$F43)*100)),MIN(100,MAX(0,(Parametros_Alargados!$G43-Base_Alargada!AA42)/(Parametros_Alargados!$G43-Parametros_Alargados!$F43)*100))))</f>
        <v/>
      </c>
      <c r="M39" s="115">
        <f>IF(Base_Alargada!AB42="","",IF(Parametros_Alargados!$D43="+",MIN(100,MAX(0,(Base_Alargada!AB42-Parametros_Alargados!$F43)/(Parametros_Alargados!$G43-Parametros_Alargados!$F43)*100)),MIN(100,MAX(0,(Parametros_Alargados!$G43-Base_Alargada!AB42)/(Parametros_Alargados!$G43-Parametros_Alargados!$F43)*100))))</f>
        <v/>
      </c>
    </row>
    <row r="40">
      <c r="A40" t="inlineStr">
        <is>
          <t>3. Capital Humano</t>
        </is>
      </c>
      <c r="B40" t="inlineStr">
        <is>
          <t>Matrícula no ensino terciário, bruta</t>
        </is>
      </c>
      <c r="C40" s="115">
        <f>IF(Base_Alargada!R43="","",IF(Parametros_Alargados!$D44="+",MIN(100,MAX(0,(Base_Alargada!R43-Parametros_Alargados!$F44)/(Parametros_Alargados!$G44-Parametros_Alargados!$F44)*100)),MIN(100,MAX(0,(Parametros_Alargados!$G44-Base_Alargada!R43)/(Parametros_Alargados!$G44-Parametros_Alargados!$F44)*100))))</f>
        <v/>
      </c>
      <c r="D40" s="115">
        <f>IF(Base_Alargada!S43="","",IF(Parametros_Alargados!$D44="+",MIN(100,MAX(0,(Base_Alargada!S43-Parametros_Alargados!$F44)/(Parametros_Alargados!$G44-Parametros_Alargados!$F44)*100)),MIN(100,MAX(0,(Parametros_Alargados!$G44-Base_Alargada!S43)/(Parametros_Alargados!$G44-Parametros_Alargados!$F44)*100))))</f>
        <v/>
      </c>
      <c r="E40" s="115">
        <f>IF(Base_Alargada!T43="","",IF(Parametros_Alargados!$D44="+",MIN(100,MAX(0,(Base_Alargada!T43-Parametros_Alargados!$F44)/(Parametros_Alargados!$G44-Parametros_Alargados!$F44)*100)),MIN(100,MAX(0,(Parametros_Alargados!$G44-Base_Alargada!T43)/(Parametros_Alargados!$G44-Parametros_Alargados!$F44)*100))))</f>
        <v/>
      </c>
      <c r="F40" s="115">
        <f>IF(Base_Alargada!U43="","",IF(Parametros_Alargados!$D44="+",MIN(100,MAX(0,(Base_Alargada!U43-Parametros_Alargados!$F44)/(Parametros_Alargados!$G44-Parametros_Alargados!$F44)*100)),MIN(100,MAX(0,(Parametros_Alargados!$G44-Base_Alargada!U43)/(Parametros_Alargados!$G44-Parametros_Alargados!$F44)*100))))</f>
        <v/>
      </c>
      <c r="G40" s="115">
        <f>IF(Base_Alargada!V43="","",IF(Parametros_Alargados!$D44="+",MIN(100,MAX(0,(Base_Alargada!V43-Parametros_Alargados!$F44)/(Parametros_Alargados!$G44-Parametros_Alargados!$F44)*100)),MIN(100,MAX(0,(Parametros_Alargados!$G44-Base_Alargada!V43)/(Parametros_Alargados!$G44-Parametros_Alargados!$F44)*100))))</f>
        <v/>
      </c>
      <c r="H40" s="115">
        <f>IF(Base_Alargada!W43="","",IF(Parametros_Alargados!$D44="+",MIN(100,MAX(0,(Base_Alargada!W43-Parametros_Alargados!$F44)/(Parametros_Alargados!$G44-Parametros_Alargados!$F44)*100)),MIN(100,MAX(0,(Parametros_Alargados!$G44-Base_Alargada!W43)/(Parametros_Alargados!$G44-Parametros_Alargados!$F44)*100))))</f>
        <v/>
      </c>
      <c r="I40" s="115">
        <f>IF(Base_Alargada!X43="","",IF(Parametros_Alargados!$D44="+",MIN(100,MAX(0,(Base_Alargada!X43-Parametros_Alargados!$F44)/(Parametros_Alargados!$G44-Parametros_Alargados!$F44)*100)),MIN(100,MAX(0,(Parametros_Alargados!$G44-Base_Alargada!X43)/(Parametros_Alargados!$G44-Parametros_Alargados!$F44)*100))))</f>
        <v/>
      </c>
      <c r="J40" s="115">
        <f>IF(Base_Alargada!Y43="","",IF(Parametros_Alargados!$D44="+",MIN(100,MAX(0,(Base_Alargada!Y43-Parametros_Alargados!$F44)/(Parametros_Alargados!$G44-Parametros_Alargados!$F44)*100)),MIN(100,MAX(0,(Parametros_Alargados!$G44-Base_Alargada!Y43)/(Parametros_Alargados!$G44-Parametros_Alargados!$F44)*100))))</f>
        <v/>
      </c>
      <c r="K40" s="115">
        <f>IF(Base_Alargada!Z43="","",IF(Parametros_Alargados!$D44="+",MIN(100,MAX(0,(Base_Alargada!Z43-Parametros_Alargados!$F44)/(Parametros_Alargados!$G44-Parametros_Alargados!$F44)*100)),MIN(100,MAX(0,(Parametros_Alargados!$G44-Base_Alargada!Z43)/(Parametros_Alargados!$G44-Parametros_Alargados!$F44)*100))))</f>
        <v/>
      </c>
      <c r="L40" s="115">
        <f>IF(Base_Alargada!AA43="","",IF(Parametros_Alargados!$D44="+",MIN(100,MAX(0,(Base_Alargada!AA43-Parametros_Alargados!$F44)/(Parametros_Alargados!$G44-Parametros_Alargados!$F44)*100)),MIN(100,MAX(0,(Parametros_Alargados!$G44-Base_Alargada!AA43)/(Parametros_Alargados!$G44-Parametros_Alargados!$F44)*100))))</f>
        <v/>
      </c>
      <c r="M40" s="115">
        <f>IF(Base_Alargada!AB43="","",IF(Parametros_Alargados!$D44="+",MIN(100,MAX(0,(Base_Alargada!AB43-Parametros_Alargados!$F44)/(Parametros_Alargados!$G44-Parametros_Alargados!$F44)*100)),MIN(100,MAX(0,(Parametros_Alargados!$G44-Base_Alargada!AB43)/(Parametros_Alargados!$G44-Parametros_Alargados!$F44)*100))))</f>
        <v/>
      </c>
    </row>
    <row r="41">
      <c r="A41" t="inlineStr">
        <is>
          <t>3. Capital Humano</t>
        </is>
      </c>
      <c r="B41" t="inlineStr">
        <is>
          <t>Despesa pública em educação (% PIB)</t>
        </is>
      </c>
      <c r="C41" s="115">
        <f>IF(Base_Alargada!R44="","",IF(Parametros_Alargados!$D45="+",MIN(100,MAX(0,(Base_Alargada!R44-Parametros_Alargados!$F45)/(Parametros_Alargados!$G45-Parametros_Alargados!$F45)*100)),MIN(100,MAX(0,(Parametros_Alargados!$G45-Base_Alargada!R44)/(Parametros_Alargados!$G45-Parametros_Alargados!$F45)*100))))</f>
        <v/>
      </c>
      <c r="D41" s="115">
        <f>IF(Base_Alargada!S44="","",IF(Parametros_Alargados!$D45="+",MIN(100,MAX(0,(Base_Alargada!S44-Parametros_Alargados!$F45)/(Parametros_Alargados!$G45-Parametros_Alargados!$F45)*100)),MIN(100,MAX(0,(Parametros_Alargados!$G45-Base_Alargada!S44)/(Parametros_Alargados!$G45-Parametros_Alargados!$F45)*100))))</f>
        <v/>
      </c>
      <c r="E41" s="115">
        <f>IF(Base_Alargada!T44="","",IF(Parametros_Alargados!$D45="+",MIN(100,MAX(0,(Base_Alargada!T44-Parametros_Alargados!$F45)/(Parametros_Alargados!$G45-Parametros_Alargados!$F45)*100)),MIN(100,MAX(0,(Parametros_Alargados!$G45-Base_Alargada!T44)/(Parametros_Alargados!$G45-Parametros_Alargados!$F45)*100))))</f>
        <v/>
      </c>
      <c r="F41" s="115">
        <f>IF(Base_Alargada!U44="","",IF(Parametros_Alargados!$D45="+",MIN(100,MAX(0,(Base_Alargada!U44-Parametros_Alargados!$F45)/(Parametros_Alargados!$G45-Parametros_Alargados!$F45)*100)),MIN(100,MAX(0,(Parametros_Alargados!$G45-Base_Alargada!U44)/(Parametros_Alargados!$G45-Parametros_Alargados!$F45)*100))))</f>
        <v/>
      </c>
      <c r="G41" s="115">
        <f>IF(Base_Alargada!V44="","",IF(Parametros_Alargados!$D45="+",MIN(100,MAX(0,(Base_Alargada!V44-Parametros_Alargados!$F45)/(Parametros_Alargados!$G45-Parametros_Alargados!$F45)*100)),MIN(100,MAX(0,(Parametros_Alargados!$G45-Base_Alargada!V44)/(Parametros_Alargados!$G45-Parametros_Alargados!$F45)*100))))</f>
        <v/>
      </c>
      <c r="H41" s="115">
        <f>IF(Base_Alargada!W44="","",IF(Parametros_Alargados!$D45="+",MIN(100,MAX(0,(Base_Alargada!W44-Parametros_Alargados!$F45)/(Parametros_Alargados!$G45-Parametros_Alargados!$F45)*100)),MIN(100,MAX(0,(Parametros_Alargados!$G45-Base_Alargada!W44)/(Parametros_Alargados!$G45-Parametros_Alargados!$F45)*100))))</f>
        <v/>
      </c>
      <c r="I41" s="115">
        <f>IF(Base_Alargada!X44="","",IF(Parametros_Alargados!$D45="+",MIN(100,MAX(0,(Base_Alargada!X44-Parametros_Alargados!$F45)/(Parametros_Alargados!$G45-Parametros_Alargados!$F45)*100)),MIN(100,MAX(0,(Parametros_Alargados!$G45-Base_Alargada!X44)/(Parametros_Alargados!$G45-Parametros_Alargados!$F45)*100))))</f>
        <v/>
      </c>
      <c r="J41" s="115">
        <f>IF(Base_Alargada!Y44="","",IF(Parametros_Alargados!$D45="+",MIN(100,MAX(0,(Base_Alargada!Y44-Parametros_Alargados!$F45)/(Parametros_Alargados!$G45-Parametros_Alargados!$F45)*100)),MIN(100,MAX(0,(Parametros_Alargados!$G45-Base_Alargada!Y44)/(Parametros_Alargados!$G45-Parametros_Alargados!$F45)*100))))</f>
        <v/>
      </c>
      <c r="K41" s="115">
        <f>IF(Base_Alargada!Z44="","",IF(Parametros_Alargados!$D45="+",MIN(100,MAX(0,(Base_Alargada!Z44-Parametros_Alargados!$F45)/(Parametros_Alargados!$G45-Parametros_Alargados!$F45)*100)),MIN(100,MAX(0,(Parametros_Alargados!$G45-Base_Alargada!Z44)/(Parametros_Alargados!$G45-Parametros_Alargados!$F45)*100))))</f>
        <v/>
      </c>
      <c r="L41" s="115">
        <f>IF(Base_Alargada!AA44="","",IF(Parametros_Alargados!$D45="+",MIN(100,MAX(0,(Base_Alargada!AA44-Parametros_Alargados!$F45)/(Parametros_Alargados!$G45-Parametros_Alargados!$F45)*100)),MIN(100,MAX(0,(Parametros_Alargados!$G45-Base_Alargada!AA44)/(Parametros_Alargados!$G45-Parametros_Alargados!$F45)*100))))</f>
        <v/>
      </c>
      <c r="M41" s="115">
        <f>IF(Base_Alargada!AB44="","",IF(Parametros_Alargados!$D45="+",MIN(100,MAX(0,(Base_Alargada!AB44-Parametros_Alargados!$F45)/(Parametros_Alargados!$G45-Parametros_Alargados!$F45)*100)),MIN(100,MAX(0,(Parametros_Alargados!$G45-Base_Alargada!AB44)/(Parametros_Alargados!$G45-Parametros_Alargados!$F45)*100))))</f>
        <v/>
      </c>
    </row>
    <row r="42">
      <c r="A42" t="inlineStr">
        <is>
          <t>3. Capital Humano</t>
        </is>
      </c>
      <c r="B42" t="inlineStr">
        <is>
          <t>Learning poverty - crianças sem proficiência mínima de leitura</t>
        </is>
      </c>
      <c r="C42" s="115">
        <f>IF(Base_Alargada!R45="","",IF(Parametros_Alargados!$D46="+",MIN(100,MAX(0,(Base_Alargada!R45-Parametros_Alargados!$F46)/(Parametros_Alargados!$G46-Parametros_Alargados!$F46)*100)),MIN(100,MAX(0,(Parametros_Alargados!$G46-Base_Alargada!R45)/(Parametros_Alargados!$G46-Parametros_Alargados!$F46)*100))))</f>
        <v/>
      </c>
      <c r="D42" s="115">
        <f>IF(Base_Alargada!S45="","",IF(Parametros_Alargados!$D46="+",MIN(100,MAX(0,(Base_Alargada!S45-Parametros_Alargados!$F46)/(Parametros_Alargados!$G46-Parametros_Alargados!$F46)*100)),MIN(100,MAX(0,(Parametros_Alargados!$G46-Base_Alargada!S45)/(Parametros_Alargados!$G46-Parametros_Alargados!$F46)*100))))</f>
        <v/>
      </c>
      <c r="E42" s="115">
        <f>IF(Base_Alargada!T45="","",IF(Parametros_Alargados!$D46="+",MIN(100,MAX(0,(Base_Alargada!T45-Parametros_Alargados!$F46)/(Parametros_Alargados!$G46-Parametros_Alargados!$F46)*100)),MIN(100,MAX(0,(Parametros_Alargados!$G46-Base_Alargada!T45)/(Parametros_Alargados!$G46-Parametros_Alargados!$F46)*100))))</f>
        <v/>
      </c>
      <c r="F42" s="115">
        <f>IF(Base_Alargada!U45="","",IF(Parametros_Alargados!$D46="+",MIN(100,MAX(0,(Base_Alargada!U45-Parametros_Alargados!$F46)/(Parametros_Alargados!$G46-Parametros_Alargados!$F46)*100)),MIN(100,MAX(0,(Parametros_Alargados!$G46-Base_Alargada!U45)/(Parametros_Alargados!$G46-Parametros_Alargados!$F46)*100))))</f>
        <v/>
      </c>
      <c r="G42" s="115">
        <f>IF(Base_Alargada!V45="","",IF(Parametros_Alargados!$D46="+",MIN(100,MAX(0,(Base_Alargada!V45-Parametros_Alargados!$F46)/(Parametros_Alargados!$G46-Parametros_Alargados!$F46)*100)),MIN(100,MAX(0,(Parametros_Alargados!$G46-Base_Alargada!V45)/(Parametros_Alargados!$G46-Parametros_Alargados!$F46)*100))))</f>
        <v/>
      </c>
      <c r="H42" s="115">
        <f>IF(Base_Alargada!W45="","",IF(Parametros_Alargados!$D46="+",MIN(100,MAX(0,(Base_Alargada!W45-Parametros_Alargados!$F46)/(Parametros_Alargados!$G46-Parametros_Alargados!$F46)*100)),MIN(100,MAX(0,(Parametros_Alargados!$G46-Base_Alargada!W45)/(Parametros_Alargados!$G46-Parametros_Alargados!$F46)*100))))</f>
        <v/>
      </c>
      <c r="I42" s="115">
        <f>IF(Base_Alargada!X45="","",IF(Parametros_Alargados!$D46="+",MIN(100,MAX(0,(Base_Alargada!X45-Parametros_Alargados!$F46)/(Parametros_Alargados!$G46-Parametros_Alargados!$F46)*100)),MIN(100,MAX(0,(Parametros_Alargados!$G46-Base_Alargada!X45)/(Parametros_Alargados!$G46-Parametros_Alargados!$F46)*100))))</f>
        <v/>
      </c>
      <c r="J42" s="115">
        <f>IF(Base_Alargada!Y45="","",IF(Parametros_Alargados!$D46="+",MIN(100,MAX(0,(Base_Alargada!Y45-Parametros_Alargados!$F46)/(Parametros_Alargados!$G46-Parametros_Alargados!$F46)*100)),MIN(100,MAX(0,(Parametros_Alargados!$G46-Base_Alargada!Y45)/(Parametros_Alargados!$G46-Parametros_Alargados!$F46)*100))))</f>
        <v/>
      </c>
      <c r="K42" s="115">
        <f>IF(Base_Alargada!Z45="","",IF(Parametros_Alargados!$D46="+",MIN(100,MAX(0,(Base_Alargada!Z45-Parametros_Alargados!$F46)/(Parametros_Alargados!$G46-Parametros_Alargados!$F46)*100)),MIN(100,MAX(0,(Parametros_Alargados!$G46-Base_Alargada!Z45)/(Parametros_Alargados!$G46-Parametros_Alargados!$F46)*100))))</f>
        <v/>
      </c>
      <c r="L42" s="115">
        <f>IF(Base_Alargada!AA45="","",IF(Parametros_Alargados!$D46="+",MIN(100,MAX(0,(Base_Alargada!AA45-Parametros_Alargados!$F46)/(Parametros_Alargados!$G46-Parametros_Alargados!$F46)*100)),MIN(100,MAX(0,(Parametros_Alargados!$G46-Base_Alargada!AA45)/(Parametros_Alargados!$G46-Parametros_Alargados!$F46)*100))))</f>
        <v/>
      </c>
      <c r="M42" s="115">
        <f>IF(Base_Alargada!AB45="","",IF(Parametros_Alargados!$D46="+",MIN(100,MAX(0,(Base_Alargada!AB45-Parametros_Alargados!$F46)/(Parametros_Alargados!$G46-Parametros_Alargados!$F46)*100)),MIN(100,MAX(0,(Parametros_Alargados!$G46-Base_Alargada!AB45)/(Parametros_Alargados!$G46-Parametros_Alargados!$F46)*100))))</f>
        <v/>
      </c>
    </row>
    <row r="43">
      <c r="A43" t="inlineStr">
        <is>
          <t>3. Capital Humano</t>
        </is>
      </c>
      <c r="B43" t="inlineStr">
        <is>
          <t>Rácio alunos/professor no primário</t>
        </is>
      </c>
      <c r="C43" s="115">
        <f>IF(Base_Alargada!R46="","",IF(Parametros_Alargados!$D47="+",MIN(100,MAX(0,(Base_Alargada!R46-Parametros_Alargados!$F47)/(Parametros_Alargados!$G47-Parametros_Alargados!$F47)*100)),MIN(100,MAX(0,(Parametros_Alargados!$G47-Base_Alargada!R46)/(Parametros_Alargados!$G47-Parametros_Alargados!$F47)*100))))</f>
        <v/>
      </c>
      <c r="D43" s="115">
        <f>IF(Base_Alargada!S46="","",IF(Parametros_Alargados!$D47="+",MIN(100,MAX(0,(Base_Alargada!S46-Parametros_Alargados!$F47)/(Parametros_Alargados!$G47-Parametros_Alargados!$F47)*100)),MIN(100,MAX(0,(Parametros_Alargados!$G47-Base_Alargada!S46)/(Parametros_Alargados!$G47-Parametros_Alargados!$F47)*100))))</f>
        <v/>
      </c>
      <c r="E43" s="115">
        <f>IF(Base_Alargada!T46="","",IF(Parametros_Alargados!$D47="+",MIN(100,MAX(0,(Base_Alargada!T46-Parametros_Alargados!$F47)/(Parametros_Alargados!$G47-Parametros_Alargados!$F47)*100)),MIN(100,MAX(0,(Parametros_Alargados!$G47-Base_Alargada!T46)/(Parametros_Alargados!$G47-Parametros_Alargados!$F47)*100))))</f>
        <v/>
      </c>
      <c r="F43" s="115">
        <f>IF(Base_Alargada!U46="","",IF(Parametros_Alargados!$D47="+",MIN(100,MAX(0,(Base_Alargada!U46-Parametros_Alargados!$F47)/(Parametros_Alargados!$G47-Parametros_Alargados!$F47)*100)),MIN(100,MAX(0,(Parametros_Alargados!$G47-Base_Alargada!U46)/(Parametros_Alargados!$G47-Parametros_Alargados!$F47)*100))))</f>
        <v/>
      </c>
      <c r="G43" s="115">
        <f>IF(Base_Alargada!V46="","",IF(Parametros_Alargados!$D47="+",MIN(100,MAX(0,(Base_Alargada!V46-Parametros_Alargados!$F47)/(Parametros_Alargados!$G47-Parametros_Alargados!$F47)*100)),MIN(100,MAX(0,(Parametros_Alargados!$G47-Base_Alargada!V46)/(Parametros_Alargados!$G47-Parametros_Alargados!$F47)*100))))</f>
        <v/>
      </c>
      <c r="H43" s="115">
        <f>IF(Base_Alargada!W46="","",IF(Parametros_Alargados!$D47="+",MIN(100,MAX(0,(Base_Alargada!W46-Parametros_Alargados!$F47)/(Parametros_Alargados!$G47-Parametros_Alargados!$F47)*100)),MIN(100,MAX(0,(Parametros_Alargados!$G47-Base_Alargada!W46)/(Parametros_Alargados!$G47-Parametros_Alargados!$F47)*100))))</f>
        <v/>
      </c>
      <c r="I43" s="115">
        <f>IF(Base_Alargada!X46="","",IF(Parametros_Alargados!$D47="+",MIN(100,MAX(0,(Base_Alargada!X46-Parametros_Alargados!$F47)/(Parametros_Alargados!$G47-Parametros_Alargados!$F47)*100)),MIN(100,MAX(0,(Parametros_Alargados!$G47-Base_Alargada!X46)/(Parametros_Alargados!$G47-Parametros_Alargados!$F47)*100))))</f>
        <v/>
      </c>
      <c r="J43" s="115">
        <f>IF(Base_Alargada!Y46="","",IF(Parametros_Alargados!$D47="+",MIN(100,MAX(0,(Base_Alargada!Y46-Parametros_Alargados!$F47)/(Parametros_Alargados!$G47-Parametros_Alargados!$F47)*100)),MIN(100,MAX(0,(Parametros_Alargados!$G47-Base_Alargada!Y46)/(Parametros_Alargados!$G47-Parametros_Alargados!$F47)*100))))</f>
        <v/>
      </c>
      <c r="K43" s="115">
        <f>IF(Base_Alargada!Z46="","",IF(Parametros_Alargados!$D47="+",MIN(100,MAX(0,(Base_Alargada!Z46-Parametros_Alargados!$F47)/(Parametros_Alargados!$G47-Parametros_Alargados!$F47)*100)),MIN(100,MAX(0,(Parametros_Alargados!$G47-Base_Alargada!Z46)/(Parametros_Alargados!$G47-Parametros_Alargados!$F47)*100))))</f>
        <v/>
      </c>
      <c r="L43" s="115">
        <f>IF(Base_Alargada!AA46="","",IF(Parametros_Alargados!$D47="+",MIN(100,MAX(0,(Base_Alargada!AA46-Parametros_Alargados!$F47)/(Parametros_Alargados!$G47-Parametros_Alargados!$F47)*100)),MIN(100,MAX(0,(Parametros_Alargados!$G47-Base_Alargada!AA46)/(Parametros_Alargados!$G47-Parametros_Alargados!$F47)*100))))</f>
        <v/>
      </c>
      <c r="M43" s="115">
        <f>IF(Base_Alargada!AB46="","",IF(Parametros_Alargados!$D47="+",MIN(100,MAX(0,(Base_Alargada!AB46-Parametros_Alargados!$F47)/(Parametros_Alargados!$G47-Parametros_Alargados!$F47)*100)),MIN(100,MAX(0,(Parametros_Alargados!$G47-Base_Alargada!AB46)/(Parametros_Alargados!$G47-Parametros_Alargados!$F47)*100))))</f>
        <v/>
      </c>
    </row>
    <row r="44">
      <c r="A44" t="inlineStr">
        <is>
          <t>3. Capital Humano</t>
        </is>
      </c>
      <c r="B44" t="inlineStr">
        <is>
          <t>Índice de Capital Humano</t>
        </is>
      </c>
      <c r="C44" s="115">
        <f>IF(Base_Alargada!R47="","",IF(Parametros_Alargados!$D48="+",MIN(100,MAX(0,(Base_Alargada!R47-Parametros_Alargados!$F48)/(Parametros_Alargados!$G48-Parametros_Alargados!$F48)*100)),MIN(100,MAX(0,(Parametros_Alargados!$G48-Base_Alargada!R47)/(Parametros_Alargados!$G48-Parametros_Alargados!$F48)*100))))</f>
        <v/>
      </c>
      <c r="D44" s="115">
        <f>IF(Base_Alargada!S47="","",IF(Parametros_Alargados!$D48="+",MIN(100,MAX(0,(Base_Alargada!S47-Parametros_Alargados!$F48)/(Parametros_Alargados!$G48-Parametros_Alargados!$F48)*100)),MIN(100,MAX(0,(Parametros_Alargados!$G48-Base_Alargada!S47)/(Parametros_Alargados!$G48-Parametros_Alargados!$F48)*100))))</f>
        <v/>
      </c>
      <c r="E44" s="115">
        <f>IF(Base_Alargada!T47="","",IF(Parametros_Alargados!$D48="+",MIN(100,MAX(0,(Base_Alargada!T47-Parametros_Alargados!$F48)/(Parametros_Alargados!$G48-Parametros_Alargados!$F48)*100)),MIN(100,MAX(0,(Parametros_Alargados!$G48-Base_Alargada!T47)/(Parametros_Alargados!$G48-Parametros_Alargados!$F48)*100))))</f>
        <v/>
      </c>
      <c r="F44" s="115">
        <f>IF(Base_Alargada!U47="","",IF(Parametros_Alargados!$D48="+",MIN(100,MAX(0,(Base_Alargada!U47-Parametros_Alargados!$F48)/(Parametros_Alargados!$G48-Parametros_Alargados!$F48)*100)),MIN(100,MAX(0,(Parametros_Alargados!$G48-Base_Alargada!U47)/(Parametros_Alargados!$G48-Parametros_Alargados!$F48)*100))))</f>
        <v/>
      </c>
      <c r="G44" s="115">
        <f>IF(Base_Alargada!V47="","",IF(Parametros_Alargados!$D48="+",MIN(100,MAX(0,(Base_Alargada!V47-Parametros_Alargados!$F48)/(Parametros_Alargados!$G48-Parametros_Alargados!$F48)*100)),MIN(100,MAX(0,(Parametros_Alargados!$G48-Base_Alargada!V47)/(Parametros_Alargados!$G48-Parametros_Alargados!$F48)*100))))</f>
        <v/>
      </c>
      <c r="H44" s="115">
        <f>IF(Base_Alargada!W47="","",IF(Parametros_Alargados!$D48="+",MIN(100,MAX(0,(Base_Alargada!W47-Parametros_Alargados!$F48)/(Parametros_Alargados!$G48-Parametros_Alargados!$F48)*100)),MIN(100,MAX(0,(Parametros_Alargados!$G48-Base_Alargada!W47)/(Parametros_Alargados!$G48-Parametros_Alargados!$F48)*100))))</f>
        <v/>
      </c>
      <c r="I44" s="115">
        <f>IF(Base_Alargada!X47="","",IF(Parametros_Alargados!$D48="+",MIN(100,MAX(0,(Base_Alargada!X47-Parametros_Alargados!$F48)/(Parametros_Alargados!$G48-Parametros_Alargados!$F48)*100)),MIN(100,MAX(0,(Parametros_Alargados!$G48-Base_Alargada!X47)/(Parametros_Alargados!$G48-Parametros_Alargados!$F48)*100))))</f>
        <v/>
      </c>
      <c r="J44" s="115">
        <f>IF(Base_Alargada!Y47="","",IF(Parametros_Alargados!$D48="+",MIN(100,MAX(0,(Base_Alargada!Y47-Parametros_Alargados!$F48)/(Parametros_Alargados!$G48-Parametros_Alargados!$F48)*100)),MIN(100,MAX(0,(Parametros_Alargados!$G48-Base_Alargada!Y47)/(Parametros_Alargados!$G48-Parametros_Alargados!$F48)*100))))</f>
        <v/>
      </c>
      <c r="K44" s="115">
        <f>IF(Base_Alargada!Z47="","",IF(Parametros_Alargados!$D48="+",MIN(100,MAX(0,(Base_Alargada!Z47-Parametros_Alargados!$F48)/(Parametros_Alargados!$G48-Parametros_Alargados!$F48)*100)),MIN(100,MAX(0,(Parametros_Alargados!$G48-Base_Alargada!Z47)/(Parametros_Alargados!$G48-Parametros_Alargados!$F48)*100))))</f>
        <v/>
      </c>
      <c r="L44" s="115">
        <f>IF(Base_Alargada!AA47="","",IF(Parametros_Alargados!$D48="+",MIN(100,MAX(0,(Base_Alargada!AA47-Parametros_Alargados!$F48)/(Parametros_Alargados!$G48-Parametros_Alargados!$F48)*100)),MIN(100,MAX(0,(Parametros_Alargados!$G48-Base_Alargada!AA47)/(Parametros_Alargados!$G48-Parametros_Alargados!$F48)*100))))</f>
        <v/>
      </c>
      <c r="M44" s="115">
        <f>IF(Base_Alargada!AB47="","",IF(Parametros_Alargados!$D48="+",MIN(100,MAX(0,(Base_Alargada!AB47-Parametros_Alargados!$F48)/(Parametros_Alargados!$G48-Parametros_Alargados!$F48)*100)),MIN(100,MAX(0,(Parametros_Alargados!$G48-Base_Alargada!AB47)/(Parametros_Alargados!$G48-Parametros_Alargados!$F48)*100))))</f>
        <v/>
      </c>
    </row>
    <row r="45">
      <c r="A45" t="inlineStr">
        <is>
          <t>3. Capital Humano</t>
        </is>
      </c>
      <c r="B45" t="inlineStr">
        <is>
          <t>Anos esperados de escolaridade</t>
        </is>
      </c>
      <c r="C45" s="115">
        <f>IF(Base_Alargada!R48="","",IF(Parametros_Alargados!$D49="+",MIN(100,MAX(0,(Base_Alargada!R48-Parametros_Alargados!$F49)/(Parametros_Alargados!$G49-Parametros_Alargados!$F49)*100)),MIN(100,MAX(0,(Parametros_Alargados!$G49-Base_Alargada!R48)/(Parametros_Alargados!$G49-Parametros_Alargados!$F49)*100))))</f>
        <v/>
      </c>
      <c r="D45" s="115">
        <f>IF(Base_Alargada!S48="","",IF(Parametros_Alargados!$D49="+",MIN(100,MAX(0,(Base_Alargada!S48-Parametros_Alargados!$F49)/(Parametros_Alargados!$G49-Parametros_Alargados!$F49)*100)),MIN(100,MAX(0,(Parametros_Alargados!$G49-Base_Alargada!S48)/(Parametros_Alargados!$G49-Parametros_Alargados!$F49)*100))))</f>
        <v/>
      </c>
      <c r="E45" s="115">
        <f>IF(Base_Alargada!T48="","",IF(Parametros_Alargados!$D49="+",MIN(100,MAX(0,(Base_Alargada!T48-Parametros_Alargados!$F49)/(Parametros_Alargados!$G49-Parametros_Alargados!$F49)*100)),MIN(100,MAX(0,(Parametros_Alargados!$G49-Base_Alargada!T48)/(Parametros_Alargados!$G49-Parametros_Alargados!$F49)*100))))</f>
        <v/>
      </c>
      <c r="F45" s="115">
        <f>IF(Base_Alargada!U48="","",IF(Parametros_Alargados!$D49="+",MIN(100,MAX(0,(Base_Alargada!U48-Parametros_Alargados!$F49)/(Parametros_Alargados!$G49-Parametros_Alargados!$F49)*100)),MIN(100,MAX(0,(Parametros_Alargados!$G49-Base_Alargada!U48)/(Parametros_Alargados!$G49-Parametros_Alargados!$F49)*100))))</f>
        <v/>
      </c>
      <c r="G45" s="115">
        <f>IF(Base_Alargada!V48="","",IF(Parametros_Alargados!$D49="+",MIN(100,MAX(0,(Base_Alargada!V48-Parametros_Alargados!$F49)/(Parametros_Alargados!$G49-Parametros_Alargados!$F49)*100)),MIN(100,MAX(0,(Parametros_Alargados!$G49-Base_Alargada!V48)/(Parametros_Alargados!$G49-Parametros_Alargados!$F49)*100))))</f>
        <v/>
      </c>
      <c r="H45" s="115">
        <f>IF(Base_Alargada!W48="","",IF(Parametros_Alargados!$D49="+",MIN(100,MAX(0,(Base_Alargada!W48-Parametros_Alargados!$F49)/(Parametros_Alargados!$G49-Parametros_Alargados!$F49)*100)),MIN(100,MAX(0,(Parametros_Alargados!$G49-Base_Alargada!W48)/(Parametros_Alargados!$G49-Parametros_Alargados!$F49)*100))))</f>
        <v/>
      </c>
      <c r="I45" s="115">
        <f>IF(Base_Alargada!X48="","",IF(Parametros_Alargados!$D49="+",MIN(100,MAX(0,(Base_Alargada!X48-Parametros_Alargados!$F49)/(Parametros_Alargados!$G49-Parametros_Alargados!$F49)*100)),MIN(100,MAX(0,(Parametros_Alargados!$G49-Base_Alargada!X48)/(Parametros_Alargados!$G49-Parametros_Alargados!$F49)*100))))</f>
        <v/>
      </c>
      <c r="J45" s="115">
        <f>IF(Base_Alargada!Y48="","",IF(Parametros_Alargados!$D49="+",MIN(100,MAX(0,(Base_Alargada!Y48-Parametros_Alargados!$F49)/(Parametros_Alargados!$G49-Parametros_Alargados!$F49)*100)),MIN(100,MAX(0,(Parametros_Alargados!$G49-Base_Alargada!Y48)/(Parametros_Alargados!$G49-Parametros_Alargados!$F49)*100))))</f>
        <v/>
      </c>
      <c r="K45" s="115">
        <f>IF(Base_Alargada!Z48="","",IF(Parametros_Alargados!$D49="+",MIN(100,MAX(0,(Base_Alargada!Z48-Parametros_Alargados!$F49)/(Parametros_Alargados!$G49-Parametros_Alargados!$F49)*100)),MIN(100,MAX(0,(Parametros_Alargados!$G49-Base_Alargada!Z48)/(Parametros_Alargados!$G49-Parametros_Alargados!$F49)*100))))</f>
        <v/>
      </c>
      <c r="L45" s="115">
        <f>IF(Base_Alargada!AA48="","",IF(Parametros_Alargados!$D49="+",MIN(100,MAX(0,(Base_Alargada!AA48-Parametros_Alargados!$F49)/(Parametros_Alargados!$G49-Parametros_Alargados!$F49)*100)),MIN(100,MAX(0,(Parametros_Alargados!$G49-Base_Alargada!AA48)/(Parametros_Alargados!$G49-Parametros_Alargados!$F49)*100))))</f>
        <v/>
      </c>
      <c r="M45" s="115">
        <f>IF(Base_Alargada!AB48="","",IF(Parametros_Alargados!$D49="+",MIN(100,MAX(0,(Base_Alargada!AB48-Parametros_Alargados!$F49)/(Parametros_Alargados!$G49-Parametros_Alargados!$F49)*100)),MIN(100,MAX(0,(Parametros_Alargados!$G49-Base_Alargada!AB48)/(Parametros_Alargados!$G49-Parametros_Alargados!$F49)*100))))</f>
        <v/>
      </c>
    </row>
    <row r="46">
      <c r="A46" t="inlineStr">
        <is>
          <t>4. Inclusão Social e Protecção</t>
        </is>
      </c>
      <c r="B46" t="inlineStr">
        <is>
          <t>Taxa de Pobreza (&lt; 2.15 USD/dia)</t>
        </is>
      </c>
      <c r="C46" s="115">
        <f>IF(Base_Alargada!R49="","",IF(Parametros_Alargados!$D50="+",MIN(100,MAX(0,(Base_Alargada!R49-Parametros_Alargados!$F50)/(Parametros_Alargados!$G50-Parametros_Alargados!$F50)*100)),MIN(100,MAX(0,(Parametros_Alargados!$G50-Base_Alargada!R49)/(Parametros_Alargados!$G50-Parametros_Alargados!$F50)*100))))</f>
        <v/>
      </c>
      <c r="D46" s="115">
        <f>IF(Base_Alargada!S49="","",IF(Parametros_Alargados!$D50="+",MIN(100,MAX(0,(Base_Alargada!S49-Parametros_Alargados!$F50)/(Parametros_Alargados!$G50-Parametros_Alargados!$F50)*100)),MIN(100,MAX(0,(Parametros_Alargados!$G50-Base_Alargada!S49)/(Parametros_Alargados!$G50-Parametros_Alargados!$F50)*100))))</f>
        <v/>
      </c>
      <c r="E46" s="115">
        <f>IF(Base_Alargada!T49="","",IF(Parametros_Alargados!$D50="+",MIN(100,MAX(0,(Base_Alargada!T49-Parametros_Alargados!$F50)/(Parametros_Alargados!$G50-Parametros_Alargados!$F50)*100)),MIN(100,MAX(0,(Parametros_Alargados!$G50-Base_Alargada!T49)/(Parametros_Alargados!$G50-Parametros_Alargados!$F50)*100))))</f>
        <v/>
      </c>
      <c r="F46" s="115">
        <f>IF(Base_Alargada!U49="","",IF(Parametros_Alargados!$D50="+",MIN(100,MAX(0,(Base_Alargada!U49-Parametros_Alargados!$F50)/(Parametros_Alargados!$G50-Parametros_Alargados!$F50)*100)),MIN(100,MAX(0,(Parametros_Alargados!$G50-Base_Alargada!U49)/(Parametros_Alargados!$G50-Parametros_Alargados!$F50)*100))))</f>
        <v/>
      </c>
      <c r="G46" s="115">
        <f>IF(Base_Alargada!V49="","",IF(Parametros_Alargados!$D50="+",MIN(100,MAX(0,(Base_Alargada!V49-Parametros_Alargados!$F50)/(Parametros_Alargados!$G50-Parametros_Alargados!$F50)*100)),MIN(100,MAX(0,(Parametros_Alargados!$G50-Base_Alargada!V49)/(Parametros_Alargados!$G50-Parametros_Alargados!$F50)*100))))</f>
        <v/>
      </c>
      <c r="H46" s="115">
        <f>IF(Base_Alargada!W49="","",IF(Parametros_Alargados!$D50="+",MIN(100,MAX(0,(Base_Alargada!W49-Parametros_Alargados!$F50)/(Parametros_Alargados!$G50-Parametros_Alargados!$F50)*100)),MIN(100,MAX(0,(Parametros_Alargados!$G50-Base_Alargada!W49)/(Parametros_Alargados!$G50-Parametros_Alargados!$F50)*100))))</f>
        <v/>
      </c>
      <c r="I46" s="115">
        <f>IF(Base_Alargada!X49="","",IF(Parametros_Alargados!$D50="+",MIN(100,MAX(0,(Base_Alargada!X49-Parametros_Alargados!$F50)/(Parametros_Alargados!$G50-Parametros_Alargados!$F50)*100)),MIN(100,MAX(0,(Parametros_Alargados!$G50-Base_Alargada!X49)/(Parametros_Alargados!$G50-Parametros_Alargados!$F50)*100))))</f>
        <v/>
      </c>
      <c r="J46" s="115">
        <f>IF(Base_Alargada!Y49="","",IF(Parametros_Alargados!$D50="+",MIN(100,MAX(0,(Base_Alargada!Y49-Parametros_Alargados!$F50)/(Parametros_Alargados!$G50-Parametros_Alargados!$F50)*100)),MIN(100,MAX(0,(Parametros_Alargados!$G50-Base_Alargada!Y49)/(Parametros_Alargados!$G50-Parametros_Alargados!$F50)*100))))</f>
        <v/>
      </c>
      <c r="K46" s="115">
        <f>IF(Base_Alargada!Z49="","",IF(Parametros_Alargados!$D50="+",MIN(100,MAX(0,(Base_Alargada!Z49-Parametros_Alargados!$F50)/(Parametros_Alargados!$G50-Parametros_Alargados!$F50)*100)),MIN(100,MAX(0,(Parametros_Alargados!$G50-Base_Alargada!Z49)/(Parametros_Alargados!$G50-Parametros_Alargados!$F50)*100))))</f>
        <v/>
      </c>
      <c r="L46" s="115">
        <f>IF(Base_Alargada!AA49="","",IF(Parametros_Alargados!$D50="+",MIN(100,MAX(0,(Base_Alargada!AA49-Parametros_Alargados!$F50)/(Parametros_Alargados!$G50-Parametros_Alargados!$F50)*100)),MIN(100,MAX(0,(Parametros_Alargados!$G50-Base_Alargada!AA49)/(Parametros_Alargados!$G50-Parametros_Alargados!$F50)*100))))</f>
        <v/>
      </c>
      <c r="M46" s="115">
        <f>IF(Base_Alargada!AB49="","",IF(Parametros_Alargados!$D50="+",MIN(100,MAX(0,(Base_Alargada!AB49-Parametros_Alargados!$F50)/(Parametros_Alargados!$G50-Parametros_Alargados!$F50)*100)),MIN(100,MAX(0,(Parametros_Alargados!$G50-Base_Alargada!AB49)/(Parametros_Alargados!$G50-Parametros_Alargados!$F50)*100))))</f>
        <v/>
      </c>
    </row>
    <row r="47">
      <c r="A47" t="inlineStr">
        <is>
          <t>4. Inclusão Social e Protecção</t>
        </is>
      </c>
      <c r="B47" t="inlineStr">
        <is>
          <t>Índice de Gini</t>
        </is>
      </c>
      <c r="C47" s="115">
        <f>IF(Base_Alargada!R50="","",IF(Parametros_Alargados!$D51="+",MIN(100,MAX(0,(Base_Alargada!R50-Parametros_Alargados!$F51)/(Parametros_Alargados!$G51-Parametros_Alargados!$F51)*100)),MIN(100,MAX(0,(Parametros_Alargados!$G51-Base_Alargada!R50)/(Parametros_Alargados!$G51-Parametros_Alargados!$F51)*100))))</f>
        <v/>
      </c>
      <c r="D47" s="115">
        <f>IF(Base_Alargada!S50="","",IF(Parametros_Alargados!$D51="+",MIN(100,MAX(0,(Base_Alargada!S50-Parametros_Alargados!$F51)/(Parametros_Alargados!$G51-Parametros_Alargados!$F51)*100)),MIN(100,MAX(0,(Parametros_Alargados!$G51-Base_Alargada!S50)/(Parametros_Alargados!$G51-Parametros_Alargados!$F51)*100))))</f>
        <v/>
      </c>
      <c r="E47" s="115">
        <f>IF(Base_Alargada!T50="","",IF(Parametros_Alargados!$D51="+",MIN(100,MAX(0,(Base_Alargada!T50-Parametros_Alargados!$F51)/(Parametros_Alargados!$G51-Parametros_Alargados!$F51)*100)),MIN(100,MAX(0,(Parametros_Alargados!$G51-Base_Alargada!T50)/(Parametros_Alargados!$G51-Parametros_Alargados!$F51)*100))))</f>
        <v/>
      </c>
      <c r="F47" s="115">
        <f>IF(Base_Alargada!U50="","",IF(Parametros_Alargados!$D51="+",MIN(100,MAX(0,(Base_Alargada!U50-Parametros_Alargados!$F51)/(Parametros_Alargados!$G51-Parametros_Alargados!$F51)*100)),MIN(100,MAX(0,(Parametros_Alargados!$G51-Base_Alargada!U50)/(Parametros_Alargados!$G51-Parametros_Alargados!$F51)*100))))</f>
        <v/>
      </c>
      <c r="G47" s="115">
        <f>IF(Base_Alargada!V50="","",IF(Parametros_Alargados!$D51="+",MIN(100,MAX(0,(Base_Alargada!V50-Parametros_Alargados!$F51)/(Parametros_Alargados!$G51-Parametros_Alargados!$F51)*100)),MIN(100,MAX(0,(Parametros_Alargados!$G51-Base_Alargada!V50)/(Parametros_Alargados!$G51-Parametros_Alargados!$F51)*100))))</f>
        <v/>
      </c>
      <c r="H47" s="115">
        <f>IF(Base_Alargada!W50="","",IF(Parametros_Alargados!$D51="+",MIN(100,MAX(0,(Base_Alargada!W50-Parametros_Alargados!$F51)/(Parametros_Alargados!$G51-Parametros_Alargados!$F51)*100)),MIN(100,MAX(0,(Parametros_Alargados!$G51-Base_Alargada!W50)/(Parametros_Alargados!$G51-Parametros_Alargados!$F51)*100))))</f>
        <v/>
      </c>
      <c r="I47" s="115">
        <f>IF(Base_Alargada!X50="","",IF(Parametros_Alargados!$D51="+",MIN(100,MAX(0,(Base_Alargada!X50-Parametros_Alargados!$F51)/(Parametros_Alargados!$G51-Parametros_Alargados!$F51)*100)),MIN(100,MAX(0,(Parametros_Alargados!$G51-Base_Alargada!X50)/(Parametros_Alargados!$G51-Parametros_Alargados!$F51)*100))))</f>
        <v/>
      </c>
      <c r="J47" s="115">
        <f>IF(Base_Alargada!Y50="","",IF(Parametros_Alargados!$D51="+",MIN(100,MAX(0,(Base_Alargada!Y50-Parametros_Alargados!$F51)/(Parametros_Alargados!$G51-Parametros_Alargados!$F51)*100)),MIN(100,MAX(0,(Parametros_Alargados!$G51-Base_Alargada!Y50)/(Parametros_Alargados!$G51-Parametros_Alargados!$F51)*100))))</f>
        <v/>
      </c>
      <c r="K47" s="115">
        <f>IF(Base_Alargada!Z50="","",IF(Parametros_Alargados!$D51="+",MIN(100,MAX(0,(Base_Alargada!Z50-Parametros_Alargados!$F51)/(Parametros_Alargados!$G51-Parametros_Alargados!$F51)*100)),MIN(100,MAX(0,(Parametros_Alargados!$G51-Base_Alargada!Z50)/(Parametros_Alargados!$G51-Parametros_Alargados!$F51)*100))))</f>
        <v/>
      </c>
      <c r="L47" s="115">
        <f>IF(Base_Alargada!AA50="","",IF(Parametros_Alargados!$D51="+",MIN(100,MAX(0,(Base_Alargada!AA50-Parametros_Alargados!$F51)/(Parametros_Alargados!$G51-Parametros_Alargados!$F51)*100)),MIN(100,MAX(0,(Parametros_Alargados!$G51-Base_Alargada!AA50)/(Parametros_Alargados!$G51-Parametros_Alargados!$F51)*100))))</f>
        <v/>
      </c>
      <c r="M47" s="115">
        <f>IF(Base_Alargada!AB50="","",IF(Parametros_Alargados!$D51="+",MIN(100,MAX(0,(Base_Alargada!AB50-Parametros_Alargados!$F51)/(Parametros_Alargados!$G51-Parametros_Alargados!$F51)*100)),MIN(100,MAX(0,(Parametros_Alargados!$G51-Base_Alargada!AB50)/(Parametros_Alargados!$G51-Parametros_Alargados!$F51)*100))))</f>
        <v/>
      </c>
    </row>
    <row r="48">
      <c r="A48" t="inlineStr">
        <is>
          <t>4. Inclusão Social e Protecção</t>
        </is>
      </c>
      <c r="B48" t="inlineStr">
        <is>
          <t>Cobertura Protecção Social</t>
        </is>
      </c>
      <c r="C48" s="115">
        <f>IF(Base_Alargada!R51="","",IF(Parametros_Alargados!$D52="+",MIN(100,MAX(0,(Base_Alargada!R51-Parametros_Alargados!$F52)/(Parametros_Alargados!$G52-Parametros_Alargados!$F52)*100)),MIN(100,MAX(0,(Parametros_Alargados!$G52-Base_Alargada!R51)/(Parametros_Alargados!$G52-Parametros_Alargados!$F52)*100))))</f>
        <v/>
      </c>
      <c r="D48" s="115">
        <f>IF(Base_Alargada!S51="","",IF(Parametros_Alargados!$D52="+",MIN(100,MAX(0,(Base_Alargada!S51-Parametros_Alargados!$F52)/(Parametros_Alargados!$G52-Parametros_Alargados!$F52)*100)),MIN(100,MAX(0,(Parametros_Alargados!$G52-Base_Alargada!S51)/(Parametros_Alargados!$G52-Parametros_Alargados!$F52)*100))))</f>
        <v/>
      </c>
      <c r="E48" s="115">
        <f>IF(Base_Alargada!T51="","",IF(Parametros_Alargados!$D52="+",MIN(100,MAX(0,(Base_Alargada!T51-Parametros_Alargados!$F52)/(Parametros_Alargados!$G52-Parametros_Alargados!$F52)*100)),MIN(100,MAX(0,(Parametros_Alargados!$G52-Base_Alargada!T51)/(Parametros_Alargados!$G52-Parametros_Alargados!$F52)*100))))</f>
        <v/>
      </c>
      <c r="F48" s="115">
        <f>IF(Base_Alargada!U51="","",IF(Parametros_Alargados!$D52="+",MIN(100,MAX(0,(Base_Alargada!U51-Parametros_Alargados!$F52)/(Parametros_Alargados!$G52-Parametros_Alargados!$F52)*100)),MIN(100,MAX(0,(Parametros_Alargados!$G52-Base_Alargada!U51)/(Parametros_Alargados!$G52-Parametros_Alargados!$F52)*100))))</f>
        <v/>
      </c>
      <c r="G48" s="115">
        <f>IF(Base_Alargada!V51="","",IF(Parametros_Alargados!$D52="+",MIN(100,MAX(0,(Base_Alargada!V51-Parametros_Alargados!$F52)/(Parametros_Alargados!$G52-Parametros_Alargados!$F52)*100)),MIN(100,MAX(0,(Parametros_Alargados!$G52-Base_Alargada!V51)/(Parametros_Alargados!$G52-Parametros_Alargados!$F52)*100))))</f>
        <v/>
      </c>
      <c r="H48" s="115">
        <f>IF(Base_Alargada!W51="","",IF(Parametros_Alargados!$D52="+",MIN(100,MAX(0,(Base_Alargada!W51-Parametros_Alargados!$F52)/(Parametros_Alargados!$G52-Parametros_Alargados!$F52)*100)),MIN(100,MAX(0,(Parametros_Alargados!$G52-Base_Alargada!W51)/(Parametros_Alargados!$G52-Parametros_Alargados!$F52)*100))))</f>
        <v/>
      </c>
      <c r="I48" s="115">
        <f>IF(Base_Alargada!X51="","",IF(Parametros_Alargados!$D52="+",MIN(100,MAX(0,(Base_Alargada!X51-Parametros_Alargados!$F52)/(Parametros_Alargados!$G52-Parametros_Alargados!$F52)*100)),MIN(100,MAX(0,(Parametros_Alargados!$G52-Base_Alargada!X51)/(Parametros_Alargados!$G52-Parametros_Alargados!$F52)*100))))</f>
        <v/>
      </c>
      <c r="J48" s="115">
        <f>IF(Base_Alargada!Y51="","",IF(Parametros_Alargados!$D52="+",MIN(100,MAX(0,(Base_Alargada!Y51-Parametros_Alargados!$F52)/(Parametros_Alargados!$G52-Parametros_Alargados!$F52)*100)),MIN(100,MAX(0,(Parametros_Alargados!$G52-Base_Alargada!Y51)/(Parametros_Alargados!$G52-Parametros_Alargados!$F52)*100))))</f>
        <v/>
      </c>
      <c r="K48" s="115">
        <f>IF(Base_Alargada!Z51="","",IF(Parametros_Alargados!$D52="+",MIN(100,MAX(0,(Base_Alargada!Z51-Parametros_Alargados!$F52)/(Parametros_Alargados!$G52-Parametros_Alargados!$F52)*100)),MIN(100,MAX(0,(Parametros_Alargados!$G52-Base_Alargada!Z51)/(Parametros_Alargados!$G52-Parametros_Alargados!$F52)*100))))</f>
        <v/>
      </c>
      <c r="L48" s="115">
        <f>IF(Base_Alargada!AA51="","",IF(Parametros_Alargados!$D52="+",MIN(100,MAX(0,(Base_Alargada!AA51-Parametros_Alargados!$F52)/(Parametros_Alargados!$G52-Parametros_Alargados!$F52)*100)),MIN(100,MAX(0,(Parametros_Alargados!$G52-Base_Alargada!AA51)/(Parametros_Alargados!$G52-Parametros_Alargados!$F52)*100))))</f>
        <v/>
      </c>
      <c r="M48" s="115">
        <f>IF(Base_Alargada!AB51="","",IF(Parametros_Alargados!$D52="+",MIN(100,MAX(0,(Base_Alargada!AB51-Parametros_Alargados!$F52)/(Parametros_Alargados!$G52-Parametros_Alargados!$F52)*100)),MIN(100,MAX(0,(Parametros_Alargados!$G52-Base_Alargada!AB51)/(Parametros_Alargados!$G52-Parametros_Alargados!$F52)*100))))</f>
        <v/>
      </c>
    </row>
    <row r="49">
      <c r="A49" t="inlineStr">
        <is>
          <t>4. Inclusão Social e Protecção</t>
        </is>
      </c>
      <c r="B49" t="inlineStr">
        <is>
          <t>Global Gender Gap Index</t>
        </is>
      </c>
      <c r="C49" s="115">
        <f>IF(Base_Alargada!R52="","",IF(Parametros_Alargados!$D53="+",MIN(100,MAX(0,(Base_Alargada!R52-Parametros_Alargados!$F53)/(Parametros_Alargados!$G53-Parametros_Alargados!$F53)*100)),MIN(100,MAX(0,(Parametros_Alargados!$G53-Base_Alargada!R52)/(Parametros_Alargados!$G53-Parametros_Alargados!$F53)*100))))</f>
        <v/>
      </c>
      <c r="D49" s="115">
        <f>IF(Base_Alargada!S52="","",IF(Parametros_Alargados!$D53="+",MIN(100,MAX(0,(Base_Alargada!S52-Parametros_Alargados!$F53)/(Parametros_Alargados!$G53-Parametros_Alargados!$F53)*100)),MIN(100,MAX(0,(Parametros_Alargados!$G53-Base_Alargada!S52)/(Parametros_Alargados!$G53-Parametros_Alargados!$F53)*100))))</f>
        <v/>
      </c>
      <c r="E49" s="115">
        <f>IF(Base_Alargada!T52="","",IF(Parametros_Alargados!$D53="+",MIN(100,MAX(0,(Base_Alargada!T52-Parametros_Alargados!$F53)/(Parametros_Alargados!$G53-Parametros_Alargados!$F53)*100)),MIN(100,MAX(0,(Parametros_Alargados!$G53-Base_Alargada!T52)/(Parametros_Alargados!$G53-Parametros_Alargados!$F53)*100))))</f>
        <v/>
      </c>
      <c r="F49" s="115">
        <f>IF(Base_Alargada!U52="","",IF(Parametros_Alargados!$D53="+",MIN(100,MAX(0,(Base_Alargada!U52-Parametros_Alargados!$F53)/(Parametros_Alargados!$G53-Parametros_Alargados!$F53)*100)),MIN(100,MAX(0,(Parametros_Alargados!$G53-Base_Alargada!U52)/(Parametros_Alargados!$G53-Parametros_Alargados!$F53)*100))))</f>
        <v/>
      </c>
      <c r="G49" s="115">
        <f>IF(Base_Alargada!V52="","",IF(Parametros_Alargados!$D53="+",MIN(100,MAX(0,(Base_Alargada!V52-Parametros_Alargados!$F53)/(Parametros_Alargados!$G53-Parametros_Alargados!$F53)*100)),MIN(100,MAX(0,(Parametros_Alargados!$G53-Base_Alargada!V52)/(Parametros_Alargados!$G53-Parametros_Alargados!$F53)*100))))</f>
        <v/>
      </c>
      <c r="H49" s="115">
        <f>IF(Base_Alargada!W52="","",IF(Parametros_Alargados!$D53="+",MIN(100,MAX(0,(Base_Alargada!W52-Parametros_Alargados!$F53)/(Parametros_Alargados!$G53-Parametros_Alargados!$F53)*100)),MIN(100,MAX(0,(Parametros_Alargados!$G53-Base_Alargada!W52)/(Parametros_Alargados!$G53-Parametros_Alargados!$F53)*100))))</f>
        <v/>
      </c>
      <c r="I49" s="115">
        <f>IF(Base_Alargada!X52="","",IF(Parametros_Alargados!$D53="+",MIN(100,MAX(0,(Base_Alargada!X52-Parametros_Alargados!$F53)/(Parametros_Alargados!$G53-Parametros_Alargados!$F53)*100)),MIN(100,MAX(0,(Parametros_Alargados!$G53-Base_Alargada!X52)/(Parametros_Alargados!$G53-Parametros_Alargados!$F53)*100))))</f>
        <v/>
      </c>
      <c r="J49" s="115">
        <f>IF(Base_Alargada!Y52="","",IF(Parametros_Alargados!$D53="+",MIN(100,MAX(0,(Base_Alargada!Y52-Parametros_Alargados!$F53)/(Parametros_Alargados!$G53-Parametros_Alargados!$F53)*100)),MIN(100,MAX(0,(Parametros_Alargados!$G53-Base_Alargada!Y52)/(Parametros_Alargados!$G53-Parametros_Alargados!$F53)*100))))</f>
        <v/>
      </c>
      <c r="K49" s="115">
        <f>IF(Base_Alargada!Z52="","",IF(Parametros_Alargados!$D53="+",MIN(100,MAX(0,(Base_Alargada!Z52-Parametros_Alargados!$F53)/(Parametros_Alargados!$G53-Parametros_Alargados!$F53)*100)),MIN(100,MAX(0,(Parametros_Alargados!$G53-Base_Alargada!Z52)/(Parametros_Alargados!$G53-Parametros_Alargados!$F53)*100))))</f>
        <v/>
      </c>
      <c r="L49" s="115">
        <f>IF(Base_Alargada!AA52="","",IF(Parametros_Alargados!$D53="+",MIN(100,MAX(0,(Base_Alargada!AA52-Parametros_Alargados!$F53)/(Parametros_Alargados!$G53-Parametros_Alargados!$F53)*100)),MIN(100,MAX(0,(Parametros_Alargados!$G53-Base_Alargada!AA52)/(Parametros_Alargados!$G53-Parametros_Alargados!$F53)*100))))</f>
        <v/>
      </c>
      <c r="M49" s="115">
        <f>IF(Base_Alargada!AB52="","",IF(Parametros_Alargados!$D53="+",MIN(100,MAX(0,(Base_Alargada!AB52-Parametros_Alargados!$F53)/(Parametros_Alargados!$G53-Parametros_Alargados!$F53)*100)),MIN(100,MAX(0,(Parametros_Alargados!$G53-Base_Alargada!AB52)/(Parametros_Alargados!$G53-Parametros_Alargados!$F53)*100))))</f>
        <v/>
      </c>
    </row>
    <row r="50">
      <c r="A50" t="inlineStr">
        <is>
          <t>4. Inclusão Social e Protecção</t>
        </is>
      </c>
      <c r="B50" t="inlineStr">
        <is>
          <t>RNB per Capita (USD)</t>
        </is>
      </c>
      <c r="C50" s="115">
        <f>IF(Base_Alargada!R53="","",IF(Parametros_Alargados!$D54="+",MIN(100,MAX(0,(Base_Alargada!R53-Parametros_Alargados!$F54)/(Parametros_Alargados!$G54-Parametros_Alargados!$F54)*100)),MIN(100,MAX(0,(Parametros_Alargados!$G54-Base_Alargada!R53)/(Parametros_Alargados!$G54-Parametros_Alargados!$F54)*100))))</f>
        <v/>
      </c>
      <c r="D50" s="115">
        <f>IF(Base_Alargada!S53="","",IF(Parametros_Alargados!$D54="+",MIN(100,MAX(0,(Base_Alargada!S53-Parametros_Alargados!$F54)/(Parametros_Alargados!$G54-Parametros_Alargados!$F54)*100)),MIN(100,MAX(0,(Parametros_Alargados!$G54-Base_Alargada!S53)/(Parametros_Alargados!$G54-Parametros_Alargados!$F54)*100))))</f>
        <v/>
      </c>
      <c r="E50" s="115">
        <f>IF(Base_Alargada!T53="","",IF(Parametros_Alargados!$D54="+",MIN(100,MAX(0,(Base_Alargada!T53-Parametros_Alargados!$F54)/(Parametros_Alargados!$G54-Parametros_Alargados!$F54)*100)),MIN(100,MAX(0,(Parametros_Alargados!$G54-Base_Alargada!T53)/(Parametros_Alargados!$G54-Parametros_Alargados!$F54)*100))))</f>
        <v/>
      </c>
      <c r="F50" s="115">
        <f>IF(Base_Alargada!U53="","",IF(Parametros_Alargados!$D54="+",MIN(100,MAX(0,(Base_Alargada!U53-Parametros_Alargados!$F54)/(Parametros_Alargados!$G54-Parametros_Alargados!$F54)*100)),MIN(100,MAX(0,(Parametros_Alargados!$G54-Base_Alargada!U53)/(Parametros_Alargados!$G54-Parametros_Alargados!$F54)*100))))</f>
        <v/>
      </c>
      <c r="G50" s="115">
        <f>IF(Base_Alargada!V53="","",IF(Parametros_Alargados!$D54="+",MIN(100,MAX(0,(Base_Alargada!V53-Parametros_Alargados!$F54)/(Parametros_Alargados!$G54-Parametros_Alargados!$F54)*100)),MIN(100,MAX(0,(Parametros_Alargados!$G54-Base_Alargada!V53)/(Parametros_Alargados!$G54-Parametros_Alargados!$F54)*100))))</f>
        <v/>
      </c>
      <c r="H50" s="115">
        <f>IF(Base_Alargada!W53="","",IF(Parametros_Alargados!$D54="+",MIN(100,MAX(0,(Base_Alargada!W53-Parametros_Alargados!$F54)/(Parametros_Alargados!$G54-Parametros_Alargados!$F54)*100)),MIN(100,MAX(0,(Parametros_Alargados!$G54-Base_Alargada!W53)/(Parametros_Alargados!$G54-Parametros_Alargados!$F54)*100))))</f>
        <v/>
      </c>
      <c r="I50" s="115">
        <f>IF(Base_Alargada!X53="","",IF(Parametros_Alargados!$D54="+",MIN(100,MAX(0,(Base_Alargada!X53-Parametros_Alargados!$F54)/(Parametros_Alargados!$G54-Parametros_Alargados!$F54)*100)),MIN(100,MAX(0,(Parametros_Alargados!$G54-Base_Alargada!X53)/(Parametros_Alargados!$G54-Parametros_Alargados!$F54)*100))))</f>
        <v/>
      </c>
      <c r="J50" s="115">
        <f>IF(Base_Alargada!Y53="","",IF(Parametros_Alargados!$D54="+",MIN(100,MAX(0,(Base_Alargada!Y53-Parametros_Alargados!$F54)/(Parametros_Alargados!$G54-Parametros_Alargados!$F54)*100)),MIN(100,MAX(0,(Parametros_Alargados!$G54-Base_Alargada!Y53)/(Parametros_Alargados!$G54-Parametros_Alargados!$F54)*100))))</f>
        <v/>
      </c>
      <c r="K50" s="115">
        <f>IF(Base_Alargada!Z53="","",IF(Parametros_Alargados!$D54="+",MIN(100,MAX(0,(Base_Alargada!Z53-Parametros_Alargados!$F54)/(Parametros_Alargados!$G54-Parametros_Alargados!$F54)*100)),MIN(100,MAX(0,(Parametros_Alargados!$G54-Base_Alargada!Z53)/(Parametros_Alargados!$G54-Parametros_Alargados!$F54)*100))))</f>
        <v/>
      </c>
      <c r="L50" s="115">
        <f>IF(Base_Alargada!AA53="","",IF(Parametros_Alargados!$D54="+",MIN(100,MAX(0,(Base_Alargada!AA53-Parametros_Alargados!$F54)/(Parametros_Alargados!$G54-Parametros_Alargados!$F54)*100)),MIN(100,MAX(0,(Parametros_Alargados!$G54-Base_Alargada!AA53)/(Parametros_Alargados!$G54-Parametros_Alargados!$F54)*100))))</f>
        <v/>
      </c>
      <c r="M50" s="115">
        <f>IF(Base_Alargada!AB53="","",IF(Parametros_Alargados!$D54="+",MIN(100,MAX(0,(Base_Alargada!AB53-Parametros_Alargados!$F54)/(Parametros_Alargados!$G54-Parametros_Alargados!$F54)*100)),MIN(100,MAX(0,(Parametros_Alargados!$G54-Base_Alargada!AB53)/(Parametros_Alargados!$G54-Parametros_Alargados!$F54)*100))))</f>
        <v/>
      </c>
    </row>
    <row r="51">
      <c r="A51" t="inlineStr">
        <is>
          <t>4. Inclusão Social e Protecção</t>
        </is>
      </c>
      <c r="B51" t="inlineStr">
        <is>
          <t>Pobreza pela linha nacional</t>
        </is>
      </c>
      <c r="C51" s="115">
        <f>IF(Base_Alargada!R54="","",IF(Parametros_Alargados!$D55="+",MIN(100,MAX(0,(Base_Alargada!R54-Parametros_Alargados!$F55)/(Parametros_Alargados!$G55-Parametros_Alargados!$F55)*100)),MIN(100,MAX(0,(Parametros_Alargados!$G55-Base_Alargada!R54)/(Parametros_Alargados!$G55-Parametros_Alargados!$F55)*100))))</f>
        <v/>
      </c>
      <c r="D51" s="115">
        <f>IF(Base_Alargada!S54="","",IF(Parametros_Alargados!$D55="+",MIN(100,MAX(0,(Base_Alargada!S54-Parametros_Alargados!$F55)/(Parametros_Alargados!$G55-Parametros_Alargados!$F55)*100)),MIN(100,MAX(0,(Parametros_Alargados!$G55-Base_Alargada!S54)/(Parametros_Alargados!$G55-Parametros_Alargados!$F55)*100))))</f>
        <v/>
      </c>
      <c r="E51" s="115">
        <f>IF(Base_Alargada!T54="","",IF(Parametros_Alargados!$D55="+",MIN(100,MAX(0,(Base_Alargada!T54-Parametros_Alargados!$F55)/(Parametros_Alargados!$G55-Parametros_Alargados!$F55)*100)),MIN(100,MAX(0,(Parametros_Alargados!$G55-Base_Alargada!T54)/(Parametros_Alargados!$G55-Parametros_Alargados!$F55)*100))))</f>
        <v/>
      </c>
      <c r="F51" s="115">
        <f>IF(Base_Alargada!U54="","",IF(Parametros_Alargados!$D55="+",MIN(100,MAX(0,(Base_Alargada!U54-Parametros_Alargados!$F55)/(Parametros_Alargados!$G55-Parametros_Alargados!$F55)*100)),MIN(100,MAX(0,(Parametros_Alargados!$G55-Base_Alargada!U54)/(Parametros_Alargados!$G55-Parametros_Alargados!$F55)*100))))</f>
        <v/>
      </c>
      <c r="G51" s="115">
        <f>IF(Base_Alargada!V54="","",IF(Parametros_Alargados!$D55="+",MIN(100,MAX(0,(Base_Alargada!V54-Parametros_Alargados!$F55)/(Parametros_Alargados!$G55-Parametros_Alargados!$F55)*100)),MIN(100,MAX(0,(Parametros_Alargados!$G55-Base_Alargada!V54)/(Parametros_Alargados!$G55-Parametros_Alargados!$F55)*100))))</f>
        <v/>
      </c>
      <c r="H51" s="115">
        <f>IF(Base_Alargada!W54="","",IF(Parametros_Alargados!$D55="+",MIN(100,MAX(0,(Base_Alargada!W54-Parametros_Alargados!$F55)/(Parametros_Alargados!$G55-Parametros_Alargados!$F55)*100)),MIN(100,MAX(0,(Parametros_Alargados!$G55-Base_Alargada!W54)/(Parametros_Alargados!$G55-Parametros_Alargados!$F55)*100))))</f>
        <v/>
      </c>
      <c r="I51" s="115">
        <f>IF(Base_Alargada!X54="","",IF(Parametros_Alargados!$D55="+",MIN(100,MAX(0,(Base_Alargada!X54-Parametros_Alargados!$F55)/(Parametros_Alargados!$G55-Parametros_Alargados!$F55)*100)),MIN(100,MAX(0,(Parametros_Alargados!$G55-Base_Alargada!X54)/(Parametros_Alargados!$G55-Parametros_Alargados!$F55)*100))))</f>
        <v/>
      </c>
      <c r="J51" s="115">
        <f>IF(Base_Alargada!Y54="","",IF(Parametros_Alargados!$D55="+",MIN(100,MAX(0,(Base_Alargada!Y54-Parametros_Alargados!$F55)/(Parametros_Alargados!$G55-Parametros_Alargados!$F55)*100)),MIN(100,MAX(0,(Parametros_Alargados!$G55-Base_Alargada!Y54)/(Parametros_Alargados!$G55-Parametros_Alargados!$F55)*100))))</f>
        <v/>
      </c>
      <c r="K51" s="115">
        <f>IF(Base_Alargada!Z54="","",IF(Parametros_Alargados!$D55="+",MIN(100,MAX(0,(Base_Alargada!Z54-Parametros_Alargados!$F55)/(Parametros_Alargados!$G55-Parametros_Alargados!$F55)*100)),MIN(100,MAX(0,(Parametros_Alargados!$G55-Base_Alargada!Z54)/(Parametros_Alargados!$G55-Parametros_Alargados!$F55)*100))))</f>
        <v/>
      </c>
      <c r="L51" s="115">
        <f>IF(Base_Alargada!AA54="","",IF(Parametros_Alargados!$D55="+",MIN(100,MAX(0,(Base_Alargada!AA54-Parametros_Alargados!$F55)/(Parametros_Alargados!$G55-Parametros_Alargados!$F55)*100)),MIN(100,MAX(0,(Parametros_Alargados!$G55-Base_Alargada!AA54)/(Parametros_Alargados!$G55-Parametros_Alargados!$F55)*100))))</f>
        <v/>
      </c>
      <c r="M51" s="115">
        <f>IF(Base_Alargada!AB54="","",IF(Parametros_Alargados!$D55="+",MIN(100,MAX(0,(Base_Alargada!AB54-Parametros_Alargados!$F55)/(Parametros_Alargados!$G55-Parametros_Alargados!$F55)*100)),MIN(100,MAX(0,(Parametros_Alargados!$G55-Base_Alargada!AB54)/(Parametros_Alargados!$G55-Parametros_Alargados!$F55)*100))))</f>
        <v/>
      </c>
    </row>
    <row r="52">
      <c r="A52" t="inlineStr">
        <is>
          <t>4. Inclusão Social e Protecção</t>
        </is>
      </c>
      <c r="B52" t="inlineStr">
        <is>
          <t>Pobreza internacional a 3,00 USD/dia, PPP 2021</t>
        </is>
      </c>
      <c r="C52" s="115">
        <f>IF(Base_Alargada!R55="","",IF(Parametros_Alargados!$D56="+",MIN(100,MAX(0,(Base_Alargada!R55-Parametros_Alargados!$F56)/(Parametros_Alargados!$G56-Parametros_Alargados!$F56)*100)),MIN(100,MAX(0,(Parametros_Alargados!$G56-Base_Alargada!R55)/(Parametros_Alargados!$G56-Parametros_Alargados!$F56)*100))))</f>
        <v/>
      </c>
      <c r="D52" s="115">
        <f>IF(Base_Alargada!S55="","",IF(Parametros_Alargados!$D56="+",MIN(100,MAX(0,(Base_Alargada!S55-Parametros_Alargados!$F56)/(Parametros_Alargados!$G56-Parametros_Alargados!$F56)*100)),MIN(100,MAX(0,(Parametros_Alargados!$G56-Base_Alargada!S55)/(Parametros_Alargados!$G56-Parametros_Alargados!$F56)*100))))</f>
        <v/>
      </c>
      <c r="E52" s="115">
        <f>IF(Base_Alargada!T55="","",IF(Parametros_Alargados!$D56="+",MIN(100,MAX(0,(Base_Alargada!T55-Parametros_Alargados!$F56)/(Parametros_Alargados!$G56-Parametros_Alargados!$F56)*100)),MIN(100,MAX(0,(Parametros_Alargados!$G56-Base_Alargada!T55)/(Parametros_Alargados!$G56-Parametros_Alargados!$F56)*100))))</f>
        <v/>
      </c>
      <c r="F52" s="115">
        <f>IF(Base_Alargada!U55="","",IF(Parametros_Alargados!$D56="+",MIN(100,MAX(0,(Base_Alargada!U55-Parametros_Alargados!$F56)/(Parametros_Alargados!$G56-Parametros_Alargados!$F56)*100)),MIN(100,MAX(0,(Parametros_Alargados!$G56-Base_Alargada!U55)/(Parametros_Alargados!$G56-Parametros_Alargados!$F56)*100))))</f>
        <v/>
      </c>
      <c r="G52" s="115">
        <f>IF(Base_Alargada!V55="","",IF(Parametros_Alargados!$D56="+",MIN(100,MAX(0,(Base_Alargada!V55-Parametros_Alargados!$F56)/(Parametros_Alargados!$G56-Parametros_Alargados!$F56)*100)),MIN(100,MAX(0,(Parametros_Alargados!$G56-Base_Alargada!V55)/(Parametros_Alargados!$G56-Parametros_Alargados!$F56)*100))))</f>
        <v/>
      </c>
      <c r="H52" s="115">
        <f>IF(Base_Alargada!W55="","",IF(Parametros_Alargados!$D56="+",MIN(100,MAX(0,(Base_Alargada!W55-Parametros_Alargados!$F56)/(Parametros_Alargados!$G56-Parametros_Alargados!$F56)*100)),MIN(100,MAX(0,(Parametros_Alargados!$G56-Base_Alargada!W55)/(Parametros_Alargados!$G56-Parametros_Alargados!$F56)*100))))</f>
        <v/>
      </c>
      <c r="I52" s="115">
        <f>IF(Base_Alargada!X55="","",IF(Parametros_Alargados!$D56="+",MIN(100,MAX(0,(Base_Alargada!X55-Parametros_Alargados!$F56)/(Parametros_Alargados!$G56-Parametros_Alargados!$F56)*100)),MIN(100,MAX(0,(Parametros_Alargados!$G56-Base_Alargada!X55)/(Parametros_Alargados!$G56-Parametros_Alargados!$F56)*100))))</f>
        <v/>
      </c>
      <c r="J52" s="115">
        <f>IF(Base_Alargada!Y55="","",IF(Parametros_Alargados!$D56="+",MIN(100,MAX(0,(Base_Alargada!Y55-Parametros_Alargados!$F56)/(Parametros_Alargados!$G56-Parametros_Alargados!$F56)*100)),MIN(100,MAX(0,(Parametros_Alargados!$G56-Base_Alargada!Y55)/(Parametros_Alargados!$G56-Parametros_Alargados!$F56)*100))))</f>
        <v/>
      </c>
      <c r="K52" s="115">
        <f>IF(Base_Alargada!Z55="","",IF(Parametros_Alargados!$D56="+",MIN(100,MAX(0,(Base_Alargada!Z55-Parametros_Alargados!$F56)/(Parametros_Alargados!$G56-Parametros_Alargados!$F56)*100)),MIN(100,MAX(0,(Parametros_Alargados!$G56-Base_Alargada!Z55)/(Parametros_Alargados!$G56-Parametros_Alargados!$F56)*100))))</f>
        <v/>
      </c>
      <c r="L52" s="115">
        <f>IF(Base_Alargada!AA55="","",IF(Parametros_Alargados!$D56="+",MIN(100,MAX(0,(Base_Alargada!AA55-Parametros_Alargados!$F56)/(Parametros_Alargados!$G56-Parametros_Alargados!$F56)*100)),MIN(100,MAX(0,(Parametros_Alargados!$G56-Base_Alargada!AA55)/(Parametros_Alargados!$G56-Parametros_Alargados!$F56)*100))))</f>
        <v/>
      </c>
      <c r="M52" s="115">
        <f>IF(Base_Alargada!AB55="","",IF(Parametros_Alargados!$D56="+",MIN(100,MAX(0,(Base_Alargada!AB55-Parametros_Alargados!$F56)/(Parametros_Alargados!$G56-Parametros_Alargados!$F56)*100)),MIN(100,MAX(0,(Parametros_Alargados!$G56-Base_Alargada!AB55)/(Parametros_Alargados!$G56-Parametros_Alargados!$F56)*100))))</f>
        <v/>
      </c>
    </row>
    <row r="53">
      <c r="A53" t="inlineStr">
        <is>
          <t>4. Inclusão Social e Protecção</t>
        </is>
      </c>
      <c r="B53" t="inlineStr">
        <is>
          <t>Índice de Gini</t>
        </is>
      </c>
      <c r="C53" s="115">
        <f>IF(Base_Alargada!R56="","",IF(Parametros_Alargados!$D57="+",MIN(100,MAX(0,(Base_Alargada!R56-Parametros_Alargados!$F57)/(Parametros_Alargados!$G57-Parametros_Alargados!$F57)*100)),MIN(100,MAX(0,(Parametros_Alargados!$G57-Base_Alargada!R56)/(Parametros_Alargados!$G57-Parametros_Alargados!$F57)*100))))</f>
        <v/>
      </c>
      <c r="D53" s="115">
        <f>IF(Base_Alargada!S56="","",IF(Parametros_Alargados!$D57="+",MIN(100,MAX(0,(Base_Alargada!S56-Parametros_Alargados!$F57)/(Parametros_Alargados!$G57-Parametros_Alargados!$F57)*100)),MIN(100,MAX(0,(Parametros_Alargados!$G57-Base_Alargada!S56)/(Parametros_Alargados!$G57-Parametros_Alargados!$F57)*100))))</f>
        <v/>
      </c>
      <c r="E53" s="115">
        <f>IF(Base_Alargada!T56="","",IF(Parametros_Alargados!$D57="+",MIN(100,MAX(0,(Base_Alargada!T56-Parametros_Alargados!$F57)/(Parametros_Alargados!$G57-Parametros_Alargados!$F57)*100)),MIN(100,MAX(0,(Parametros_Alargados!$G57-Base_Alargada!T56)/(Parametros_Alargados!$G57-Parametros_Alargados!$F57)*100))))</f>
        <v/>
      </c>
      <c r="F53" s="115">
        <f>IF(Base_Alargada!U56="","",IF(Parametros_Alargados!$D57="+",MIN(100,MAX(0,(Base_Alargada!U56-Parametros_Alargados!$F57)/(Parametros_Alargados!$G57-Parametros_Alargados!$F57)*100)),MIN(100,MAX(0,(Parametros_Alargados!$G57-Base_Alargada!U56)/(Parametros_Alargados!$G57-Parametros_Alargados!$F57)*100))))</f>
        <v/>
      </c>
      <c r="G53" s="115">
        <f>IF(Base_Alargada!V56="","",IF(Parametros_Alargados!$D57="+",MIN(100,MAX(0,(Base_Alargada!V56-Parametros_Alargados!$F57)/(Parametros_Alargados!$G57-Parametros_Alargados!$F57)*100)),MIN(100,MAX(0,(Parametros_Alargados!$G57-Base_Alargada!V56)/(Parametros_Alargados!$G57-Parametros_Alargados!$F57)*100))))</f>
        <v/>
      </c>
      <c r="H53" s="115">
        <f>IF(Base_Alargada!W56="","",IF(Parametros_Alargados!$D57="+",MIN(100,MAX(0,(Base_Alargada!W56-Parametros_Alargados!$F57)/(Parametros_Alargados!$G57-Parametros_Alargados!$F57)*100)),MIN(100,MAX(0,(Parametros_Alargados!$G57-Base_Alargada!W56)/(Parametros_Alargados!$G57-Parametros_Alargados!$F57)*100))))</f>
        <v/>
      </c>
      <c r="I53" s="115">
        <f>IF(Base_Alargada!X56="","",IF(Parametros_Alargados!$D57="+",MIN(100,MAX(0,(Base_Alargada!X56-Parametros_Alargados!$F57)/(Parametros_Alargados!$G57-Parametros_Alargados!$F57)*100)),MIN(100,MAX(0,(Parametros_Alargados!$G57-Base_Alargada!X56)/(Parametros_Alargados!$G57-Parametros_Alargados!$F57)*100))))</f>
        <v/>
      </c>
      <c r="J53" s="115">
        <f>IF(Base_Alargada!Y56="","",IF(Parametros_Alargados!$D57="+",MIN(100,MAX(0,(Base_Alargada!Y56-Parametros_Alargados!$F57)/(Parametros_Alargados!$G57-Parametros_Alargados!$F57)*100)),MIN(100,MAX(0,(Parametros_Alargados!$G57-Base_Alargada!Y56)/(Parametros_Alargados!$G57-Parametros_Alargados!$F57)*100))))</f>
        <v/>
      </c>
      <c r="K53" s="115">
        <f>IF(Base_Alargada!Z56="","",IF(Parametros_Alargados!$D57="+",MIN(100,MAX(0,(Base_Alargada!Z56-Parametros_Alargados!$F57)/(Parametros_Alargados!$G57-Parametros_Alargados!$F57)*100)),MIN(100,MAX(0,(Parametros_Alargados!$G57-Base_Alargada!Z56)/(Parametros_Alargados!$G57-Parametros_Alargados!$F57)*100))))</f>
        <v/>
      </c>
      <c r="L53" s="115">
        <f>IF(Base_Alargada!AA56="","",IF(Parametros_Alargados!$D57="+",MIN(100,MAX(0,(Base_Alargada!AA56-Parametros_Alargados!$F57)/(Parametros_Alargados!$G57-Parametros_Alargados!$F57)*100)),MIN(100,MAX(0,(Parametros_Alargados!$G57-Base_Alargada!AA56)/(Parametros_Alargados!$G57-Parametros_Alargados!$F57)*100))))</f>
        <v/>
      </c>
      <c r="M53" s="115">
        <f>IF(Base_Alargada!AB56="","",IF(Parametros_Alargados!$D57="+",MIN(100,MAX(0,(Base_Alargada!AB56-Parametros_Alargados!$F57)/(Parametros_Alargados!$G57-Parametros_Alargados!$F57)*100)),MIN(100,MAX(0,(Parametros_Alargados!$G57-Base_Alargada!AB56)/(Parametros_Alargados!$G57-Parametros_Alargados!$F57)*100))))</f>
        <v/>
      </c>
    </row>
    <row r="54">
      <c r="A54" t="inlineStr">
        <is>
          <t>4. Inclusão Social e Protecção</t>
        </is>
      </c>
      <c r="B54" t="inlineStr">
        <is>
          <t>Quota de rendimento dos 20% mais pobres</t>
        </is>
      </c>
      <c r="C54" s="115">
        <f>IF(Base_Alargada!R57="","",IF(Parametros_Alargados!$D58="+",MIN(100,MAX(0,(Base_Alargada!R57-Parametros_Alargados!$F58)/(Parametros_Alargados!$G58-Parametros_Alargados!$F58)*100)),MIN(100,MAX(0,(Parametros_Alargados!$G58-Base_Alargada!R57)/(Parametros_Alargados!$G58-Parametros_Alargados!$F58)*100))))</f>
        <v/>
      </c>
      <c r="D54" s="115">
        <f>IF(Base_Alargada!S57="","",IF(Parametros_Alargados!$D58="+",MIN(100,MAX(0,(Base_Alargada!S57-Parametros_Alargados!$F58)/(Parametros_Alargados!$G58-Parametros_Alargados!$F58)*100)),MIN(100,MAX(0,(Parametros_Alargados!$G58-Base_Alargada!S57)/(Parametros_Alargados!$G58-Parametros_Alargados!$F58)*100))))</f>
        <v/>
      </c>
      <c r="E54" s="115">
        <f>IF(Base_Alargada!T57="","",IF(Parametros_Alargados!$D58="+",MIN(100,MAX(0,(Base_Alargada!T57-Parametros_Alargados!$F58)/(Parametros_Alargados!$G58-Parametros_Alargados!$F58)*100)),MIN(100,MAX(0,(Parametros_Alargados!$G58-Base_Alargada!T57)/(Parametros_Alargados!$G58-Parametros_Alargados!$F58)*100))))</f>
        <v/>
      </c>
      <c r="F54" s="115">
        <f>IF(Base_Alargada!U57="","",IF(Parametros_Alargados!$D58="+",MIN(100,MAX(0,(Base_Alargada!U57-Parametros_Alargados!$F58)/(Parametros_Alargados!$G58-Parametros_Alargados!$F58)*100)),MIN(100,MAX(0,(Parametros_Alargados!$G58-Base_Alargada!U57)/(Parametros_Alargados!$G58-Parametros_Alargados!$F58)*100))))</f>
        <v/>
      </c>
      <c r="G54" s="115">
        <f>IF(Base_Alargada!V57="","",IF(Parametros_Alargados!$D58="+",MIN(100,MAX(0,(Base_Alargada!V57-Parametros_Alargados!$F58)/(Parametros_Alargados!$G58-Parametros_Alargados!$F58)*100)),MIN(100,MAX(0,(Parametros_Alargados!$G58-Base_Alargada!V57)/(Parametros_Alargados!$G58-Parametros_Alargados!$F58)*100))))</f>
        <v/>
      </c>
      <c r="H54" s="115">
        <f>IF(Base_Alargada!W57="","",IF(Parametros_Alargados!$D58="+",MIN(100,MAX(0,(Base_Alargada!W57-Parametros_Alargados!$F58)/(Parametros_Alargados!$G58-Parametros_Alargados!$F58)*100)),MIN(100,MAX(0,(Parametros_Alargados!$G58-Base_Alargada!W57)/(Parametros_Alargados!$G58-Parametros_Alargados!$F58)*100))))</f>
        <v/>
      </c>
      <c r="I54" s="115">
        <f>IF(Base_Alargada!X57="","",IF(Parametros_Alargados!$D58="+",MIN(100,MAX(0,(Base_Alargada!X57-Parametros_Alargados!$F58)/(Parametros_Alargados!$G58-Parametros_Alargados!$F58)*100)),MIN(100,MAX(0,(Parametros_Alargados!$G58-Base_Alargada!X57)/(Parametros_Alargados!$G58-Parametros_Alargados!$F58)*100))))</f>
        <v/>
      </c>
      <c r="J54" s="115">
        <f>IF(Base_Alargada!Y57="","",IF(Parametros_Alargados!$D58="+",MIN(100,MAX(0,(Base_Alargada!Y57-Parametros_Alargados!$F58)/(Parametros_Alargados!$G58-Parametros_Alargados!$F58)*100)),MIN(100,MAX(0,(Parametros_Alargados!$G58-Base_Alargada!Y57)/(Parametros_Alargados!$G58-Parametros_Alargados!$F58)*100))))</f>
        <v/>
      </c>
      <c r="K54" s="115">
        <f>IF(Base_Alargada!Z57="","",IF(Parametros_Alargados!$D58="+",MIN(100,MAX(0,(Base_Alargada!Z57-Parametros_Alargados!$F58)/(Parametros_Alargados!$G58-Parametros_Alargados!$F58)*100)),MIN(100,MAX(0,(Parametros_Alargados!$G58-Base_Alargada!Z57)/(Parametros_Alargados!$G58-Parametros_Alargados!$F58)*100))))</f>
        <v/>
      </c>
      <c r="L54" s="115">
        <f>IF(Base_Alargada!AA57="","",IF(Parametros_Alargados!$D58="+",MIN(100,MAX(0,(Base_Alargada!AA57-Parametros_Alargados!$F58)/(Parametros_Alargados!$G58-Parametros_Alargados!$F58)*100)),MIN(100,MAX(0,(Parametros_Alargados!$G58-Base_Alargada!AA57)/(Parametros_Alargados!$G58-Parametros_Alargados!$F58)*100))))</f>
        <v/>
      </c>
      <c r="M54" s="115">
        <f>IF(Base_Alargada!AB57="","",IF(Parametros_Alargados!$D58="+",MIN(100,MAX(0,(Base_Alargada!AB57-Parametros_Alargados!$F58)/(Parametros_Alargados!$G58-Parametros_Alargados!$F58)*100)),MIN(100,MAX(0,(Parametros_Alargados!$G58-Base_Alargada!AB57)/(Parametros_Alargados!$G58-Parametros_Alargados!$F58)*100))))</f>
        <v/>
      </c>
    </row>
    <row r="55">
      <c r="A55" t="inlineStr">
        <is>
          <t>4. Inclusão Social e Protecção</t>
        </is>
      </c>
      <c r="B55" t="inlineStr">
        <is>
          <t>Cobertura de proteção social da população</t>
        </is>
      </c>
      <c r="C55" s="115">
        <f>IF(Base_Alargada!R58="","",IF(Parametros_Alargados!$D59="+",MIN(100,MAX(0,(Base_Alargada!R58-Parametros_Alargados!$F59)/(Parametros_Alargados!$G59-Parametros_Alargados!$F59)*100)),MIN(100,MAX(0,(Parametros_Alargados!$G59-Base_Alargada!R58)/(Parametros_Alargados!$G59-Parametros_Alargados!$F59)*100))))</f>
        <v/>
      </c>
      <c r="D55" s="115">
        <f>IF(Base_Alargada!S58="","",IF(Parametros_Alargados!$D59="+",MIN(100,MAX(0,(Base_Alargada!S58-Parametros_Alargados!$F59)/(Parametros_Alargados!$G59-Parametros_Alargados!$F59)*100)),MIN(100,MAX(0,(Parametros_Alargados!$G59-Base_Alargada!S58)/(Parametros_Alargados!$G59-Parametros_Alargados!$F59)*100))))</f>
        <v/>
      </c>
      <c r="E55" s="115">
        <f>IF(Base_Alargada!T58="","",IF(Parametros_Alargados!$D59="+",MIN(100,MAX(0,(Base_Alargada!T58-Parametros_Alargados!$F59)/(Parametros_Alargados!$G59-Parametros_Alargados!$F59)*100)),MIN(100,MAX(0,(Parametros_Alargados!$G59-Base_Alargada!T58)/(Parametros_Alargados!$G59-Parametros_Alargados!$F59)*100))))</f>
        <v/>
      </c>
      <c r="F55" s="115">
        <f>IF(Base_Alargada!U58="","",IF(Parametros_Alargados!$D59="+",MIN(100,MAX(0,(Base_Alargada!U58-Parametros_Alargados!$F59)/(Parametros_Alargados!$G59-Parametros_Alargados!$F59)*100)),MIN(100,MAX(0,(Parametros_Alargados!$G59-Base_Alargada!U58)/(Parametros_Alargados!$G59-Parametros_Alargados!$F59)*100))))</f>
        <v/>
      </c>
      <c r="G55" s="115">
        <f>IF(Base_Alargada!V58="","",IF(Parametros_Alargados!$D59="+",MIN(100,MAX(0,(Base_Alargada!V58-Parametros_Alargados!$F59)/(Parametros_Alargados!$G59-Parametros_Alargados!$F59)*100)),MIN(100,MAX(0,(Parametros_Alargados!$G59-Base_Alargada!V58)/(Parametros_Alargados!$G59-Parametros_Alargados!$F59)*100))))</f>
        <v/>
      </c>
      <c r="H55" s="115">
        <f>IF(Base_Alargada!W58="","",IF(Parametros_Alargados!$D59="+",MIN(100,MAX(0,(Base_Alargada!W58-Parametros_Alargados!$F59)/(Parametros_Alargados!$G59-Parametros_Alargados!$F59)*100)),MIN(100,MAX(0,(Parametros_Alargados!$G59-Base_Alargada!W58)/(Parametros_Alargados!$G59-Parametros_Alargados!$F59)*100))))</f>
        <v/>
      </c>
      <c r="I55" s="115">
        <f>IF(Base_Alargada!X58="","",IF(Parametros_Alargados!$D59="+",MIN(100,MAX(0,(Base_Alargada!X58-Parametros_Alargados!$F59)/(Parametros_Alargados!$G59-Parametros_Alargados!$F59)*100)),MIN(100,MAX(0,(Parametros_Alargados!$G59-Base_Alargada!X58)/(Parametros_Alargados!$G59-Parametros_Alargados!$F59)*100))))</f>
        <v/>
      </c>
      <c r="J55" s="115">
        <f>IF(Base_Alargada!Y58="","",IF(Parametros_Alargados!$D59="+",MIN(100,MAX(0,(Base_Alargada!Y58-Parametros_Alargados!$F59)/(Parametros_Alargados!$G59-Parametros_Alargados!$F59)*100)),MIN(100,MAX(0,(Parametros_Alargados!$G59-Base_Alargada!Y58)/(Parametros_Alargados!$G59-Parametros_Alargados!$F59)*100))))</f>
        <v/>
      </c>
      <c r="K55" s="115">
        <f>IF(Base_Alargada!Z58="","",IF(Parametros_Alargados!$D59="+",MIN(100,MAX(0,(Base_Alargada!Z58-Parametros_Alargados!$F59)/(Parametros_Alargados!$G59-Parametros_Alargados!$F59)*100)),MIN(100,MAX(0,(Parametros_Alargados!$G59-Base_Alargada!Z58)/(Parametros_Alargados!$G59-Parametros_Alargados!$F59)*100))))</f>
        <v/>
      </c>
      <c r="L55" s="115">
        <f>IF(Base_Alargada!AA58="","",IF(Parametros_Alargados!$D59="+",MIN(100,MAX(0,(Base_Alargada!AA58-Parametros_Alargados!$F59)/(Parametros_Alargados!$G59-Parametros_Alargados!$F59)*100)),MIN(100,MAX(0,(Parametros_Alargados!$G59-Base_Alargada!AA58)/(Parametros_Alargados!$G59-Parametros_Alargados!$F59)*100))))</f>
        <v/>
      </c>
      <c r="M55" s="115">
        <f>IF(Base_Alargada!AB58="","",IF(Parametros_Alargados!$D59="+",MIN(100,MAX(0,(Base_Alargada!AB58-Parametros_Alargados!$F59)/(Parametros_Alargados!$G59-Parametros_Alargados!$F59)*100)),MIN(100,MAX(0,(Parametros_Alargados!$G59-Base_Alargada!AB58)/(Parametros_Alargados!$G59-Parametros_Alargados!$F59)*100))))</f>
        <v/>
      </c>
    </row>
    <row r="56">
      <c r="A56" t="inlineStr">
        <is>
          <t>4. Inclusão Social e Protecção</t>
        </is>
      </c>
      <c r="B56" t="inlineStr">
        <is>
          <t>Índice de Pobreza Multidimensional - incidência</t>
        </is>
      </c>
      <c r="C56" s="115">
        <f>IF(Base_Alargada!R59="","",IF(Parametros_Alargados!$D60="+",MIN(100,MAX(0,(Base_Alargada!R59-Parametros_Alargados!$F60)/(Parametros_Alargados!$G60-Parametros_Alargados!$F60)*100)),MIN(100,MAX(0,(Parametros_Alargados!$G60-Base_Alargada!R59)/(Parametros_Alargados!$G60-Parametros_Alargados!$F60)*100))))</f>
        <v/>
      </c>
      <c r="D56" s="115">
        <f>IF(Base_Alargada!S59="","",IF(Parametros_Alargados!$D60="+",MIN(100,MAX(0,(Base_Alargada!S59-Parametros_Alargados!$F60)/(Parametros_Alargados!$G60-Parametros_Alargados!$F60)*100)),MIN(100,MAX(0,(Parametros_Alargados!$G60-Base_Alargada!S59)/(Parametros_Alargados!$G60-Parametros_Alargados!$F60)*100))))</f>
        <v/>
      </c>
      <c r="E56" s="115">
        <f>IF(Base_Alargada!T59="","",IF(Parametros_Alargados!$D60="+",MIN(100,MAX(0,(Base_Alargada!T59-Parametros_Alargados!$F60)/(Parametros_Alargados!$G60-Parametros_Alargados!$F60)*100)),MIN(100,MAX(0,(Parametros_Alargados!$G60-Base_Alargada!T59)/(Parametros_Alargados!$G60-Parametros_Alargados!$F60)*100))))</f>
        <v/>
      </c>
      <c r="F56" s="115">
        <f>IF(Base_Alargada!U59="","",IF(Parametros_Alargados!$D60="+",MIN(100,MAX(0,(Base_Alargada!U59-Parametros_Alargados!$F60)/(Parametros_Alargados!$G60-Parametros_Alargados!$F60)*100)),MIN(100,MAX(0,(Parametros_Alargados!$G60-Base_Alargada!U59)/(Parametros_Alargados!$G60-Parametros_Alargados!$F60)*100))))</f>
        <v/>
      </c>
      <c r="G56" s="115">
        <f>IF(Base_Alargada!V59="","",IF(Parametros_Alargados!$D60="+",MIN(100,MAX(0,(Base_Alargada!V59-Parametros_Alargados!$F60)/(Parametros_Alargados!$G60-Parametros_Alargados!$F60)*100)),MIN(100,MAX(0,(Parametros_Alargados!$G60-Base_Alargada!V59)/(Parametros_Alargados!$G60-Parametros_Alargados!$F60)*100))))</f>
        <v/>
      </c>
      <c r="H56" s="115">
        <f>IF(Base_Alargada!W59="","",IF(Parametros_Alargados!$D60="+",MIN(100,MAX(0,(Base_Alargada!W59-Parametros_Alargados!$F60)/(Parametros_Alargados!$G60-Parametros_Alargados!$F60)*100)),MIN(100,MAX(0,(Parametros_Alargados!$G60-Base_Alargada!W59)/(Parametros_Alargados!$G60-Parametros_Alargados!$F60)*100))))</f>
        <v/>
      </c>
      <c r="I56" s="115">
        <f>IF(Base_Alargada!X59="","",IF(Parametros_Alargados!$D60="+",MIN(100,MAX(0,(Base_Alargada!X59-Parametros_Alargados!$F60)/(Parametros_Alargados!$G60-Parametros_Alargados!$F60)*100)),MIN(100,MAX(0,(Parametros_Alargados!$G60-Base_Alargada!X59)/(Parametros_Alargados!$G60-Parametros_Alargados!$F60)*100))))</f>
        <v/>
      </c>
      <c r="J56" s="115">
        <f>IF(Base_Alargada!Y59="","",IF(Parametros_Alargados!$D60="+",MIN(100,MAX(0,(Base_Alargada!Y59-Parametros_Alargados!$F60)/(Parametros_Alargados!$G60-Parametros_Alargados!$F60)*100)),MIN(100,MAX(0,(Parametros_Alargados!$G60-Base_Alargada!Y59)/(Parametros_Alargados!$G60-Parametros_Alargados!$F60)*100))))</f>
        <v/>
      </c>
      <c r="K56" s="115">
        <f>IF(Base_Alargada!Z59="","",IF(Parametros_Alargados!$D60="+",MIN(100,MAX(0,(Base_Alargada!Z59-Parametros_Alargados!$F60)/(Parametros_Alargados!$G60-Parametros_Alargados!$F60)*100)),MIN(100,MAX(0,(Parametros_Alargados!$G60-Base_Alargada!Z59)/(Parametros_Alargados!$G60-Parametros_Alargados!$F60)*100))))</f>
        <v/>
      </c>
      <c r="L56" s="115">
        <f>IF(Base_Alargada!AA59="","",IF(Parametros_Alargados!$D60="+",MIN(100,MAX(0,(Base_Alargada!AA59-Parametros_Alargados!$F60)/(Parametros_Alargados!$G60-Parametros_Alargados!$F60)*100)),MIN(100,MAX(0,(Parametros_Alargados!$G60-Base_Alargada!AA59)/(Parametros_Alargados!$G60-Parametros_Alargados!$F60)*100))))</f>
        <v/>
      </c>
      <c r="M56" s="115">
        <f>IF(Base_Alargada!AB59="","",IF(Parametros_Alargados!$D60="+",MIN(100,MAX(0,(Base_Alargada!AB59-Parametros_Alargados!$F60)/(Parametros_Alargados!$G60-Parametros_Alargados!$F60)*100)),MIN(100,MAX(0,(Parametros_Alargados!$G60-Base_Alargada!AB59)/(Parametros_Alargados!$G60-Parametros_Alargados!$F60)*100))))</f>
        <v/>
      </c>
    </row>
    <row r="57">
      <c r="A57" t="inlineStr">
        <is>
          <t>4. Inclusão Social e Protecção</t>
        </is>
      </c>
      <c r="B57" t="inlineStr">
        <is>
          <t>Jovens NEET</t>
        </is>
      </c>
      <c r="C57" s="115">
        <f>IF(Base_Alargada!R60="","",IF(Parametros_Alargados!$D61="+",MIN(100,MAX(0,(Base_Alargada!R60-Parametros_Alargados!$F61)/(Parametros_Alargados!$G61-Parametros_Alargados!$F61)*100)),MIN(100,MAX(0,(Parametros_Alargados!$G61-Base_Alargada!R60)/(Parametros_Alargados!$G61-Parametros_Alargados!$F61)*100))))</f>
        <v/>
      </c>
      <c r="D57" s="115">
        <f>IF(Base_Alargada!S60="","",IF(Parametros_Alargados!$D61="+",MIN(100,MAX(0,(Base_Alargada!S60-Parametros_Alargados!$F61)/(Parametros_Alargados!$G61-Parametros_Alargados!$F61)*100)),MIN(100,MAX(0,(Parametros_Alargados!$G61-Base_Alargada!S60)/(Parametros_Alargados!$G61-Parametros_Alargados!$F61)*100))))</f>
        <v/>
      </c>
      <c r="E57" s="115">
        <f>IF(Base_Alargada!T60="","",IF(Parametros_Alargados!$D61="+",MIN(100,MAX(0,(Base_Alargada!T60-Parametros_Alargados!$F61)/(Parametros_Alargados!$G61-Parametros_Alargados!$F61)*100)),MIN(100,MAX(0,(Parametros_Alargados!$G61-Base_Alargada!T60)/(Parametros_Alargados!$G61-Parametros_Alargados!$F61)*100))))</f>
        <v/>
      </c>
      <c r="F57" s="115">
        <f>IF(Base_Alargada!U60="","",IF(Parametros_Alargados!$D61="+",MIN(100,MAX(0,(Base_Alargada!U60-Parametros_Alargados!$F61)/(Parametros_Alargados!$G61-Parametros_Alargados!$F61)*100)),MIN(100,MAX(0,(Parametros_Alargados!$G61-Base_Alargada!U60)/(Parametros_Alargados!$G61-Parametros_Alargados!$F61)*100))))</f>
        <v/>
      </c>
      <c r="G57" s="115">
        <f>IF(Base_Alargada!V60="","",IF(Parametros_Alargados!$D61="+",MIN(100,MAX(0,(Base_Alargada!V60-Parametros_Alargados!$F61)/(Parametros_Alargados!$G61-Parametros_Alargados!$F61)*100)),MIN(100,MAX(0,(Parametros_Alargados!$G61-Base_Alargada!V60)/(Parametros_Alargados!$G61-Parametros_Alargados!$F61)*100))))</f>
        <v/>
      </c>
      <c r="H57" s="115">
        <f>IF(Base_Alargada!W60="","",IF(Parametros_Alargados!$D61="+",MIN(100,MAX(0,(Base_Alargada!W60-Parametros_Alargados!$F61)/(Parametros_Alargados!$G61-Parametros_Alargados!$F61)*100)),MIN(100,MAX(0,(Parametros_Alargados!$G61-Base_Alargada!W60)/(Parametros_Alargados!$G61-Parametros_Alargados!$F61)*100))))</f>
        <v/>
      </c>
      <c r="I57" s="115">
        <f>IF(Base_Alargada!X60="","",IF(Parametros_Alargados!$D61="+",MIN(100,MAX(0,(Base_Alargada!X60-Parametros_Alargados!$F61)/(Parametros_Alargados!$G61-Parametros_Alargados!$F61)*100)),MIN(100,MAX(0,(Parametros_Alargados!$G61-Base_Alargada!X60)/(Parametros_Alargados!$G61-Parametros_Alargados!$F61)*100))))</f>
        <v/>
      </c>
      <c r="J57" s="115">
        <f>IF(Base_Alargada!Y60="","",IF(Parametros_Alargados!$D61="+",MIN(100,MAX(0,(Base_Alargada!Y60-Parametros_Alargados!$F61)/(Parametros_Alargados!$G61-Parametros_Alargados!$F61)*100)),MIN(100,MAX(0,(Parametros_Alargados!$G61-Base_Alargada!Y60)/(Parametros_Alargados!$G61-Parametros_Alargados!$F61)*100))))</f>
        <v/>
      </c>
      <c r="K57" s="115">
        <f>IF(Base_Alargada!Z60="","",IF(Parametros_Alargados!$D61="+",MIN(100,MAX(0,(Base_Alargada!Z60-Parametros_Alargados!$F61)/(Parametros_Alargados!$G61-Parametros_Alargados!$F61)*100)),MIN(100,MAX(0,(Parametros_Alargados!$G61-Base_Alargada!Z60)/(Parametros_Alargados!$G61-Parametros_Alargados!$F61)*100))))</f>
        <v/>
      </c>
      <c r="L57" s="115">
        <f>IF(Base_Alargada!AA60="","",IF(Parametros_Alargados!$D61="+",MIN(100,MAX(0,(Base_Alargada!AA60-Parametros_Alargados!$F61)/(Parametros_Alargados!$G61-Parametros_Alargados!$F61)*100)),MIN(100,MAX(0,(Parametros_Alargados!$G61-Base_Alargada!AA60)/(Parametros_Alargados!$G61-Parametros_Alargados!$F61)*100))))</f>
        <v/>
      </c>
      <c r="M57" s="115">
        <f>IF(Base_Alargada!AB60="","",IF(Parametros_Alargados!$D61="+",MIN(100,MAX(0,(Base_Alargada!AB60-Parametros_Alargados!$F61)/(Parametros_Alargados!$G61-Parametros_Alargados!$F61)*100)),MIN(100,MAX(0,(Parametros_Alargados!$G61-Base_Alargada!AB60)/(Parametros_Alargados!$G61-Parametros_Alargados!$F61)*100))))</f>
        <v/>
      </c>
    </row>
    <row r="58">
      <c r="A58" t="inlineStr">
        <is>
          <t>4. Inclusão Social e Protecção</t>
        </is>
      </c>
      <c r="B58" t="inlineStr">
        <is>
          <t>Mulheres no parlamento</t>
        </is>
      </c>
      <c r="C58" s="115">
        <f>IF(Base_Alargada!R61="","",IF(Parametros_Alargados!$D62="+",MIN(100,MAX(0,(Base_Alargada!R61-Parametros_Alargados!$F62)/(Parametros_Alargados!$G62-Parametros_Alargados!$F62)*100)),MIN(100,MAX(0,(Parametros_Alargados!$G62-Base_Alargada!R61)/(Parametros_Alargados!$G62-Parametros_Alargados!$F62)*100))))</f>
        <v/>
      </c>
      <c r="D58" s="115">
        <f>IF(Base_Alargada!S61="","",IF(Parametros_Alargados!$D62="+",MIN(100,MAX(0,(Base_Alargada!S61-Parametros_Alargados!$F62)/(Parametros_Alargados!$G62-Parametros_Alargados!$F62)*100)),MIN(100,MAX(0,(Parametros_Alargados!$G62-Base_Alargada!S61)/(Parametros_Alargados!$G62-Parametros_Alargados!$F62)*100))))</f>
        <v/>
      </c>
      <c r="E58" s="115">
        <f>IF(Base_Alargada!T61="","",IF(Parametros_Alargados!$D62="+",MIN(100,MAX(0,(Base_Alargada!T61-Parametros_Alargados!$F62)/(Parametros_Alargados!$G62-Parametros_Alargados!$F62)*100)),MIN(100,MAX(0,(Parametros_Alargados!$G62-Base_Alargada!T61)/(Parametros_Alargados!$G62-Parametros_Alargados!$F62)*100))))</f>
        <v/>
      </c>
      <c r="F58" s="115">
        <f>IF(Base_Alargada!U61="","",IF(Parametros_Alargados!$D62="+",MIN(100,MAX(0,(Base_Alargada!U61-Parametros_Alargados!$F62)/(Parametros_Alargados!$G62-Parametros_Alargados!$F62)*100)),MIN(100,MAX(0,(Parametros_Alargados!$G62-Base_Alargada!U61)/(Parametros_Alargados!$G62-Parametros_Alargados!$F62)*100))))</f>
        <v/>
      </c>
      <c r="G58" s="115">
        <f>IF(Base_Alargada!V61="","",IF(Parametros_Alargados!$D62="+",MIN(100,MAX(0,(Base_Alargada!V61-Parametros_Alargados!$F62)/(Parametros_Alargados!$G62-Parametros_Alargados!$F62)*100)),MIN(100,MAX(0,(Parametros_Alargados!$G62-Base_Alargada!V61)/(Parametros_Alargados!$G62-Parametros_Alargados!$F62)*100))))</f>
        <v/>
      </c>
      <c r="H58" s="115">
        <f>IF(Base_Alargada!W61="","",IF(Parametros_Alargados!$D62="+",MIN(100,MAX(0,(Base_Alargada!W61-Parametros_Alargados!$F62)/(Parametros_Alargados!$G62-Parametros_Alargados!$F62)*100)),MIN(100,MAX(0,(Parametros_Alargados!$G62-Base_Alargada!W61)/(Parametros_Alargados!$G62-Parametros_Alargados!$F62)*100))))</f>
        <v/>
      </c>
      <c r="I58" s="115">
        <f>IF(Base_Alargada!X61="","",IF(Parametros_Alargados!$D62="+",MIN(100,MAX(0,(Base_Alargada!X61-Parametros_Alargados!$F62)/(Parametros_Alargados!$G62-Parametros_Alargados!$F62)*100)),MIN(100,MAX(0,(Parametros_Alargados!$G62-Base_Alargada!X61)/(Parametros_Alargados!$G62-Parametros_Alargados!$F62)*100))))</f>
        <v/>
      </c>
      <c r="J58" s="115">
        <f>IF(Base_Alargada!Y61="","",IF(Parametros_Alargados!$D62="+",MIN(100,MAX(0,(Base_Alargada!Y61-Parametros_Alargados!$F62)/(Parametros_Alargados!$G62-Parametros_Alargados!$F62)*100)),MIN(100,MAX(0,(Parametros_Alargados!$G62-Base_Alargada!Y61)/(Parametros_Alargados!$G62-Parametros_Alargados!$F62)*100))))</f>
        <v/>
      </c>
      <c r="K58" s="115">
        <f>IF(Base_Alargada!Z61="","",IF(Parametros_Alargados!$D62="+",MIN(100,MAX(0,(Base_Alargada!Z61-Parametros_Alargados!$F62)/(Parametros_Alargados!$G62-Parametros_Alargados!$F62)*100)),MIN(100,MAX(0,(Parametros_Alargados!$G62-Base_Alargada!Z61)/(Parametros_Alargados!$G62-Parametros_Alargados!$F62)*100))))</f>
        <v/>
      </c>
      <c r="L58" s="115">
        <f>IF(Base_Alargada!AA61="","",IF(Parametros_Alargados!$D62="+",MIN(100,MAX(0,(Base_Alargada!AA61-Parametros_Alargados!$F62)/(Parametros_Alargados!$G62-Parametros_Alargados!$F62)*100)),MIN(100,MAX(0,(Parametros_Alargados!$G62-Base_Alargada!AA61)/(Parametros_Alargados!$G62-Parametros_Alargados!$F62)*100))))</f>
        <v/>
      </c>
      <c r="M58" s="115">
        <f>IF(Base_Alargada!AB61="","",IF(Parametros_Alargados!$D62="+",MIN(100,MAX(0,(Base_Alargada!AB61-Parametros_Alargados!$F62)/(Parametros_Alargados!$G62-Parametros_Alargados!$F62)*100)),MIN(100,MAX(0,(Parametros_Alargados!$G62-Base_Alargada!AB61)/(Parametros_Alargados!$G62-Parametros_Alargados!$F62)*100))))</f>
        <v/>
      </c>
    </row>
    <row r="59">
      <c r="A59" t="inlineStr">
        <is>
          <t>4. Inclusão Social e Protecção</t>
        </is>
      </c>
      <c r="B59" t="inlineStr">
        <is>
          <t>Participação feminina na força de trabalho</t>
        </is>
      </c>
      <c r="C59" s="115">
        <f>IF(Base_Alargada!R62="","",IF(Parametros_Alargados!$D63="+",MIN(100,MAX(0,(Base_Alargada!R62-Parametros_Alargados!$F63)/(Parametros_Alargados!$G63-Parametros_Alargados!$F63)*100)),MIN(100,MAX(0,(Parametros_Alargados!$G63-Base_Alargada!R62)/(Parametros_Alargados!$G63-Parametros_Alargados!$F63)*100))))</f>
        <v/>
      </c>
      <c r="D59" s="115">
        <f>IF(Base_Alargada!S62="","",IF(Parametros_Alargados!$D63="+",MIN(100,MAX(0,(Base_Alargada!S62-Parametros_Alargados!$F63)/(Parametros_Alargados!$G63-Parametros_Alargados!$F63)*100)),MIN(100,MAX(0,(Parametros_Alargados!$G63-Base_Alargada!S62)/(Parametros_Alargados!$G63-Parametros_Alargados!$F63)*100))))</f>
        <v/>
      </c>
      <c r="E59" s="115">
        <f>IF(Base_Alargada!T62="","",IF(Parametros_Alargados!$D63="+",MIN(100,MAX(0,(Base_Alargada!T62-Parametros_Alargados!$F63)/(Parametros_Alargados!$G63-Parametros_Alargados!$F63)*100)),MIN(100,MAX(0,(Parametros_Alargados!$G63-Base_Alargada!T62)/(Parametros_Alargados!$G63-Parametros_Alargados!$F63)*100))))</f>
        <v/>
      </c>
      <c r="F59" s="115">
        <f>IF(Base_Alargada!U62="","",IF(Parametros_Alargados!$D63="+",MIN(100,MAX(0,(Base_Alargada!U62-Parametros_Alargados!$F63)/(Parametros_Alargados!$G63-Parametros_Alargados!$F63)*100)),MIN(100,MAX(0,(Parametros_Alargados!$G63-Base_Alargada!U62)/(Parametros_Alargados!$G63-Parametros_Alargados!$F63)*100))))</f>
        <v/>
      </c>
      <c r="G59" s="115">
        <f>IF(Base_Alargada!V62="","",IF(Parametros_Alargados!$D63="+",MIN(100,MAX(0,(Base_Alargada!V62-Parametros_Alargados!$F63)/(Parametros_Alargados!$G63-Parametros_Alargados!$F63)*100)),MIN(100,MAX(0,(Parametros_Alargados!$G63-Base_Alargada!V62)/(Parametros_Alargados!$G63-Parametros_Alargados!$F63)*100))))</f>
        <v/>
      </c>
      <c r="H59" s="115">
        <f>IF(Base_Alargada!W62="","",IF(Parametros_Alargados!$D63="+",MIN(100,MAX(0,(Base_Alargada!W62-Parametros_Alargados!$F63)/(Parametros_Alargados!$G63-Parametros_Alargados!$F63)*100)),MIN(100,MAX(0,(Parametros_Alargados!$G63-Base_Alargada!W62)/(Parametros_Alargados!$G63-Parametros_Alargados!$F63)*100))))</f>
        <v/>
      </c>
      <c r="I59" s="115">
        <f>IF(Base_Alargada!X62="","",IF(Parametros_Alargados!$D63="+",MIN(100,MAX(0,(Base_Alargada!X62-Parametros_Alargados!$F63)/(Parametros_Alargados!$G63-Parametros_Alargados!$F63)*100)),MIN(100,MAX(0,(Parametros_Alargados!$G63-Base_Alargada!X62)/(Parametros_Alargados!$G63-Parametros_Alargados!$F63)*100))))</f>
        <v/>
      </c>
      <c r="J59" s="115">
        <f>IF(Base_Alargada!Y62="","",IF(Parametros_Alargados!$D63="+",MIN(100,MAX(0,(Base_Alargada!Y62-Parametros_Alargados!$F63)/(Parametros_Alargados!$G63-Parametros_Alargados!$F63)*100)),MIN(100,MAX(0,(Parametros_Alargados!$G63-Base_Alargada!Y62)/(Parametros_Alargados!$G63-Parametros_Alargados!$F63)*100))))</f>
        <v/>
      </c>
      <c r="K59" s="115">
        <f>IF(Base_Alargada!Z62="","",IF(Parametros_Alargados!$D63="+",MIN(100,MAX(0,(Base_Alargada!Z62-Parametros_Alargados!$F63)/(Parametros_Alargados!$G63-Parametros_Alargados!$F63)*100)),MIN(100,MAX(0,(Parametros_Alargados!$G63-Base_Alargada!Z62)/(Parametros_Alargados!$G63-Parametros_Alargados!$F63)*100))))</f>
        <v/>
      </c>
      <c r="L59" s="115">
        <f>IF(Base_Alargada!AA62="","",IF(Parametros_Alargados!$D63="+",MIN(100,MAX(0,(Base_Alargada!AA62-Parametros_Alargados!$F63)/(Parametros_Alargados!$G63-Parametros_Alargados!$F63)*100)),MIN(100,MAX(0,(Parametros_Alargados!$G63-Base_Alargada!AA62)/(Parametros_Alargados!$G63-Parametros_Alargados!$F63)*100))))</f>
        <v/>
      </c>
      <c r="M59" s="115">
        <f>IF(Base_Alargada!AB62="","",IF(Parametros_Alargados!$D63="+",MIN(100,MAX(0,(Base_Alargada!AB62-Parametros_Alargados!$F63)/(Parametros_Alargados!$G63-Parametros_Alargados!$F63)*100)),MIN(100,MAX(0,(Parametros_Alargados!$G63-Base_Alargada!AB62)/(Parametros_Alargados!$G63-Parametros_Alargados!$F63)*100))))</f>
        <v/>
      </c>
    </row>
    <row r="60">
      <c r="A60" t="inlineStr">
        <is>
          <t>4. Inclusão Social e Protecção</t>
        </is>
      </c>
      <c r="B60" t="inlineStr">
        <is>
          <t>Registo de nascimento completo</t>
        </is>
      </c>
      <c r="C60" s="115">
        <f>IF(Base_Alargada!R63="","",IF(Parametros_Alargados!$D64="+",MIN(100,MAX(0,(Base_Alargada!R63-Parametros_Alargados!$F64)/(Parametros_Alargados!$G64-Parametros_Alargados!$F64)*100)),MIN(100,MAX(0,(Parametros_Alargados!$G64-Base_Alargada!R63)/(Parametros_Alargados!$G64-Parametros_Alargados!$F64)*100))))</f>
        <v/>
      </c>
      <c r="D60" s="115">
        <f>IF(Base_Alargada!S63="","",IF(Parametros_Alargados!$D64="+",MIN(100,MAX(0,(Base_Alargada!S63-Parametros_Alargados!$F64)/(Parametros_Alargados!$G64-Parametros_Alargados!$F64)*100)),MIN(100,MAX(0,(Parametros_Alargados!$G64-Base_Alargada!S63)/(Parametros_Alargados!$G64-Parametros_Alargados!$F64)*100))))</f>
        <v/>
      </c>
      <c r="E60" s="115">
        <f>IF(Base_Alargada!T63="","",IF(Parametros_Alargados!$D64="+",MIN(100,MAX(0,(Base_Alargada!T63-Parametros_Alargados!$F64)/(Parametros_Alargados!$G64-Parametros_Alargados!$F64)*100)),MIN(100,MAX(0,(Parametros_Alargados!$G64-Base_Alargada!T63)/(Parametros_Alargados!$G64-Parametros_Alargados!$F64)*100))))</f>
        <v/>
      </c>
      <c r="F60" s="115">
        <f>IF(Base_Alargada!U63="","",IF(Parametros_Alargados!$D64="+",MIN(100,MAX(0,(Base_Alargada!U63-Parametros_Alargados!$F64)/(Parametros_Alargados!$G64-Parametros_Alargados!$F64)*100)),MIN(100,MAX(0,(Parametros_Alargados!$G64-Base_Alargada!U63)/(Parametros_Alargados!$G64-Parametros_Alargados!$F64)*100))))</f>
        <v/>
      </c>
      <c r="G60" s="115">
        <f>IF(Base_Alargada!V63="","",IF(Parametros_Alargados!$D64="+",MIN(100,MAX(0,(Base_Alargada!V63-Parametros_Alargados!$F64)/(Parametros_Alargados!$G64-Parametros_Alargados!$F64)*100)),MIN(100,MAX(0,(Parametros_Alargados!$G64-Base_Alargada!V63)/(Parametros_Alargados!$G64-Parametros_Alargados!$F64)*100))))</f>
        <v/>
      </c>
      <c r="H60" s="115">
        <f>IF(Base_Alargada!W63="","",IF(Parametros_Alargados!$D64="+",MIN(100,MAX(0,(Base_Alargada!W63-Parametros_Alargados!$F64)/(Parametros_Alargados!$G64-Parametros_Alargados!$F64)*100)),MIN(100,MAX(0,(Parametros_Alargados!$G64-Base_Alargada!W63)/(Parametros_Alargados!$G64-Parametros_Alargados!$F64)*100))))</f>
        <v/>
      </c>
      <c r="I60" s="115">
        <f>IF(Base_Alargada!X63="","",IF(Parametros_Alargados!$D64="+",MIN(100,MAX(0,(Base_Alargada!X63-Parametros_Alargados!$F64)/(Parametros_Alargados!$G64-Parametros_Alargados!$F64)*100)),MIN(100,MAX(0,(Parametros_Alargados!$G64-Base_Alargada!X63)/(Parametros_Alargados!$G64-Parametros_Alargados!$F64)*100))))</f>
        <v/>
      </c>
      <c r="J60" s="115">
        <f>IF(Base_Alargada!Y63="","",IF(Parametros_Alargados!$D64="+",MIN(100,MAX(0,(Base_Alargada!Y63-Parametros_Alargados!$F64)/(Parametros_Alargados!$G64-Parametros_Alargados!$F64)*100)),MIN(100,MAX(0,(Parametros_Alargados!$G64-Base_Alargada!Y63)/(Parametros_Alargados!$G64-Parametros_Alargados!$F64)*100))))</f>
        <v/>
      </c>
      <c r="K60" s="115">
        <f>IF(Base_Alargada!Z63="","",IF(Parametros_Alargados!$D64="+",MIN(100,MAX(0,(Base_Alargada!Z63-Parametros_Alargados!$F64)/(Parametros_Alargados!$G64-Parametros_Alargados!$F64)*100)),MIN(100,MAX(0,(Parametros_Alargados!$G64-Base_Alargada!Z63)/(Parametros_Alargados!$G64-Parametros_Alargados!$F64)*100))))</f>
        <v/>
      </c>
      <c r="L60" s="115">
        <f>IF(Base_Alargada!AA63="","",IF(Parametros_Alargados!$D64="+",MIN(100,MAX(0,(Base_Alargada!AA63-Parametros_Alargados!$F64)/(Parametros_Alargados!$G64-Parametros_Alargados!$F64)*100)),MIN(100,MAX(0,(Parametros_Alargados!$G64-Base_Alargada!AA63)/(Parametros_Alargados!$G64-Parametros_Alargados!$F64)*100))))</f>
        <v/>
      </c>
      <c r="M60" s="115">
        <f>IF(Base_Alargada!AB63="","",IF(Parametros_Alargados!$D64="+",MIN(100,MAX(0,(Base_Alargada!AB63-Parametros_Alargados!$F64)/(Parametros_Alargados!$G64-Parametros_Alargados!$F64)*100)),MIN(100,MAX(0,(Parametros_Alargados!$G64-Base_Alargada!AB63)/(Parametros_Alargados!$G64-Parametros_Alargados!$F64)*100))))</f>
        <v/>
      </c>
    </row>
    <row r="61">
      <c r="A61" t="inlineStr">
        <is>
          <t>5. Infraestruturas e Serviços</t>
        </is>
      </c>
      <c r="B61" t="inlineStr">
        <is>
          <t>Taxa de Electrificação</t>
        </is>
      </c>
      <c r="C61" s="115">
        <f>IF(Base_Alargada!R64="","",IF(Parametros_Alargados!$D65="+",MIN(100,MAX(0,(Base_Alargada!R64-Parametros_Alargados!$F65)/(Parametros_Alargados!$G65-Parametros_Alargados!$F65)*100)),MIN(100,MAX(0,(Parametros_Alargados!$G65-Base_Alargada!R64)/(Parametros_Alargados!$G65-Parametros_Alargados!$F65)*100))))</f>
        <v/>
      </c>
      <c r="D61" s="115">
        <f>IF(Base_Alargada!S64="","",IF(Parametros_Alargados!$D65="+",MIN(100,MAX(0,(Base_Alargada!S64-Parametros_Alargados!$F65)/(Parametros_Alargados!$G65-Parametros_Alargados!$F65)*100)),MIN(100,MAX(0,(Parametros_Alargados!$G65-Base_Alargada!S64)/(Parametros_Alargados!$G65-Parametros_Alargados!$F65)*100))))</f>
        <v/>
      </c>
      <c r="E61" s="115">
        <f>IF(Base_Alargada!T64="","",IF(Parametros_Alargados!$D65="+",MIN(100,MAX(0,(Base_Alargada!T64-Parametros_Alargados!$F65)/(Parametros_Alargados!$G65-Parametros_Alargados!$F65)*100)),MIN(100,MAX(0,(Parametros_Alargados!$G65-Base_Alargada!T64)/(Parametros_Alargados!$G65-Parametros_Alargados!$F65)*100))))</f>
        <v/>
      </c>
      <c r="F61" s="115">
        <f>IF(Base_Alargada!U64="","",IF(Parametros_Alargados!$D65="+",MIN(100,MAX(0,(Base_Alargada!U64-Parametros_Alargados!$F65)/(Parametros_Alargados!$G65-Parametros_Alargados!$F65)*100)),MIN(100,MAX(0,(Parametros_Alargados!$G65-Base_Alargada!U64)/(Parametros_Alargados!$G65-Parametros_Alargados!$F65)*100))))</f>
        <v/>
      </c>
      <c r="G61" s="115">
        <f>IF(Base_Alargada!V64="","",IF(Parametros_Alargados!$D65="+",MIN(100,MAX(0,(Base_Alargada!V64-Parametros_Alargados!$F65)/(Parametros_Alargados!$G65-Parametros_Alargados!$F65)*100)),MIN(100,MAX(0,(Parametros_Alargados!$G65-Base_Alargada!V64)/(Parametros_Alargados!$G65-Parametros_Alargados!$F65)*100))))</f>
        <v/>
      </c>
      <c r="H61" s="115">
        <f>IF(Base_Alargada!W64="","",IF(Parametros_Alargados!$D65="+",MIN(100,MAX(0,(Base_Alargada!W64-Parametros_Alargados!$F65)/(Parametros_Alargados!$G65-Parametros_Alargados!$F65)*100)),MIN(100,MAX(0,(Parametros_Alargados!$G65-Base_Alargada!W64)/(Parametros_Alargados!$G65-Parametros_Alargados!$F65)*100))))</f>
        <v/>
      </c>
      <c r="I61" s="115">
        <f>IF(Base_Alargada!X64="","",IF(Parametros_Alargados!$D65="+",MIN(100,MAX(0,(Base_Alargada!X64-Parametros_Alargados!$F65)/(Parametros_Alargados!$G65-Parametros_Alargados!$F65)*100)),MIN(100,MAX(0,(Parametros_Alargados!$G65-Base_Alargada!X64)/(Parametros_Alargados!$G65-Parametros_Alargados!$F65)*100))))</f>
        <v/>
      </c>
      <c r="J61" s="115">
        <f>IF(Base_Alargada!Y64="","",IF(Parametros_Alargados!$D65="+",MIN(100,MAX(0,(Base_Alargada!Y64-Parametros_Alargados!$F65)/(Parametros_Alargados!$G65-Parametros_Alargados!$F65)*100)),MIN(100,MAX(0,(Parametros_Alargados!$G65-Base_Alargada!Y64)/(Parametros_Alargados!$G65-Parametros_Alargados!$F65)*100))))</f>
        <v/>
      </c>
      <c r="K61" s="115">
        <f>IF(Base_Alargada!Z64="","",IF(Parametros_Alargados!$D65="+",MIN(100,MAX(0,(Base_Alargada!Z64-Parametros_Alargados!$F65)/(Parametros_Alargados!$G65-Parametros_Alargados!$F65)*100)),MIN(100,MAX(0,(Parametros_Alargados!$G65-Base_Alargada!Z64)/(Parametros_Alargados!$G65-Parametros_Alargados!$F65)*100))))</f>
        <v/>
      </c>
      <c r="L61" s="115">
        <f>IF(Base_Alargada!AA64="","",IF(Parametros_Alargados!$D65="+",MIN(100,MAX(0,(Base_Alargada!AA64-Parametros_Alargados!$F65)/(Parametros_Alargados!$G65-Parametros_Alargados!$F65)*100)),MIN(100,MAX(0,(Parametros_Alargados!$G65-Base_Alargada!AA64)/(Parametros_Alargados!$G65-Parametros_Alargados!$F65)*100))))</f>
        <v/>
      </c>
      <c r="M61" s="115">
        <f>IF(Base_Alargada!AB64="","",IF(Parametros_Alargados!$D65="+",MIN(100,MAX(0,(Base_Alargada!AB64-Parametros_Alargados!$F65)/(Parametros_Alargados!$G65-Parametros_Alargados!$F65)*100)),MIN(100,MAX(0,(Parametros_Alargados!$G65-Base_Alargada!AB64)/(Parametros_Alargados!$G65-Parametros_Alargados!$F65)*100))))</f>
        <v/>
      </c>
    </row>
    <row r="62">
      <c r="A62" t="inlineStr">
        <is>
          <t>5. Infraestruturas e Serviços</t>
        </is>
      </c>
      <c r="B62" t="inlineStr">
        <is>
          <t>Acesso a Água Potável</t>
        </is>
      </c>
      <c r="C62" s="115">
        <f>IF(Base_Alargada!R65="","",IF(Parametros_Alargados!$D66="+",MIN(100,MAX(0,(Base_Alargada!R65-Parametros_Alargados!$F66)/(Parametros_Alargados!$G66-Parametros_Alargados!$F66)*100)),MIN(100,MAX(0,(Parametros_Alargados!$G66-Base_Alargada!R65)/(Parametros_Alargados!$G66-Parametros_Alargados!$F66)*100))))</f>
        <v/>
      </c>
      <c r="D62" s="115">
        <f>IF(Base_Alargada!S65="","",IF(Parametros_Alargados!$D66="+",MIN(100,MAX(0,(Base_Alargada!S65-Parametros_Alargados!$F66)/(Parametros_Alargados!$G66-Parametros_Alargados!$F66)*100)),MIN(100,MAX(0,(Parametros_Alargados!$G66-Base_Alargada!S65)/(Parametros_Alargados!$G66-Parametros_Alargados!$F66)*100))))</f>
        <v/>
      </c>
      <c r="E62" s="115">
        <f>IF(Base_Alargada!T65="","",IF(Parametros_Alargados!$D66="+",MIN(100,MAX(0,(Base_Alargada!T65-Parametros_Alargados!$F66)/(Parametros_Alargados!$G66-Parametros_Alargados!$F66)*100)),MIN(100,MAX(0,(Parametros_Alargados!$G66-Base_Alargada!T65)/(Parametros_Alargados!$G66-Parametros_Alargados!$F66)*100))))</f>
        <v/>
      </c>
      <c r="F62" s="115">
        <f>IF(Base_Alargada!U65="","",IF(Parametros_Alargados!$D66="+",MIN(100,MAX(0,(Base_Alargada!U65-Parametros_Alargados!$F66)/(Parametros_Alargados!$G66-Parametros_Alargados!$F66)*100)),MIN(100,MAX(0,(Parametros_Alargados!$G66-Base_Alargada!U65)/(Parametros_Alargados!$G66-Parametros_Alargados!$F66)*100))))</f>
        <v/>
      </c>
      <c r="G62" s="115">
        <f>IF(Base_Alargada!V65="","",IF(Parametros_Alargados!$D66="+",MIN(100,MAX(0,(Base_Alargada!V65-Parametros_Alargados!$F66)/(Parametros_Alargados!$G66-Parametros_Alargados!$F66)*100)),MIN(100,MAX(0,(Parametros_Alargados!$G66-Base_Alargada!V65)/(Parametros_Alargados!$G66-Parametros_Alargados!$F66)*100))))</f>
        <v/>
      </c>
      <c r="H62" s="115">
        <f>IF(Base_Alargada!W65="","",IF(Parametros_Alargados!$D66="+",MIN(100,MAX(0,(Base_Alargada!W65-Parametros_Alargados!$F66)/(Parametros_Alargados!$G66-Parametros_Alargados!$F66)*100)),MIN(100,MAX(0,(Parametros_Alargados!$G66-Base_Alargada!W65)/(Parametros_Alargados!$G66-Parametros_Alargados!$F66)*100))))</f>
        <v/>
      </c>
      <c r="I62" s="115">
        <f>IF(Base_Alargada!X65="","",IF(Parametros_Alargados!$D66="+",MIN(100,MAX(0,(Base_Alargada!X65-Parametros_Alargados!$F66)/(Parametros_Alargados!$G66-Parametros_Alargados!$F66)*100)),MIN(100,MAX(0,(Parametros_Alargados!$G66-Base_Alargada!X65)/(Parametros_Alargados!$G66-Parametros_Alargados!$F66)*100))))</f>
        <v/>
      </c>
      <c r="J62" s="115">
        <f>IF(Base_Alargada!Y65="","",IF(Parametros_Alargados!$D66="+",MIN(100,MAX(0,(Base_Alargada!Y65-Parametros_Alargados!$F66)/(Parametros_Alargados!$G66-Parametros_Alargados!$F66)*100)),MIN(100,MAX(0,(Parametros_Alargados!$G66-Base_Alargada!Y65)/(Parametros_Alargados!$G66-Parametros_Alargados!$F66)*100))))</f>
        <v/>
      </c>
      <c r="K62" s="115">
        <f>IF(Base_Alargada!Z65="","",IF(Parametros_Alargados!$D66="+",MIN(100,MAX(0,(Base_Alargada!Z65-Parametros_Alargados!$F66)/(Parametros_Alargados!$G66-Parametros_Alargados!$F66)*100)),MIN(100,MAX(0,(Parametros_Alargados!$G66-Base_Alargada!Z65)/(Parametros_Alargados!$G66-Parametros_Alargados!$F66)*100))))</f>
        <v/>
      </c>
      <c r="L62" s="115">
        <f>IF(Base_Alargada!AA65="","",IF(Parametros_Alargados!$D66="+",MIN(100,MAX(0,(Base_Alargada!AA65-Parametros_Alargados!$F66)/(Parametros_Alargados!$G66-Parametros_Alargados!$F66)*100)),MIN(100,MAX(0,(Parametros_Alargados!$G66-Base_Alargada!AA65)/(Parametros_Alargados!$G66-Parametros_Alargados!$F66)*100))))</f>
        <v/>
      </c>
      <c r="M62" s="115">
        <f>IF(Base_Alargada!AB65="","",IF(Parametros_Alargados!$D66="+",MIN(100,MAX(0,(Base_Alargada!AB65-Parametros_Alargados!$F66)/(Parametros_Alargados!$G66-Parametros_Alargados!$F66)*100)),MIN(100,MAX(0,(Parametros_Alargados!$G66-Base_Alargada!AB65)/(Parametros_Alargados!$G66-Parametros_Alargados!$F66)*100))))</f>
        <v/>
      </c>
    </row>
    <row r="63">
      <c r="A63" t="inlineStr">
        <is>
          <t>5. Infraestruturas e Serviços</t>
        </is>
      </c>
      <c r="B63" t="inlineStr">
        <is>
          <t>Acesso a Saneamento Básico</t>
        </is>
      </c>
      <c r="C63" s="115">
        <f>IF(Base_Alargada!R66="","",IF(Parametros_Alargados!$D67="+",MIN(100,MAX(0,(Base_Alargada!R66-Parametros_Alargados!$F67)/(Parametros_Alargados!$G67-Parametros_Alargados!$F67)*100)),MIN(100,MAX(0,(Parametros_Alargados!$G67-Base_Alargada!R66)/(Parametros_Alargados!$G67-Parametros_Alargados!$F67)*100))))</f>
        <v/>
      </c>
      <c r="D63" s="115">
        <f>IF(Base_Alargada!S66="","",IF(Parametros_Alargados!$D67="+",MIN(100,MAX(0,(Base_Alargada!S66-Parametros_Alargados!$F67)/(Parametros_Alargados!$G67-Parametros_Alargados!$F67)*100)),MIN(100,MAX(0,(Parametros_Alargados!$G67-Base_Alargada!S66)/(Parametros_Alargados!$G67-Parametros_Alargados!$F67)*100))))</f>
        <v/>
      </c>
      <c r="E63" s="115">
        <f>IF(Base_Alargada!T66="","",IF(Parametros_Alargados!$D67="+",MIN(100,MAX(0,(Base_Alargada!T66-Parametros_Alargados!$F67)/(Parametros_Alargados!$G67-Parametros_Alargados!$F67)*100)),MIN(100,MAX(0,(Parametros_Alargados!$G67-Base_Alargada!T66)/(Parametros_Alargados!$G67-Parametros_Alargados!$F67)*100))))</f>
        <v/>
      </c>
      <c r="F63" s="115">
        <f>IF(Base_Alargada!U66="","",IF(Parametros_Alargados!$D67="+",MIN(100,MAX(0,(Base_Alargada!U66-Parametros_Alargados!$F67)/(Parametros_Alargados!$G67-Parametros_Alargados!$F67)*100)),MIN(100,MAX(0,(Parametros_Alargados!$G67-Base_Alargada!U66)/(Parametros_Alargados!$G67-Parametros_Alargados!$F67)*100))))</f>
        <v/>
      </c>
      <c r="G63" s="115">
        <f>IF(Base_Alargada!V66="","",IF(Parametros_Alargados!$D67="+",MIN(100,MAX(0,(Base_Alargada!V66-Parametros_Alargados!$F67)/(Parametros_Alargados!$G67-Parametros_Alargados!$F67)*100)),MIN(100,MAX(0,(Parametros_Alargados!$G67-Base_Alargada!V66)/(Parametros_Alargados!$G67-Parametros_Alargados!$F67)*100))))</f>
        <v/>
      </c>
      <c r="H63" s="115">
        <f>IF(Base_Alargada!W66="","",IF(Parametros_Alargados!$D67="+",MIN(100,MAX(0,(Base_Alargada!W66-Parametros_Alargados!$F67)/(Parametros_Alargados!$G67-Parametros_Alargados!$F67)*100)),MIN(100,MAX(0,(Parametros_Alargados!$G67-Base_Alargada!W66)/(Parametros_Alargados!$G67-Parametros_Alargados!$F67)*100))))</f>
        <v/>
      </c>
      <c r="I63" s="115">
        <f>IF(Base_Alargada!X66="","",IF(Parametros_Alargados!$D67="+",MIN(100,MAX(0,(Base_Alargada!X66-Parametros_Alargados!$F67)/(Parametros_Alargados!$G67-Parametros_Alargados!$F67)*100)),MIN(100,MAX(0,(Parametros_Alargados!$G67-Base_Alargada!X66)/(Parametros_Alargados!$G67-Parametros_Alargados!$F67)*100))))</f>
        <v/>
      </c>
      <c r="J63" s="115">
        <f>IF(Base_Alargada!Y66="","",IF(Parametros_Alargados!$D67="+",MIN(100,MAX(0,(Base_Alargada!Y66-Parametros_Alargados!$F67)/(Parametros_Alargados!$G67-Parametros_Alargados!$F67)*100)),MIN(100,MAX(0,(Parametros_Alargados!$G67-Base_Alargada!Y66)/(Parametros_Alargados!$G67-Parametros_Alargados!$F67)*100))))</f>
        <v/>
      </c>
      <c r="K63" s="115">
        <f>IF(Base_Alargada!Z66="","",IF(Parametros_Alargados!$D67="+",MIN(100,MAX(0,(Base_Alargada!Z66-Parametros_Alargados!$F67)/(Parametros_Alargados!$G67-Parametros_Alargados!$F67)*100)),MIN(100,MAX(0,(Parametros_Alargados!$G67-Base_Alargada!Z66)/(Parametros_Alargados!$G67-Parametros_Alargados!$F67)*100))))</f>
        <v/>
      </c>
      <c r="L63" s="115">
        <f>IF(Base_Alargada!AA66="","",IF(Parametros_Alargados!$D67="+",MIN(100,MAX(0,(Base_Alargada!AA66-Parametros_Alargados!$F67)/(Parametros_Alargados!$G67-Parametros_Alargados!$F67)*100)),MIN(100,MAX(0,(Parametros_Alargados!$G67-Base_Alargada!AA66)/(Parametros_Alargados!$G67-Parametros_Alargados!$F67)*100))))</f>
        <v/>
      </c>
      <c r="M63" s="115">
        <f>IF(Base_Alargada!AB66="","",IF(Parametros_Alargados!$D67="+",MIN(100,MAX(0,(Base_Alargada!AB66-Parametros_Alargados!$F67)/(Parametros_Alargados!$G67-Parametros_Alargados!$F67)*100)),MIN(100,MAX(0,(Parametros_Alargados!$G67-Base_Alargada!AB66)/(Parametros_Alargados!$G67-Parametros_Alargados!$F67)*100))))</f>
        <v/>
      </c>
    </row>
    <row r="64">
      <c r="A64" t="inlineStr">
        <is>
          <t>5. Infraestruturas e Serviços</t>
        </is>
      </c>
      <c r="B64" t="inlineStr">
        <is>
          <t>Cobertura de Rede 4G</t>
        </is>
      </c>
      <c r="C64" s="115">
        <f>IF(Base_Alargada!R67="","",IF(Parametros_Alargados!$D68="+",MIN(100,MAX(0,(Base_Alargada!R67-Parametros_Alargados!$F68)/(Parametros_Alargados!$G68-Parametros_Alargados!$F68)*100)),MIN(100,MAX(0,(Parametros_Alargados!$G68-Base_Alargada!R67)/(Parametros_Alargados!$G68-Parametros_Alargados!$F68)*100))))</f>
        <v/>
      </c>
      <c r="D64" s="115">
        <f>IF(Base_Alargada!S67="","",IF(Parametros_Alargados!$D68="+",MIN(100,MAX(0,(Base_Alargada!S67-Parametros_Alargados!$F68)/(Parametros_Alargados!$G68-Parametros_Alargados!$F68)*100)),MIN(100,MAX(0,(Parametros_Alargados!$G68-Base_Alargada!S67)/(Parametros_Alargados!$G68-Parametros_Alargados!$F68)*100))))</f>
        <v/>
      </c>
      <c r="E64" s="115">
        <f>IF(Base_Alargada!T67="","",IF(Parametros_Alargados!$D68="+",MIN(100,MAX(0,(Base_Alargada!T67-Parametros_Alargados!$F68)/(Parametros_Alargados!$G68-Parametros_Alargados!$F68)*100)),MIN(100,MAX(0,(Parametros_Alargados!$G68-Base_Alargada!T67)/(Parametros_Alargados!$G68-Parametros_Alargados!$F68)*100))))</f>
        <v/>
      </c>
      <c r="F64" s="115">
        <f>IF(Base_Alargada!U67="","",IF(Parametros_Alargados!$D68="+",MIN(100,MAX(0,(Base_Alargada!U67-Parametros_Alargados!$F68)/(Parametros_Alargados!$G68-Parametros_Alargados!$F68)*100)),MIN(100,MAX(0,(Parametros_Alargados!$G68-Base_Alargada!U67)/(Parametros_Alargados!$G68-Parametros_Alargados!$F68)*100))))</f>
        <v/>
      </c>
      <c r="G64" s="115">
        <f>IF(Base_Alargada!V67="","",IF(Parametros_Alargados!$D68="+",MIN(100,MAX(0,(Base_Alargada!V67-Parametros_Alargados!$F68)/(Parametros_Alargados!$G68-Parametros_Alargados!$F68)*100)),MIN(100,MAX(0,(Parametros_Alargados!$G68-Base_Alargada!V67)/(Parametros_Alargados!$G68-Parametros_Alargados!$F68)*100))))</f>
        <v/>
      </c>
      <c r="H64" s="115">
        <f>IF(Base_Alargada!W67="","",IF(Parametros_Alargados!$D68="+",MIN(100,MAX(0,(Base_Alargada!W67-Parametros_Alargados!$F68)/(Parametros_Alargados!$G68-Parametros_Alargados!$F68)*100)),MIN(100,MAX(0,(Parametros_Alargados!$G68-Base_Alargada!W67)/(Parametros_Alargados!$G68-Parametros_Alargados!$F68)*100))))</f>
        <v/>
      </c>
      <c r="I64" s="115">
        <f>IF(Base_Alargada!X67="","",IF(Parametros_Alargados!$D68="+",MIN(100,MAX(0,(Base_Alargada!X67-Parametros_Alargados!$F68)/(Parametros_Alargados!$G68-Parametros_Alargados!$F68)*100)),MIN(100,MAX(0,(Parametros_Alargados!$G68-Base_Alargada!X67)/(Parametros_Alargados!$G68-Parametros_Alargados!$F68)*100))))</f>
        <v/>
      </c>
      <c r="J64" s="115">
        <f>IF(Base_Alargada!Y67="","",IF(Parametros_Alargados!$D68="+",MIN(100,MAX(0,(Base_Alargada!Y67-Parametros_Alargados!$F68)/(Parametros_Alargados!$G68-Parametros_Alargados!$F68)*100)),MIN(100,MAX(0,(Parametros_Alargados!$G68-Base_Alargada!Y67)/(Parametros_Alargados!$G68-Parametros_Alargados!$F68)*100))))</f>
        <v/>
      </c>
      <c r="K64" s="115">
        <f>IF(Base_Alargada!Z67="","",IF(Parametros_Alargados!$D68="+",MIN(100,MAX(0,(Base_Alargada!Z67-Parametros_Alargados!$F68)/(Parametros_Alargados!$G68-Parametros_Alargados!$F68)*100)),MIN(100,MAX(0,(Parametros_Alargados!$G68-Base_Alargada!Z67)/(Parametros_Alargados!$G68-Parametros_Alargados!$F68)*100))))</f>
        <v/>
      </c>
      <c r="L64" s="115">
        <f>IF(Base_Alargada!AA67="","",IF(Parametros_Alargados!$D68="+",MIN(100,MAX(0,(Base_Alargada!AA67-Parametros_Alargados!$F68)/(Parametros_Alargados!$G68-Parametros_Alargados!$F68)*100)),MIN(100,MAX(0,(Parametros_Alargados!$G68-Base_Alargada!AA67)/(Parametros_Alargados!$G68-Parametros_Alargados!$F68)*100))))</f>
        <v/>
      </c>
      <c r="M64" s="115">
        <f>IF(Base_Alargada!AB67="","",IF(Parametros_Alargados!$D68="+",MIN(100,MAX(0,(Base_Alargada!AB67-Parametros_Alargados!$F68)/(Parametros_Alargados!$G68-Parametros_Alargados!$F68)*100)),MIN(100,MAX(0,(Parametros_Alargados!$G68-Base_Alargada!AB67)/(Parametros_Alargados!$G68-Parametros_Alargados!$F68)*100))))</f>
        <v/>
      </c>
    </row>
    <row r="65">
      <c r="A65" t="inlineStr">
        <is>
          <t>5. Infraestruturas e Serviços</t>
        </is>
      </c>
      <c r="B65" t="inlineStr">
        <is>
          <t>Utilizadores de Internet (%)</t>
        </is>
      </c>
      <c r="C65" s="115">
        <f>IF(Base_Alargada!R68="","",IF(Parametros_Alargados!$D69="+",MIN(100,MAX(0,(Base_Alargada!R68-Parametros_Alargados!$F69)/(Parametros_Alargados!$G69-Parametros_Alargados!$F69)*100)),MIN(100,MAX(0,(Parametros_Alargados!$G69-Base_Alargada!R68)/(Parametros_Alargados!$G69-Parametros_Alargados!$F69)*100))))</f>
        <v/>
      </c>
      <c r="D65" s="115">
        <f>IF(Base_Alargada!S68="","",IF(Parametros_Alargados!$D69="+",MIN(100,MAX(0,(Base_Alargada!S68-Parametros_Alargados!$F69)/(Parametros_Alargados!$G69-Parametros_Alargados!$F69)*100)),MIN(100,MAX(0,(Parametros_Alargados!$G69-Base_Alargada!S68)/(Parametros_Alargados!$G69-Parametros_Alargados!$F69)*100))))</f>
        <v/>
      </c>
      <c r="E65" s="115">
        <f>IF(Base_Alargada!T68="","",IF(Parametros_Alargados!$D69="+",MIN(100,MAX(0,(Base_Alargada!T68-Parametros_Alargados!$F69)/(Parametros_Alargados!$G69-Parametros_Alargados!$F69)*100)),MIN(100,MAX(0,(Parametros_Alargados!$G69-Base_Alargada!T68)/(Parametros_Alargados!$G69-Parametros_Alargados!$F69)*100))))</f>
        <v/>
      </c>
      <c r="F65" s="115">
        <f>IF(Base_Alargada!U68="","",IF(Parametros_Alargados!$D69="+",MIN(100,MAX(0,(Base_Alargada!U68-Parametros_Alargados!$F69)/(Parametros_Alargados!$G69-Parametros_Alargados!$F69)*100)),MIN(100,MAX(0,(Parametros_Alargados!$G69-Base_Alargada!U68)/(Parametros_Alargados!$G69-Parametros_Alargados!$F69)*100))))</f>
        <v/>
      </c>
      <c r="G65" s="115">
        <f>IF(Base_Alargada!V68="","",IF(Parametros_Alargados!$D69="+",MIN(100,MAX(0,(Base_Alargada!V68-Parametros_Alargados!$F69)/(Parametros_Alargados!$G69-Parametros_Alargados!$F69)*100)),MIN(100,MAX(0,(Parametros_Alargados!$G69-Base_Alargada!V68)/(Parametros_Alargados!$G69-Parametros_Alargados!$F69)*100))))</f>
        <v/>
      </c>
      <c r="H65" s="115">
        <f>IF(Base_Alargada!W68="","",IF(Parametros_Alargados!$D69="+",MIN(100,MAX(0,(Base_Alargada!W68-Parametros_Alargados!$F69)/(Parametros_Alargados!$G69-Parametros_Alargados!$F69)*100)),MIN(100,MAX(0,(Parametros_Alargados!$G69-Base_Alargada!W68)/(Parametros_Alargados!$G69-Parametros_Alargados!$F69)*100))))</f>
        <v/>
      </c>
      <c r="I65" s="115">
        <f>IF(Base_Alargada!X68="","",IF(Parametros_Alargados!$D69="+",MIN(100,MAX(0,(Base_Alargada!X68-Parametros_Alargados!$F69)/(Parametros_Alargados!$G69-Parametros_Alargados!$F69)*100)),MIN(100,MAX(0,(Parametros_Alargados!$G69-Base_Alargada!X68)/(Parametros_Alargados!$G69-Parametros_Alargados!$F69)*100))))</f>
        <v/>
      </c>
      <c r="J65" s="115">
        <f>IF(Base_Alargada!Y68="","",IF(Parametros_Alargados!$D69="+",MIN(100,MAX(0,(Base_Alargada!Y68-Parametros_Alargados!$F69)/(Parametros_Alargados!$G69-Parametros_Alargados!$F69)*100)),MIN(100,MAX(0,(Parametros_Alargados!$G69-Base_Alargada!Y68)/(Parametros_Alargados!$G69-Parametros_Alargados!$F69)*100))))</f>
        <v/>
      </c>
      <c r="K65" s="115">
        <f>IF(Base_Alargada!Z68="","",IF(Parametros_Alargados!$D69="+",MIN(100,MAX(0,(Base_Alargada!Z68-Parametros_Alargados!$F69)/(Parametros_Alargados!$G69-Parametros_Alargados!$F69)*100)),MIN(100,MAX(0,(Parametros_Alargados!$G69-Base_Alargada!Z68)/(Parametros_Alargados!$G69-Parametros_Alargados!$F69)*100))))</f>
        <v/>
      </c>
      <c r="L65" s="115">
        <f>IF(Base_Alargada!AA68="","",IF(Parametros_Alargados!$D69="+",MIN(100,MAX(0,(Base_Alargada!AA68-Parametros_Alargados!$F69)/(Parametros_Alargados!$G69-Parametros_Alargados!$F69)*100)),MIN(100,MAX(0,(Parametros_Alargados!$G69-Base_Alargada!AA68)/(Parametros_Alargados!$G69-Parametros_Alargados!$F69)*100))))</f>
        <v/>
      </c>
      <c r="M65" s="115">
        <f>IF(Base_Alargada!AB68="","",IF(Parametros_Alargados!$D69="+",MIN(100,MAX(0,(Base_Alargada!AB68-Parametros_Alargados!$F69)/(Parametros_Alargados!$G69-Parametros_Alargados!$F69)*100)),MIN(100,MAX(0,(Parametros_Alargados!$G69-Base_Alargada!AB68)/(Parametros_Alargados!$G69-Parametros_Alargados!$F69)*100))))</f>
        <v/>
      </c>
    </row>
    <row r="66">
      <c r="A66" t="inlineStr">
        <is>
          <t>5. Infraestruturas e Serviços</t>
        </is>
      </c>
      <c r="B66" t="inlineStr">
        <is>
          <t>Densidade Rodoviária (km/1000km²)</t>
        </is>
      </c>
      <c r="C66" s="115">
        <f>IF(Base_Alargada!R69="","",IF(Parametros_Alargados!$D70="+",MIN(100,MAX(0,(Base_Alargada!R69-Parametros_Alargados!$F70)/(Parametros_Alargados!$G70-Parametros_Alargados!$F70)*100)),MIN(100,MAX(0,(Parametros_Alargados!$G70-Base_Alargada!R69)/(Parametros_Alargados!$G70-Parametros_Alargados!$F70)*100))))</f>
        <v/>
      </c>
      <c r="D66" s="115">
        <f>IF(Base_Alargada!S69="","",IF(Parametros_Alargados!$D70="+",MIN(100,MAX(0,(Base_Alargada!S69-Parametros_Alargados!$F70)/(Parametros_Alargados!$G70-Parametros_Alargados!$F70)*100)),MIN(100,MAX(0,(Parametros_Alargados!$G70-Base_Alargada!S69)/(Parametros_Alargados!$G70-Parametros_Alargados!$F70)*100))))</f>
        <v/>
      </c>
      <c r="E66" s="115">
        <f>IF(Base_Alargada!T69="","",IF(Parametros_Alargados!$D70="+",MIN(100,MAX(0,(Base_Alargada!T69-Parametros_Alargados!$F70)/(Parametros_Alargados!$G70-Parametros_Alargados!$F70)*100)),MIN(100,MAX(0,(Parametros_Alargados!$G70-Base_Alargada!T69)/(Parametros_Alargados!$G70-Parametros_Alargados!$F70)*100))))</f>
        <v/>
      </c>
      <c r="F66" s="115">
        <f>IF(Base_Alargada!U69="","",IF(Parametros_Alargados!$D70="+",MIN(100,MAX(0,(Base_Alargada!U69-Parametros_Alargados!$F70)/(Parametros_Alargados!$G70-Parametros_Alargados!$F70)*100)),MIN(100,MAX(0,(Parametros_Alargados!$G70-Base_Alargada!U69)/(Parametros_Alargados!$G70-Parametros_Alargados!$F70)*100))))</f>
        <v/>
      </c>
      <c r="G66" s="115">
        <f>IF(Base_Alargada!V69="","",IF(Parametros_Alargados!$D70="+",MIN(100,MAX(0,(Base_Alargada!V69-Parametros_Alargados!$F70)/(Parametros_Alargados!$G70-Parametros_Alargados!$F70)*100)),MIN(100,MAX(0,(Parametros_Alargados!$G70-Base_Alargada!V69)/(Parametros_Alargados!$G70-Parametros_Alargados!$F70)*100))))</f>
        <v/>
      </c>
      <c r="H66" s="115">
        <f>IF(Base_Alargada!W69="","",IF(Parametros_Alargados!$D70="+",MIN(100,MAX(0,(Base_Alargada!W69-Parametros_Alargados!$F70)/(Parametros_Alargados!$G70-Parametros_Alargados!$F70)*100)),MIN(100,MAX(0,(Parametros_Alargados!$G70-Base_Alargada!W69)/(Parametros_Alargados!$G70-Parametros_Alargados!$F70)*100))))</f>
        <v/>
      </c>
      <c r="I66" s="115">
        <f>IF(Base_Alargada!X69="","",IF(Parametros_Alargados!$D70="+",MIN(100,MAX(0,(Base_Alargada!X69-Parametros_Alargados!$F70)/(Parametros_Alargados!$G70-Parametros_Alargados!$F70)*100)),MIN(100,MAX(0,(Parametros_Alargados!$G70-Base_Alargada!X69)/(Parametros_Alargados!$G70-Parametros_Alargados!$F70)*100))))</f>
        <v/>
      </c>
      <c r="J66" s="115">
        <f>IF(Base_Alargada!Y69="","",IF(Parametros_Alargados!$D70="+",MIN(100,MAX(0,(Base_Alargada!Y69-Parametros_Alargados!$F70)/(Parametros_Alargados!$G70-Parametros_Alargados!$F70)*100)),MIN(100,MAX(0,(Parametros_Alargados!$G70-Base_Alargada!Y69)/(Parametros_Alargados!$G70-Parametros_Alargados!$F70)*100))))</f>
        <v/>
      </c>
      <c r="K66" s="115">
        <f>IF(Base_Alargada!Z69="","",IF(Parametros_Alargados!$D70="+",MIN(100,MAX(0,(Base_Alargada!Z69-Parametros_Alargados!$F70)/(Parametros_Alargados!$G70-Parametros_Alargados!$F70)*100)),MIN(100,MAX(0,(Parametros_Alargados!$G70-Base_Alargada!Z69)/(Parametros_Alargados!$G70-Parametros_Alargados!$F70)*100))))</f>
        <v/>
      </c>
      <c r="L66" s="115">
        <f>IF(Base_Alargada!AA69="","",IF(Parametros_Alargados!$D70="+",MIN(100,MAX(0,(Base_Alargada!AA69-Parametros_Alargados!$F70)/(Parametros_Alargados!$G70-Parametros_Alargados!$F70)*100)),MIN(100,MAX(0,(Parametros_Alargados!$G70-Base_Alargada!AA69)/(Parametros_Alargados!$G70-Parametros_Alargados!$F70)*100))))</f>
        <v/>
      </c>
      <c r="M66" s="115">
        <f>IF(Base_Alargada!AB69="","",IF(Parametros_Alargados!$D70="+",MIN(100,MAX(0,(Base_Alargada!AB69-Parametros_Alargados!$F70)/(Parametros_Alargados!$G70-Parametros_Alargados!$F70)*100)),MIN(100,MAX(0,(Parametros_Alargados!$G70-Base_Alargada!AB69)/(Parametros_Alargados!$G70-Parametros_Alargados!$F70)*100))))</f>
        <v/>
      </c>
    </row>
    <row r="67">
      <c r="A67" t="inlineStr">
        <is>
          <t>5. Infraestruturas e Serviços</t>
        </is>
      </c>
      <c r="B67" t="inlineStr">
        <is>
          <t>Acesso rural à eletricidade</t>
        </is>
      </c>
      <c r="C67" s="115">
        <f>IF(Base_Alargada!R70="","",IF(Parametros_Alargados!$D71="+",MIN(100,MAX(0,(Base_Alargada!R70-Parametros_Alargados!$F71)/(Parametros_Alargados!$G71-Parametros_Alargados!$F71)*100)),MIN(100,MAX(0,(Parametros_Alargados!$G71-Base_Alargada!R70)/(Parametros_Alargados!$G71-Parametros_Alargados!$F71)*100))))</f>
        <v/>
      </c>
      <c r="D67" s="115">
        <f>IF(Base_Alargada!S70="","",IF(Parametros_Alargados!$D71="+",MIN(100,MAX(0,(Base_Alargada!S70-Parametros_Alargados!$F71)/(Parametros_Alargados!$G71-Parametros_Alargados!$F71)*100)),MIN(100,MAX(0,(Parametros_Alargados!$G71-Base_Alargada!S70)/(Parametros_Alargados!$G71-Parametros_Alargados!$F71)*100))))</f>
        <v/>
      </c>
      <c r="E67" s="115">
        <f>IF(Base_Alargada!T70="","",IF(Parametros_Alargados!$D71="+",MIN(100,MAX(0,(Base_Alargada!T70-Parametros_Alargados!$F71)/(Parametros_Alargados!$G71-Parametros_Alargados!$F71)*100)),MIN(100,MAX(0,(Parametros_Alargados!$G71-Base_Alargada!T70)/(Parametros_Alargados!$G71-Parametros_Alargados!$F71)*100))))</f>
        <v/>
      </c>
      <c r="F67" s="115">
        <f>IF(Base_Alargada!U70="","",IF(Parametros_Alargados!$D71="+",MIN(100,MAX(0,(Base_Alargada!U70-Parametros_Alargados!$F71)/(Parametros_Alargados!$G71-Parametros_Alargados!$F71)*100)),MIN(100,MAX(0,(Parametros_Alargados!$G71-Base_Alargada!U70)/(Parametros_Alargados!$G71-Parametros_Alargados!$F71)*100))))</f>
        <v/>
      </c>
      <c r="G67" s="115">
        <f>IF(Base_Alargada!V70="","",IF(Parametros_Alargados!$D71="+",MIN(100,MAX(0,(Base_Alargada!V70-Parametros_Alargados!$F71)/(Parametros_Alargados!$G71-Parametros_Alargados!$F71)*100)),MIN(100,MAX(0,(Parametros_Alargados!$G71-Base_Alargada!V70)/(Parametros_Alargados!$G71-Parametros_Alargados!$F71)*100))))</f>
        <v/>
      </c>
      <c r="H67" s="115">
        <f>IF(Base_Alargada!W70="","",IF(Parametros_Alargados!$D71="+",MIN(100,MAX(0,(Base_Alargada!W70-Parametros_Alargados!$F71)/(Parametros_Alargados!$G71-Parametros_Alargados!$F71)*100)),MIN(100,MAX(0,(Parametros_Alargados!$G71-Base_Alargada!W70)/(Parametros_Alargados!$G71-Parametros_Alargados!$F71)*100))))</f>
        <v/>
      </c>
      <c r="I67" s="115">
        <f>IF(Base_Alargada!X70="","",IF(Parametros_Alargados!$D71="+",MIN(100,MAX(0,(Base_Alargada!X70-Parametros_Alargados!$F71)/(Parametros_Alargados!$G71-Parametros_Alargados!$F71)*100)),MIN(100,MAX(0,(Parametros_Alargados!$G71-Base_Alargada!X70)/(Parametros_Alargados!$G71-Parametros_Alargados!$F71)*100))))</f>
        <v/>
      </c>
      <c r="J67" s="115">
        <f>IF(Base_Alargada!Y70="","",IF(Parametros_Alargados!$D71="+",MIN(100,MAX(0,(Base_Alargada!Y70-Parametros_Alargados!$F71)/(Parametros_Alargados!$G71-Parametros_Alargados!$F71)*100)),MIN(100,MAX(0,(Parametros_Alargados!$G71-Base_Alargada!Y70)/(Parametros_Alargados!$G71-Parametros_Alargados!$F71)*100))))</f>
        <v/>
      </c>
      <c r="K67" s="115">
        <f>IF(Base_Alargada!Z70="","",IF(Parametros_Alargados!$D71="+",MIN(100,MAX(0,(Base_Alargada!Z70-Parametros_Alargados!$F71)/(Parametros_Alargados!$G71-Parametros_Alargados!$F71)*100)),MIN(100,MAX(0,(Parametros_Alargados!$G71-Base_Alargada!Z70)/(Parametros_Alargados!$G71-Parametros_Alargados!$F71)*100))))</f>
        <v/>
      </c>
      <c r="L67" s="115">
        <f>IF(Base_Alargada!AA70="","",IF(Parametros_Alargados!$D71="+",MIN(100,MAX(0,(Base_Alargada!AA70-Parametros_Alargados!$F71)/(Parametros_Alargados!$G71-Parametros_Alargados!$F71)*100)),MIN(100,MAX(0,(Parametros_Alargados!$G71-Base_Alargada!AA70)/(Parametros_Alargados!$G71-Parametros_Alargados!$F71)*100))))</f>
        <v/>
      </c>
      <c r="M67" s="115">
        <f>IF(Base_Alargada!AB70="","",IF(Parametros_Alargados!$D71="+",MIN(100,MAX(0,(Base_Alargada!AB70-Parametros_Alargados!$F71)/(Parametros_Alargados!$G71-Parametros_Alargados!$F71)*100)),MIN(100,MAX(0,(Parametros_Alargados!$G71-Base_Alargada!AB70)/(Parametros_Alargados!$G71-Parametros_Alargados!$F71)*100))))</f>
        <v/>
      </c>
    </row>
    <row r="68">
      <c r="A68" t="inlineStr">
        <is>
          <t>5. Infraestruturas e Serviços</t>
        </is>
      </c>
      <c r="B68" t="inlineStr">
        <is>
          <t>Acesso a energia limpa para cozinhar</t>
        </is>
      </c>
      <c r="C68" s="115">
        <f>IF(Base_Alargada!R71="","",IF(Parametros_Alargados!$D72="+",MIN(100,MAX(0,(Base_Alargada!R71-Parametros_Alargados!$F72)/(Parametros_Alargados!$G72-Parametros_Alargados!$F72)*100)),MIN(100,MAX(0,(Parametros_Alargados!$G72-Base_Alargada!R71)/(Parametros_Alargados!$G72-Parametros_Alargados!$F72)*100))))</f>
        <v/>
      </c>
      <c r="D68" s="115">
        <f>IF(Base_Alargada!S71="","",IF(Parametros_Alargados!$D72="+",MIN(100,MAX(0,(Base_Alargada!S71-Parametros_Alargados!$F72)/(Parametros_Alargados!$G72-Parametros_Alargados!$F72)*100)),MIN(100,MAX(0,(Parametros_Alargados!$G72-Base_Alargada!S71)/(Parametros_Alargados!$G72-Parametros_Alargados!$F72)*100))))</f>
        <v/>
      </c>
      <c r="E68" s="115">
        <f>IF(Base_Alargada!T71="","",IF(Parametros_Alargados!$D72="+",MIN(100,MAX(0,(Base_Alargada!T71-Parametros_Alargados!$F72)/(Parametros_Alargados!$G72-Parametros_Alargados!$F72)*100)),MIN(100,MAX(0,(Parametros_Alargados!$G72-Base_Alargada!T71)/(Parametros_Alargados!$G72-Parametros_Alargados!$F72)*100))))</f>
        <v/>
      </c>
      <c r="F68" s="115">
        <f>IF(Base_Alargada!U71="","",IF(Parametros_Alargados!$D72="+",MIN(100,MAX(0,(Base_Alargada!U71-Parametros_Alargados!$F72)/(Parametros_Alargados!$G72-Parametros_Alargados!$F72)*100)),MIN(100,MAX(0,(Parametros_Alargados!$G72-Base_Alargada!U71)/(Parametros_Alargados!$G72-Parametros_Alargados!$F72)*100))))</f>
        <v/>
      </c>
      <c r="G68" s="115">
        <f>IF(Base_Alargada!V71="","",IF(Parametros_Alargados!$D72="+",MIN(100,MAX(0,(Base_Alargada!V71-Parametros_Alargados!$F72)/(Parametros_Alargados!$G72-Parametros_Alargados!$F72)*100)),MIN(100,MAX(0,(Parametros_Alargados!$G72-Base_Alargada!V71)/(Parametros_Alargados!$G72-Parametros_Alargados!$F72)*100))))</f>
        <v/>
      </c>
      <c r="H68" s="115">
        <f>IF(Base_Alargada!W71="","",IF(Parametros_Alargados!$D72="+",MIN(100,MAX(0,(Base_Alargada!W71-Parametros_Alargados!$F72)/(Parametros_Alargados!$G72-Parametros_Alargados!$F72)*100)),MIN(100,MAX(0,(Parametros_Alargados!$G72-Base_Alargada!W71)/(Parametros_Alargados!$G72-Parametros_Alargados!$F72)*100))))</f>
        <v/>
      </c>
      <c r="I68" s="115">
        <f>IF(Base_Alargada!X71="","",IF(Parametros_Alargados!$D72="+",MIN(100,MAX(0,(Base_Alargada!X71-Parametros_Alargados!$F72)/(Parametros_Alargados!$G72-Parametros_Alargados!$F72)*100)),MIN(100,MAX(0,(Parametros_Alargados!$G72-Base_Alargada!X71)/(Parametros_Alargados!$G72-Parametros_Alargados!$F72)*100))))</f>
        <v/>
      </c>
      <c r="J68" s="115">
        <f>IF(Base_Alargada!Y71="","",IF(Parametros_Alargados!$D72="+",MIN(100,MAX(0,(Base_Alargada!Y71-Parametros_Alargados!$F72)/(Parametros_Alargados!$G72-Parametros_Alargados!$F72)*100)),MIN(100,MAX(0,(Parametros_Alargados!$G72-Base_Alargada!Y71)/(Parametros_Alargados!$G72-Parametros_Alargados!$F72)*100))))</f>
        <v/>
      </c>
      <c r="K68" s="115">
        <f>IF(Base_Alargada!Z71="","",IF(Parametros_Alargados!$D72="+",MIN(100,MAX(0,(Base_Alargada!Z71-Parametros_Alargados!$F72)/(Parametros_Alargados!$G72-Parametros_Alargados!$F72)*100)),MIN(100,MAX(0,(Parametros_Alargados!$G72-Base_Alargada!Z71)/(Parametros_Alargados!$G72-Parametros_Alargados!$F72)*100))))</f>
        <v/>
      </c>
      <c r="L68" s="115">
        <f>IF(Base_Alargada!AA71="","",IF(Parametros_Alargados!$D72="+",MIN(100,MAX(0,(Base_Alargada!AA71-Parametros_Alargados!$F72)/(Parametros_Alargados!$G72-Parametros_Alargados!$F72)*100)),MIN(100,MAX(0,(Parametros_Alargados!$G72-Base_Alargada!AA71)/(Parametros_Alargados!$G72-Parametros_Alargados!$F72)*100))))</f>
        <v/>
      </c>
      <c r="M68" s="115">
        <f>IF(Base_Alargada!AB71="","",IF(Parametros_Alargados!$D72="+",MIN(100,MAX(0,(Base_Alargada!AB71-Parametros_Alargados!$F72)/(Parametros_Alargados!$G72-Parametros_Alargados!$F72)*100)),MIN(100,MAX(0,(Parametros_Alargados!$G72-Base_Alargada!AB71)/(Parametros_Alargados!$G72-Parametros_Alargados!$F72)*100))))</f>
        <v/>
      </c>
    </row>
    <row r="69">
      <c r="A69" t="inlineStr">
        <is>
          <t>5. Infraestruturas e Serviços</t>
        </is>
      </c>
      <c r="B69" t="inlineStr">
        <is>
          <t>Perdas de transmissão e distribuição elétrica</t>
        </is>
      </c>
      <c r="C69" s="115">
        <f>IF(Base_Alargada!R72="","",IF(Parametros_Alargados!$D73="+",MIN(100,MAX(0,(Base_Alargada!R72-Parametros_Alargados!$F73)/(Parametros_Alargados!$G73-Parametros_Alargados!$F73)*100)),MIN(100,MAX(0,(Parametros_Alargados!$G73-Base_Alargada!R72)/(Parametros_Alargados!$G73-Parametros_Alargados!$F73)*100))))</f>
        <v/>
      </c>
      <c r="D69" s="115">
        <f>IF(Base_Alargada!S72="","",IF(Parametros_Alargados!$D73="+",MIN(100,MAX(0,(Base_Alargada!S72-Parametros_Alargados!$F73)/(Parametros_Alargados!$G73-Parametros_Alargados!$F73)*100)),MIN(100,MAX(0,(Parametros_Alargados!$G73-Base_Alargada!S72)/(Parametros_Alargados!$G73-Parametros_Alargados!$F73)*100))))</f>
        <v/>
      </c>
      <c r="E69" s="115">
        <f>IF(Base_Alargada!T72="","",IF(Parametros_Alargados!$D73="+",MIN(100,MAX(0,(Base_Alargada!T72-Parametros_Alargados!$F73)/(Parametros_Alargados!$G73-Parametros_Alargados!$F73)*100)),MIN(100,MAX(0,(Parametros_Alargados!$G73-Base_Alargada!T72)/(Parametros_Alargados!$G73-Parametros_Alargados!$F73)*100))))</f>
        <v/>
      </c>
      <c r="F69" s="115">
        <f>IF(Base_Alargada!U72="","",IF(Parametros_Alargados!$D73="+",MIN(100,MAX(0,(Base_Alargada!U72-Parametros_Alargados!$F73)/(Parametros_Alargados!$G73-Parametros_Alargados!$F73)*100)),MIN(100,MAX(0,(Parametros_Alargados!$G73-Base_Alargada!U72)/(Parametros_Alargados!$G73-Parametros_Alargados!$F73)*100))))</f>
        <v/>
      </c>
      <c r="G69" s="115">
        <f>IF(Base_Alargada!V72="","",IF(Parametros_Alargados!$D73="+",MIN(100,MAX(0,(Base_Alargada!V72-Parametros_Alargados!$F73)/(Parametros_Alargados!$G73-Parametros_Alargados!$F73)*100)),MIN(100,MAX(0,(Parametros_Alargados!$G73-Base_Alargada!V72)/(Parametros_Alargados!$G73-Parametros_Alargados!$F73)*100))))</f>
        <v/>
      </c>
      <c r="H69" s="115">
        <f>IF(Base_Alargada!W72="","",IF(Parametros_Alargados!$D73="+",MIN(100,MAX(0,(Base_Alargada!W72-Parametros_Alargados!$F73)/(Parametros_Alargados!$G73-Parametros_Alargados!$F73)*100)),MIN(100,MAX(0,(Parametros_Alargados!$G73-Base_Alargada!W72)/(Parametros_Alargados!$G73-Parametros_Alargados!$F73)*100))))</f>
        <v/>
      </c>
      <c r="I69" s="115">
        <f>IF(Base_Alargada!X72="","",IF(Parametros_Alargados!$D73="+",MIN(100,MAX(0,(Base_Alargada!X72-Parametros_Alargados!$F73)/(Parametros_Alargados!$G73-Parametros_Alargados!$F73)*100)),MIN(100,MAX(0,(Parametros_Alargados!$G73-Base_Alargada!X72)/(Parametros_Alargados!$G73-Parametros_Alargados!$F73)*100))))</f>
        <v/>
      </c>
      <c r="J69" s="115">
        <f>IF(Base_Alargada!Y72="","",IF(Parametros_Alargados!$D73="+",MIN(100,MAX(0,(Base_Alargada!Y72-Parametros_Alargados!$F73)/(Parametros_Alargados!$G73-Parametros_Alargados!$F73)*100)),MIN(100,MAX(0,(Parametros_Alargados!$G73-Base_Alargada!Y72)/(Parametros_Alargados!$G73-Parametros_Alargados!$F73)*100))))</f>
        <v/>
      </c>
      <c r="K69" s="115">
        <f>IF(Base_Alargada!Z72="","",IF(Parametros_Alargados!$D73="+",MIN(100,MAX(0,(Base_Alargada!Z72-Parametros_Alargados!$F73)/(Parametros_Alargados!$G73-Parametros_Alargados!$F73)*100)),MIN(100,MAX(0,(Parametros_Alargados!$G73-Base_Alargada!Z72)/(Parametros_Alargados!$G73-Parametros_Alargados!$F73)*100))))</f>
        <v/>
      </c>
      <c r="L69" s="115">
        <f>IF(Base_Alargada!AA72="","",IF(Parametros_Alargados!$D73="+",MIN(100,MAX(0,(Base_Alargada!AA72-Parametros_Alargados!$F73)/(Parametros_Alargados!$G73-Parametros_Alargados!$F73)*100)),MIN(100,MAX(0,(Parametros_Alargados!$G73-Base_Alargada!AA72)/(Parametros_Alargados!$G73-Parametros_Alargados!$F73)*100))))</f>
        <v/>
      </c>
      <c r="M69" s="115">
        <f>IF(Base_Alargada!AB72="","",IF(Parametros_Alargados!$D73="+",MIN(100,MAX(0,(Base_Alargada!AB72-Parametros_Alargados!$F73)/(Parametros_Alargados!$G73-Parametros_Alargados!$F73)*100)),MIN(100,MAX(0,(Parametros_Alargados!$G73-Base_Alargada!AB72)/(Parametros_Alargados!$G73-Parametros_Alargados!$F73)*100))))</f>
        <v/>
      </c>
    </row>
    <row r="70">
      <c r="A70" t="inlineStr">
        <is>
          <t>5. Infraestruturas e Serviços</t>
        </is>
      </c>
      <c r="B70" t="inlineStr">
        <is>
          <t>Subscrições móveis por 100 habitantes</t>
        </is>
      </c>
      <c r="C70" s="115">
        <f>IF(Base_Alargada!R73="","",IF(Parametros_Alargados!$D74="+",MIN(100,MAX(0,(Base_Alargada!R73-Parametros_Alargados!$F74)/(Parametros_Alargados!$G74-Parametros_Alargados!$F74)*100)),MIN(100,MAX(0,(Parametros_Alargados!$G74-Base_Alargada!R73)/(Parametros_Alargados!$G74-Parametros_Alargados!$F74)*100))))</f>
        <v/>
      </c>
      <c r="D70" s="115">
        <f>IF(Base_Alargada!S73="","",IF(Parametros_Alargados!$D74="+",MIN(100,MAX(0,(Base_Alargada!S73-Parametros_Alargados!$F74)/(Parametros_Alargados!$G74-Parametros_Alargados!$F74)*100)),MIN(100,MAX(0,(Parametros_Alargados!$G74-Base_Alargada!S73)/(Parametros_Alargados!$G74-Parametros_Alargados!$F74)*100))))</f>
        <v/>
      </c>
      <c r="E70" s="115">
        <f>IF(Base_Alargada!T73="","",IF(Parametros_Alargados!$D74="+",MIN(100,MAX(0,(Base_Alargada!T73-Parametros_Alargados!$F74)/(Parametros_Alargados!$G74-Parametros_Alargados!$F74)*100)),MIN(100,MAX(0,(Parametros_Alargados!$G74-Base_Alargada!T73)/(Parametros_Alargados!$G74-Parametros_Alargados!$F74)*100))))</f>
        <v/>
      </c>
      <c r="F70" s="115">
        <f>IF(Base_Alargada!U73="","",IF(Parametros_Alargados!$D74="+",MIN(100,MAX(0,(Base_Alargada!U73-Parametros_Alargados!$F74)/(Parametros_Alargados!$G74-Parametros_Alargados!$F74)*100)),MIN(100,MAX(0,(Parametros_Alargados!$G74-Base_Alargada!U73)/(Parametros_Alargados!$G74-Parametros_Alargados!$F74)*100))))</f>
        <v/>
      </c>
      <c r="G70" s="115">
        <f>IF(Base_Alargada!V73="","",IF(Parametros_Alargados!$D74="+",MIN(100,MAX(0,(Base_Alargada!V73-Parametros_Alargados!$F74)/(Parametros_Alargados!$G74-Parametros_Alargados!$F74)*100)),MIN(100,MAX(0,(Parametros_Alargados!$G74-Base_Alargada!V73)/(Parametros_Alargados!$G74-Parametros_Alargados!$F74)*100))))</f>
        <v/>
      </c>
      <c r="H70" s="115">
        <f>IF(Base_Alargada!W73="","",IF(Parametros_Alargados!$D74="+",MIN(100,MAX(0,(Base_Alargada!W73-Parametros_Alargados!$F74)/(Parametros_Alargados!$G74-Parametros_Alargados!$F74)*100)),MIN(100,MAX(0,(Parametros_Alargados!$G74-Base_Alargada!W73)/(Parametros_Alargados!$G74-Parametros_Alargados!$F74)*100))))</f>
        <v/>
      </c>
      <c r="I70" s="115">
        <f>IF(Base_Alargada!X73="","",IF(Parametros_Alargados!$D74="+",MIN(100,MAX(0,(Base_Alargada!X73-Parametros_Alargados!$F74)/(Parametros_Alargados!$G74-Parametros_Alargados!$F74)*100)),MIN(100,MAX(0,(Parametros_Alargados!$G74-Base_Alargada!X73)/(Parametros_Alargados!$G74-Parametros_Alargados!$F74)*100))))</f>
        <v/>
      </c>
      <c r="J70" s="115">
        <f>IF(Base_Alargada!Y73="","",IF(Parametros_Alargados!$D74="+",MIN(100,MAX(0,(Base_Alargada!Y73-Parametros_Alargados!$F74)/(Parametros_Alargados!$G74-Parametros_Alargados!$F74)*100)),MIN(100,MAX(0,(Parametros_Alargados!$G74-Base_Alargada!Y73)/(Parametros_Alargados!$G74-Parametros_Alargados!$F74)*100))))</f>
        <v/>
      </c>
      <c r="K70" s="115">
        <f>IF(Base_Alargada!Z73="","",IF(Parametros_Alargados!$D74="+",MIN(100,MAX(0,(Base_Alargada!Z73-Parametros_Alargados!$F74)/(Parametros_Alargados!$G74-Parametros_Alargados!$F74)*100)),MIN(100,MAX(0,(Parametros_Alargados!$G74-Base_Alargada!Z73)/(Parametros_Alargados!$G74-Parametros_Alargados!$F74)*100))))</f>
        <v/>
      </c>
      <c r="L70" s="115">
        <f>IF(Base_Alargada!AA73="","",IF(Parametros_Alargados!$D74="+",MIN(100,MAX(0,(Base_Alargada!AA73-Parametros_Alargados!$F74)/(Parametros_Alargados!$G74-Parametros_Alargados!$F74)*100)),MIN(100,MAX(0,(Parametros_Alargados!$G74-Base_Alargada!AA73)/(Parametros_Alargados!$G74-Parametros_Alargados!$F74)*100))))</f>
        <v/>
      </c>
      <c r="M70" s="115">
        <f>IF(Base_Alargada!AB73="","",IF(Parametros_Alargados!$D74="+",MIN(100,MAX(0,(Base_Alargada!AB73-Parametros_Alargados!$F74)/(Parametros_Alargados!$G74-Parametros_Alargados!$F74)*100)),MIN(100,MAX(0,(Parametros_Alargados!$G74-Base_Alargada!AB73)/(Parametros_Alargados!$G74-Parametros_Alargados!$F74)*100))))</f>
        <v/>
      </c>
    </row>
    <row r="71">
      <c r="A71" t="inlineStr">
        <is>
          <t>5. Infraestruturas e Serviços</t>
        </is>
      </c>
      <c r="B71" t="inlineStr">
        <is>
          <t>Banda larga fixa por 100 habitantes</t>
        </is>
      </c>
      <c r="C71" s="115">
        <f>IF(Base_Alargada!R74="","",IF(Parametros_Alargados!$D75="+",MIN(100,MAX(0,(Base_Alargada!R74-Parametros_Alargados!$F75)/(Parametros_Alargados!$G75-Parametros_Alargados!$F75)*100)),MIN(100,MAX(0,(Parametros_Alargados!$G75-Base_Alargada!R74)/(Parametros_Alargados!$G75-Parametros_Alargados!$F75)*100))))</f>
        <v/>
      </c>
      <c r="D71" s="115">
        <f>IF(Base_Alargada!S74="","",IF(Parametros_Alargados!$D75="+",MIN(100,MAX(0,(Base_Alargada!S74-Parametros_Alargados!$F75)/(Parametros_Alargados!$G75-Parametros_Alargados!$F75)*100)),MIN(100,MAX(0,(Parametros_Alargados!$G75-Base_Alargada!S74)/(Parametros_Alargados!$G75-Parametros_Alargados!$F75)*100))))</f>
        <v/>
      </c>
      <c r="E71" s="115">
        <f>IF(Base_Alargada!T74="","",IF(Parametros_Alargados!$D75="+",MIN(100,MAX(0,(Base_Alargada!T74-Parametros_Alargados!$F75)/(Parametros_Alargados!$G75-Parametros_Alargados!$F75)*100)),MIN(100,MAX(0,(Parametros_Alargados!$G75-Base_Alargada!T74)/(Parametros_Alargados!$G75-Parametros_Alargados!$F75)*100))))</f>
        <v/>
      </c>
      <c r="F71" s="115">
        <f>IF(Base_Alargada!U74="","",IF(Parametros_Alargados!$D75="+",MIN(100,MAX(0,(Base_Alargada!U74-Parametros_Alargados!$F75)/(Parametros_Alargados!$G75-Parametros_Alargados!$F75)*100)),MIN(100,MAX(0,(Parametros_Alargados!$G75-Base_Alargada!U74)/(Parametros_Alargados!$G75-Parametros_Alargados!$F75)*100))))</f>
        <v/>
      </c>
      <c r="G71" s="115">
        <f>IF(Base_Alargada!V74="","",IF(Parametros_Alargados!$D75="+",MIN(100,MAX(0,(Base_Alargada!V74-Parametros_Alargados!$F75)/(Parametros_Alargados!$G75-Parametros_Alargados!$F75)*100)),MIN(100,MAX(0,(Parametros_Alargados!$G75-Base_Alargada!V74)/(Parametros_Alargados!$G75-Parametros_Alargados!$F75)*100))))</f>
        <v/>
      </c>
      <c r="H71" s="115">
        <f>IF(Base_Alargada!W74="","",IF(Parametros_Alargados!$D75="+",MIN(100,MAX(0,(Base_Alargada!W74-Parametros_Alargados!$F75)/(Parametros_Alargados!$G75-Parametros_Alargados!$F75)*100)),MIN(100,MAX(0,(Parametros_Alargados!$G75-Base_Alargada!W74)/(Parametros_Alargados!$G75-Parametros_Alargados!$F75)*100))))</f>
        <v/>
      </c>
      <c r="I71" s="115">
        <f>IF(Base_Alargada!X74="","",IF(Parametros_Alargados!$D75="+",MIN(100,MAX(0,(Base_Alargada!X74-Parametros_Alargados!$F75)/(Parametros_Alargados!$G75-Parametros_Alargados!$F75)*100)),MIN(100,MAX(0,(Parametros_Alargados!$G75-Base_Alargada!X74)/(Parametros_Alargados!$G75-Parametros_Alargados!$F75)*100))))</f>
        <v/>
      </c>
      <c r="J71" s="115">
        <f>IF(Base_Alargada!Y74="","",IF(Parametros_Alargados!$D75="+",MIN(100,MAX(0,(Base_Alargada!Y74-Parametros_Alargados!$F75)/(Parametros_Alargados!$G75-Parametros_Alargados!$F75)*100)),MIN(100,MAX(0,(Parametros_Alargados!$G75-Base_Alargada!Y74)/(Parametros_Alargados!$G75-Parametros_Alargados!$F75)*100))))</f>
        <v/>
      </c>
      <c r="K71" s="115">
        <f>IF(Base_Alargada!Z74="","",IF(Parametros_Alargados!$D75="+",MIN(100,MAX(0,(Base_Alargada!Z74-Parametros_Alargados!$F75)/(Parametros_Alargados!$G75-Parametros_Alargados!$F75)*100)),MIN(100,MAX(0,(Parametros_Alargados!$G75-Base_Alargada!Z74)/(Parametros_Alargados!$G75-Parametros_Alargados!$F75)*100))))</f>
        <v/>
      </c>
      <c r="L71" s="115">
        <f>IF(Base_Alargada!AA74="","",IF(Parametros_Alargados!$D75="+",MIN(100,MAX(0,(Base_Alargada!AA74-Parametros_Alargados!$F75)/(Parametros_Alargados!$G75-Parametros_Alargados!$F75)*100)),MIN(100,MAX(0,(Parametros_Alargados!$G75-Base_Alargada!AA74)/(Parametros_Alargados!$G75-Parametros_Alargados!$F75)*100))))</f>
        <v/>
      </c>
      <c r="M71" s="115">
        <f>IF(Base_Alargada!AB74="","",IF(Parametros_Alargados!$D75="+",MIN(100,MAX(0,(Base_Alargada!AB74-Parametros_Alargados!$F75)/(Parametros_Alargados!$G75-Parametros_Alargados!$F75)*100)),MIN(100,MAX(0,(Parametros_Alargados!$G75-Base_Alargada!AB74)/(Parametros_Alargados!$G75-Parametros_Alargados!$F75)*100))))</f>
        <v/>
      </c>
    </row>
    <row r="72">
      <c r="A72" t="inlineStr">
        <is>
          <t>5. Infraestruturas e Serviços</t>
        </is>
      </c>
      <c r="B72" t="inlineStr">
        <is>
          <t>Preço de cabaz móvel-banda larga (% RNB per capita)</t>
        </is>
      </c>
      <c r="C72" s="115">
        <f>IF(Base_Alargada!R75="","",IF(Parametros_Alargados!$D76="+",MIN(100,MAX(0,(Base_Alargada!R75-Parametros_Alargados!$F76)/(Parametros_Alargados!$G76-Parametros_Alargados!$F76)*100)),MIN(100,MAX(0,(Parametros_Alargados!$G76-Base_Alargada!R75)/(Parametros_Alargados!$G76-Parametros_Alargados!$F76)*100))))</f>
        <v/>
      </c>
      <c r="D72" s="115">
        <f>IF(Base_Alargada!S75="","",IF(Parametros_Alargados!$D76="+",MIN(100,MAX(0,(Base_Alargada!S75-Parametros_Alargados!$F76)/(Parametros_Alargados!$G76-Parametros_Alargados!$F76)*100)),MIN(100,MAX(0,(Parametros_Alargados!$G76-Base_Alargada!S75)/(Parametros_Alargados!$G76-Parametros_Alargados!$F76)*100))))</f>
        <v/>
      </c>
      <c r="E72" s="115">
        <f>IF(Base_Alargada!T75="","",IF(Parametros_Alargados!$D76="+",MIN(100,MAX(0,(Base_Alargada!T75-Parametros_Alargados!$F76)/(Parametros_Alargados!$G76-Parametros_Alargados!$F76)*100)),MIN(100,MAX(0,(Parametros_Alargados!$G76-Base_Alargada!T75)/(Parametros_Alargados!$G76-Parametros_Alargados!$F76)*100))))</f>
        <v/>
      </c>
      <c r="F72" s="115">
        <f>IF(Base_Alargada!U75="","",IF(Parametros_Alargados!$D76="+",MIN(100,MAX(0,(Base_Alargada!U75-Parametros_Alargados!$F76)/(Parametros_Alargados!$G76-Parametros_Alargados!$F76)*100)),MIN(100,MAX(0,(Parametros_Alargados!$G76-Base_Alargada!U75)/(Parametros_Alargados!$G76-Parametros_Alargados!$F76)*100))))</f>
        <v/>
      </c>
      <c r="G72" s="115">
        <f>IF(Base_Alargada!V75="","",IF(Parametros_Alargados!$D76="+",MIN(100,MAX(0,(Base_Alargada!V75-Parametros_Alargados!$F76)/(Parametros_Alargados!$G76-Parametros_Alargados!$F76)*100)),MIN(100,MAX(0,(Parametros_Alargados!$G76-Base_Alargada!V75)/(Parametros_Alargados!$G76-Parametros_Alargados!$F76)*100))))</f>
        <v/>
      </c>
      <c r="H72" s="115">
        <f>IF(Base_Alargada!W75="","",IF(Parametros_Alargados!$D76="+",MIN(100,MAX(0,(Base_Alargada!W75-Parametros_Alargados!$F76)/(Parametros_Alargados!$G76-Parametros_Alargados!$F76)*100)),MIN(100,MAX(0,(Parametros_Alargados!$G76-Base_Alargada!W75)/(Parametros_Alargados!$G76-Parametros_Alargados!$F76)*100))))</f>
        <v/>
      </c>
      <c r="I72" s="115">
        <f>IF(Base_Alargada!X75="","",IF(Parametros_Alargados!$D76="+",MIN(100,MAX(0,(Base_Alargada!X75-Parametros_Alargados!$F76)/(Parametros_Alargados!$G76-Parametros_Alargados!$F76)*100)),MIN(100,MAX(0,(Parametros_Alargados!$G76-Base_Alargada!X75)/(Parametros_Alargados!$G76-Parametros_Alargados!$F76)*100))))</f>
        <v/>
      </c>
      <c r="J72" s="115">
        <f>IF(Base_Alargada!Y75="","",IF(Parametros_Alargados!$D76="+",MIN(100,MAX(0,(Base_Alargada!Y75-Parametros_Alargados!$F76)/(Parametros_Alargados!$G76-Parametros_Alargados!$F76)*100)),MIN(100,MAX(0,(Parametros_Alargados!$G76-Base_Alargada!Y75)/(Parametros_Alargados!$G76-Parametros_Alargados!$F76)*100))))</f>
        <v/>
      </c>
      <c r="K72" s="115">
        <f>IF(Base_Alargada!Z75="","",IF(Parametros_Alargados!$D76="+",MIN(100,MAX(0,(Base_Alargada!Z75-Parametros_Alargados!$F76)/(Parametros_Alargados!$G76-Parametros_Alargados!$F76)*100)),MIN(100,MAX(0,(Parametros_Alargados!$G76-Base_Alargada!Z75)/(Parametros_Alargados!$G76-Parametros_Alargados!$F76)*100))))</f>
        <v/>
      </c>
      <c r="L72" s="115">
        <f>IF(Base_Alargada!AA75="","",IF(Parametros_Alargados!$D76="+",MIN(100,MAX(0,(Base_Alargada!AA75-Parametros_Alargados!$F76)/(Parametros_Alargados!$G76-Parametros_Alargados!$F76)*100)),MIN(100,MAX(0,(Parametros_Alargados!$G76-Base_Alargada!AA75)/(Parametros_Alargados!$G76-Parametros_Alargados!$F76)*100))))</f>
        <v/>
      </c>
      <c r="M72" s="115">
        <f>IF(Base_Alargada!AB75="","",IF(Parametros_Alargados!$D76="+",MIN(100,MAX(0,(Base_Alargada!AB75-Parametros_Alargados!$F76)/(Parametros_Alargados!$G76-Parametros_Alargados!$F76)*100)),MIN(100,MAX(0,(Parametros_Alargados!$G76-Base_Alargada!AB75)/(Parametros_Alargados!$G76-Parametros_Alargados!$F76)*100))))</f>
        <v/>
      </c>
    </row>
    <row r="73">
      <c r="A73" t="inlineStr">
        <is>
          <t>5. Infraestruturas e Serviços</t>
        </is>
      </c>
      <c r="B73" t="inlineStr">
        <is>
          <t>Água potável básica - população total</t>
        </is>
      </c>
      <c r="C73" s="115">
        <f>IF(Base_Alargada!R76="","",IF(Parametros_Alargados!$D77="+",MIN(100,MAX(0,(Base_Alargada!R76-Parametros_Alargados!$F77)/(Parametros_Alargados!$G77-Parametros_Alargados!$F77)*100)),MIN(100,MAX(0,(Parametros_Alargados!$G77-Base_Alargada!R76)/(Parametros_Alargados!$G77-Parametros_Alargados!$F77)*100))))</f>
        <v/>
      </c>
      <c r="D73" s="115">
        <f>IF(Base_Alargada!S76="","",IF(Parametros_Alargados!$D77="+",MIN(100,MAX(0,(Base_Alargada!S76-Parametros_Alargados!$F77)/(Parametros_Alargados!$G77-Parametros_Alargados!$F77)*100)),MIN(100,MAX(0,(Parametros_Alargados!$G77-Base_Alargada!S76)/(Parametros_Alargados!$G77-Parametros_Alargados!$F77)*100))))</f>
        <v/>
      </c>
      <c r="E73" s="115">
        <f>IF(Base_Alargada!T76="","",IF(Parametros_Alargados!$D77="+",MIN(100,MAX(0,(Base_Alargada!T76-Parametros_Alargados!$F77)/(Parametros_Alargados!$G77-Parametros_Alargados!$F77)*100)),MIN(100,MAX(0,(Parametros_Alargados!$G77-Base_Alargada!T76)/(Parametros_Alargados!$G77-Parametros_Alargados!$F77)*100))))</f>
        <v/>
      </c>
      <c r="F73" s="115">
        <f>IF(Base_Alargada!U76="","",IF(Parametros_Alargados!$D77="+",MIN(100,MAX(0,(Base_Alargada!U76-Parametros_Alargados!$F77)/(Parametros_Alargados!$G77-Parametros_Alargados!$F77)*100)),MIN(100,MAX(0,(Parametros_Alargados!$G77-Base_Alargada!U76)/(Parametros_Alargados!$G77-Parametros_Alargados!$F77)*100))))</f>
        <v/>
      </c>
      <c r="G73" s="115">
        <f>IF(Base_Alargada!V76="","",IF(Parametros_Alargados!$D77="+",MIN(100,MAX(0,(Base_Alargada!V76-Parametros_Alargados!$F77)/(Parametros_Alargados!$G77-Parametros_Alargados!$F77)*100)),MIN(100,MAX(0,(Parametros_Alargados!$G77-Base_Alargada!V76)/(Parametros_Alargados!$G77-Parametros_Alargados!$F77)*100))))</f>
        <v/>
      </c>
      <c r="H73" s="115">
        <f>IF(Base_Alargada!W76="","",IF(Parametros_Alargados!$D77="+",MIN(100,MAX(0,(Base_Alargada!W76-Parametros_Alargados!$F77)/(Parametros_Alargados!$G77-Parametros_Alargados!$F77)*100)),MIN(100,MAX(0,(Parametros_Alargados!$G77-Base_Alargada!W76)/(Parametros_Alargados!$G77-Parametros_Alargados!$F77)*100))))</f>
        <v/>
      </c>
      <c r="I73" s="115">
        <f>IF(Base_Alargada!X76="","",IF(Parametros_Alargados!$D77="+",MIN(100,MAX(0,(Base_Alargada!X76-Parametros_Alargados!$F77)/(Parametros_Alargados!$G77-Parametros_Alargados!$F77)*100)),MIN(100,MAX(0,(Parametros_Alargados!$G77-Base_Alargada!X76)/(Parametros_Alargados!$G77-Parametros_Alargados!$F77)*100))))</f>
        <v/>
      </c>
      <c r="J73" s="115">
        <f>IF(Base_Alargada!Y76="","",IF(Parametros_Alargados!$D77="+",MIN(100,MAX(0,(Base_Alargada!Y76-Parametros_Alargados!$F77)/(Parametros_Alargados!$G77-Parametros_Alargados!$F77)*100)),MIN(100,MAX(0,(Parametros_Alargados!$G77-Base_Alargada!Y76)/(Parametros_Alargados!$G77-Parametros_Alargados!$F77)*100))))</f>
        <v/>
      </c>
      <c r="K73" s="115">
        <f>IF(Base_Alargada!Z76="","",IF(Parametros_Alargados!$D77="+",MIN(100,MAX(0,(Base_Alargada!Z76-Parametros_Alargados!$F77)/(Parametros_Alargados!$G77-Parametros_Alargados!$F77)*100)),MIN(100,MAX(0,(Parametros_Alargados!$G77-Base_Alargada!Z76)/(Parametros_Alargados!$G77-Parametros_Alargados!$F77)*100))))</f>
        <v/>
      </c>
      <c r="L73" s="115">
        <f>IF(Base_Alargada!AA76="","",IF(Parametros_Alargados!$D77="+",MIN(100,MAX(0,(Base_Alargada!AA76-Parametros_Alargados!$F77)/(Parametros_Alargados!$G77-Parametros_Alargados!$F77)*100)),MIN(100,MAX(0,(Parametros_Alargados!$G77-Base_Alargada!AA76)/(Parametros_Alargados!$G77-Parametros_Alargados!$F77)*100))))</f>
        <v/>
      </c>
      <c r="M73" s="115">
        <f>IF(Base_Alargada!AB76="","",IF(Parametros_Alargados!$D77="+",MIN(100,MAX(0,(Base_Alargada!AB76-Parametros_Alargados!$F77)/(Parametros_Alargados!$G77-Parametros_Alargados!$F77)*100)),MIN(100,MAX(0,(Parametros_Alargados!$G77-Base_Alargada!AB76)/(Parametros_Alargados!$G77-Parametros_Alargados!$F77)*100))))</f>
        <v/>
      </c>
    </row>
    <row r="74">
      <c r="A74" t="inlineStr">
        <is>
          <t>5. Infraestruturas e Serviços</t>
        </is>
      </c>
      <c r="B74" t="inlineStr">
        <is>
          <t>Saneamento básico - população total</t>
        </is>
      </c>
      <c r="C74" s="115">
        <f>IF(Base_Alargada!R77="","",IF(Parametros_Alargados!$D78="+",MIN(100,MAX(0,(Base_Alargada!R77-Parametros_Alargados!$F78)/(Parametros_Alargados!$G78-Parametros_Alargados!$F78)*100)),MIN(100,MAX(0,(Parametros_Alargados!$G78-Base_Alargada!R77)/(Parametros_Alargados!$G78-Parametros_Alargados!$F78)*100))))</f>
        <v/>
      </c>
      <c r="D74" s="115">
        <f>IF(Base_Alargada!S77="","",IF(Parametros_Alargados!$D78="+",MIN(100,MAX(0,(Base_Alargada!S77-Parametros_Alargados!$F78)/(Parametros_Alargados!$G78-Parametros_Alargados!$F78)*100)),MIN(100,MAX(0,(Parametros_Alargados!$G78-Base_Alargada!S77)/(Parametros_Alargados!$G78-Parametros_Alargados!$F78)*100))))</f>
        <v/>
      </c>
      <c r="E74" s="115">
        <f>IF(Base_Alargada!T77="","",IF(Parametros_Alargados!$D78="+",MIN(100,MAX(0,(Base_Alargada!T77-Parametros_Alargados!$F78)/(Parametros_Alargados!$G78-Parametros_Alargados!$F78)*100)),MIN(100,MAX(0,(Parametros_Alargados!$G78-Base_Alargada!T77)/(Parametros_Alargados!$G78-Parametros_Alargados!$F78)*100))))</f>
        <v/>
      </c>
      <c r="F74" s="115">
        <f>IF(Base_Alargada!U77="","",IF(Parametros_Alargados!$D78="+",MIN(100,MAX(0,(Base_Alargada!U77-Parametros_Alargados!$F78)/(Parametros_Alargados!$G78-Parametros_Alargados!$F78)*100)),MIN(100,MAX(0,(Parametros_Alargados!$G78-Base_Alargada!U77)/(Parametros_Alargados!$G78-Parametros_Alargados!$F78)*100))))</f>
        <v/>
      </c>
      <c r="G74" s="115">
        <f>IF(Base_Alargada!V77="","",IF(Parametros_Alargados!$D78="+",MIN(100,MAX(0,(Base_Alargada!V77-Parametros_Alargados!$F78)/(Parametros_Alargados!$G78-Parametros_Alargados!$F78)*100)),MIN(100,MAX(0,(Parametros_Alargados!$G78-Base_Alargada!V77)/(Parametros_Alargados!$G78-Parametros_Alargados!$F78)*100))))</f>
        <v/>
      </c>
      <c r="H74" s="115">
        <f>IF(Base_Alargada!W77="","",IF(Parametros_Alargados!$D78="+",MIN(100,MAX(0,(Base_Alargada!W77-Parametros_Alargados!$F78)/(Parametros_Alargados!$G78-Parametros_Alargados!$F78)*100)),MIN(100,MAX(0,(Parametros_Alargados!$G78-Base_Alargada!W77)/(Parametros_Alargados!$G78-Parametros_Alargados!$F78)*100))))</f>
        <v/>
      </c>
      <c r="I74" s="115">
        <f>IF(Base_Alargada!X77="","",IF(Parametros_Alargados!$D78="+",MIN(100,MAX(0,(Base_Alargada!X77-Parametros_Alargados!$F78)/(Parametros_Alargados!$G78-Parametros_Alargados!$F78)*100)),MIN(100,MAX(0,(Parametros_Alargados!$G78-Base_Alargada!X77)/(Parametros_Alargados!$G78-Parametros_Alargados!$F78)*100))))</f>
        <v/>
      </c>
      <c r="J74" s="115">
        <f>IF(Base_Alargada!Y77="","",IF(Parametros_Alargados!$D78="+",MIN(100,MAX(0,(Base_Alargada!Y77-Parametros_Alargados!$F78)/(Parametros_Alargados!$G78-Parametros_Alargados!$F78)*100)),MIN(100,MAX(0,(Parametros_Alargados!$G78-Base_Alargada!Y77)/(Parametros_Alargados!$G78-Parametros_Alargados!$F78)*100))))</f>
        <v/>
      </c>
      <c r="K74" s="115">
        <f>IF(Base_Alargada!Z77="","",IF(Parametros_Alargados!$D78="+",MIN(100,MAX(0,(Base_Alargada!Z77-Parametros_Alargados!$F78)/(Parametros_Alargados!$G78-Parametros_Alargados!$F78)*100)),MIN(100,MAX(0,(Parametros_Alargados!$G78-Base_Alargada!Z77)/(Parametros_Alargados!$G78-Parametros_Alargados!$F78)*100))))</f>
        <v/>
      </c>
      <c r="L74" s="115">
        <f>IF(Base_Alargada!AA77="","",IF(Parametros_Alargados!$D78="+",MIN(100,MAX(0,(Base_Alargada!AA77-Parametros_Alargados!$F78)/(Parametros_Alargados!$G78-Parametros_Alargados!$F78)*100)),MIN(100,MAX(0,(Parametros_Alargados!$G78-Base_Alargada!AA77)/(Parametros_Alargados!$G78-Parametros_Alargados!$F78)*100))))</f>
        <v/>
      </c>
      <c r="M74" s="115">
        <f>IF(Base_Alargada!AB77="","",IF(Parametros_Alargados!$D78="+",MIN(100,MAX(0,(Base_Alargada!AB77-Parametros_Alargados!$F78)/(Parametros_Alargados!$G78-Parametros_Alargados!$F78)*100)),MIN(100,MAX(0,(Parametros_Alargados!$G78-Base_Alargada!AB77)/(Parametros_Alargados!$G78-Parametros_Alargados!$F78)*100))))</f>
        <v/>
      </c>
    </row>
    <row r="75">
      <c r="A75" t="inlineStr">
        <is>
          <t>5. Infraestruturas e Serviços</t>
        </is>
      </c>
      <c r="B75" t="inlineStr">
        <is>
          <t>Estradas pavimentadas (% total)</t>
        </is>
      </c>
      <c r="C75" s="115">
        <f>IF(Base_Alargada!R78="","",IF(Parametros_Alargados!$D79="+",MIN(100,MAX(0,(Base_Alargada!R78-Parametros_Alargados!$F79)/(Parametros_Alargados!$G79-Parametros_Alargados!$F79)*100)),MIN(100,MAX(0,(Parametros_Alargados!$G79-Base_Alargada!R78)/(Parametros_Alargados!$G79-Parametros_Alargados!$F79)*100))))</f>
        <v/>
      </c>
      <c r="D75" s="115">
        <f>IF(Base_Alargada!S78="","",IF(Parametros_Alargados!$D79="+",MIN(100,MAX(0,(Base_Alargada!S78-Parametros_Alargados!$F79)/(Parametros_Alargados!$G79-Parametros_Alargados!$F79)*100)),MIN(100,MAX(0,(Parametros_Alargados!$G79-Base_Alargada!S78)/(Parametros_Alargados!$G79-Parametros_Alargados!$F79)*100))))</f>
        <v/>
      </c>
      <c r="E75" s="115">
        <f>IF(Base_Alargada!T78="","",IF(Parametros_Alargados!$D79="+",MIN(100,MAX(0,(Base_Alargada!T78-Parametros_Alargados!$F79)/(Parametros_Alargados!$G79-Parametros_Alargados!$F79)*100)),MIN(100,MAX(0,(Parametros_Alargados!$G79-Base_Alargada!T78)/(Parametros_Alargados!$G79-Parametros_Alargados!$F79)*100))))</f>
        <v/>
      </c>
      <c r="F75" s="115">
        <f>IF(Base_Alargada!U78="","",IF(Parametros_Alargados!$D79="+",MIN(100,MAX(0,(Base_Alargada!U78-Parametros_Alargados!$F79)/(Parametros_Alargados!$G79-Parametros_Alargados!$F79)*100)),MIN(100,MAX(0,(Parametros_Alargados!$G79-Base_Alargada!U78)/(Parametros_Alargados!$G79-Parametros_Alargados!$F79)*100))))</f>
        <v/>
      </c>
      <c r="G75" s="115">
        <f>IF(Base_Alargada!V78="","",IF(Parametros_Alargados!$D79="+",MIN(100,MAX(0,(Base_Alargada!V78-Parametros_Alargados!$F79)/(Parametros_Alargados!$G79-Parametros_Alargados!$F79)*100)),MIN(100,MAX(0,(Parametros_Alargados!$G79-Base_Alargada!V78)/(Parametros_Alargados!$G79-Parametros_Alargados!$F79)*100))))</f>
        <v/>
      </c>
      <c r="H75" s="115">
        <f>IF(Base_Alargada!W78="","",IF(Parametros_Alargados!$D79="+",MIN(100,MAX(0,(Base_Alargada!W78-Parametros_Alargados!$F79)/(Parametros_Alargados!$G79-Parametros_Alargados!$F79)*100)),MIN(100,MAX(0,(Parametros_Alargados!$G79-Base_Alargada!W78)/(Parametros_Alargados!$G79-Parametros_Alargados!$F79)*100))))</f>
        <v/>
      </c>
      <c r="I75" s="115">
        <f>IF(Base_Alargada!X78="","",IF(Parametros_Alargados!$D79="+",MIN(100,MAX(0,(Base_Alargada!X78-Parametros_Alargados!$F79)/(Parametros_Alargados!$G79-Parametros_Alargados!$F79)*100)),MIN(100,MAX(0,(Parametros_Alargados!$G79-Base_Alargada!X78)/(Parametros_Alargados!$G79-Parametros_Alargados!$F79)*100))))</f>
        <v/>
      </c>
      <c r="J75" s="115">
        <f>IF(Base_Alargada!Y78="","",IF(Parametros_Alargados!$D79="+",MIN(100,MAX(0,(Base_Alargada!Y78-Parametros_Alargados!$F79)/(Parametros_Alargados!$G79-Parametros_Alargados!$F79)*100)),MIN(100,MAX(0,(Parametros_Alargados!$G79-Base_Alargada!Y78)/(Parametros_Alargados!$G79-Parametros_Alargados!$F79)*100))))</f>
        <v/>
      </c>
      <c r="K75" s="115">
        <f>IF(Base_Alargada!Z78="","",IF(Parametros_Alargados!$D79="+",MIN(100,MAX(0,(Base_Alargada!Z78-Parametros_Alargados!$F79)/(Parametros_Alargados!$G79-Parametros_Alargados!$F79)*100)),MIN(100,MAX(0,(Parametros_Alargados!$G79-Base_Alargada!Z78)/(Parametros_Alargados!$G79-Parametros_Alargados!$F79)*100))))</f>
        <v/>
      </c>
      <c r="L75" s="115">
        <f>IF(Base_Alargada!AA78="","",IF(Parametros_Alargados!$D79="+",MIN(100,MAX(0,(Base_Alargada!AA78-Parametros_Alargados!$F79)/(Parametros_Alargados!$G79-Parametros_Alargados!$F79)*100)),MIN(100,MAX(0,(Parametros_Alargados!$G79-Base_Alargada!AA78)/(Parametros_Alargados!$G79-Parametros_Alargados!$F79)*100))))</f>
        <v/>
      </c>
      <c r="M75" s="115">
        <f>IF(Base_Alargada!AB78="","",IF(Parametros_Alargados!$D79="+",MIN(100,MAX(0,(Base_Alargada!AB78-Parametros_Alargados!$F79)/(Parametros_Alargados!$G79-Parametros_Alargados!$F79)*100)),MIN(100,MAX(0,(Parametros_Alargados!$G79-Base_Alargada!AB78)/(Parametros_Alargados!$G79-Parametros_Alargados!$F79)*100))))</f>
        <v/>
      </c>
    </row>
    <row r="76">
      <c r="A76" t="inlineStr">
        <is>
          <t>5. Infraestruturas e Serviços</t>
        </is>
      </c>
      <c r="B76" t="inlineStr">
        <is>
          <t>Logistics Performance Index - geral</t>
        </is>
      </c>
      <c r="C76" s="115">
        <f>IF(Base_Alargada!R79="","",IF(Parametros_Alargados!$D80="+",MIN(100,MAX(0,(Base_Alargada!R79-Parametros_Alargados!$F80)/(Parametros_Alargados!$G80-Parametros_Alargados!$F80)*100)),MIN(100,MAX(0,(Parametros_Alargados!$G80-Base_Alargada!R79)/(Parametros_Alargados!$G80-Parametros_Alargados!$F80)*100))))</f>
        <v/>
      </c>
      <c r="D76" s="115">
        <f>IF(Base_Alargada!S79="","",IF(Parametros_Alargados!$D80="+",MIN(100,MAX(0,(Base_Alargada!S79-Parametros_Alargados!$F80)/(Parametros_Alargados!$G80-Parametros_Alargados!$F80)*100)),MIN(100,MAX(0,(Parametros_Alargados!$G80-Base_Alargada!S79)/(Parametros_Alargados!$G80-Parametros_Alargados!$F80)*100))))</f>
        <v/>
      </c>
      <c r="E76" s="115">
        <f>IF(Base_Alargada!T79="","",IF(Parametros_Alargados!$D80="+",MIN(100,MAX(0,(Base_Alargada!T79-Parametros_Alargados!$F80)/(Parametros_Alargados!$G80-Parametros_Alargados!$F80)*100)),MIN(100,MAX(0,(Parametros_Alargados!$G80-Base_Alargada!T79)/(Parametros_Alargados!$G80-Parametros_Alargados!$F80)*100))))</f>
        <v/>
      </c>
      <c r="F76" s="115">
        <f>IF(Base_Alargada!U79="","",IF(Parametros_Alargados!$D80="+",MIN(100,MAX(0,(Base_Alargada!U79-Parametros_Alargados!$F80)/(Parametros_Alargados!$G80-Parametros_Alargados!$F80)*100)),MIN(100,MAX(0,(Parametros_Alargados!$G80-Base_Alargada!U79)/(Parametros_Alargados!$G80-Parametros_Alargados!$F80)*100))))</f>
        <v/>
      </c>
      <c r="G76" s="115">
        <f>IF(Base_Alargada!V79="","",IF(Parametros_Alargados!$D80="+",MIN(100,MAX(0,(Base_Alargada!V79-Parametros_Alargados!$F80)/(Parametros_Alargados!$G80-Parametros_Alargados!$F80)*100)),MIN(100,MAX(0,(Parametros_Alargados!$G80-Base_Alargada!V79)/(Parametros_Alargados!$G80-Parametros_Alargados!$F80)*100))))</f>
        <v/>
      </c>
      <c r="H76" s="115">
        <f>IF(Base_Alargada!W79="","",IF(Parametros_Alargados!$D80="+",MIN(100,MAX(0,(Base_Alargada!W79-Parametros_Alargados!$F80)/(Parametros_Alargados!$G80-Parametros_Alargados!$F80)*100)),MIN(100,MAX(0,(Parametros_Alargados!$G80-Base_Alargada!W79)/(Parametros_Alargados!$G80-Parametros_Alargados!$F80)*100))))</f>
        <v/>
      </c>
      <c r="I76" s="115">
        <f>IF(Base_Alargada!X79="","",IF(Parametros_Alargados!$D80="+",MIN(100,MAX(0,(Base_Alargada!X79-Parametros_Alargados!$F80)/(Parametros_Alargados!$G80-Parametros_Alargados!$F80)*100)),MIN(100,MAX(0,(Parametros_Alargados!$G80-Base_Alargada!X79)/(Parametros_Alargados!$G80-Parametros_Alargados!$F80)*100))))</f>
        <v/>
      </c>
      <c r="J76" s="115">
        <f>IF(Base_Alargada!Y79="","",IF(Parametros_Alargados!$D80="+",MIN(100,MAX(0,(Base_Alargada!Y79-Parametros_Alargados!$F80)/(Parametros_Alargados!$G80-Parametros_Alargados!$F80)*100)),MIN(100,MAX(0,(Parametros_Alargados!$G80-Base_Alargada!Y79)/(Parametros_Alargados!$G80-Parametros_Alargados!$F80)*100))))</f>
        <v/>
      </c>
      <c r="K76" s="115">
        <f>IF(Base_Alargada!Z79="","",IF(Parametros_Alargados!$D80="+",MIN(100,MAX(0,(Base_Alargada!Z79-Parametros_Alargados!$F80)/(Parametros_Alargados!$G80-Parametros_Alargados!$F80)*100)),MIN(100,MAX(0,(Parametros_Alargados!$G80-Base_Alargada!Z79)/(Parametros_Alargados!$G80-Parametros_Alargados!$F80)*100))))</f>
        <v/>
      </c>
      <c r="L76" s="115">
        <f>IF(Base_Alargada!AA79="","",IF(Parametros_Alargados!$D80="+",MIN(100,MAX(0,(Base_Alargada!AA79-Parametros_Alargados!$F80)/(Parametros_Alargados!$G80-Parametros_Alargados!$F80)*100)),MIN(100,MAX(0,(Parametros_Alargados!$G80-Base_Alargada!AA79)/(Parametros_Alargados!$G80-Parametros_Alargados!$F80)*100))))</f>
        <v/>
      </c>
      <c r="M76" s="115">
        <f>IF(Base_Alargada!AB79="","",IF(Parametros_Alargados!$D80="+",MIN(100,MAX(0,(Base_Alargada!AB79-Parametros_Alargados!$F80)/(Parametros_Alargados!$G80-Parametros_Alargados!$F80)*100)),MIN(100,MAX(0,(Parametros_Alargados!$G80-Base_Alargada!AB79)/(Parametros_Alargados!$G80-Parametros_Alargados!$F80)*100))))</f>
        <v/>
      </c>
    </row>
    <row r="77">
      <c r="A77" t="inlineStr">
        <is>
          <t>6. Mercado de Trabalho</t>
        </is>
      </c>
      <c r="B77" t="inlineStr">
        <is>
          <t>Taxa de Emprego</t>
        </is>
      </c>
      <c r="C77" s="115">
        <f>IF(Base_Alargada!R80="","",IF(Parametros_Alargados!$D81="+",MIN(100,MAX(0,(Base_Alargada!R80-Parametros_Alargados!$F81)/(Parametros_Alargados!$G81-Parametros_Alargados!$F81)*100)),MIN(100,MAX(0,(Parametros_Alargados!$G81-Base_Alargada!R80)/(Parametros_Alargados!$G81-Parametros_Alargados!$F81)*100))))</f>
        <v/>
      </c>
      <c r="D77" s="115">
        <f>IF(Base_Alargada!S80="","",IF(Parametros_Alargados!$D81="+",MIN(100,MAX(0,(Base_Alargada!S80-Parametros_Alargados!$F81)/(Parametros_Alargados!$G81-Parametros_Alargados!$F81)*100)),MIN(100,MAX(0,(Parametros_Alargados!$G81-Base_Alargada!S80)/(Parametros_Alargados!$G81-Parametros_Alargados!$F81)*100))))</f>
        <v/>
      </c>
      <c r="E77" s="115">
        <f>IF(Base_Alargada!T80="","",IF(Parametros_Alargados!$D81="+",MIN(100,MAX(0,(Base_Alargada!T80-Parametros_Alargados!$F81)/(Parametros_Alargados!$G81-Parametros_Alargados!$F81)*100)),MIN(100,MAX(0,(Parametros_Alargados!$G81-Base_Alargada!T80)/(Parametros_Alargados!$G81-Parametros_Alargados!$F81)*100))))</f>
        <v/>
      </c>
      <c r="F77" s="115">
        <f>IF(Base_Alargada!U80="","",IF(Parametros_Alargados!$D81="+",MIN(100,MAX(0,(Base_Alargada!U80-Parametros_Alargados!$F81)/(Parametros_Alargados!$G81-Parametros_Alargados!$F81)*100)),MIN(100,MAX(0,(Parametros_Alargados!$G81-Base_Alargada!U80)/(Parametros_Alargados!$G81-Parametros_Alargados!$F81)*100))))</f>
        <v/>
      </c>
      <c r="G77" s="115">
        <f>IF(Base_Alargada!V80="","",IF(Parametros_Alargados!$D81="+",MIN(100,MAX(0,(Base_Alargada!V80-Parametros_Alargados!$F81)/(Parametros_Alargados!$G81-Parametros_Alargados!$F81)*100)),MIN(100,MAX(0,(Parametros_Alargados!$G81-Base_Alargada!V80)/(Parametros_Alargados!$G81-Parametros_Alargados!$F81)*100))))</f>
        <v/>
      </c>
      <c r="H77" s="115">
        <f>IF(Base_Alargada!W80="","",IF(Parametros_Alargados!$D81="+",MIN(100,MAX(0,(Base_Alargada!W80-Parametros_Alargados!$F81)/(Parametros_Alargados!$G81-Parametros_Alargados!$F81)*100)),MIN(100,MAX(0,(Parametros_Alargados!$G81-Base_Alargada!W80)/(Parametros_Alargados!$G81-Parametros_Alargados!$F81)*100))))</f>
        <v/>
      </c>
      <c r="I77" s="115">
        <f>IF(Base_Alargada!X80="","",IF(Parametros_Alargados!$D81="+",MIN(100,MAX(0,(Base_Alargada!X80-Parametros_Alargados!$F81)/(Parametros_Alargados!$G81-Parametros_Alargados!$F81)*100)),MIN(100,MAX(0,(Parametros_Alargados!$G81-Base_Alargada!X80)/(Parametros_Alargados!$G81-Parametros_Alargados!$F81)*100))))</f>
        <v/>
      </c>
      <c r="J77" s="115">
        <f>IF(Base_Alargada!Y80="","",IF(Parametros_Alargados!$D81="+",MIN(100,MAX(0,(Base_Alargada!Y80-Parametros_Alargados!$F81)/(Parametros_Alargados!$G81-Parametros_Alargados!$F81)*100)),MIN(100,MAX(0,(Parametros_Alargados!$G81-Base_Alargada!Y80)/(Parametros_Alargados!$G81-Parametros_Alargados!$F81)*100))))</f>
        <v/>
      </c>
      <c r="K77" s="115">
        <f>IF(Base_Alargada!Z80="","",IF(Parametros_Alargados!$D81="+",MIN(100,MAX(0,(Base_Alargada!Z80-Parametros_Alargados!$F81)/(Parametros_Alargados!$G81-Parametros_Alargados!$F81)*100)),MIN(100,MAX(0,(Parametros_Alargados!$G81-Base_Alargada!Z80)/(Parametros_Alargados!$G81-Parametros_Alargados!$F81)*100))))</f>
        <v/>
      </c>
      <c r="L77" s="115">
        <f>IF(Base_Alargada!AA80="","",IF(Parametros_Alargados!$D81="+",MIN(100,MAX(0,(Base_Alargada!AA80-Parametros_Alargados!$F81)/(Parametros_Alargados!$G81-Parametros_Alargados!$F81)*100)),MIN(100,MAX(0,(Parametros_Alargados!$G81-Base_Alargada!AA80)/(Parametros_Alargados!$G81-Parametros_Alargados!$F81)*100))))</f>
        <v/>
      </c>
      <c r="M77" s="115">
        <f>IF(Base_Alargada!AB80="","",IF(Parametros_Alargados!$D81="+",MIN(100,MAX(0,(Base_Alargada!AB80-Parametros_Alargados!$F81)/(Parametros_Alargados!$G81-Parametros_Alargados!$F81)*100)),MIN(100,MAX(0,(Parametros_Alargados!$G81-Base_Alargada!AB80)/(Parametros_Alargados!$G81-Parametros_Alargados!$F81)*100))))</f>
        <v/>
      </c>
    </row>
    <row r="78">
      <c r="A78" t="inlineStr">
        <is>
          <t>6. Mercado de Trabalho</t>
        </is>
      </c>
      <c r="B78" t="inlineStr">
        <is>
          <t>Taxa de Desemprego</t>
        </is>
      </c>
      <c r="C78" s="115">
        <f>IF(Base_Alargada!R81="","",IF(Parametros_Alargados!$D82="+",MIN(100,MAX(0,(Base_Alargada!R81-Parametros_Alargados!$F82)/(Parametros_Alargados!$G82-Parametros_Alargados!$F82)*100)),MIN(100,MAX(0,(Parametros_Alargados!$G82-Base_Alargada!R81)/(Parametros_Alargados!$G82-Parametros_Alargados!$F82)*100))))</f>
        <v/>
      </c>
      <c r="D78" s="115">
        <f>IF(Base_Alargada!S81="","",IF(Parametros_Alargados!$D82="+",MIN(100,MAX(0,(Base_Alargada!S81-Parametros_Alargados!$F82)/(Parametros_Alargados!$G82-Parametros_Alargados!$F82)*100)),MIN(100,MAX(0,(Parametros_Alargados!$G82-Base_Alargada!S81)/(Parametros_Alargados!$G82-Parametros_Alargados!$F82)*100))))</f>
        <v/>
      </c>
      <c r="E78" s="115">
        <f>IF(Base_Alargada!T81="","",IF(Parametros_Alargados!$D82="+",MIN(100,MAX(0,(Base_Alargada!T81-Parametros_Alargados!$F82)/(Parametros_Alargados!$G82-Parametros_Alargados!$F82)*100)),MIN(100,MAX(0,(Parametros_Alargados!$G82-Base_Alargada!T81)/(Parametros_Alargados!$G82-Parametros_Alargados!$F82)*100))))</f>
        <v/>
      </c>
      <c r="F78" s="115">
        <f>IF(Base_Alargada!U81="","",IF(Parametros_Alargados!$D82="+",MIN(100,MAX(0,(Base_Alargada!U81-Parametros_Alargados!$F82)/(Parametros_Alargados!$G82-Parametros_Alargados!$F82)*100)),MIN(100,MAX(0,(Parametros_Alargados!$G82-Base_Alargada!U81)/(Parametros_Alargados!$G82-Parametros_Alargados!$F82)*100))))</f>
        <v/>
      </c>
      <c r="G78" s="115">
        <f>IF(Base_Alargada!V81="","",IF(Parametros_Alargados!$D82="+",MIN(100,MAX(0,(Base_Alargada!V81-Parametros_Alargados!$F82)/(Parametros_Alargados!$G82-Parametros_Alargados!$F82)*100)),MIN(100,MAX(0,(Parametros_Alargados!$G82-Base_Alargada!V81)/(Parametros_Alargados!$G82-Parametros_Alargados!$F82)*100))))</f>
        <v/>
      </c>
      <c r="H78" s="115">
        <f>IF(Base_Alargada!W81="","",IF(Parametros_Alargados!$D82="+",MIN(100,MAX(0,(Base_Alargada!W81-Parametros_Alargados!$F82)/(Parametros_Alargados!$G82-Parametros_Alargados!$F82)*100)),MIN(100,MAX(0,(Parametros_Alargados!$G82-Base_Alargada!W81)/(Parametros_Alargados!$G82-Parametros_Alargados!$F82)*100))))</f>
        <v/>
      </c>
      <c r="I78" s="115">
        <f>IF(Base_Alargada!X81="","",IF(Parametros_Alargados!$D82="+",MIN(100,MAX(0,(Base_Alargada!X81-Parametros_Alargados!$F82)/(Parametros_Alargados!$G82-Parametros_Alargados!$F82)*100)),MIN(100,MAX(0,(Parametros_Alargados!$G82-Base_Alargada!X81)/(Parametros_Alargados!$G82-Parametros_Alargados!$F82)*100))))</f>
        <v/>
      </c>
      <c r="J78" s="115">
        <f>IF(Base_Alargada!Y81="","",IF(Parametros_Alargados!$D82="+",MIN(100,MAX(0,(Base_Alargada!Y81-Parametros_Alargados!$F82)/(Parametros_Alargados!$G82-Parametros_Alargados!$F82)*100)),MIN(100,MAX(0,(Parametros_Alargados!$G82-Base_Alargada!Y81)/(Parametros_Alargados!$G82-Parametros_Alargados!$F82)*100))))</f>
        <v/>
      </c>
      <c r="K78" s="115">
        <f>IF(Base_Alargada!Z81="","",IF(Parametros_Alargados!$D82="+",MIN(100,MAX(0,(Base_Alargada!Z81-Parametros_Alargados!$F82)/(Parametros_Alargados!$G82-Parametros_Alargados!$F82)*100)),MIN(100,MAX(0,(Parametros_Alargados!$G82-Base_Alargada!Z81)/(Parametros_Alargados!$G82-Parametros_Alargados!$F82)*100))))</f>
        <v/>
      </c>
      <c r="L78" s="115">
        <f>IF(Base_Alargada!AA81="","",IF(Parametros_Alargados!$D82="+",MIN(100,MAX(0,(Base_Alargada!AA81-Parametros_Alargados!$F82)/(Parametros_Alargados!$G82-Parametros_Alargados!$F82)*100)),MIN(100,MAX(0,(Parametros_Alargados!$G82-Base_Alargada!AA81)/(Parametros_Alargados!$G82-Parametros_Alargados!$F82)*100))))</f>
        <v/>
      </c>
      <c r="M78" s="115">
        <f>IF(Base_Alargada!AB81="","",IF(Parametros_Alargados!$D82="+",MIN(100,MAX(0,(Base_Alargada!AB81-Parametros_Alargados!$F82)/(Parametros_Alargados!$G82-Parametros_Alargados!$F82)*100)),MIN(100,MAX(0,(Parametros_Alargados!$G82-Base_Alargada!AB81)/(Parametros_Alargados!$G82-Parametros_Alargados!$F82)*100))))</f>
        <v/>
      </c>
    </row>
    <row r="79">
      <c r="A79" t="inlineStr">
        <is>
          <t>6. Mercado de Trabalho</t>
        </is>
      </c>
      <c r="B79" t="inlineStr">
        <is>
          <t>Desemprego Juvenil (15-25)</t>
        </is>
      </c>
      <c r="C79" s="115">
        <f>IF(Base_Alargada!R82="","",IF(Parametros_Alargados!$D83="+",MIN(100,MAX(0,(Base_Alargada!R82-Parametros_Alargados!$F83)/(Parametros_Alargados!$G83-Parametros_Alargados!$F83)*100)),MIN(100,MAX(0,(Parametros_Alargados!$G83-Base_Alargada!R82)/(Parametros_Alargados!$G83-Parametros_Alargados!$F83)*100))))</f>
        <v/>
      </c>
      <c r="D79" s="115">
        <f>IF(Base_Alargada!S82="","",IF(Parametros_Alargados!$D83="+",MIN(100,MAX(0,(Base_Alargada!S82-Parametros_Alargados!$F83)/(Parametros_Alargados!$G83-Parametros_Alargados!$F83)*100)),MIN(100,MAX(0,(Parametros_Alargados!$G83-Base_Alargada!S82)/(Parametros_Alargados!$G83-Parametros_Alargados!$F83)*100))))</f>
        <v/>
      </c>
      <c r="E79" s="115">
        <f>IF(Base_Alargada!T82="","",IF(Parametros_Alargados!$D83="+",MIN(100,MAX(0,(Base_Alargada!T82-Parametros_Alargados!$F83)/(Parametros_Alargados!$G83-Parametros_Alargados!$F83)*100)),MIN(100,MAX(0,(Parametros_Alargados!$G83-Base_Alargada!T82)/(Parametros_Alargados!$G83-Parametros_Alargados!$F83)*100))))</f>
        <v/>
      </c>
      <c r="F79" s="115">
        <f>IF(Base_Alargada!U82="","",IF(Parametros_Alargados!$D83="+",MIN(100,MAX(0,(Base_Alargada!U82-Parametros_Alargados!$F83)/(Parametros_Alargados!$G83-Parametros_Alargados!$F83)*100)),MIN(100,MAX(0,(Parametros_Alargados!$G83-Base_Alargada!U82)/(Parametros_Alargados!$G83-Parametros_Alargados!$F83)*100))))</f>
        <v/>
      </c>
      <c r="G79" s="115">
        <f>IF(Base_Alargada!V82="","",IF(Parametros_Alargados!$D83="+",MIN(100,MAX(0,(Base_Alargada!V82-Parametros_Alargados!$F83)/(Parametros_Alargados!$G83-Parametros_Alargados!$F83)*100)),MIN(100,MAX(0,(Parametros_Alargados!$G83-Base_Alargada!V82)/(Parametros_Alargados!$G83-Parametros_Alargados!$F83)*100))))</f>
        <v/>
      </c>
      <c r="H79" s="115">
        <f>IF(Base_Alargada!W82="","",IF(Parametros_Alargados!$D83="+",MIN(100,MAX(0,(Base_Alargada!W82-Parametros_Alargados!$F83)/(Parametros_Alargados!$G83-Parametros_Alargados!$F83)*100)),MIN(100,MAX(0,(Parametros_Alargados!$G83-Base_Alargada!W82)/(Parametros_Alargados!$G83-Parametros_Alargados!$F83)*100))))</f>
        <v/>
      </c>
      <c r="I79" s="115">
        <f>IF(Base_Alargada!X82="","",IF(Parametros_Alargados!$D83="+",MIN(100,MAX(0,(Base_Alargada!X82-Parametros_Alargados!$F83)/(Parametros_Alargados!$G83-Parametros_Alargados!$F83)*100)),MIN(100,MAX(0,(Parametros_Alargados!$G83-Base_Alargada!X82)/(Parametros_Alargados!$G83-Parametros_Alargados!$F83)*100))))</f>
        <v/>
      </c>
      <c r="J79" s="115">
        <f>IF(Base_Alargada!Y82="","",IF(Parametros_Alargados!$D83="+",MIN(100,MAX(0,(Base_Alargada!Y82-Parametros_Alargados!$F83)/(Parametros_Alargados!$G83-Parametros_Alargados!$F83)*100)),MIN(100,MAX(0,(Parametros_Alargados!$G83-Base_Alargada!Y82)/(Parametros_Alargados!$G83-Parametros_Alargados!$F83)*100))))</f>
        <v/>
      </c>
      <c r="K79" s="115">
        <f>IF(Base_Alargada!Z82="","",IF(Parametros_Alargados!$D83="+",MIN(100,MAX(0,(Base_Alargada!Z82-Parametros_Alargados!$F83)/(Parametros_Alargados!$G83-Parametros_Alargados!$F83)*100)),MIN(100,MAX(0,(Parametros_Alargados!$G83-Base_Alargada!Z82)/(Parametros_Alargados!$G83-Parametros_Alargados!$F83)*100))))</f>
        <v/>
      </c>
      <c r="L79" s="115">
        <f>IF(Base_Alargada!AA82="","",IF(Parametros_Alargados!$D83="+",MIN(100,MAX(0,(Base_Alargada!AA82-Parametros_Alargados!$F83)/(Parametros_Alargados!$G83-Parametros_Alargados!$F83)*100)),MIN(100,MAX(0,(Parametros_Alargados!$G83-Base_Alargada!AA82)/(Parametros_Alargados!$G83-Parametros_Alargados!$F83)*100))))</f>
        <v/>
      </c>
      <c r="M79" s="115">
        <f>IF(Base_Alargada!AB82="","",IF(Parametros_Alargados!$D83="+",MIN(100,MAX(0,(Base_Alargada!AB82-Parametros_Alargados!$F83)/(Parametros_Alargados!$G83-Parametros_Alargados!$F83)*100)),MIN(100,MAX(0,(Parametros_Alargados!$G83-Base_Alargada!AB82)/(Parametros_Alargados!$G83-Parametros_Alargados!$F83)*100))))</f>
        <v/>
      </c>
    </row>
    <row r="80">
      <c r="A80" t="inlineStr">
        <is>
          <t>6. Mercado de Trabalho</t>
        </is>
      </c>
      <c r="B80" t="inlineStr">
        <is>
          <t>Emprego Informal (%)</t>
        </is>
      </c>
      <c r="C80" s="115">
        <f>IF(Base_Alargada!R83="","",IF(Parametros_Alargados!$D84="+",MIN(100,MAX(0,(Base_Alargada!R83-Parametros_Alargados!$F84)/(Parametros_Alargados!$G84-Parametros_Alargados!$F84)*100)),MIN(100,MAX(0,(Parametros_Alargados!$G84-Base_Alargada!R83)/(Parametros_Alargados!$G84-Parametros_Alargados!$F84)*100))))</f>
        <v/>
      </c>
      <c r="D80" s="115">
        <f>IF(Base_Alargada!S83="","",IF(Parametros_Alargados!$D84="+",MIN(100,MAX(0,(Base_Alargada!S83-Parametros_Alargados!$F84)/(Parametros_Alargados!$G84-Parametros_Alargados!$F84)*100)),MIN(100,MAX(0,(Parametros_Alargados!$G84-Base_Alargada!S83)/(Parametros_Alargados!$G84-Parametros_Alargados!$F84)*100))))</f>
        <v/>
      </c>
      <c r="E80" s="115">
        <f>IF(Base_Alargada!T83="","",IF(Parametros_Alargados!$D84="+",MIN(100,MAX(0,(Base_Alargada!T83-Parametros_Alargados!$F84)/(Parametros_Alargados!$G84-Parametros_Alargados!$F84)*100)),MIN(100,MAX(0,(Parametros_Alargados!$G84-Base_Alargada!T83)/(Parametros_Alargados!$G84-Parametros_Alargados!$F84)*100))))</f>
        <v/>
      </c>
      <c r="F80" s="115">
        <f>IF(Base_Alargada!U83="","",IF(Parametros_Alargados!$D84="+",MIN(100,MAX(0,(Base_Alargada!U83-Parametros_Alargados!$F84)/(Parametros_Alargados!$G84-Parametros_Alargados!$F84)*100)),MIN(100,MAX(0,(Parametros_Alargados!$G84-Base_Alargada!U83)/(Parametros_Alargados!$G84-Parametros_Alargados!$F84)*100))))</f>
        <v/>
      </c>
      <c r="G80" s="115">
        <f>IF(Base_Alargada!V83="","",IF(Parametros_Alargados!$D84="+",MIN(100,MAX(0,(Base_Alargada!V83-Parametros_Alargados!$F84)/(Parametros_Alargados!$G84-Parametros_Alargados!$F84)*100)),MIN(100,MAX(0,(Parametros_Alargados!$G84-Base_Alargada!V83)/(Parametros_Alargados!$G84-Parametros_Alargados!$F84)*100))))</f>
        <v/>
      </c>
      <c r="H80" s="115">
        <f>IF(Base_Alargada!W83="","",IF(Parametros_Alargados!$D84="+",MIN(100,MAX(0,(Base_Alargada!W83-Parametros_Alargados!$F84)/(Parametros_Alargados!$G84-Parametros_Alargados!$F84)*100)),MIN(100,MAX(0,(Parametros_Alargados!$G84-Base_Alargada!W83)/(Parametros_Alargados!$G84-Parametros_Alargados!$F84)*100))))</f>
        <v/>
      </c>
      <c r="I80" s="115">
        <f>IF(Base_Alargada!X83="","",IF(Parametros_Alargados!$D84="+",MIN(100,MAX(0,(Base_Alargada!X83-Parametros_Alargados!$F84)/(Parametros_Alargados!$G84-Parametros_Alargados!$F84)*100)),MIN(100,MAX(0,(Parametros_Alargados!$G84-Base_Alargada!X83)/(Parametros_Alargados!$G84-Parametros_Alargados!$F84)*100))))</f>
        <v/>
      </c>
      <c r="J80" s="115">
        <f>IF(Base_Alargada!Y83="","",IF(Parametros_Alargados!$D84="+",MIN(100,MAX(0,(Base_Alargada!Y83-Parametros_Alargados!$F84)/(Parametros_Alargados!$G84-Parametros_Alargados!$F84)*100)),MIN(100,MAX(0,(Parametros_Alargados!$G84-Base_Alargada!Y83)/(Parametros_Alargados!$G84-Parametros_Alargados!$F84)*100))))</f>
        <v/>
      </c>
      <c r="K80" s="115">
        <f>IF(Base_Alargada!Z83="","",IF(Parametros_Alargados!$D84="+",MIN(100,MAX(0,(Base_Alargada!Z83-Parametros_Alargados!$F84)/(Parametros_Alargados!$G84-Parametros_Alargados!$F84)*100)),MIN(100,MAX(0,(Parametros_Alargados!$G84-Base_Alargada!Z83)/(Parametros_Alargados!$G84-Parametros_Alargados!$F84)*100))))</f>
        <v/>
      </c>
      <c r="L80" s="115">
        <f>IF(Base_Alargada!AA83="","",IF(Parametros_Alargados!$D84="+",MIN(100,MAX(0,(Base_Alargada!AA83-Parametros_Alargados!$F84)/(Parametros_Alargados!$G84-Parametros_Alargados!$F84)*100)),MIN(100,MAX(0,(Parametros_Alargados!$G84-Base_Alargada!AA83)/(Parametros_Alargados!$G84-Parametros_Alargados!$F84)*100))))</f>
        <v/>
      </c>
      <c r="M80" s="115">
        <f>IF(Base_Alargada!AB83="","",IF(Parametros_Alargados!$D84="+",MIN(100,MAX(0,(Base_Alargada!AB83-Parametros_Alargados!$F84)/(Parametros_Alargados!$G84-Parametros_Alargados!$F84)*100)),MIN(100,MAX(0,(Parametros_Alargados!$G84-Base_Alargada!AB83)/(Parametros_Alargados!$G84-Parametros_Alargados!$F84)*100))))</f>
        <v/>
      </c>
    </row>
    <row r="81">
      <c r="A81" t="inlineStr">
        <is>
          <t>6. Mercado de Trabalho</t>
        </is>
      </c>
      <c r="B81" t="inlineStr">
        <is>
          <t>Taxa de Formalização</t>
        </is>
      </c>
      <c r="C81" s="115">
        <f>IF(Base_Alargada!R84="","",IF(Parametros_Alargados!$D85="+",MIN(100,MAX(0,(Base_Alargada!R84-Parametros_Alargados!$F85)/(Parametros_Alargados!$G85-Parametros_Alargados!$F85)*100)),MIN(100,MAX(0,(Parametros_Alargados!$G85-Base_Alargada!R84)/(Parametros_Alargados!$G85-Parametros_Alargados!$F85)*100))))</f>
        <v/>
      </c>
      <c r="D81" s="115">
        <f>IF(Base_Alargada!S84="","",IF(Parametros_Alargados!$D85="+",MIN(100,MAX(0,(Base_Alargada!S84-Parametros_Alargados!$F85)/(Parametros_Alargados!$G85-Parametros_Alargados!$F85)*100)),MIN(100,MAX(0,(Parametros_Alargados!$G85-Base_Alargada!S84)/(Parametros_Alargados!$G85-Parametros_Alargados!$F85)*100))))</f>
        <v/>
      </c>
      <c r="E81" s="115">
        <f>IF(Base_Alargada!T84="","",IF(Parametros_Alargados!$D85="+",MIN(100,MAX(0,(Base_Alargada!T84-Parametros_Alargados!$F85)/(Parametros_Alargados!$G85-Parametros_Alargados!$F85)*100)),MIN(100,MAX(0,(Parametros_Alargados!$G85-Base_Alargada!T84)/(Parametros_Alargados!$G85-Parametros_Alargados!$F85)*100))))</f>
        <v/>
      </c>
      <c r="F81" s="115">
        <f>IF(Base_Alargada!U84="","",IF(Parametros_Alargados!$D85="+",MIN(100,MAX(0,(Base_Alargada!U84-Parametros_Alargados!$F85)/(Parametros_Alargados!$G85-Parametros_Alargados!$F85)*100)),MIN(100,MAX(0,(Parametros_Alargados!$G85-Base_Alargada!U84)/(Parametros_Alargados!$G85-Parametros_Alargados!$F85)*100))))</f>
        <v/>
      </c>
      <c r="G81" s="115">
        <f>IF(Base_Alargada!V84="","",IF(Parametros_Alargados!$D85="+",MIN(100,MAX(0,(Base_Alargada!V84-Parametros_Alargados!$F85)/(Parametros_Alargados!$G85-Parametros_Alargados!$F85)*100)),MIN(100,MAX(0,(Parametros_Alargados!$G85-Base_Alargada!V84)/(Parametros_Alargados!$G85-Parametros_Alargados!$F85)*100))))</f>
        <v/>
      </c>
      <c r="H81" s="115">
        <f>IF(Base_Alargada!W84="","",IF(Parametros_Alargados!$D85="+",MIN(100,MAX(0,(Base_Alargada!W84-Parametros_Alargados!$F85)/(Parametros_Alargados!$G85-Parametros_Alargados!$F85)*100)),MIN(100,MAX(0,(Parametros_Alargados!$G85-Base_Alargada!W84)/(Parametros_Alargados!$G85-Parametros_Alargados!$F85)*100))))</f>
        <v/>
      </c>
      <c r="I81" s="115">
        <f>IF(Base_Alargada!X84="","",IF(Parametros_Alargados!$D85="+",MIN(100,MAX(0,(Base_Alargada!X84-Parametros_Alargados!$F85)/(Parametros_Alargados!$G85-Parametros_Alargados!$F85)*100)),MIN(100,MAX(0,(Parametros_Alargados!$G85-Base_Alargada!X84)/(Parametros_Alargados!$G85-Parametros_Alargados!$F85)*100))))</f>
        <v/>
      </c>
      <c r="J81" s="115">
        <f>IF(Base_Alargada!Y84="","",IF(Parametros_Alargados!$D85="+",MIN(100,MAX(0,(Base_Alargada!Y84-Parametros_Alargados!$F85)/(Parametros_Alargados!$G85-Parametros_Alargados!$F85)*100)),MIN(100,MAX(0,(Parametros_Alargados!$G85-Base_Alargada!Y84)/(Parametros_Alargados!$G85-Parametros_Alargados!$F85)*100))))</f>
        <v/>
      </c>
      <c r="K81" s="115">
        <f>IF(Base_Alargada!Z84="","",IF(Parametros_Alargados!$D85="+",MIN(100,MAX(0,(Base_Alargada!Z84-Parametros_Alargados!$F85)/(Parametros_Alargados!$G85-Parametros_Alargados!$F85)*100)),MIN(100,MAX(0,(Parametros_Alargados!$G85-Base_Alargada!Z84)/(Parametros_Alargados!$G85-Parametros_Alargados!$F85)*100))))</f>
        <v/>
      </c>
      <c r="L81" s="115">
        <f>IF(Base_Alargada!AA84="","",IF(Parametros_Alargados!$D85="+",MIN(100,MAX(0,(Base_Alargada!AA84-Parametros_Alargados!$F85)/(Parametros_Alargados!$G85-Parametros_Alargados!$F85)*100)),MIN(100,MAX(0,(Parametros_Alargados!$G85-Base_Alargada!AA84)/(Parametros_Alargados!$G85-Parametros_Alargados!$F85)*100))))</f>
        <v/>
      </c>
      <c r="M81" s="115">
        <f>IF(Base_Alargada!AB84="","",IF(Parametros_Alargados!$D85="+",MIN(100,MAX(0,(Base_Alargada!AB84-Parametros_Alargados!$F85)/(Parametros_Alargados!$G85-Parametros_Alargados!$F85)*100)),MIN(100,MAX(0,(Parametros_Alargados!$G85-Base_Alargada!AB84)/(Parametros_Alargados!$G85-Parametros_Alargados!$F85)*100))))</f>
        <v/>
      </c>
    </row>
    <row r="82">
      <c r="A82" t="inlineStr">
        <is>
          <t>6. Mercado de Trabalho</t>
        </is>
      </c>
      <c r="B82" t="inlineStr">
        <is>
          <t>Crescimento da Produtividade</t>
        </is>
      </c>
      <c r="C82" s="115">
        <f>IF(Base_Alargada!R85="","",IF(Parametros_Alargados!$D86="+",MIN(100,MAX(0,(Base_Alargada!R85-Parametros_Alargados!$F86)/(Parametros_Alargados!$G86-Parametros_Alargados!$F86)*100)),MIN(100,MAX(0,(Parametros_Alargados!$G86-Base_Alargada!R85)/(Parametros_Alargados!$G86-Parametros_Alargados!$F86)*100))))</f>
        <v/>
      </c>
      <c r="D82" s="115">
        <f>IF(Base_Alargada!S85="","",IF(Parametros_Alargados!$D86="+",MIN(100,MAX(0,(Base_Alargada!S85-Parametros_Alargados!$F86)/(Parametros_Alargados!$G86-Parametros_Alargados!$F86)*100)),MIN(100,MAX(0,(Parametros_Alargados!$G86-Base_Alargada!S85)/(Parametros_Alargados!$G86-Parametros_Alargados!$F86)*100))))</f>
        <v/>
      </c>
      <c r="E82" s="115">
        <f>IF(Base_Alargada!T85="","",IF(Parametros_Alargados!$D86="+",MIN(100,MAX(0,(Base_Alargada!T85-Parametros_Alargados!$F86)/(Parametros_Alargados!$G86-Parametros_Alargados!$F86)*100)),MIN(100,MAX(0,(Parametros_Alargados!$G86-Base_Alargada!T85)/(Parametros_Alargados!$G86-Parametros_Alargados!$F86)*100))))</f>
        <v/>
      </c>
      <c r="F82" s="115">
        <f>IF(Base_Alargada!U85="","",IF(Parametros_Alargados!$D86="+",MIN(100,MAX(0,(Base_Alargada!U85-Parametros_Alargados!$F86)/(Parametros_Alargados!$G86-Parametros_Alargados!$F86)*100)),MIN(100,MAX(0,(Parametros_Alargados!$G86-Base_Alargada!U85)/(Parametros_Alargados!$G86-Parametros_Alargados!$F86)*100))))</f>
        <v/>
      </c>
      <c r="G82" s="115">
        <f>IF(Base_Alargada!V85="","",IF(Parametros_Alargados!$D86="+",MIN(100,MAX(0,(Base_Alargada!V85-Parametros_Alargados!$F86)/(Parametros_Alargados!$G86-Parametros_Alargados!$F86)*100)),MIN(100,MAX(0,(Parametros_Alargados!$G86-Base_Alargada!V85)/(Parametros_Alargados!$G86-Parametros_Alargados!$F86)*100))))</f>
        <v/>
      </c>
      <c r="H82" s="115">
        <f>IF(Base_Alargada!W85="","",IF(Parametros_Alargados!$D86="+",MIN(100,MAX(0,(Base_Alargada!W85-Parametros_Alargados!$F86)/(Parametros_Alargados!$G86-Parametros_Alargados!$F86)*100)),MIN(100,MAX(0,(Parametros_Alargados!$G86-Base_Alargada!W85)/(Parametros_Alargados!$G86-Parametros_Alargados!$F86)*100))))</f>
        <v/>
      </c>
      <c r="I82" s="115">
        <f>IF(Base_Alargada!X85="","",IF(Parametros_Alargados!$D86="+",MIN(100,MAX(0,(Base_Alargada!X85-Parametros_Alargados!$F86)/(Parametros_Alargados!$G86-Parametros_Alargados!$F86)*100)),MIN(100,MAX(0,(Parametros_Alargados!$G86-Base_Alargada!X85)/(Parametros_Alargados!$G86-Parametros_Alargados!$F86)*100))))</f>
        <v/>
      </c>
      <c r="J82" s="115">
        <f>IF(Base_Alargada!Y85="","",IF(Parametros_Alargados!$D86="+",MIN(100,MAX(0,(Base_Alargada!Y85-Parametros_Alargados!$F86)/(Parametros_Alargados!$G86-Parametros_Alargados!$F86)*100)),MIN(100,MAX(0,(Parametros_Alargados!$G86-Base_Alargada!Y85)/(Parametros_Alargados!$G86-Parametros_Alargados!$F86)*100))))</f>
        <v/>
      </c>
      <c r="K82" s="115">
        <f>IF(Base_Alargada!Z85="","",IF(Parametros_Alargados!$D86="+",MIN(100,MAX(0,(Base_Alargada!Z85-Parametros_Alargados!$F86)/(Parametros_Alargados!$G86-Parametros_Alargados!$F86)*100)),MIN(100,MAX(0,(Parametros_Alargados!$G86-Base_Alargada!Z85)/(Parametros_Alargados!$G86-Parametros_Alargados!$F86)*100))))</f>
        <v/>
      </c>
      <c r="L82" s="115">
        <f>IF(Base_Alargada!AA85="","",IF(Parametros_Alargados!$D86="+",MIN(100,MAX(0,(Base_Alargada!AA85-Parametros_Alargados!$F86)/(Parametros_Alargados!$G86-Parametros_Alargados!$F86)*100)),MIN(100,MAX(0,(Parametros_Alargados!$G86-Base_Alargada!AA85)/(Parametros_Alargados!$G86-Parametros_Alargados!$F86)*100))))</f>
        <v/>
      </c>
      <c r="M82" s="115">
        <f>IF(Base_Alargada!AB85="","",IF(Parametros_Alargados!$D86="+",MIN(100,MAX(0,(Base_Alargada!AB85-Parametros_Alargados!$F86)/(Parametros_Alargados!$G86-Parametros_Alargados!$F86)*100)),MIN(100,MAX(0,(Parametros_Alargados!$G86-Base_Alargada!AB85)/(Parametros_Alargados!$G86-Parametros_Alargados!$F86)*100))))</f>
        <v/>
      </c>
    </row>
    <row r="83">
      <c r="A83" t="inlineStr">
        <is>
          <t>6. Mercado de Trabalho</t>
        </is>
      </c>
      <c r="B83" t="inlineStr">
        <is>
          <t>Emprego/população 15+</t>
        </is>
      </c>
      <c r="C83" s="115">
        <f>IF(Base_Alargada!R86="","",IF(Parametros_Alargados!$D87="+",MIN(100,MAX(0,(Base_Alargada!R86-Parametros_Alargados!$F87)/(Parametros_Alargados!$G87-Parametros_Alargados!$F87)*100)),MIN(100,MAX(0,(Parametros_Alargados!$G87-Base_Alargada!R86)/(Parametros_Alargados!$G87-Parametros_Alargados!$F87)*100))))</f>
        <v/>
      </c>
      <c r="D83" s="115">
        <f>IF(Base_Alargada!S86="","",IF(Parametros_Alargados!$D87="+",MIN(100,MAX(0,(Base_Alargada!S86-Parametros_Alargados!$F87)/(Parametros_Alargados!$G87-Parametros_Alargados!$F87)*100)),MIN(100,MAX(0,(Parametros_Alargados!$G87-Base_Alargada!S86)/(Parametros_Alargados!$G87-Parametros_Alargados!$F87)*100))))</f>
        <v/>
      </c>
      <c r="E83" s="115">
        <f>IF(Base_Alargada!T86="","",IF(Parametros_Alargados!$D87="+",MIN(100,MAX(0,(Base_Alargada!T86-Parametros_Alargados!$F87)/(Parametros_Alargados!$G87-Parametros_Alargados!$F87)*100)),MIN(100,MAX(0,(Parametros_Alargados!$G87-Base_Alargada!T86)/(Parametros_Alargados!$G87-Parametros_Alargados!$F87)*100))))</f>
        <v/>
      </c>
      <c r="F83" s="115">
        <f>IF(Base_Alargada!U86="","",IF(Parametros_Alargados!$D87="+",MIN(100,MAX(0,(Base_Alargada!U86-Parametros_Alargados!$F87)/(Parametros_Alargados!$G87-Parametros_Alargados!$F87)*100)),MIN(100,MAX(0,(Parametros_Alargados!$G87-Base_Alargada!U86)/(Parametros_Alargados!$G87-Parametros_Alargados!$F87)*100))))</f>
        <v/>
      </c>
      <c r="G83" s="115">
        <f>IF(Base_Alargada!V86="","",IF(Parametros_Alargados!$D87="+",MIN(100,MAX(0,(Base_Alargada!V86-Parametros_Alargados!$F87)/(Parametros_Alargados!$G87-Parametros_Alargados!$F87)*100)),MIN(100,MAX(0,(Parametros_Alargados!$G87-Base_Alargada!V86)/(Parametros_Alargados!$G87-Parametros_Alargados!$F87)*100))))</f>
        <v/>
      </c>
      <c r="H83" s="115">
        <f>IF(Base_Alargada!W86="","",IF(Parametros_Alargados!$D87="+",MIN(100,MAX(0,(Base_Alargada!W86-Parametros_Alargados!$F87)/(Parametros_Alargados!$G87-Parametros_Alargados!$F87)*100)),MIN(100,MAX(0,(Parametros_Alargados!$G87-Base_Alargada!W86)/(Parametros_Alargados!$G87-Parametros_Alargados!$F87)*100))))</f>
        <v/>
      </c>
      <c r="I83" s="115">
        <f>IF(Base_Alargada!X86="","",IF(Parametros_Alargados!$D87="+",MIN(100,MAX(0,(Base_Alargada!X86-Parametros_Alargados!$F87)/(Parametros_Alargados!$G87-Parametros_Alargados!$F87)*100)),MIN(100,MAX(0,(Parametros_Alargados!$G87-Base_Alargada!X86)/(Parametros_Alargados!$G87-Parametros_Alargados!$F87)*100))))</f>
        <v/>
      </c>
      <c r="J83" s="115">
        <f>IF(Base_Alargada!Y86="","",IF(Parametros_Alargados!$D87="+",MIN(100,MAX(0,(Base_Alargada!Y86-Parametros_Alargados!$F87)/(Parametros_Alargados!$G87-Parametros_Alargados!$F87)*100)),MIN(100,MAX(0,(Parametros_Alargados!$G87-Base_Alargada!Y86)/(Parametros_Alargados!$G87-Parametros_Alargados!$F87)*100))))</f>
        <v/>
      </c>
      <c r="K83" s="115">
        <f>IF(Base_Alargada!Z86="","",IF(Parametros_Alargados!$D87="+",MIN(100,MAX(0,(Base_Alargada!Z86-Parametros_Alargados!$F87)/(Parametros_Alargados!$G87-Parametros_Alargados!$F87)*100)),MIN(100,MAX(0,(Parametros_Alargados!$G87-Base_Alargada!Z86)/(Parametros_Alargados!$G87-Parametros_Alargados!$F87)*100))))</f>
        <v/>
      </c>
      <c r="L83" s="115">
        <f>IF(Base_Alargada!AA86="","",IF(Parametros_Alargados!$D87="+",MIN(100,MAX(0,(Base_Alargada!AA86-Parametros_Alargados!$F87)/(Parametros_Alargados!$G87-Parametros_Alargados!$F87)*100)),MIN(100,MAX(0,(Parametros_Alargados!$G87-Base_Alargada!AA86)/(Parametros_Alargados!$G87-Parametros_Alargados!$F87)*100))))</f>
        <v/>
      </c>
      <c r="M83" s="115">
        <f>IF(Base_Alargada!AB86="","",IF(Parametros_Alargados!$D87="+",MIN(100,MAX(0,(Base_Alargada!AB86-Parametros_Alargados!$F87)/(Parametros_Alargados!$G87-Parametros_Alargados!$F87)*100)),MIN(100,MAX(0,(Parametros_Alargados!$G87-Base_Alargada!AB86)/(Parametros_Alargados!$G87-Parametros_Alargados!$F87)*100))))</f>
        <v/>
      </c>
    </row>
    <row r="84">
      <c r="A84" t="inlineStr">
        <is>
          <t>6. Mercado de Trabalho</t>
        </is>
      </c>
      <c r="B84" t="inlineStr">
        <is>
          <t>Desemprego total modelado OIT</t>
        </is>
      </c>
      <c r="C84" s="115">
        <f>IF(Base_Alargada!R87="","",IF(Parametros_Alargados!$D88="+",MIN(100,MAX(0,(Base_Alargada!R87-Parametros_Alargados!$F88)/(Parametros_Alargados!$G88-Parametros_Alargados!$F88)*100)),MIN(100,MAX(0,(Parametros_Alargados!$G88-Base_Alargada!R87)/(Parametros_Alargados!$G88-Parametros_Alargados!$F88)*100))))</f>
        <v/>
      </c>
      <c r="D84" s="115">
        <f>IF(Base_Alargada!S87="","",IF(Parametros_Alargados!$D88="+",MIN(100,MAX(0,(Base_Alargada!S87-Parametros_Alargados!$F88)/(Parametros_Alargados!$G88-Parametros_Alargados!$F88)*100)),MIN(100,MAX(0,(Parametros_Alargados!$G88-Base_Alargada!S87)/(Parametros_Alargados!$G88-Parametros_Alargados!$F88)*100))))</f>
        <v/>
      </c>
      <c r="E84" s="115">
        <f>IF(Base_Alargada!T87="","",IF(Parametros_Alargados!$D88="+",MIN(100,MAX(0,(Base_Alargada!T87-Parametros_Alargados!$F88)/(Parametros_Alargados!$G88-Parametros_Alargados!$F88)*100)),MIN(100,MAX(0,(Parametros_Alargados!$G88-Base_Alargada!T87)/(Parametros_Alargados!$G88-Parametros_Alargados!$F88)*100))))</f>
        <v/>
      </c>
      <c r="F84" s="115">
        <f>IF(Base_Alargada!U87="","",IF(Parametros_Alargados!$D88="+",MIN(100,MAX(0,(Base_Alargada!U87-Parametros_Alargados!$F88)/(Parametros_Alargados!$G88-Parametros_Alargados!$F88)*100)),MIN(100,MAX(0,(Parametros_Alargados!$G88-Base_Alargada!U87)/(Parametros_Alargados!$G88-Parametros_Alargados!$F88)*100))))</f>
        <v/>
      </c>
      <c r="G84" s="115">
        <f>IF(Base_Alargada!V87="","",IF(Parametros_Alargados!$D88="+",MIN(100,MAX(0,(Base_Alargada!V87-Parametros_Alargados!$F88)/(Parametros_Alargados!$G88-Parametros_Alargados!$F88)*100)),MIN(100,MAX(0,(Parametros_Alargados!$G88-Base_Alargada!V87)/(Parametros_Alargados!$G88-Parametros_Alargados!$F88)*100))))</f>
        <v/>
      </c>
      <c r="H84" s="115">
        <f>IF(Base_Alargada!W87="","",IF(Parametros_Alargados!$D88="+",MIN(100,MAX(0,(Base_Alargada!W87-Parametros_Alargados!$F88)/(Parametros_Alargados!$G88-Parametros_Alargados!$F88)*100)),MIN(100,MAX(0,(Parametros_Alargados!$G88-Base_Alargada!W87)/(Parametros_Alargados!$G88-Parametros_Alargados!$F88)*100))))</f>
        <v/>
      </c>
      <c r="I84" s="115">
        <f>IF(Base_Alargada!X87="","",IF(Parametros_Alargados!$D88="+",MIN(100,MAX(0,(Base_Alargada!X87-Parametros_Alargados!$F88)/(Parametros_Alargados!$G88-Parametros_Alargados!$F88)*100)),MIN(100,MAX(0,(Parametros_Alargados!$G88-Base_Alargada!X87)/(Parametros_Alargados!$G88-Parametros_Alargados!$F88)*100))))</f>
        <v/>
      </c>
      <c r="J84" s="115">
        <f>IF(Base_Alargada!Y87="","",IF(Parametros_Alargados!$D88="+",MIN(100,MAX(0,(Base_Alargada!Y87-Parametros_Alargados!$F88)/(Parametros_Alargados!$G88-Parametros_Alargados!$F88)*100)),MIN(100,MAX(0,(Parametros_Alargados!$G88-Base_Alargada!Y87)/(Parametros_Alargados!$G88-Parametros_Alargados!$F88)*100))))</f>
        <v/>
      </c>
      <c r="K84" s="115">
        <f>IF(Base_Alargada!Z87="","",IF(Parametros_Alargados!$D88="+",MIN(100,MAX(0,(Base_Alargada!Z87-Parametros_Alargados!$F88)/(Parametros_Alargados!$G88-Parametros_Alargados!$F88)*100)),MIN(100,MAX(0,(Parametros_Alargados!$G88-Base_Alargada!Z87)/(Parametros_Alargados!$G88-Parametros_Alargados!$F88)*100))))</f>
        <v/>
      </c>
      <c r="L84" s="115">
        <f>IF(Base_Alargada!AA87="","",IF(Parametros_Alargados!$D88="+",MIN(100,MAX(0,(Base_Alargada!AA87-Parametros_Alargados!$F88)/(Parametros_Alargados!$G88-Parametros_Alargados!$F88)*100)),MIN(100,MAX(0,(Parametros_Alargados!$G88-Base_Alargada!AA87)/(Parametros_Alargados!$G88-Parametros_Alargados!$F88)*100))))</f>
        <v/>
      </c>
      <c r="M84" s="115">
        <f>IF(Base_Alargada!AB87="","",IF(Parametros_Alargados!$D88="+",MIN(100,MAX(0,(Base_Alargada!AB87-Parametros_Alargados!$F88)/(Parametros_Alargados!$G88-Parametros_Alargados!$F88)*100)),MIN(100,MAX(0,(Parametros_Alargados!$G88-Base_Alargada!AB87)/(Parametros_Alargados!$G88-Parametros_Alargados!$F88)*100))))</f>
        <v/>
      </c>
    </row>
    <row r="85">
      <c r="A85" t="inlineStr">
        <is>
          <t>6. Mercado de Trabalho</t>
        </is>
      </c>
      <c r="B85" t="inlineStr">
        <is>
          <t>Desemprego juvenil 15-24</t>
        </is>
      </c>
      <c r="C85" s="115">
        <f>IF(Base_Alargada!R88="","",IF(Parametros_Alargados!$D89="+",MIN(100,MAX(0,(Base_Alargada!R88-Parametros_Alargados!$F89)/(Parametros_Alargados!$G89-Parametros_Alargados!$F89)*100)),MIN(100,MAX(0,(Parametros_Alargados!$G89-Base_Alargada!R88)/(Parametros_Alargados!$G89-Parametros_Alargados!$F89)*100))))</f>
        <v/>
      </c>
      <c r="D85" s="115">
        <f>IF(Base_Alargada!S88="","",IF(Parametros_Alargados!$D89="+",MIN(100,MAX(0,(Base_Alargada!S88-Parametros_Alargados!$F89)/(Parametros_Alargados!$G89-Parametros_Alargados!$F89)*100)),MIN(100,MAX(0,(Parametros_Alargados!$G89-Base_Alargada!S88)/(Parametros_Alargados!$G89-Parametros_Alargados!$F89)*100))))</f>
        <v/>
      </c>
      <c r="E85" s="115">
        <f>IF(Base_Alargada!T88="","",IF(Parametros_Alargados!$D89="+",MIN(100,MAX(0,(Base_Alargada!T88-Parametros_Alargados!$F89)/(Parametros_Alargados!$G89-Parametros_Alargados!$F89)*100)),MIN(100,MAX(0,(Parametros_Alargados!$G89-Base_Alargada!T88)/(Parametros_Alargados!$G89-Parametros_Alargados!$F89)*100))))</f>
        <v/>
      </c>
      <c r="F85" s="115">
        <f>IF(Base_Alargada!U88="","",IF(Parametros_Alargados!$D89="+",MIN(100,MAX(0,(Base_Alargada!U88-Parametros_Alargados!$F89)/(Parametros_Alargados!$G89-Parametros_Alargados!$F89)*100)),MIN(100,MAX(0,(Parametros_Alargados!$G89-Base_Alargada!U88)/(Parametros_Alargados!$G89-Parametros_Alargados!$F89)*100))))</f>
        <v/>
      </c>
      <c r="G85" s="115">
        <f>IF(Base_Alargada!V88="","",IF(Parametros_Alargados!$D89="+",MIN(100,MAX(0,(Base_Alargada!V88-Parametros_Alargados!$F89)/(Parametros_Alargados!$G89-Parametros_Alargados!$F89)*100)),MIN(100,MAX(0,(Parametros_Alargados!$G89-Base_Alargada!V88)/(Parametros_Alargados!$G89-Parametros_Alargados!$F89)*100))))</f>
        <v/>
      </c>
      <c r="H85" s="115">
        <f>IF(Base_Alargada!W88="","",IF(Parametros_Alargados!$D89="+",MIN(100,MAX(0,(Base_Alargada!W88-Parametros_Alargados!$F89)/(Parametros_Alargados!$G89-Parametros_Alargados!$F89)*100)),MIN(100,MAX(0,(Parametros_Alargados!$G89-Base_Alargada!W88)/(Parametros_Alargados!$G89-Parametros_Alargados!$F89)*100))))</f>
        <v/>
      </c>
      <c r="I85" s="115">
        <f>IF(Base_Alargada!X88="","",IF(Parametros_Alargados!$D89="+",MIN(100,MAX(0,(Base_Alargada!X88-Parametros_Alargados!$F89)/(Parametros_Alargados!$G89-Parametros_Alargados!$F89)*100)),MIN(100,MAX(0,(Parametros_Alargados!$G89-Base_Alargada!X88)/(Parametros_Alargados!$G89-Parametros_Alargados!$F89)*100))))</f>
        <v/>
      </c>
      <c r="J85" s="115">
        <f>IF(Base_Alargada!Y88="","",IF(Parametros_Alargados!$D89="+",MIN(100,MAX(0,(Base_Alargada!Y88-Parametros_Alargados!$F89)/(Parametros_Alargados!$G89-Parametros_Alargados!$F89)*100)),MIN(100,MAX(0,(Parametros_Alargados!$G89-Base_Alargada!Y88)/(Parametros_Alargados!$G89-Parametros_Alargados!$F89)*100))))</f>
        <v/>
      </c>
      <c r="K85" s="115">
        <f>IF(Base_Alargada!Z88="","",IF(Parametros_Alargados!$D89="+",MIN(100,MAX(0,(Base_Alargada!Z88-Parametros_Alargados!$F89)/(Parametros_Alargados!$G89-Parametros_Alargados!$F89)*100)),MIN(100,MAX(0,(Parametros_Alargados!$G89-Base_Alargada!Z88)/(Parametros_Alargados!$G89-Parametros_Alargados!$F89)*100))))</f>
        <v/>
      </c>
      <c r="L85" s="115">
        <f>IF(Base_Alargada!AA88="","",IF(Parametros_Alargados!$D89="+",MIN(100,MAX(0,(Base_Alargada!AA88-Parametros_Alargados!$F89)/(Parametros_Alargados!$G89-Parametros_Alargados!$F89)*100)),MIN(100,MAX(0,(Parametros_Alargados!$G89-Base_Alargada!AA88)/(Parametros_Alargados!$G89-Parametros_Alargados!$F89)*100))))</f>
        <v/>
      </c>
      <c r="M85" s="115">
        <f>IF(Base_Alargada!AB88="","",IF(Parametros_Alargados!$D89="+",MIN(100,MAX(0,(Base_Alargada!AB88-Parametros_Alargados!$F89)/(Parametros_Alargados!$G89-Parametros_Alargados!$F89)*100)),MIN(100,MAX(0,(Parametros_Alargados!$G89-Base_Alargada!AB88)/(Parametros_Alargados!$G89-Parametros_Alargados!$F89)*100))))</f>
        <v/>
      </c>
    </row>
    <row r="86">
      <c r="A86" t="inlineStr">
        <is>
          <t>6. Mercado de Trabalho</t>
        </is>
      </c>
      <c r="B86" t="inlineStr">
        <is>
          <t>Participação na força de trabalho</t>
        </is>
      </c>
      <c r="C86" s="115">
        <f>IF(Base_Alargada!R89="","",IF(Parametros_Alargados!$D90="+",MIN(100,MAX(0,(Base_Alargada!R89-Parametros_Alargados!$F90)/(Parametros_Alargados!$G90-Parametros_Alargados!$F90)*100)),MIN(100,MAX(0,(Parametros_Alargados!$G90-Base_Alargada!R89)/(Parametros_Alargados!$G90-Parametros_Alargados!$F90)*100))))</f>
        <v/>
      </c>
      <c r="D86" s="115">
        <f>IF(Base_Alargada!S89="","",IF(Parametros_Alargados!$D90="+",MIN(100,MAX(0,(Base_Alargada!S89-Parametros_Alargados!$F90)/(Parametros_Alargados!$G90-Parametros_Alargados!$F90)*100)),MIN(100,MAX(0,(Parametros_Alargados!$G90-Base_Alargada!S89)/(Parametros_Alargados!$G90-Parametros_Alargados!$F90)*100))))</f>
        <v/>
      </c>
      <c r="E86" s="115">
        <f>IF(Base_Alargada!T89="","",IF(Parametros_Alargados!$D90="+",MIN(100,MAX(0,(Base_Alargada!T89-Parametros_Alargados!$F90)/(Parametros_Alargados!$G90-Parametros_Alargados!$F90)*100)),MIN(100,MAX(0,(Parametros_Alargados!$G90-Base_Alargada!T89)/(Parametros_Alargados!$G90-Parametros_Alargados!$F90)*100))))</f>
        <v/>
      </c>
      <c r="F86" s="115">
        <f>IF(Base_Alargada!U89="","",IF(Parametros_Alargados!$D90="+",MIN(100,MAX(0,(Base_Alargada!U89-Parametros_Alargados!$F90)/(Parametros_Alargados!$G90-Parametros_Alargados!$F90)*100)),MIN(100,MAX(0,(Parametros_Alargados!$G90-Base_Alargada!U89)/(Parametros_Alargados!$G90-Parametros_Alargados!$F90)*100))))</f>
        <v/>
      </c>
      <c r="G86" s="115">
        <f>IF(Base_Alargada!V89="","",IF(Parametros_Alargados!$D90="+",MIN(100,MAX(0,(Base_Alargada!V89-Parametros_Alargados!$F90)/(Parametros_Alargados!$G90-Parametros_Alargados!$F90)*100)),MIN(100,MAX(0,(Parametros_Alargados!$G90-Base_Alargada!V89)/(Parametros_Alargados!$G90-Parametros_Alargados!$F90)*100))))</f>
        <v/>
      </c>
      <c r="H86" s="115">
        <f>IF(Base_Alargada!W89="","",IF(Parametros_Alargados!$D90="+",MIN(100,MAX(0,(Base_Alargada!W89-Parametros_Alargados!$F90)/(Parametros_Alargados!$G90-Parametros_Alargados!$F90)*100)),MIN(100,MAX(0,(Parametros_Alargados!$G90-Base_Alargada!W89)/(Parametros_Alargados!$G90-Parametros_Alargados!$F90)*100))))</f>
        <v/>
      </c>
      <c r="I86" s="115">
        <f>IF(Base_Alargada!X89="","",IF(Parametros_Alargados!$D90="+",MIN(100,MAX(0,(Base_Alargada!X89-Parametros_Alargados!$F90)/(Parametros_Alargados!$G90-Parametros_Alargados!$F90)*100)),MIN(100,MAX(0,(Parametros_Alargados!$G90-Base_Alargada!X89)/(Parametros_Alargados!$G90-Parametros_Alargados!$F90)*100))))</f>
        <v/>
      </c>
      <c r="J86" s="115">
        <f>IF(Base_Alargada!Y89="","",IF(Parametros_Alargados!$D90="+",MIN(100,MAX(0,(Base_Alargada!Y89-Parametros_Alargados!$F90)/(Parametros_Alargados!$G90-Parametros_Alargados!$F90)*100)),MIN(100,MAX(0,(Parametros_Alargados!$G90-Base_Alargada!Y89)/(Parametros_Alargados!$G90-Parametros_Alargados!$F90)*100))))</f>
        <v/>
      </c>
      <c r="K86" s="115">
        <f>IF(Base_Alargada!Z89="","",IF(Parametros_Alargados!$D90="+",MIN(100,MAX(0,(Base_Alargada!Z89-Parametros_Alargados!$F90)/(Parametros_Alargados!$G90-Parametros_Alargados!$F90)*100)),MIN(100,MAX(0,(Parametros_Alargados!$G90-Base_Alargada!Z89)/(Parametros_Alargados!$G90-Parametros_Alargados!$F90)*100))))</f>
        <v/>
      </c>
      <c r="L86" s="115">
        <f>IF(Base_Alargada!AA89="","",IF(Parametros_Alargados!$D90="+",MIN(100,MAX(0,(Base_Alargada!AA89-Parametros_Alargados!$F90)/(Parametros_Alargados!$G90-Parametros_Alargados!$F90)*100)),MIN(100,MAX(0,(Parametros_Alargados!$G90-Base_Alargada!AA89)/(Parametros_Alargados!$G90-Parametros_Alargados!$F90)*100))))</f>
        <v/>
      </c>
      <c r="M86" s="115">
        <f>IF(Base_Alargada!AB89="","",IF(Parametros_Alargados!$D90="+",MIN(100,MAX(0,(Base_Alargada!AB89-Parametros_Alargados!$F90)/(Parametros_Alargados!$G90-Parametros_Alargados!$F90)*100)),MIN(100,MAX(0,(Parametros_Alargados!$G90-Base_Alargada!AB89)/(Parametros_Alargados!$G90-Parametros_Alargados!$F90)*100))))</f>
        <v/>
      </c>
    </row>
    <row r="87">
      <c r="A87" t="inlineStr">
        <is>
          <t>6. Mercado de Trabalho</t>
        </is>
      </c>
      <c r="B87" t="inlineStr">
        <is>
          <t>Emprego vulnerável</t>
        </is>
      </c>
      <c r="C87" s="115">
        <f>IF(Base_Alargada!R90="","",IF(Parametros_Alargados!$D91="+",MIN(100,MAX(0,(Base_Alargada!R90-Parametros_Alargados!$F91)/(Parametros_Alargados!$G91-Parametros_Alargados!$F91)*100)),MIN(100,MAX(0,(Parametros_Alargados!$G91-Base_Alargada!R90)/(Parametros_Alargados!$G91-Parametros_Alargados!$F91)*100))))</f>
        <v/>
      </c>
      <c r="D87" s="115">
        <f>IF(Base_Alargada!S90="","",IF(Parametros_Alargados!$D91="+",MIN(100,MAX(0,(Base_Alargada!S90-Parametros_Alargados!$F91)/(Parametros_Alargados!$G91-Parametros_Alargados!$F91)*100)),MIN(100,MAX(0,(Parametros_Alargados!$G91-Base_Alargada!S90)/(Parametros_Alargados!$G91-Parametros_Alargados!$F91)*100))))</f>
        <v/>
      </c>
      <c r="E87" s="115">
        <f>IF(Base_Alargada!T90="","",IF(Parametros_Alargados!$D91="+",MIN(100,MAX(0,(Base_Alargada!T90-Parametros_Alargados!$F91)/(Parametros_Alargados!$G91-Parametros_Alargados!$F91)*100)),MIN(100,MAX(0,(Parametros_Alargados!$G91-Base_Alargada!T90)/(Parametros_Alargados!$G91-Parametros_Alargados!$F91)*100))))</f>
        <v/>
      </c>
      <c r="F87" s="115">
        <f>IF(Base_Alargada!U90="","",IF(Parametros_Alargados!$D91="+",MIN(100,MAX(0,(Base_Alargada!U90-Parametros_Alargados!$F91)/(Parametros_Alargados!$G91-Parametros_Alargados!$F91)*100)),MIN(100,MAX(0,(Parametros_Alargados!$G91-Base_Alargada!U90)/(Parametros_Alargados!$G91-Parametros_Alargados!$F91)*100))))</f>
        <v/>
      </c>
      <c r="G87" s="115">
        <f>IF(Base_Alargada!V90="","",IF(Parametros_Alargados!$D91="+",MIN(100,MAX(0,(Base_Alargada!V90-Parametros_Alargados!$F91)/(Parametros_Alargados!$G91-Parametros_Alargados!$F91)*100)),MIN(100,MAX(0,(Parametros_Alargados!$G91-Base_Alargada!V90)/(Parametros_Alargados!$G91-Parametros_Alargados!$F91)*100))))</f>
        <v/>
      </c>
      <c r="H87" s="115">
        <f>IF(Base_Alargada!W90="","",IF(Parametros_Alargados!$D91="+",MIN(100,MAX(0,(Base_Alargada!W90-Parametros_Alargados!$F91)/(Parametros_Alargados!$G91-Parametros_Alargados!$F91)*100)),MIN(100,MAX(0,(Parametros_Alargados!$G91-Base_Alargada!W90)/(Parametros_Alargados!$G91-Parametros_Alargados!$F91)*100))))</f>
        <v/>
      </c>
      <c r="I87" s="115">
        <f>IF(Base_Alargada!X90="","",IF(Parametros_Alargados!$D91="+",MIN(100,MAX(0,(Base_Alargada!X90-Parametros_Alargados!$F91)/(Parametros_Alargados!$G91-Parametros_Alargados!$F91)*100)),MIN(100,MAX(0,(Parametros_Alargados!$G91-Base_Alargada!X90)/(Parametros_Alargados!$G91-Parametros_Alargados!$F91)*100))))</f>
        <v/>
      </c>
      <c r="J87" s="115">
        <f>IF(Base_Alargada!Y90="","",IF(Parametros_Alargados!$D91="+",MIN(100,MAX(0,(Base_Alargada!Y90-Parametros_Alargados!$F91)/(Parametros_Alargados!$G91-Parametros_Alargados!$F91)*100)),MIN(100,MAX(0,(Parametros_Alargados!$G91-Base_Alargada!Y90)/(Parametros_Alargados!$G91-Parametros_Alargados!$F91)*100))))</f>
        <v/>
      </c>
      <c r="K87" s="115">
        <f>IF(Base_Alargada!Z90="","",IF(Parametros_Alargados!$D91="+",MIN(100,MAX(0,(Base_Alargada!Z90-Parametros_Alargados!$F91)/(Parametros_Alargados!$G91-Parametros_Alargados!$F91)*100)),MIN(100,MAX(0,(Parametros_Alargados!$G91-Base_Alargada!Z90)/(Parametros_Alargados!$G91-Parametros_Alargados!$F91)*100))))</f>
        <v/>
      </c>
      <c r="L87" s="115">
        <f>IF(Base_Alargada!AA90="","",IF(Parametros_Alargados!$D91="+",MIN(100,MAX(0,(Base_Alargada!AA90-Parametros_Alargados!$F91)/(Parametros_Alargados!$G91-Parametros_Alargados!$F91)*100)),MIN(100,MAX(0,(Parametros_Alargados!$G91-Base_Alargada!AA90)/(Parametros_Alargados!$G91-Parametros_Alargados!$F91)*100))))</f>
        <v/>
      </c>
      <c r="M87" s="115">
        <f>IF(Base_Alargada!AB90="","",IF(Parametros_Alargados!$D91="+",MIN(100,MAX(0,(Base_Alargada!AB90-Parametros_Alargados!$F91)/(Parametros_Alargados!$G91-Parametros_Alargados!$F91)*100)),MIN(100,MAX(0,(Parametros_Alargados!$G91-Base_Alargada!AB90)/(Parametros_Alargados!$G91-Parametros_Alargados!$F91)*100))))</f>
        <v/>
      </c>
    </row>
    <row r="88">
      <c r="A88" t="inlineStr">
        <is>
          <t>6. Mercado de Trabalho</t>
        </is>
      </c>
      <c r="B88" t="inlineStr">
        <is>
          <t>Trabalhadores assalariados</t>
        </is>
      </c>
      <c r="C88" s="115">
        <f>IF(Base_Alargada!R91="","",IF(Parametros_Alargados!$D92="+",MIN(100,MAX(0,(Base_Alargada!R91-Parametros_Alargados!$F92)/(Parametros_Alargados!$G92-Parametros_Alargados!$F92)*100)),MIN(100,MAX(0,(Parametros_Alargados!$G92-Base_Alargada!R91)/(Parametros_Alargados!$G92-Parametros_Alargados!$F92)*100))))</f>
        <v/>
      </c>
      <c r="D88" s="115">
        <f>IF(Base_Alargada!S91="","",IF(Parametros_Alargados!$D92="+",MIN(100,MAX(0,(Base_Alargada!S91-Parametros_Alargados!$F92)/(Parametros_Alargados!$G92-Parametros_Alargados!$F92)*100)),MIN(100,MAX(0,(Parametros_Alargados!$G92-Base_Alargada!S91)/(Parametros_Alargados!$G92-Parametros_Alargados!$F92)*100))))</f>
        <v/>
      </c>
      <c r="E88" s="115">
        <f>IF(Base_Alargada!T91="","",IF(Parametros_Alargados!$D92="+",MIN(100,MAX(0,(Base_Alargada!T91-Parametros_Alargados!$F92)/(Parametros_Alargados!$G92-Parametros_Alargados!$F92)*100)),MIN(100,MAX(0,(Parametros_Alargados!$G92-Base_Alargada!T91)/(Parametros_Alargados!$G92-Parametros_Alargados!$F92)*100))))</f>
        <v/>
      </c>
      <c r="F88" s="115">
        <f>IF(Base_Alargada!U91="","",IF(Parametros_Alargados!$D92="+",MIN(100,MAX(0,(Base_Alargada!U91-Parametros_Alargados!$F92)/(Parametros_Alargados!$G92-Parametros_Alargados!$F92)*100)),MIN(100,MAX(0,(Parametros_Alargados!$G92-Base_Alargada!U91)/(Parametros_Alargados!$G92-Parametros_Alargados!$F92)*100))))</f>
        <v/>
      </c>
      <c r="G88" s="115">
        <f>IF(Base_Alargada!V91="","",IF(Parametros_Alargados!$D92="+",MIN(100,MAX(0,(Base_Alargada!V91-Parametros_Alargados!$F92)/(Parametros_Alargados!$G92-Parametros_Alargados!$F92)*100)),MIN(100,MAX(0,(Parametros_Alargados!$G92-Base_Alargada!V91)/(Parametros_Alargados!$G92-Parametros_Alargados!$F92)*100))))</f>
        <v/>
      </c>
      <c r="H88" s="115">
        <f>IF(Base_Alargada!W91="","",IF(Parametros_Alargados!$D92="+",MIN(100,MAX(0,(Base_Alargada!W91-Parametros_Alargados!$F92)/(Parametros_Alargados!$G92-Parametros_Alargados!$F92)*100)),MIN(100,MAX(0,(Parametros_Alargados!$G92-Base_Alargada!W91)/(Parametros_Alargados!$G92-Parametros_Alargados!$F92)*100))))</f>
        <v/>
      </c>
      <c r="I88" s="115">
        <f>IF(Base_Alargada!X91="","",IF(Parametros_Alargados!$D92="+",MIN(100,MAX(0,(Base_Alargada!X91-Parametros_Alargados!$F92)/(Parametros_Alargados!$G92-Parametros_Alargados!$F92)*100)),MIN(100,MAX(0,(Parametros_Alargados!$G92-Base_Alargada!X91)/(Parametros_Alargados!$G92-Parametros_Alargados!$F92)*100))))</f>
        <v/>
      </c>
      <c r="J88" s="115">
        <f>IF(Base_Alargada!Y91="","",IF(Parametros_Alargados!$D92="+",MIN(100,MAX(0,(Base_Alargada!Y91-Parametros_Alargados!$F92)/(Parametros_Alargados!$G92-Parametros_Alargados!$F92)*100)),MIN(100,MAX(0,(Parametros_Alargados!$G92-Base_Alargada!Y91)/(Parametros_Alargados!$G92-Parametros_Alargados!$F92)*100))))</f>
        <v/>
      </c>
      <c r="K88" s="115">
        <f>IF(Base_Alargada!Z91="","",IF(Parametros_Alargados!$D92="+",MIN(100,MAX(0,(Base_Alargada!Z91-Parametros_Alargados!$F92)/(Parametros_Alargados!$G92-Parametros_Alargados!$F92)*100)),MIN(100,MAX(0,(Parametros_Alargados!$G92-Base_Alargada!Z91)/(Parametros_Alargados!$G92-Parametros_Alargados!$F92)*100))))</f>
        <v/>
      </c>
      <c r="L88" s="115">
        <f>IF(Base_Alargada!AA91="","",IF(Parametros_Alargados!$D92="+",MIN(100,MAX(0,(Base_Alargada!AA91-Parametros_Alargados!$F92)/(Parametros_Alargados!$G92-Parametros_Alargados!$F92)*100)),MIN(100,MAX(0,(Parametros_Alargados!$G92-Base_Alargada!AA91)/(Parametros_Alargados!$G92-Parametros_Alargados!$F92)*100))))</f>
        <v/>
      </c>
      <c r="M88" s="115">
        <f>IF(Base_Alargada!AB91="","",IF(Parametros_Alargados!$D92="+",MIN(100,MAX(0,(Base_Alargada!AB91-Parametros_Alargados!$F92)/(Parametros_Alargados!$G92-Parametros_Alargados!$F92)*100)),MIN(100,MAX(0,(Parametros_Alargados!$G92-Base_Alargada!AB91)/(Parametros_Alargados!$G92-Parametros_Alargados!$F92)*100))))</f>
        <v/>
      </c>
    </row>
    <row r="89">
      <c r="A89" t="inlineStr">
        <is>
          <t>6. Mercado de Trabalho</t>
        </is>
      </c>
      <c r="B89" t="inlineStr">
        <is>
          <t>Emprego na agricultura</t>
        </is>
      </c>
      <c r="C89" s="115">
        <f>IF(Base_Alargada!R92="","",IF(Parametros_Alargados!$D93="+",MIN(100,MAX(0,(Base_Alargada!R92-Parametros_Alargados!$F93)/(Parametros_Alargados!$G93-Parametros_Alargados!$F93)*100)),MIN(100,MAX(0,(Parametros_Alargados!$G93-Base_Alargada!R92)/(Parametros_Alargados!$G93-Parametros_Alargados!$F93)*100))))</f>
        <v/>
      </c>
      <c r="D89" s="115">
        <f>IF(Base_Alargada!S92="","",IF(Parametros_Alargados!$D93="+",MIN(100,MAX(0,(Base_Alargada!S92-Parametros_Alargados!$F93)/(Parametros_Alargados!$G93-Parametros_Alargados!$F93)*100)),MIN(100,MAX(0,(Parametros_Alargados!$G93-Base_Alargada!S92)/(Parametros_Alargados!$G93-Parametros_Alargados!$F93)*100))))</f>
        <v/>
      </c>
      <c r="E89" s="115">
        <f>IF(Base_Alargada!T92="","",IF(Parametros_Alargados!$D93="+",MIN(100,MAX(0,(Base_Alargada!T92-Parametros_Alargados!$F93)/(Parametros_Alargados!$G93-Parametros_Alargados!$F93)*100)),MIN(100,MAX(0,(Parametros_Alargados!$G93-Base_Alargada!T92)/(Parametros_Alargados!$G93-Parametros_Alargados!$F93)*100))))</f>
        <v/>
      </c>
      <c r="F89" s="115">
        <f>IF(Base_Alargada!U92="","",IF(Parametros_Alargados!$D93="+",MIN(100,MAX(0,(Base_Alargada!U92-Parametros_Alargados!$F93)/(Parametros_Alargados!$G93-Parametros_Alargados!$F93)*100)),MIN(100,MAX(0,(Parametros_Alargados!$G93-Base_Alargada!U92)/(Parametros_Alargados!$G93-Parametros_Alargados!$F93)*100))))</f>
        <v/>
      </c>
      <c r="G89" s="115">
        <f>IF(Base_Alargada!V92="","",IF(Parametros_Alargados!$D93="+",MIN(100,MAX(0,(Base_Alargada!V92-Parametros_Alargados!$F93)/(Parametros_Alargados!$G93-Parametros_Alargados!$F93)*100)),MIN(100,MAX(0,(Parametros_Alargados!$G93-Base_Alargada!V92)/(Parametros_Alargados!$G93-Parametros_Alargados!$F93)*100))))</f>
        <v/>
      </c>
      <c r="H89" s="115">
        <f>IF(Base_Alargada!W92="","",IF(Parametros_Alargados!$D93="+",MIN(100,MAX(0,(Base_Alargada!W92-Parametros_Alargados!$F93)/(Parametros_Alargados!$G93-Parametros_Alargados!$F93)*100)),MIN(100,MAX(0,(Parametros_Alargados!$G93-Base_Alargada!W92)/(Parametros_Alargados!$G93-Parametros_Alargados!$F93)*100))))</f>
        <v/>
      </c>
      <c r="I89" s="115">
        <f>IF(Base_Alargada!X92="","",IF(Parametros_Alargados!$D93="+",MIN(100,MAX(0,(Base_Alargada!X92-Parametros_Alargados!$F93)/(Parametros_Alargados!$G93-Parametros_Alargados!$F93)*100)),MIN(100,MAX(0,(Parametros_Alargados!$G93-Base_Alargada!X92)/(Parametros_Alargados!$G93-Parametros_Alargados!$F93)*100))))</f>
        <v/>
      </c>
      <c r="J89" s="115">
        <f>IF(Base_Alargada!Y92="","",IF(Parametros_Alargados!$D93="+",MIN(100,MAX(0,(Base_Alargada!Y92-Parametros_Alargados!$F93)/(Parametros_Alargados!$G93-Parametros_Alargados!$F93)*100)),MIN(100,MAX(0,(Parametros_Alargados!$G93-Base_Alargada!Y92)/(Parametros_Alargados!$G93-Parametros_Alargados!$F93)*100))))</f>
        <v/>
      </c>
      <c r="K89" s="115">
        <f>IF(Base_Alargada!Z92="","",IF(Parametros_Alargados!$D93="+",MIN(100,MAX(0,(Base_Alargada!Z92-Parametros_Alargados!$F93)/(Parametros_Alargados!$G93-Parametros_Alargados!$F93)*100)),MIN(100,MAX(0,(Parametros_Alargados!$G93-Base_Alargada!Z92)/(Parametros_Alargados!$G93-Parametros_Alargados!$F93)*100))))</f>
        <v/>
      </c>
      <c r="L89" s="115">
        <f>IF(Base_Alargada!AA92="","",IF(Parametros_Alargados!$D93="+",MIN(100,MAX(0,(Base_Alargada!AA92-Parametros_Alargados!$F93)/(Parametros_Alargados!$G93-Parametros_Alargados!$F93)*100)),MIN(100,MAX(0,(Parametros_Alargados!$G93-Base_Alargada!AA92)/(Parametros_Alargados!$G93-Parametros_Alargados!$F93)*100))))</f>
        <v/>
      </c>
      <c r="M89" s="115">
        <f>IF(Base_Alargada!AB92="","",IF(Parametros_Alargados!$D93="+",MIN(100,MAX(0,(Base_Alargada!AB92-Parametros_Alargados!$F93)/(Parametros_Alargados!$G93-Parametros_Alargados!$F93)*100)),MIN(100,MAX(0,(Parametros_Alargados!$G93-Base_Alargada!AB92)/(Parametros_Alargados!$G93-Parametros_Alargados!$F93)*100))))</f>
        <v/>
      </c>
    </row>
    <row r="90">
      <c r="A90" t="inlineStr">
        <is>
          <t>6. Mercado de Trabalho</t>
        </is>
      </c>
      <c r="B90" t="inlineStr">
        <is>
          <t>PIB por pessoa empregada</t>
        </is>
      </c>
      <c r="C90" s="115">
        <f>IF(Base_Alargada!R93="","",IF(Parametros_Alargados!$D94="+",MIN(100,MAX(0,(Base_Alargada!R93-Parametros_Alargados!$F94)/(Parametros_Alargados!$G94-Parametros_Alargados!$F94)*100)),MIN(100,MAX(0,(Parametros_Alargados!$G94-Base_Alargada!R93)/(Parametros_Alargados!$G94-Parametros_Alargados!$F94)*100))))</f>
        <v/>
      </c>
      <c r="D90" s="115">
        <f>IF(Base_Alargada!S93="","",IF(Parametros_Alargados!$D94="+",MIN(100,MAX(0,(Base_Alargada!S93-Parametros_Alargados!$F94)/(Parametros_Alargados!$G94-Parametros_Alargados!$F94)*100)),MIN(100,MAX(0,(Parametros_Alargados!$G94-Base_Alargada!S93)/(Parametros_Alargados!$G94-Parametros_Alargados!$F94)*100))))</f>
        <v/>
      </c>
      <c r="E90" s="115">
        <f>IF(Base_Alargada!T93="","",IF(Parametros_Alargados!$D94="+",MIN(100,MAX(0,(Base_Alargada!T93-Parametros_Alargados!$F94)/(Parametros_Alargados!$G94-Parametros_Alargados!$F94)*100)),MIN(100,MAX(0,(Parametros_Alargados!$G94-Base_Alargada!T93)/(Parametros_Alargados!$G94-Parametros_Alargados!$F94)*100))))</f>
        <v/>
      </c>
      <c r="F90" s="115">
        <f>IF(Base_Alargada!U93="","",IF(Parametros_Alargados!$D94="+",MIN(100,MAX(0,(Base_Alargada!U93-Parametros_Alargados!$F94)/(Parametros_Alargados!$G94-Parametros_Alargados!$F94)*100)),MIN(100,MAX(0,(Parametros_Alargados!$G94-Base_Alargada!U93)/(Parametros_Alargados!$G94-Parametros_Alargados!$F94)*100))))</f>
        <v/>
      </c>
      <c r="G90" s="115">
        <f>IF(Base_Alargada!V93="","",IF(Parametros_Alargados!$D94="+",MIN(100,MAX(0,(Base_Alargada!V93-Parametros_Alargados!$F94)/(Parametros_Alargados!$G94-Parametros_Alargados!$F94)*100)),MIN(100,MAX(0,(Parametros_Alargados!$G94-Base_Alargada!V93)/(Parametros_Alargados!$G94-Parametros_Alargados!$F94)*100))))</f>
        <v/>
      </c>
      <c r="H90" s="115">
        <f>IF(Base_Alargada!W93="","",IF(Parametros_Alargados!$D94="+",MIN(100,MAX(0,(Base_Alargada!W93-Parametros_Alargados!$F94)/(Parametros_Alargados!$G94-Parametros_Alargados!$F94)*100)),MIN(100,MAX(0,(Parametros_Alargados!$G94-Base_Alargada!W93)/(Parametros_Alargados!$G94-Parametros_Alargados!$F94)*100))))</f>
        <v/>
      </c>
      <c r="I90" s="115">
        <f>IF(Base_Alargada!X93="","",IF(Parametros_Alargados!$D94="+",MIN(100,MAX(0,(Base_Alargada!X93-Parametros_Alargados!$F94)/(Parametros_Alargados!$G94-Parametros_Alargados!$F94)*100)),MIN(100,MAX(0,(Parametros_Alargados!$G94-Base_Alargada!X93)/(Parametros_Alargados!$G94-Parametros_Alargados!$F94)*100))))</f>
        <v/>
      </c>
      <c r="J90" s="115">
        <f>IF(Base_Alargada!Y93="","",IF(Parametros_Alargados!$D94="+",MIN(100,MAX(0,(Base_Alargada!Y93-Parametros_Alargados!$F94)/(Parametros_Alargados!$G94-Parametros_Alargados!$F94)*100)),MIN(100,MAX(0,(Parametros_Alargados!$G94-Base_Alargada!Y93)/(Parametros_Alargados!$G94-Parametros_Alargados!$F94)*100))))</f>
        <v/>
      </c>
      <c r="K90" s="115">
        <f>IF(Base_Alargada!Z93="","",IF(Parametros_Alargados!$D94="+",MIN(100,MAX(0,(Base_Alargada!Z93-Parametros_Alargados!$F94)/(Parametros_Alargados!$G94-Parametros_Alargados!$F94)*100)),MIN(100,MAX(0,(Parametros_Alargados!$G94-Base_Alargada!Z93)/(Parametros_Alargados!$G94-Parametros_Alargados!$F94)*100))))</f>
        <v/>
      </c>
      <c r="L90" s="115">
        <f>IF(Base_Alargada!AA93="","",IF(Parametros_Alargados!$D94="+",MIN(100,MAX(0,(Base_Alargada!AA93-Parametros_Alargados!$F94)/(Parametros_Alargados!$G94-Parametros_Alargados!$F94)*100)),MIN(100,MAX(0,(Parametros_Alargados!$G94-Base_Alargada!AA93)/(Parametros_Alargados!$G94-Parametros_Alargados!$F94)*100))))</f>
        <v/>
      </c>
      <c r="M90" s="115">
        <f>IF(Base_Alargada!AB93="","",IF(Parametros_Alargados!$D94="+",MIN(100,MAX(0,(Base_Alargada!AB93-Parametros_Alargados!$F94)/(Parametros_Alargados!$G94-Parametros_Alargados!$F94)*100)),MIN(100,MAX(0,(Parametros_Alargados!$G94-Base_Alargada!AB93)/(Parametros_Alargados!$G94-Parametros_Alargados!$F94)*100))))</f>
        <v/>
      </c>
    </row>
    <row r="91">
      <c r="A91" t="inlineStr">
        <is>
          <t>6. Mercado de Trabalho</t>
        </is>
      </c>
      <c r="B91" t="inlineStr">
        <is>
          <t>Jovens NEET</t>
        </is>
      </c>
      <c r="C91" s="115">
        <f>IF(Base_Alargada!R94="","",IF(Parametros_Alargados!$D95="+",MIN(100,MAX(0,(Base_Alargada!R94-Parametros_Alargados!$F95)/(Parametros_Alargados!$G95-Parametros_Alargados!$F95)*100)),MIN(100,MAX(0,(Parametros_Alargados!$G95-Base_Alargada!R94)/(Parametros_Alargados!$G95-Parametros_Alargados!$F95)*100))))</f>
        <v/>
      </c>
      <c r="D91" s="115">
        <f>IF(Base_Alargada!S94="","",IF(Parametros_Alargados!$D95="+",MIN(100,MAX(0,(Base_Alargada!S94-Parametros_Alargados!$F95)/(Parametros_Alargados!$G95-Parametros_Alargados!$F95)*100)),MIN(100,MAX(0,(Parametros_Alargados!$G95-Base_Alargada!S94)/(Parametros_Alargados!$G95-Parametros_Alargados!$F95)*100))))</f>
        <v/>
      </c>
      <c r="E91" s="115">
        <f>IF(Base_Alargada!T94="","",IF(Parametros_Alargados!$D95="+",MIN(100,MAX(0,(Base_Alargada!T94-Parametros_Alargados!$F95)/(Parametros_Alargados!$G95-Parametros_Alargados!$F95)*100)),MIN(100,MAX(0,(Parametros_Alargados!$G95-Base_Alargada!T94)/(Parametros_Alargados!$G95-Parametros_Alargados!$F95)*100))))</f>
        <v/>
      </c>
      <c r="F91" s="115">
        <f>IF(Base_Alargada!U94="","",IF(Parametros_Alargados!$D95="+",MIN(100,MAX(0,(Base_Alargada!U94-Parametros_Alargados!$F95)/(Parametros_Alargados!$G95-Parametros_Alargados!$F95)*100)),MIN(100,MAX(0,(Parametros_Alargados!$G95-Base_Alargada!U94)/(Parametros_Alargados!$G95-Parametros_Alargados!$F95)*100))))</f>
        <v/>
      </c>
      <c r="G91" s="115">
        <f>IF(Base_Alargada!V94="","",IF(Parametros_Alargados!$D95="+",MIN(100,MAX(0,(Base_Alargada!V94-Parametros_Alargados!$F95)/(Parametros_Alargados!$G95-Parametros_Alargados!$F95)*100)),MIN(100,MAX(0,(Parametros_Alargados!$G95-Base_Alargada!V94)/(Parametros_Alargados!$G95-Parametros_Alargados!$F95)*100))))</f>
        <v/>
      </c>
      <c r="H91" s="115">
        <f>IF(Base_Alargada!W94="","",IF(Parametros_Alargados!$D95="+",MIN(100,MAX(0,(Base_Alargada!W94-Parametros_Alargados!$F95)/(Parametros_Alargados!$G95-Parametros_Alargados!$F95)*100)),MIN(100,MAX(0,(Parametros_Alargados!$G95-Base_Alargada!W94)/(Parametros_Alargados!$G95-Parametros_Alargados!$F95)*100))))</f>
        <v/>
      </c>
      <c r="I91" s="115">
        <f>IF(Base_Alargada!X94="","",IF(Parametros_Alargados!$D95="+",MIN(100,MAX(0,(Base_Alargada!X94-Parametros_Alargados!$F95)/(Parametros_Alargados!$G95-Parametros_Alargados!$F95)*100)),MIN(100,MAX(0,(Parametros_Alargados!$G95-Base_Alargada!X94)/(Parametros_Alargados!$G95-Parametros_Alargados!$F95)*100))))</f>
        <v/>
      </c>
      <c r="J91" s="115">
        <f>IF(Base_Alargada!Y94="","",IF(Parametros_Alargados!$D95="+",MIN(100,MAX(0,(Base_Alargada!Y94-Parametros_Alargados!$F95)/(Parametros_Alargados!$G95-Parametros_Alargados!$F95)*100)),MIN(100,MAX(0,(Parametros_Alargados!$G95-Base_Alargada!Y94)/(Parametros_Alargados!$G95-Parametros_Alargados!$F95)*100))))</f>
        <v/>
      </c>
      <c r="K91" s="115">
        <f>IF(Base_Alargada!Z94="","",IF(Parametros_Alargados!$D95="+",MIN(100,MAX(0,(Base_Alargada!Z94-Parametros_Alargados!$F95)/(Parametros_Alargados!$G95-Parametros_Alargados!$F95)*100)),MIN(100,MAX(0,(Parametros_Alargados!$G95-Base_Alargada!Z94)/(Parametros_Alargados!$G95-Parametros_Alargados!$F95)*100))))</f>
        <v/>
      </c>
      <c r="L91" s="115">
        <f>IF(Base_Alargada!AA94="","",IF(Parametros_Alargados!$D95="+",MIN(100,MAX(0,(Base_Alargada!AA94-Parametros_Alargados!$F95)/(Parametros_Alargados!$G95-Parametros_Alargados!$F95)*100)),MIN(100,MAX(0,(Parametros_Alargados!$G95-Base_Alargada!AA94)/(Parametros_Alargados!$G95-Parametros_Alargados!$F95)*100))))</f>
        <v/>
      </c>
      <c r="M91" s="115">
        <f>IF(Base_Alargada!AB94="","",IF(Parametros_Alargados!$D95="+",MIN(100,MAX(0,(Base_Alargada!AB94-Parametros_Alargados!$F95)/(Parametros_Alargados!$G95-Parametros_Alargados!$F95)*100)),MIN(100,MAX(0,(Parametros_Alargados!$G95-Base_Alargada!AB94)/(Parametros_Alargados!$G95-Parametros_Alargados!$F95)*100))))</f>
        <v/>
      </c>
    </row>
    <row r="92">
      <c r="A92" t="inlineStr">
        <is>
          <t>6. Mercado de Trabalho</t>
        </is>
      </c>
      <c r="B92" t="inlineStr">
        <is>
          <t>Emprego informal fora da agricultura</t>
        </is>
      </c>
      <c r="C92" s="115">
        <f>IF(Base_Alargada!R95="","",IF(Parametros_Alargados!$D96="+",MIN(100,MAX(0,(Base_Alargada!R95-Parametros_Alargados!$F96)/(Parametros_Alargados!$G96-Parametros_Alargados!$F96)*100)),MIN(100,MAX(0,(Parametros_Alargados!$G96-Base_Alargada!R95)/(Parametros_Alargados!$G96-Parametros_Alargados!$F96)*100))))</f>
        <v/>
      </c>
      <c r="D92" s="115">
        <f>IF(Base_Alargada!S95="","",IF(Parametros_Alargados!$D96="+",MIN(100,MAX(0,(Base_Alargada!S95-Parametros_Alargados!$F96)/(Parametros_Alargados!$G96-Parametros_Alargados!$F96)*100)),MIN(100,MAX(0,(Parametros_Alargados!$G96-Base_Alargada!S95)/(Parametros_Alargados!$G96-Parametros_Alargados!$F96)*100))))</f>
        <v/>
      </c>
      <c r="E92" s="115">
        <f>IF(Base_Alargada!T95="","",IF(Parametros_Alargados!$D96="+",MIN(100,MAX(0,(Base_Alargada!T95-Parametros_Alargados!$F96)/(Parametros_Alargados!$G96-Parametros_Alargados!$F96)*100)),MIN(100,MAX(0,(Parametros_Alargados!$G96-Base_Alargada!T95)/(Parametros_Alargados!$G96-Parametros_Alargados!$F96)*100))))</f>
        <v/>
      </c>
      <c r="F92" s="115">
        <f>IF(Base_Alargada!U95="","",IF(Parametros_Alargados!$D96="+",MIN(100,MAX(0,(Base_Alargada!U95-Parametros_Alargados!$F96)/(Parametros_Alargados!$G96-Parametros_Alargados!$F96)*100)),MIN(100,MAX(0,(Parametros_Alargados!$G96-Base_Alargada!U95)/(Parametros_Alargados!$G96-Parametros_Alargados!$F96)*100))))</f>
        <v/>
      </c>
      <c r="G92" s="115">
        <f>IF(Base_Alargada!V95="","",IF(Parametros_Alargados!$D96="+",MIN(100,MAX(0,(Base_Alargada!V95-Parametros_Alargados!$F96)/(Parametros_Alargados!$G96-Parametros_Alargados!$F96)*100)),MIN(100,MAX(0,(Parametros_Alargados!$G96-Base_Alargada!V95)/(Parametros_Alargados!$G96-Parametros_Alargados!$F96)*100))))</f>
        <v/>
      </c>
      <c r="H92" s="115">
        <f>IF(Base_Alargada!W95="","",IF(Parametros_Alargados!$D96="+",MIN(100,MAX(0,(Base_Alargada!W95-Parametros_Alargados!$F96)/(Parametros_Alargados!$G96-Parametros_Alargados!$F96)*100)),MIN(100,MAX(0,(Parametros_Alargados!$G96-Base_Alargada!W95)/(Parametros_Alargados!$G96-Parametros_Alargados!$F96)*100))))</f>
        <v/>
      </c>
      <c r="I92" s="115">
        <f>IF(Base_Alargada!X95="","",IF(Parametros_Alargados!$D96="+",MIN(100,MAX(0,(Base_Alargada!X95-Parametros_Alargados!$F96)/(Parametros_Alargados!$G96-Parametros_Alargados!$F96)*100)),MIN(100,MAX(0,(Parametros_Alargados!$G96-Base_Alargada!X95)/(Parametros_Alargados!$G96-Parametros_Alargados!$F96)*100))))</f>
        <v/>
      </c>
      <c r="J92" s="115">
        <f>IF(Base_Alargada!Y95="","",IF(Parametros_Alargados!$D96="+",MIN(100,MAX(0,(Base_Alargada!Y95-Parametros_Alargados!$F96)/(Parametros_Alargados!$G96-Parametros_Alargados!$F96)*100)),MIN(100,MAX(0,(Parametros_Alargados!$G96-Base_Alargada!Y95)/(Parametros_Alargados!$G96-Parametros_Alargados!$F96)*100))))</f>
        <v/>
      </c>
      <c r="K92" s="115">
        <f>IF(Base_Alargada!Z95="","",IF(Parametros_Alargados!$D96="+",MIN(100,MAX(0,(Base_Alargada!Z95-Parametros_Alargados!$F96)/(Parametros_Alargados!$G96-Parametros_Alargados!$F96)*100)),MIN(100,MAX(0,(Parametros_Alargados!$G96-Base_Alargada!Z95)/(Parametros_Alargados!$G96-Parametros_Alargados!$F96)*100))))</f>
        <v/>
      </c>
      <c r="L92" s="115">
        <f>IF(Base_Alargada!AA95="","",IF(Parametros_Alargados!$D96="+",MIN(100,MAX(0,(Base_Alargada!AA95-Parametros_Alargados!$F96)/(Parametros_Alargados!$G96-Parametros_Alargados!$F96)*100)),MIN(100,MAX(0,(Parametros_Alargados!$G96-Base_Alargada!AA95)/(Parametros_Alargados!$G96-Parametros_Alargados!$F96)*100))))</f>
        <v/>
      </c>
      <c r="M92" s="115">
        <f>IF(Base_Alargada!AB95="","",IF(Parametros_Alargados!$D96="+",MIN(100,MAX(0,(Base_Alargada!AB95-Parametros_Alargados!$F96)/(Parametros_Alargados!$G96-Parametros_Alargados!$F96)*100)),MIN(100,MAX(0,(Parametros_Alargados!$G96-Base_Alargada!AB95)/(Parametros_Alargados!$G96-Parametros_Alargados!$F96)*100))))</f>
        <v/>
      </c>
    </row>
    <row r="93">
      <c r="A93" t="inlineStr">
        <is>
          <t>7. Segurança Alimentar e Saúde</t>
        </is>
      </c>
      <c r="B93" t="inlineStr">
        <is>
          <t>Índice Global Seg. Alimentar</t>
        </is>
      </c>
      <c r="C93" s="115">
        <f>IF(Base_Alargada!R96="","",IF(Parametros_Alargados!$D97="+",MIN(100,MAX(0,(Base_Alargada!R96-Parametros_Alargados!$F97)/(Parametros_Alargados!$G97-Parametros_Alargados!$F97)*100)),MIN(100,MAX(0,(Parametros_Alargados!$G97-Base_Alargada!R96)/(Parametros_Alargados!$G97-Parametros_Alargados!$F97)*100))))</f>
        <v/>
      </c>
      <c r="D93" s="115">
        <f>IF(Base_Alargada!S96="","",IF(Parametros_Alargados!$D97="+",MIN(100,MAX(0,(Base_Alargada!S96-Parametros_Alargados!$F97)/(Parametros_Alargados!$G97-Parametros_Alargados!$F97)*100)),MIN(100,MAX(0,(Parametros_Alargados!$G97-Base_Alargada!S96)/(Parametros_Alargados!$G97-Parametros_Alargados!$F97)*100))))</f>
        <v/>
      </c>
      <c r="E93" s="115">
        <f>IF(Base_Alargada!T96="","",IF(Parametros_Alargados!$D97="+",MIN(100,MAX(0,(Base_Alargada!T96-Parametros_Alargados!$F97)/(Parametros_Alargados!$G97-Parametros_Alargados!$F97)*100)),MIN(100,MAX(0,(Parametros_Alargados!$G97-Base_Alargada!T96)/(Parametros_Alargados!$G97-Parametros_Alargados!$F97)*100))))</f>
        <v/>
      </c>
      <c r="F93" s="115">
        <f>IF(Base_Alargada!U96="","",IF(Parametros_Alargados!$D97="+",MIN(100,MAX(0,(Base_Alargada!U96-Parametros_Alargados!$F97)/(Parametros_Alargados!$G97-Parametros_Alargados!$F97)*100)),MIN(100,MAX(0,(Parametros_Alargados!$G97-Base_Alargada!U96)/(Parametros_Alargados!$G97-Parametros_Alargados!$F97)*100))))</f>
        <v/>
      </c>
      <c r="G93" s="115">
        <f>IF(Base_Alargada!V96="","",IF(Parametros_Alargados!$D97="+",MIN(100,MAX(0,(Base_Alargada!V96-Parametros_Alargados!$F97)/(Parametros_Alargados!$G97-Parametros_Alargados!$F97)*100)),MIN(100,MAX(0,(Parametros_Alargados!$G97-Base_Alargada!V96)/(Parametros_Alargados!$G97-Parametros_Alargados!$F97)*100))))</f>
        <v/>
      </c>
      <c r="H93" s="115">
        <f>IF(Base_Alargada!W96="","",IF(Parametros_Alargados!$D97="+",MIN(100,MAX(0,(Base_Alargada!W96-Parametros_Alargados!$F97)/(Parametros_Alargados!$G97-Parametros_Alargados!$F97)*100)),MIN(100,MAX(0,(Parametros_Alargados!$G97-Base_Alargada!W96)/(Parametros_Alargados!$G97-Parametros_Alargados!$F97)*100))))</f>
        <v/>
      </c>
      <c r="I93" s="115">
        <f>IF(Base_Alargada!X96="","",IF(Parametros_Alargados!$D97="+",MIN(100,MAX(0,(Base_Alargada!X96-Parametros_Alargados!$F97)/(Parametros_Alargados!$G97-Parametros_Alargados!$F97)*100)),MIN(100,MAX(0,(Parametros_Alargados!$G97-Base_Alargada!X96)/(Parametros_Alargados!$G97-Parametros_Alargados!$F97)*100))))</f>
        <v/>
      </c>
      <c r="J93" s="115">
        <f>IF(Base_Alargada!Y96="","",IF(Parametros_Alargados!$D97="+",MIN(100,MAX(0,(Base_Alargada!Y96-Parametros_Alargados!$F97)/(Parametros_Alargados!$G97-Parametros_Alargados!$F97)*100)),MIN(100,MAX(0,(Parametros_Alargados!$G97-Base_Alargada!Y96)/(Parametros_Alargados!$G97-Parametros_Alargados!$F97)*100))))</f>
        <v/>
      </c>
      <c r="K93" s="115">
        <f>IF(Base_Alargada!Z96="","",IF(Parametros_Alargados!$D97="+",MIN(100,MAX(0,(Base_Alargada!Z96-Parametros_Alargados!$F97)/(Parametros_Alargados!$G97-Parametros_Alargados!$F97)*100)),MIN(100,MAX(0,(Parametros_Alargados!$G97-Base_Alargada!Z96)/(Parametros_Alargados!$G97-Parametros_Alargados!$F97)*100))))</f>
        <v/>
      </c>
      <c r="L93" s="115">
        <f>IF(Base_Alargada!AA96="","",IF(Parametros_Alargados!$D97="+",MIN(100,MAX(0,(Base_Alargada!AA96-Parametros_Alargados!$F97)/(Parametros_Alargados!$G97-Parametros_Alargados!$F97)*100)),MIN(100,MAX(0,(Parametros_Alargados!$G97-Base_Alargada!AA96)/(Parametros_Alargados!$G97-Parametros_Alargados!$F97)*100))))</f>
        <v/>
      </c>
      <c r="M93" s="115">
        <f>IF(Base_Alargada!AB96="","",IF(Parametros_Alargados!$D97="+",MIN(100,MAX(0,(Base_Alargada!AB96-Parametros_Alargados!$F97)/(Parametros_Alargados!$G97-Parametros_Alargados!$F97)*100)),MIN(100,MAX(0,(Parametros_Alargados!$G97-Base_Alargada!AB96)/(Parametros_Alargados!$G97-Parametros_Alargados!$F97)*100))))</f>
        <v/>
      </c>
    </row>
    <row r="94">
      <c r="A94" t="inlineStr">
        <is>
          <t>7. Segurança Alimentar e Saúde</t>
        </is>
      </c>
      <c r="B94" t="inlineStr">
        <is>
          <t>Prevalência de Desnutrição</t>
        </is>
      </c>
      <c r="C94" s="115">
        <f>IF(Base_Alargada!R97="","",IF(Parametros_Alargados!$D98="+",MIN(100,MAX(0,(Base_Alargada!R97-Parametros_Alargados!$F98)/(Parametros_Alargados!$G98-Parametros_Alargados!$F98)*100)),MIN(100,MAX(0,(Parametros_Alargados!$G98-Base_Alargada!R97)/(Parametros_Alargados!$G98-Parametros_Alargados!$F98)*100))))</f>
        <v/>
      </c>
      <c r="D94" s="115">
        <f>IF(Base_Alargada!S97="","",IF(Parametros_Alargados!$D98="+",MIN(100,MAX(0,(Base_Alargada!S97-Parametros_Alargados!$F98)/(Parametros_Alargados!$G98-Parametros_Alargados!$F98)*100)),MIN(100,MAX(0,(Parametros_Alargados!$G98-Base_Alargada!S97)/(Parametros_Alargados!$G98-Parametros_Alargados!$F98)*100))))</f>
        <v/>
      </c>
      <c r="E94" s="115">
        <f>IF(Base_Alargada!T97="","",IF(Parametros_Alargados!$D98="+",MIN(100,MAX(0,(Base_Alargada!T97-Parametros_Alargados!$F98)/(Parametros_Alargados!$G98-Parametros_Alargados!$F98)*100)),MIN(100,MAX(0,(Parametros_Alargados!$G98-Base_Alargada!T97)/(Parametros_Alargados!$G98-Parametros_Alargados!$F98)*100))))</f>
        <v/>
      </c>
      <c r="F94" s="115">
        <f>IF(Base_Alargada!U97="","",IF(Parametros_Alargados!$D98="+",MIN(100,MAX(0,(Base_Alargada!U97-Parametros_Alargados!$F98)/(Parametros_Alargados!$G98-Parametros_Alargados!$F98)*100)),MIN(100,MAX(0,(Parametros_Alargados!$G98-Base_Alargada!U97)/(Parametros_Alargados!$G98-Parametros_Alargados!$F98)*100))))</f>
        <v/>
      </c>
      <c r="G94" s="115">
        <f>IF(Base_Alargada!V97="","",IF(Parametros_Alargados!$D98="+",MIN(100,MAX(0,(Base_Alargada!V97-Parametros_Alargados!$F98)/(Parametros_Alargados!$G98-Parametros_Alargados!$F98)*100)),MIN(100,MAX(0,(Parametros_Alargados!$G98-Base_Alargada!V97)/(Parametros_Alargados!$G98-Parametros_Alargados!$F98)*100))))</f>
        <v/>
      </c>
      <c r="H94" s="115">
        <f>IF(Base_Alargada!W97="","",IF(Parametros_Alargados!$D98="+",MIN(100,MAX(0,(Base_Alargada!W97-Parametros_Alargados!$F98)/(Parametros_Alargados!$G98-Parametros_Alargados!$F98)*100)),MIN(100,MAX(0,(Parametros_Alargados!$G98-Base_Alargada!W97)/(Parametros_Alargados!$G98-Parametros_Alargados!$F98)*100))))</f>
        <v/>
      </c>
      <c r="I94" s="115">
        <f>IF(Base_Alargada!X97="","",IF(Parametros_Alargados!$D98="+",MIN(100,MAX(0,(Base_Alargada!X97-Parametros_Alargados!$F98)/(Parametros_Alargados!$G98-Parametros_Alargados!$F98)*100)),MIN(100,MAX(0,(Parametros_Alargados!$G98-Base_Alargada!X97)/(Parametros_Alargados!$G98-Parametros_Alargados!$F98)*100))))</f>
        <v/>
      </c>
      <c r="J94" s="115">
        <f>IF(Base_Alargada!Y97="","",IF(Parametros_Alargados!$D98="+",MIN(100,MAX(0,(Base_Alargada!Y97-Parametros_Alargados!$F98)/(Parametros_Alargados!$G98-Parametros_Alargados!$F98)*100)),MIN(100,MAX(0,(Parametros_Alargados!$G98-Base_Alargada!Y97)/(Parametros_Alargados!$G98-Parametros_Alargados!$F98)*100))))</f>
        <v/>
      </c>
      <c r="K94" s="115">
        <f>IF(Base_Alargada!Z97="","",IF(Parametros_Alargados!$D98="+",MIN(100,MAX(0,(Base_Alargada!Z97-Parametros_Alargados!$F98)/(Parametros_Alargados!$G98-Parametros_Alargados!$F98)*100)),MIN(100,MAX(0,(Parametros_Alargados!$G98-Base_Alargada!Z97)/(Parametros_Alargados!$G98-Parametros_Alargados!$F98)*100))))</f>
        <v/>
      </c>
      <c r="L94" s="115">
        <f>IF(Base_Alargada!AA97="","",IF(Parametros_Alargados!$D98="+",MIN(100,MAX(0,(Base_Alargada!AA97-Parametros_Alargados!$F98)/(Parametros_Alargados!$G98-Parametros_Alargados!$F98)*100)),MIN(100,MAX(0,(Parametros_Alargados!$G98-Base_Alargada!AA97)/(Parametros_Alargados!$G98-Parametros_Alargados!$F98)*100))))</f>
        <v/>
      </c>
      <c r="M94" s="115">
        <f>IF(Base_Alargada!AB97="","",IF(Parametros_Alargados!$D98="+",MIN(100,MAX(0,(Base_Alargada!AB97-Parametros_Alargados!$F98)/(Parametros_Alargados!$G98-Parametros_Alargados!$F98)*100)),MIN(100,MAX(0,(Parametros_Alargados!$G98-Base_Alargada!AB97)/(Parametros_Alargados!$G98-Parametros_Alargados!$F98)*100))))</f>
        <v/>
      </c>
    </row>
    <row r="95">
      <c r="A95" t="inlineStr">
        <is>
          <t>7. Segurança Alimentar e Saúde</t>
        </is>
      </c>
      <c r="B95" t="inlineStr">
        <is>
          <t>Mortalidade Materna (por 100k)</t>
        </is>
      </c>
      <c r="C95" s="115">
        <f>IF(Base_Alargada!R98="","",IF(Parametros_Alargados!$D99="+",MIN(100,MAX(0,(Base_Alargada!R98-Parametros_Alargados!$F99)/(Parametros_Alargados!$G99-Parametros_Alargados!$F99)*100)),MIN(100,MAX(0,(Parametros_Alargados!$G99-Base_Alargada!R98)/(Parametros_Alargados!$G99-Parametros_Alargados!$F99)*100))))</f>
        <v/>
      </c>
      <c r="D95" s="115">
        <f>IF(Base_Alargada!S98="","",IF(Parametros_Alargados!$D99="+",MIN(100,MAX(0,(Base_Alargada!S98-Parametros_Alargados!$F99)/(Parametros_Alargados!$G99-Parametros_Alargados!$F99)*100)),MIN(100,MAX(0,(Parametros_Alargados!$G99-Base_Alargada!S98)/(Parametros_Alargados!$G99-Parametros_Alargados!$F99)*100))))</f>
        <v/>
      </c>
      <c r="E95" s="115">
        <f>IF(Base_Alargada!T98="","",IF(Parametros_Alargados!$D99="+",MIN(100,MAX(0,(Base_Alargada!T98-Parametros_Alargados!$F99)/(Parametros_Alargados!$G99-Parametros_Alargados!$F99)*100)),MIN(100,MAX(0,(Parametros_Alargados!$G99-Base_Alargada!T98)/(Parametros_Alargados!$G99-Parametros_Alargados!$F99)*100))))</f>
        <v/>
      </c>
      <c r="F95" s="115">
        <f>IF(Base_Alargada!U98="","",IF(Parametros_Alargados!$D99="+",MIN(100,MAX(0,(Base_Alargada!U98-Parametros_Alargados!$F99)/(Parametros_Alargados!$G99-Parametros_Alargados!$F99)*100)),MIN(100,MAX(0,(Parametros_Alargados!$G99-Base_Alargada!U98)/(Parametros_Alargados!$G99-Parametros_Alargados!$F99)*100))))</f>
        <v/>
      </c>
      <c r="G95" s="115">
        <f>IF(Base_Alargada!V98="","",IF(Parametros_Alargados!$D99="+",MIN(100,MAX(0,(Base_Alargada!V98-Parametros_Alargados!$F99)/(Parametros_Alargados!$G99-Parametros_Alargados!$F99)*100)),MIN(100,MAX(0,(Parametros_Alargados!$G99-Base_Alargada!V98)/(Parametros_Alargados!$G99-Parametros_Alargados!$F99)*100))))</f>
        <v/>
      </c>
      <c r="H95" s="115">
        <f>IF(Base_Alargada!W98="","",IF(Parametros_Alargados!$D99="+",MIN(100,MAX(0,(Base_Alargada!W98-Parametros_Alargados!$F99)/(Parametros_Alargados!$G99-Parametros_Alargados!$F99)*100)),MIN(100,MAX(0,(Parametros_Alargados!$G99-Base_Alargada!W98)/(Parametros_Alargados!$G99-Parametros_Alargados!$F99)*100))))</f>
        <v/>
      </c>
      <c r="I95" s="115">
        <f>IF(Base_Alargada!X98="","",IF(Parametros_Alargados!$D99="+",MIN(100,MAX(0,(Base_Alargada!X98-Parametros_Alargados!$F99)/(Parametros_Alargados!$G99-Parametros_Alargados!$F99)*100)),MIN(100,MAX(0,(Parametros_Alargados!$G99-Base_Alargada!X98)/(Parametros_Alargados!$G99-Parametros_Alargados!$F99)*100))))</f>
        <v/>
      </c>
      <c r="J95" s="115">
        <f>IF(Base_Alargada!Y98="","",IF(Parametros_Alargados!$D99="+",MIN(100,MAX(0,(Base_Alargada!Y98-Parametros_Alargados!$F99)/(Parametros_Alargados!$G99-Parametros_Alargados!$F99)*100)),MIN(100,MAX(0,(Parametros_Alargados!$G99-Base_Alargada!Y98)/(Parametros_Alargados!$G99-Parametros_Alargados!$F99)*100))))</f>
        <v/>
      </c>
      <c r="K95" s="115">
        <f>IF(Base_Alargada!Z98="","",IF(Parametros_Alargados!$D99="+",MIN(100,MAX(0,(Base_Alargada!Z98-Parametros_Alargados!$F99)/(Parametros_Alargados!$G99-Parametros_Alargados!$F99)*100)),MIN(100,MAX(0,(Parametros_Alargados!$G99-Base_Alargada!Z98)/(Parametros_Alargados!$G99-Parametros_Alargados!$F99)*100))))</f>
        <v/>
      </c>
      <c r="L95" s="115">
        <f>IF(Base_Alargada!AA98="","",IF(Parametros_Alargados!$D99="+",MIN(100,MAX(0,(Base_Alargada!AA98-Parametros_Alargados!$F99)/(Parametros_Alargados!$G99-Parametros_Alargados!$F99)*100)),MIN(100,MAX(0,(Parametros_Alargados!$G99-Base_Alargada!AA98)/(Parametros_Alargados!$G99-Parametros_Alargados!$F99)*100))))</f>
        <v/>
      </c>
      <c r="M95" s="115">
        <f>IF(Base_Alargada!AB98="","",IF(Parametros_Alargados!$D99="+",MIN(100,MAX(0,(Base_Alargada!AB98-Parametros_Alargados!$F99)/(Parametros_Alargados!$G99-Parametros_Alargados!$F99)*100)),MIN(100,MAX(0,(Parametros_Alargados!$G99-Base_Alargada!AB98)/(Parametros_Alargados!$G99-Parametros_Alargados!$F99)*100))))</f>
        <v/>
      </c>
    </row>
    <row r="96">
      <c r="A96" t="inlineStr">
        <is>
          <t>7. Segurança Alimentar e Saúde</t>
        </is>
      </c>
      <c r="B96" t="inlineStr">
        <is>
          <t>Despesas Saúde (% PIB)</t>
        </is>
      </c>
      <c r="C96" s="115">
        <f>IF(Base_Alargada!R99="","",IF(Parametros_Alargados!$D100="+",MIN(100,MAX(0,(Base_Alargada!R99-Parametros_Alargados!$F100)/(Parametros_Alargados!$G100-Parametros_Alargados!$F100)*100)),MIN(100,MAX(0,(Parametros_Alargados!$G100-Base_Alargada!R99)/(Parametros_Alargados!$G100-Parametros_Alargados!$F100)*100))))</f>
        <v/>
      </c>
      <c r="D96" s="115">
        <f>IF(Base_Alargada!S99="","",IF(Parametros_Alargados!$D100="+",MIN(100,MAX(0,(Base_Alargada!S99-Parametros_Alargados!$F100)/(Parametros_Alargados!$G100-Parametros_Alargados!$F100)*100)),MIN(100,MAX(0,(Parametros_Alargados!$G100-Base_Alargada!S99)/(Parametros_Alargados!$G100-Parametros_Alargados!$F100)*100))))</f>
        <v/>
      </c>
      <c r="E96" s="115">
        <f>IF(Base_Alargada!T99="","",IF(Parametros_Alargados!$D100="+",MIN(100,MAX(0,(Base_Alargada!T99-Parametros_Alargados!$F100)/(Parametros_Alargados!$G100-Parametros_Alargados!$F100)*100)),MIN(100,MAX(0,(Parametros_Alargados!$G100-Base_Alargada!T99)/(Parametros_Alargados!$G100-Parametros_Alargados!$F100)*100))))</f>
        <v/>
      </c>
      <c r="F96" s="115">
        <f>IF(Base_Alargada!U99="","",IF(Parametros_Alargados!$D100="+",MIN(100,MAX(0,(Base_Alargada!U99-Parametros_Alargados!$F100)/(Parametros_Alargados!$G100-Parametros_Alargados!$F100)*100)),MIN(100,MAX(0,(Parametros_Alargados!$G100-Base_Alargada!U99)/(Parametros_Alargados!$G100-Parametros_Alargados!$F100)*100))))</f>
        <v/>
      </c>
      <c r="G96" s="115">
        <f>IF(Base_Alargada!V99="","",IF(Parametros_Alargados!$D100="+",MIN(100,MAX(0,(Base_Alargada!V99-Parametros_Alargados!$F100)/(Parametros_Alargados!$G100-Parametros_Alargados!$F100)*100)),MIN(100,MAX(0,(Parametros_Alargados!$G100-Base_Alargada!V99)/(Parametros_Alargados!$G100-Parametros_Alargados!$F100)*100))))</f>
        <v/>
      </c>
      <c r="H96" s="115">
        <f>IF(Base_Alargada!W99="","",IF(Parametros_Alargados!$D100="+",MIN(100,MAX(0,(Base_Alargada!W99-Parametros_Alargados!$F100)/(Parametros_Alargados!$G100-Parametros_Alargados!$F100)*100)),MIN(100,MAX(0,(Parametros_Alargados!$G100-Base_Alargada!W99)/(Parametros_Alargados!$G100-Parametros_Alargados!$F100)*100))))</f>
        <v/>
      </c>
      <c r="I96" s="115">
        <f>IF(Base_Alargada!X99="","",IF(Parametros_Alargados!$D100="+",MIN(100,MAX(0,(Base_Alargada!X99-Parametros_Alargados!$F100)/(Parametros_Alargados!$G100-Parametros_Alargados!$F100)*100)),MIN(100,MAX(0,(Parametros_Alargados!$G100-Base_Alargada!X99)/(Parametros_Alargados!$G100-Parametros_Alargados!$F100)*100))))</f>
        <v/>
      </c>
      <c r="J96" s="115">
        <f>IF(Base_Alargada!Y99="","",IF(Parametros_Alargados!$D100="+",MIN(100,MAX(0,(Base_Alargada!Y99-Parametros_Alargados!$F100)/(Parametros_Alargados!$G100-Parametros_Alargados!$F100)*100)),MIN(100,MAX(0,(Parametros_Alargados!$G100-Base_Alargada!Y99)/(Parametros_Alargados!$G100-Parametros_Alargados!$F100)*100))))</f>
        <v/>
      </c>
      <c r="K96" s="115">
        <f>IF(Base_Alargada!Z99="","",IF(Parametros_Alargados!$D100="+",MIN(100,MAX(0,(Base_Alargada!Z99-Parametros_Alargados!$F100)/(Parametros_Alargados!$G100-Parametros_Alargados!$F100)*100)),MIN(100,MAX(0,(Parametros_Alargados!$G100-Base_Alargada!Z99)/(Parametros_Alargados!$G100-Parametros_Alargados!$F100)*100))))</f>
        <v/>
      </c>
      <c r="L96" s="115">
        <f>IF(Base_Alargada!AA99="","",IF(Parametros_Alargados!$D100="+",MIN(100,MAX(0,(Base_Alargada!AA99-Parametros_Alargados!$F100)/(Parametros_Alargados!$G100-Parametros_Alargados!$F100)*100)),MIN(100,MAX(0,(Parametros_Alargados!$G100-Base_Alargada!AA99)/(Parametros_Alargados!$G100-Parametros_Alargados!$F100)*100))))</f>
        <v/>
      </c>
      <c r="M96" s="115">
        <f>IF(Base_Alargada!AB99="","",IF(Parametros_Alargados!$D100="+",MIN(100,MAX(0,(Base_Alargada!AB99-Parametros_Alargados!$F100)/(Parametros_Alargados!$G100-Parametros_Alargados!$F100)*100)),MIN(100,MAX(0,(Parametros_Alargados!$G100-Base_Alargada!AB99)/(Parametros_Alargados!$G100-Parametros_Alargados!$F100)*100))))</f>
        <v/>
      </c>
    </row>
    <row r="97">
      <c r="A97" t="inlineStr">
        <is>
          <t>7. Segurança Alimentar e Saúde</t>
        </is>
      </c>
      <c r="B97" t="inlineStr">
        <is>
          <t>Camas Hospitalares (por 1000)</t>
        </is>
      </c>
      <c r="C97" s="115">
        <f>IF(Base_Alargada!R100="","",IF(Parametros_Alargados!$D101="+",MIN(100,MAX(0,(Base_Alargada!R100-Parametros_Alargados!$F101)/(Parametros_Alargados!$G101-Parametros_Alargados!$F101)*100)),MIN(100,MAX(0,(Parametros_Alargados!$G101-Base_Alargada!R100)/(Parametros_Alargados!$G101-Parametros_Alargados!$F101)*100))))</f>
        <v/>
      </c>
      <c r="D97" s="115">
        <f>IF(Base_Alargada!S100="","",IF(Parametros_Alargados!$D101="+",MIN(100,MAX(0,(Base_Alargada!S100-Parametros_Alargados!$F101)/(Parametros_Alargados!$G101-Parametros_Alargados!$F101)*100)),MIN(100,MAX(0,(Parametros_Alargados!$G101-Base_Alargada!S100)/(Parametros_Alargados!$G101-Parametros_Alargados!$F101)*100))))</f>
        <v/>
      </c>
      <c r="E97" s="115">
        <f>IF(Base_Alargada!T100="","",IF(Parametros_Alargados!$D101="+",MIN(100,MAX(0,(Base_Alargada!T100-Parametros_Alargados!$F101)/(Parametros_Alargados!$G101-Parametros_Alargados!$F101)*100)),MIN(100,MAX(0,(Parametros_Alargados!$G101-Base_Alargada!T100)/(Parametros_Alargados!$G101-Parametros_Alargados!$F101)*100))))</f>
        <v/>
      </c>
      <c r="F97" s="115">
        <f>IF(Base_Alargada!U100="","",IF(Parametros_Alargados!$D101="+",MIN(100,MAX(0,(Base_Alargada!U100-Parametros_Alargados!$F101)/(Parametros_Alargados!$G101-Parametros_Alargados!$F101)*100)),MIN(100,MAX(0,(Parametros_Alargados!$G101-Base_Alargada!U100)/(Parametros_Alargados!$G101-Parametros_Alargados!$F101)*100))))</f>
        <v/>
      </c>
      <c r="G97" s="115">
        <f>IF(Base_Alargada!V100="","",IF(Parametros_Alargados!$D101="+",MIN(100,MAX(0,(Base_Alargada!V100-Parametros_Alargados!$F101)/(Parametros_Alargados!$G101-Parametros_Alargados!$F101)*100)),MIN(100,MAX(0,(Parametros_Alargados!$G101-Base_Alargada!V100)/(Parametros_Alargados!$G101-Parametros_Alargados!$F101)*100))))</f>
        <v/>
      </c>
      <c r="H97" s="115">
        <f>IF(Base_Alargada!W100="","",IF(Parametros_Alargados!$D101="+",MIN(100,MAX(0,(Base_Alargada!W100-Parametros_Alargados!$F101)/(Parametros_Alargados!$G101-Parametros_Alargados!$F101)*100)),MIN(100,MAX(0,(Parametros_Alargados!$G101-Base_Alargada!W100)/(Parametros_Alargados!$G101-Parametros_Alargados!$F101)*100))))</f>
        <v/>
      </c>
      <c r="I97" s="115">
        <f>IF(Base_Alargada!X100="","",IF(Parametros_Alargados!$D101="+",MIN(100,MAX(0,(Base_Alargada!X100-Parametros_Alargados!$F101)/(Parametros_Alargados!$G101-Parametros_Alargados!$F101)*100)),MIN(100,MAX(0,(Parametros_Alargados!$G101-Base_Alargada!X100)/(Parametros_Alargados!$G101-Parametros_Alargados!$F101)*100))))</f>
        <v/>
      </c>
      <c r="J97" s="115">
        <f>IF(Base_Alargada!Y100="","",IF(Parametros_Alargados!$D101="+",MIN(100,MAX(0,(Base_Alargada!Y100-Parametros_Alargados!$F101)/(Parametros_Alargados!$G101-Parametros_Alargados!$F101)*100)),MIN(100,MAX(0,(Parametros_Alargados!$G101-Base_Alargada!Y100)/(Parametros_Alargados!$G101-Parametros_Alargados!$F101)*100))))</f>
        <v/>
      </c>
      <c r="K97" s="115">
        <f>IF(Base_Alargada!Z100="","",IF(Parametros_Alargados!$D101="+",MIN(100,MAX(0,(Base_Alargada!Z100-Parametros_Alargados!$F101)/(Parametros_Alargados!$G101-Parametros_Alargados!$F101)*100)),MIN(100,MAX(0,(Parametros_Alargados!$G101-Base_Alargada!Z100)/(Parametros_Alargados!$G101-Parametros_Alargados!$F101)*100))))</f>
        <v/>
      </c>
      <c r="L97" s="115">
        <f>IF(Base_Alargada!AA100="","",IF(Parametros_Alargados!$D101="+",MIN(100,MAX(0,(Base_Alargada!AA100-Parametros_Alargados!$F101)/(Parametros_Alargados!$G101-Parametros_Alargados!$F101)*100)),MIN(100,MAX(0,(Parametros_Alargados!$G101-Base_Alargada!AA100)/(Parametros_Alargados!$G101-Parametros_Alargados!$F101)*100))))</f>
        <v/>
      </c>
      <c r="M97" s="115">
        <f>IF(Base_Alargada!AB100="","",IF(Parametros_Alargados!$D101="+",MIN(100,MAX(0,(Base_Alargada!AB100-Parametros_Alargados!$F101)/(Parametros_Alargados!$G101-Parametros_Alargados!$F101)*100)),MIN(100,MAX(0,(Parametros_Alargados!$G101-Base_Alargada!AB100)/(Parametros_Alargados!$G101-Parametros_Alargados!$F101)*100))))</f>
        <v/>
      </c>
    </row>
    <row r="98">
      <c r="A98" t="inlineStr">
        <is>
          <t>7. Segurança Alimentar e Saúde</t>
        </is>
      </c>
      <c r="B98" t="inlineStr">
        <is>
          <t>Cobertura Vacinal (%)</t>
        </is>
      </c>
      <c r="C98" s="115">
        <f>IF(Base_Alargada!R101="","",IF(Parametros_Alargados!$D102="+",MIN(100,MAX(0,(Base_Alargada!R101-Parametros_Alargados!$F102)/(Parametros_Alargados!$G102-Parametros_Alargados!$F102)*100)),MIN(100,MAX(0,(Parametros_Alargados!$G102-Base_Alargada!R101)/(Parametros_Alargados!$G102-Parametros_Alargados!$F102)*100))))</f>
        <v/>
      </c>
      <c r="D98" s="115">
        <f>IF(Base_Alargada!S101="","",IF(Parametros_Alargados!$D102="+",MIN(100,MAX(0,(Base_Alargada!S101-Parametros_Alargados!$F102)/(Parametros_Alargados!$G102-Parametros_Alargados!$F102)*100)),MIN(100,MAX(0,(Parametros_Alargados!$G102-Base_Alargada!S101)/(Parametros_Alargados!$G102-Parametros_Alargados!$F102)*100))))</f>
        <v/>
      </c>
      <c r="E98" s="115">
        <f>IF(Base_Alargada!T101="","",IF(Parametros_Alargados!$D102="+",MIN(100,MAX(0,(Base_Alargada!T101-Parametros_Alargados!$F102)/(Parametros_Alargados!$G102-Parametros_Alargados!$F102)*100)),MIN(100,MAX(0,(Parametros_Alargados!$G102-Base_Alargada!T101)/(Parametros_Alargados!$G102-Parametros_Alargados!$F102)*100))))</f>
        <v/>
      </c>
      <c r="F98" s="115">
        <f>IF(Base_Alargada!U101="","",IF(Parametros_Alargados!$D102="+",MIN(100,MAX(0,(Base_Alargada!U101-Parametros_Alargados!$F102)/(Parametros_Alargados!$G102-Parametros_Alargados!$F102)*100)),MIN(100,MAX(0,(Parametros_Alargados!$G102-Base_Alargada!U101)/(Parametros_Alargados!$G102-Parametros_Alargados!$F102)*100))))</f>
        <v/>
      </c>
      <c r="G98" s="115">
        <f>IF(Base_Alargada!V101="","",IF(Parametros_Alargados!$D102="+",MIN(100,MAX(0,(Base_Alargada!V101-Parametros_Alargados!$F102)/(Parametros_Alargados!$G102-Parametros_Alargados!$F102)*100)),MIN(100,MAX(0,(Parametros_Alargados!$G102-Base_Alargada!V101)/(Parametros_Alargados!$G102-Parametros_Alargados!$F102)*100))))</f>
        <v/>
      </c>
      <c r="H98" s="115">
        <f>IF(Base_Alargada!W101="","",IF(Parametros_Alargados!$D102="+",MIN(100,MAX(0,(Base_Alargada!W101-Parametros_Alargados!$F102)/(Parametros_Alargados!$G102-Parametros_Alargados!$F102)*100)),MIN(100,MAX(0,(Parametros_Alargados!$G102-Base_Alargada!W101)/(Parametros_Alargados!$G102-Parametros_Alargados!$F102)*100))))</f>
        <v/>
      </c>
      <c r="I98" s="115">
        <f>IF(Base_Alargada!X101="","",IF(Parametros_Alargados!$D102="+",MIN(100,MAX(0,(Base_Alargada!X101-Parametros_Alargados!$F102)/(Parametros_Alargados!$G102-Parametros_Alargados!$F102)*100)),MIN(100,MAX(0,(Parametros_Alargados!$G102-Base_Alargada!X101)/(Parametros_Alargados!$G102-Parametros_Alargados!$F102)*100))))</f>
        <v/>
      </c>
      <c r="J98" s="115">
        <f>IF(Base_Alargada!Y101="","",IF(Parametros_Alargados!$D102="+",MIN(100,MAX(0,(Base_Alargada!Y101-Parametros_Alargados!$F102)/(Parametros_Alargados!$G102-Parametros_Alargados!$F102)*100)),MIN(100,MAX(0,(Parametros_Alargados!$G102-Base_Alargada!Y101)/(Parametros_Alargados!$G102-Parametros_Alargados!$F102)*100))))</f>
        <v/>
      </c>
      <c r="K98" s="115">
        <f>IF(Base_Alargada!Z101="","",IF(Parametros_Alargados!$D102="+",MIN(100,MAX(0,(Base_Alargada!Z101-Parametros_Alargados!$F102)/(Parametros_Alargados!$G102-Parametros_Alargados!$F102)*100)),MIN(100,MAX(0,(Parametros_Alargados!$G102-Base_Alargada!Z101)/(Parametros_Alargados!$G102-Parametros_Alargados!$F102)*100))))</f>
        <v/>
      </c>
      <c r="L98" s="115">
        <f>IF(Base_Alargada!AA101="","",IF(Parametros_Alargados!$D102="+",MIN(100,MAX(0,(Base_Alargada!AA101-Parametros_Alargados!$F102)/(Parametros_Alargados!$G102-Parametros_Alargados!$F102)*100)),MIN(100,MAX(0,(Parametros_Alargados!$G102-Base_Alargada!AA101)/(Parametros_Alargados!$G102-Parametros_Alargados!$F102)*100))))</f>
        <v/>
      </c>
      <c r="M98" s="115">
        <f>IF(Base_Alargada!AB101="","",IF(Parametros_Alargados!$D102="+",MIN(100,MAX(0,(Base_Alargada!AB101-Parametros_Alargados!$F102)/(Parametros_Alargados!$G102-Parametros_Alargados!$F102)*100)),MIN(100,MAX(0,(Parametros_Alargados!$G102-Base_Alargada!AB101)/(Parametros_Alargados!$G102-Parametros_Alargados!$F102)*100))))</f>
        <v/>
      </c>
    </row>
    <row r="99">
      <c r="A99" t="inlineStr">
        <is>
          <t>7. Segurança Alimentar e Saúde</t>
        </is>
      </c>
      <c r="B99" t="inlineStr">
        <is>
          <t>Insegurança alimentar moderada ou severa</t>
        </is>
      </c>
      <c r="C99" s="115">
        <f>IF(Base_Alargada!R102="","",IF(Parametros_Alargados!$D103="+",MIN(100,MAX(0,(Base_Alargada!R102-Parametros_Alargados!$F103)/(Parametros_Alargados!$G103-Parametros_Alargados!$F103)*100)),MIN(100,MAX(0,(Parametros_Alargados!$G103-Base_Alargada!R102)/(Parametros_Alargados!$G103-Parametros_Alargados!$F103)*100))))</f>
        <v/>
      </c>
      <c r="D99" s="115">
        <f>IF(Base_Alargada!S102="","",IF(Parametros_Alargados!$D103="+",MIN(100,MAX(0,(Base_Alargada!S102-Parametros_Alargados!$F103)/(Parametros_Alargados!$G103-Parametros_Alargados!$F103)*100)),MIN(100,MAX(0,(Parametros_Alargados!$G103-Base_Alargada!S102)/(Parametros_Alargados!$G103-Parametros_Alargados!$F103)*100))))</f>
        <v/>
      </c>
      <c r="E99" s="115">
        <f>IF(Base_Alargada!T102="","",IF(Parametros_Alargados!$D103="+",MIN(100,MAX(0,(Base_Alargada!T102-Parametros_Alargados!$F103)/(Parametros_Alargados!$G103-Parametros_Alargados!$F103)*100)),MIN(100,MAX(0,(Parametros_Alargados!$G103-Base_Alargada!T102)/(Parametros_Alargados!$G103-Parametros_Alargados!$F103)*100))))</f>
        <v/>
      </c>
      <c r="F99" s="115">
        <f>IF(Base_Alargada!U102="","",IF(Parametros_Alargados!$D103="+",MIN(100,MAX(0,(Base_Alargada!U102-Parametros_Alargados!$F103)/(Parametros_Alargados!$G103-Parametros_Alargados!$F103)*100)),MIN(100,MAX(0,(Parametros_Alargados!$G103-Base_Alargada!U102)/(Parametros_Alargados!$G103-Parametros_Alargados!$F103)*100))))</f>
        <v/>
      </c>
      <c r="G99" s="115">
        <f>IF(Base_Alargada!V102="","",IF(Parametros_Alargados!$D103="+",MIN(100,MAX(0,(Base_Alargada!V102-Parametros_Alargados!$F103)/(Parametros_Alargados!$G103-Parametros_Alargados!$F103)*100)),MIN(100,MAX(0,(Parametros_Alargados!$G103-Base_Alargada!V102)/(Parametros_Alargados!$G103-Parametros_Alargados!$F103)*100))))</f>
        <v/>
      </c>
      <c r="H99" s="115">
        <f>IF(Base_Alargada!W102="","",IF(Parametros_Alargados!$D103="+",MIN(100,MAX(0,(Base_Alargada!W102-Parametros_Alargados!$F103)/(Parametros_Alargados!$G103-Parametros_Alargados!$F103)*100)),MIN(100,MAX(0,(Parametros_Alargados!$G103-Base_Alargada!W102)/(Parametros_Alargados!$G103-Parametros_Alargados!$F103)*100))))</f>
        <v/>
      </c>
      <c r="I99" s="115">
        <f>IF(Base_Alargada!X102="","",IF(Parametros_Alargados!$D103="+",MIN(100,MAX(0,(Base_Alargada!X102-Parametros_Alargados!$F103)/(Parametros_Alargados!$G103-Parametros_Alargados!$F103)*100)),MIN(100,MAX(0,(Parametros_Alargados!$G103-Base_Alargada!X102)/(Parametros_Alargados!$G103-Parametros_Alargados!$F103)*100))))</f>
        <v/>
      </c>
      <c r="J99" s="115">
        <f>IF(Base_Alargada!Y102="","",IF(Parametros_Alargados!$D103="+",MIN(100,MAX(0,(Base_Alargada!Y102-Parametros_Alargados!$F103)/(Parametros_Alargados!$G103-Parametros_Alargados!$F103)*100)),MIN(100,MAX(0,(Parametros_Alargados!$G103-Base_Alargada!Y102)/(Parametros_Alargados!$G103-Parametros_Alargados!$F103)*100))))</f>
        <v/>
      </c>
      <c r="K99" s="115">
        <f>IF(Base_Alargada!Z102="","",IF(Parametros_Alargados!$D103="+",MIN(100,MAX(0,(Base_Alargada!Z102-Parametros_Alargados!$F103)/(Parametros_Alargados!$G103-Parametros_Alargados!$F103)*100)),MIN(100,MAX(0,(Parametros_Alargados!$G103-Base_Alargada!Z102)/(Parametros_Alargados!$G103-Parametros_Alargados!$F103)*100))))</f>
        <v/>
      </c>
      <c r="L99" s="115">
        <f>IF(Base_Alargada!AA102="","",IF(Parametros_Alargados!$D103="+",MIN(100,MAX(0,(Base_Alargada!AA102-Parametros_Alargados!$F103)/(Parametros_Alargados!$G103-Parametros_Alargados!$F103)*100)),MIN(100,MAX(0,(Parametros_Alargados!$G103-Base_Alargada!AA102)/(Parametros_Alargados!$G103-Parametros_Alargados!$F103)*100))))</f>
        <v/>
      </c>
      <c r="M99" s="115">
        <f>IF(Base_Alargada!AB102="","",IF(Parametros_Alargados!$D103="+",MIN(100,MAX(0,(Base_Alargada!AB102-Parametros_Alargados!$F103)/(Parametros_Alargados!$G103-Parametros_Alargados!$F103)*100)),MIN(100,MAX(0,(Parametros_Alargados!$G103-Base_Alargada!AB102)/(Parametros_Alargados!$G103-Parametros_Alargados!$F103)*100))))</f>
        <v/>
      </c>
    </row>
    <row r="100">
      <c r="A100" t="inlineStr">
        <is>
          <t>7. Segurança Alimentar e Saúde</t>
        </is>
      </c>
      <c r="B100" t="inlineStr">
        <is>
          <t>Prevalência de subalimentação</t>
        </is>
      </c>
      <c r="C100" s="115">
        <f>IF(Base_Alargada!R103="","",IF(Parametros_Alargados!$D104="+",MIN(100,MAX(0,(Base_Alargada!R103-Parametros_Alargados!$F104)/(Parametros_Alargados!$G104-Parametros_Alargados!$F104)*100)),MIN(100,MAX(0,(Parametros_Alargados!$G104-Base_Alargada!R103)/(Parametros_Alargados!$G104-Parametros_Alargados!$F104)*100))))</f>
        <v/>
      </c>
      <c r="D100" s="115">
        <f>IF(Base_Alargada!S103="","",IF(Parametros_Alargados!$D104="+",MIN(100,MAX(0,(Base_Alargada!S103-Parametros_Alargados!$F104)/(Parametros_Alargados!$G104-Parametros_Alargados!$F104)*100)),MIN(100,MAX(0,(Parametros_Alargados!$G104-Base_Alargada!S103)/(Parametros_Alargados!$G104-Parametros_Alargados!$F104)*100))))</f>
        <v/>
      </c>
      <c r="E100" s="115">
        <f>IF(Base_Alargada!T103="","",IF(Parametros_Alargados!$D104="+",MIN(100,MAX(0,(Base_Alargada!T103-Parametros_Alargados!$F104)/(Parametros_Alargados!$G104-Parametros_Alargados!$F104)*100)),MIN(100,MAX(0,(Parametros_Alargados!$G104-Base_Alargada!T103)/(Parametros_Alargados!$G104-Parametros_Alargados!$F104)*100))))</f>
        <v/>
      </c>
      <c r="F100" s="115">
        <f>IF(Base_Alargada!U103="","",IF(Parametros_Alargados!$D104="+",MIN(100,MAX(0,(Base_Alargada!U103-Parametros_Alargados!$F104)/(Parametros_Alargados!$G104-Parametros_Alargados!$F104)*100)),MIN(100,MAX(0,(Parametros_Alargados!$G104-Base_Alargada!U103)/(Parametros_Alargados!$G104-Parametros_Alargados!$F104)*100))))</f>
        <v/>
      </c>
      <c r="G100" s="115">
        <f>IF(Base_Alargada!V103="","",IF(Parametros_Alargados!$D104="+",MIN(100,MAX(0,(Base_Alargada!V103-Parametros_Alargados!$F104)/(Parametros_Alargados!$G104-Parametros_Alargados!$F104)*100)),MIN(100,MAX(0,(Parametros_Alargados!$G104-Base_Alargada!V103)/(Parametros_Alargados!$G104-Parametros_Alargados!$F104)*100))))</f>
        <v/>
      </c>
      <c r="H100" s="115">
        <f>IF(Base_Alargada!W103="","",IF(Parametros_Alargados!$D104="+",MIN(100,MAX(0,(Base_Alargada!W103-Parametros_Alargados!$F104)/(Parametros_Alargados!$G104-Parametros_Alargados!$F104)*100)),MIN(100,MAX(0,(Parametros_Alargados!$G104-Base_Alargada!W103)/(Parametros_Alargados!$G104-Parametros_Alargados!$F104)*100))))</f>
        <v/>
      </c>
      <c r="I100" s="115">
        <f>IF(Base_Alargada!X103="","",IF(Parametros_Alargados!$D104="+",MIN(100,MAX(0,(Base_Alargada!X103-Parametros_Alargados!$F104)/(Parametros_Alargados!$G104-Parametros_Alargados!$F104)*100)),MIN(100,MAX(0,(Parametros_Alargados!$G104-Base_Alargada!X103)/(Parametros_Alargados!$G104-Parametros_Alargados!$F104)*100))))</f>
        <v/>
      </c>
      <c r="J100" s="115">
        <f>IF(Base_Alargada!Y103="","",IF(Parametros_Alargados!$D104="+",MIN(100,MAX(0,(Base_Alargada!Y103-Parametros_Alargados!$F104)/(Parametros_Alargados!$G104-Parametros_Alargados!$F104)*100)),MIN(100,MAX(0,(Parametros_Alargados!$G104-Base_Alargada!Y103)/(Parametros_Alargados!$G104-Parametros_Alargados!$F104)*100))))</f>
        <v/>
      </c>
      <c r="K100" s="115">
        <f>IF(Base_Alargada!Z103="","",IF(Parametros_Alargados!$D104="+",MIN(100,MAX(0,(Base_Alargada!Z103-Parametros_Alargados!$F104)/(Parametros_Alargados!$G104-Parametros_Alargados!$F104)*100)),MIN(100,MAX(0,(Parametros_Alargados!$G104-Base_Alargada!Z103)/(Parametros_Alargados!$G104-Parametros_Alargados!$F104)*100))))</f>
        <v/>
      </c>
      <c r="L100" s="115">
        <f>IF(Base_Alargada!AA103="","",IF(Parametros_Alargados!$D104="+",MIN(100,MAX(0,(Base_Alargada!AA103-Parametros_Alargados!$F104)/(Parametros_Alargados!$G104-Parametros_Alargados!$F104)*100)),MIN(100,MAX(0,(Parametros_Alargados!$G104-Base_Alargada!AA103)/(Parametros_Alargados!$G104-Parametros_Alargados!$F104)*100))))</f>
        <v/>
      </c>
      <c r="M100" s="115">
        <f>IF(Base_Alargada!AB103="","",IF(Parametros_Alargados!$D104="+",MIN(100,MAX(0,(Base_Alargada!AB103-Parametros_Alargados!$F104)/(Parametros_Alargados!$G104-Parametros_Alargados!$F104)*100)),MIN(100,MAX(0,(Parametros_Alargados!$G104-Base_Alargada!AB103)/(Parametros_Alargados!$G104-Parametros_Alargados!$F104)*100))))</f>
        <v/>
      </c>
    </row>
    <row r="101">
      <c r="A101" t="inlineStr">
        <is>
          <t>7. Segurança Alimentar e Saúde</t>
        </is>
      </c>
      <c r="B101" t="inlineStr">
        <is>
          <t>Atraso de crescimento infantil</t>
        </is>
      </c>
      <c r="C101" s="115">
        <f>IF(Base_Alargada!R104="","",IF(Parametros_Alargados!$D105="+",MIN(100,MAX(0,(Base_Alargada!R104-Parametros_Alargados!$F105)/(Parametros_Alargados!$G105-Parametros_Alargados!$F105)*100)),MIN(100,MAX(0,(Parametros_Alargados!$G105-Base_Alargada!R104)/(Parametros_Alargados!$G105-Parametros_Alargados!$F105)*100))))</f>
        <v/>
      </c>
      <c r="D101" s="115">
        <f>IF(Base_Alargada!S104="","",IF(Parametros_Alargados!$D105="+",MIN(100,MAX(0,(Base_Alargada!S104-Parametros_Alargados!$F105)/(Parametros_Alargados!$G105-Parametros_Alargados!$F105)*100)),MIN(100,MAX(0,(Parametros_Alargados!$G105-Base_Alargada!S104)/(Parametros_Alargados!$G105-Parametros_Alargados!$F105)*100))))</f>
        <v/>
      </c>
      <c r="E101" s="115">
        <f>IF(Base_Alargada!T104="","",IF(Parametros_Alargados!$D105="+",MIN(100,MAX(0,(Base_Alargada!T104-Parametros_Alargados!$F105)/(Parametros_Alargados!$G105-Parametros_Alargados!$F105)*100)),MIN(100,MAX(0,(Parametros_Alargados!$G105-Base_Alargada!T104)/(Parametros_Alargados!$G105-Parametros_Alargados!$F105)*100))))</f>
        <v/>
      </c>
      <c r="F101" s="115">
        <f>IF(Base_Alargada!U104="","",IF(Parametros_Alargados!$D105="+",MIN(100,MAX(0,(Base_Alargada!U104-Parametros_Alargados!$F105)/(Parametros_Alargados!$G105-Parametros_Alargados!$F105)*100)),MIN(100,MAX(0,(Parametros_Alargados!$G105-Base_Alargada!U104)/(Parametros_Alargados!$G105-Parametros_Alargados!$F105)*100))))</f>
        <v/>
      </c>
      <c r="G101" s="115">
        <f>IF(Base_Alargada!V104="","",IF(Parametros_Alargados!$D105="+",MIN(100,MAX(0,(Base_Alargada!V104-Parametros_Alargados!$F105)/(Parametros_Alargados!$G105-Parametros_Alargados!$F105)*100)),MIN(100,MAX(0,(Parametros_Alargados!$G105-Base_Alargada!V104)/(Parametros_Alargados!$G105-Parametros_Alargados!$F105)*100))))</f>
        <v/>
      </c>
      <c r="H101" s="115">
        <f>IF(Base_Alargada!W104="","",IF(Parametros_Alargados!$D105="+",MIN(100,MAX(0,(Base_Alargada!W104-Parametros_Alargados!$F105)/(Parametros_Alargados!$G105-Parametros_Alargados!$F105)*100)),MIN(100,MAX(0,(Parametros_Alargados!$G105-Base_Alargada!W104)/(Parametros_Alargados!$G105-Parametros_Alargados!$F105)*100))))</f>
        <v/>
      </c>
      <c r="I101" s="115">
        <f>IF(Base_Alargada!X104="","",IF(Parametros_Alargados!$D105="+",MIN(100,MAX(0,(Base_Alargada!X104-Parametros_Alargados!$F105)/(Parametros_Alargados!$G105-Parametros_Alargados!$F105)*100)),MIN(100,MAX(0,(Parametros_Alargados!$G105-Base_Alargada!X104)/(Parametros_Alargados!$G105-Parametros_Alargados!$F105)*100))))</f>
        <v/>
      </c>
      <c r="J101" s="115">
        <f>IF(Base_Alargada!Y104="","",IF(Parametros_Alargados!$D105="+",MIN(100,MAX(0,(Base_Alargada!Y104-Parametros_Alargados!$F105)/(Parametros_Alargados!$G105-Parametros_Alargados!$F105)*100)),MIN(100,MAX(0,(Parametros_Alargados!$G105-Base_Alargada!Y104)/(Parametros_Alargados!$G105-Parametros_Alargados!$F105)*100))))</f>
        <v/>
      </c>
      <c r="K101" s="115">
        <f>IF(Base_Alargada!Z104="","",IF(Parametros_Alargados!$D105="+",MIN(100,MAX(0,(Base_Alargada!Z104-Parametros_Alargados!$F105)/(Parametros_Alargados!$G105-Parametros_Alargados!$F105)*100)),MIN(100,MAX(0,(Parametros_Alargados!$G105-Base_Alargada!Z104)/(Parametros_Alargados!$G105-Parametros_Alargados!$F105)*100))))</f>
        <v/>
      </c>
      <c r="L101" s="115">
        <f>IF(Base_Alargada!AA104="","",IF(Parametros_Alargados!$D105="+",MIN(100,MAX(0,(Base_Alargada!AA104-Parametros_Alargados!$F105)/(Parametros_Alargados!$G105-Parametros_Alargados!$F105)*100)),MIN(100,MAX(0,(Parametros_Alargados!$G105-Base_Alargada!AA104)/(Parametros_Alargados!$G105-Parametros_Alargados!$F105)*100))))</f>
        <v/>
      </c>
      <c r="M101" s="115">
        <f>IF(Base_Alargada!AB104="","",IF(Parametros_Alargados!$D105="+",MIN(100,MAX(0,(Base_Alargada!AB104-Parametros_Alargados!$F105)/(Parametros_Alargados!$G105-Parametros_Alargados!$F105)*100)),MIN(100,MAX(0,(Parametros_Alargados!$G105-Base_Alargada!AB104)/(Parametros_Alargados!$G105-Parametros_Alargados!$F105)*100))))</f>
        <v/>
      </c>
    </row>
    <row r="102">
      <c r="A102" t="inlineStr">
        <is>
          <t>7. Segurança Alimentar e Saúde</t>
        </is>
      </c>
      <c r="B102" t="inlineStr">
        <is>
          <t>Emaciação infantil</t>
        </is>
      </c>
      <c r="C102" s="115">
        <f>IF(Base_Alargada!R105="","",IF(Parametros_Alargados!$D106="+",MIN(100,MAX(0,(Base_Alargada!R105-Parametros_Alargados!$F106)/(Parametros_Alargados!$G106-Parametros_Alargados!$F106)*100)),MIN(100,MAX(0,(Parametros_Alargados!$G106-Base_Alargada!R105)/(Parametros_Alargados!$G106-Parametros_Alargados!$F106)*100))))</f>
        <v/>
      </c>
      <c r="D102" s="115">
        <f>IF(Base_Alargada!S105="","",IF(Parametros_Alargados!$D106="+",MIN(100,MAX(0,(Base_Alargada!S105-Parametros_Alargados!$F106)/(Parametros_Alargados!$G106-Parametros_Alargados!$F106)*100)),MIN(100,MAX(0,(Parametros_Alargados!$G106-Base_Alargada!S105)/(Parametros_Alargados!$G106-Parametros_Alargados!$F106)*100))))</f>
        <v/>
      </c>
      <c r="E102" s="115">
        <f>IF(Base_Alargada!T105="","",IF(Parametros_Alargados!$D106="+",MIN(100,MAX(0,(Base_Alargada!T105-Parametros_Alargados!$F106)/(Parametros_Alargados!$G106-Parametros_Alargados!$F106)*100)),MIN(100,MAX(0,(Parametros_Alargados!$G106-Base_Alargada!T105)/(Parametros_Alargados!$G106-Parametros_Alargados!$F106)*100))))</f>
        <v/>
      </c>
      <c r="F102" s="115">
        <f>IF(Base_Alargada!U105="","",IF(Parametros_Alargados!$D106="+",MIN(100,MAX(0,(Base_Alargada!U105-Parametros_Alargados!$F106)/(Parametros_Alargados!$G106-Parametros_Alargados!$F106)*100)),MIN(100,MAX(0,(Parametros_Alargados!$G106-Base_Alargada!U105)/(Parametros_Alargados!$G106-Parametros_Alargados!$F106)*100))))</f>
        <v/>
      </c>
      <c r="G102" s="115">
        <f>IF(Base_Alargada!V105="","",IF(Parametros_Alargados!$D106="+",MIN(100,MAX(0,(Base_Alargada!V105-Parametros_Alargados!$F106)/(Parametros_Alargados!$G106-Parametros_Alargados!$F106)*100)),MIN(100,MAX(0,(Parametros_Alargados!$G106-Base_Alargada!V105)/(Parametros_Alargados!$G106-Parametros_Alargados!$F106)*100))))</f>
        <v/>
      </c>
      <c r="H102" s="115">
        <f>IF(Base_Alargada!W105="","",IF(Parametros_Alargados!$D106="+",MIN(100,MAX(0,(Base_Alargada!W105-Parametros_Alargados!$F106)/(Parametros_Alargados!$G106-Parametros_Alargados!$F106)*100)),MIN(100,MAX(0,(Parametros_Alargados!$G106-Base_Alargada!W105)/(Parametros_Alargados!$G106-Parametros_Alargados!$F106)*100))))</f>
        <v/>
      </c>
      <c r="I102" s="115">
        <f>IF(Base_Alargada!X105="","",IF(Parametros_Alargados!$D106="+",MIN(100,MAX(0,(Base_Alargada!X105-Parametros_Alargados!$F106)/(Parametros_Alargados!$G106-Parametros_Alargados!$F106)*100)),MIN(100,MAX(0,(Parametros_Alargados!$G106-Base_Alargada!X105)/(Parametros_Alargados!$G106-Parametros_Alargados!$F106)*100))))</f>
        <v/>
      </c>
      <c r="J102" s="115">
        <f>IF(Base_Alargada!Y105="","",IF(Parametros_Alargados!$D106="+",MIN(100,MAX(0,(Base_Alargada!Y105-Parametros_Alargados!$F106)/(Parametros_Alargados!$G106-Parametros_Alargados!$F106)*100)),MIN(100,MAX(0,(Parametros_Alargados!$G106-Base_Alargada!Y105)/(Parametros_Alargados!$G106-Parametros_Alargados!$F106)*100))))</f>
        <v/>
      </c>
      <c r="K102" s="115">
        <f>IF(Base_Alargada!Z105="","",IF(Parametros_Alargados!$D106="+",MIN(100,MAX(0,(Base_Alargada!Z105-Parametros_Alargados!$F106)/(Parametros_Alargados!$G106-Parametros_Alargados!$F106)*100)),MIN(100,MAX(0,(Parametros_Alargados!$G106-Base_Alargada!Z105)/(Parametros_Alargados!$G106-Parametros_Alargados!$F106)*100))))</f>
        <v/>
      </c>
      <c r="L102" s="115">
        <f>IF(Base_Alargada!AA105="","",IF(Parametros_Alargados!$D106="+",MIN(100,MAX(0,(Base_Alargada!AA105-Parametros_Alargados!$F106)/(Parametros_Alargados!$G106-Parametros_Alargados!$F106)*100)),MIN(100,MAX(0,(Parametros_Alargados!$G106-Base_Alargada!AA105)/(Parametros_Alargados!$G106-Parametros_Alargados!$F106)*100))))</f>
        <v/>
      </c>
      <c r="M102" s="115">
        <f>IF(Base_Alargada!AB105="","",IF(Parametros_Alargados!$D106="+",MIN(100,MAX(0,(Base_Alargada!AB105-Parametros_Alargados!$F106)/(Parametros_Alargados!$G106-Parametros_Alargados!$F106)*100)),MIN(100,MAX(0,(Parametros_Alargados!$G106-Base_Alargada!AB105)/(Parametros_Alargados!$G106-Parametros_Alargados!$F106)*100))))</f>
        <v/>
      </c>
    </row>
    <row r="103">
      <c r="A103" t="inlineStr">
        <is>
          <t>7. Segurança Alimentar e Saúde</t>
        </is>
      </c>
      <c r="B103" t="inlineStr">
        <is>
          <t>Mortalidade de menores de 5 anos</t>
        </is>
      </c>
      <c r="C103" s="115">
        <f>IF(Base_Alargada!R106="","",IF(Parametros_Alargados!$D107="+",MIN(100,MAX(0,(Base_Alargada!R106-Parametros_Alargados!$F107)/(Parametros_Alargados!$G107-Parametros_Alargados!$F107)*100)),MIN(100,MAX(0,(Parametros_Alargados!$G107-Base_Alargada!R106)/(Parametros_Alargados!$G107-Parametros_Alargados!$F107)*100))))</f>
        <v/>
      </c>
      <c r="D103" s="115">
        <f>IF(Base_Alargada!S106="","",IF(Parametros_Alargados!$D107="+",MIN(100,MAX(0,(Base_Alargada!S106-Parametros_Alargados!$F107)/(Parametros_Alargados!$G107-Parametros_Alargados!$F107)*100)),MIN(100,MAX(0,(Parametros_Alargados!$G107-Base_Alargada!S106)/(Parametros_Alargados!$G107-Parametros_Alargados!$F107)*100))))</f>
        <v/>
      </c>
      <c r="E103" s="115">
        <f>IF(Base_Alargada!T106="","",IF(Parametros_Alargados!$D107="+",MIN(100,MAX(0,(Base_Alargada!T106-Parametros_Alargados!$F107)/(Parametros_Alargados!$G107-Parametros_Alargados!$F107)*100)),MIN(100,MAX(0,(Parametros_Alargados!$G107-Base_Alargada!T106)/(Parametros_Alargados!$G107-Parametros_Alargados!$F107)*100))))</f>
        <v/>
      </c>
      <c r="F103" s="115">
        <f>IF(Base_Alargada!U106="","",IF(Parametros_Alargados!$D107="+",MIN(100,MAX(0,(Base_Alargada!U106-Parametros_Alargados!$F107)/(Parametros_Alargados!$G107-Parametros_Alargados!$F107)*100)),MIN(100,MAX(0,(Parametros_Alargados!$G107-Base_Alargada!U106)/(Parametros_Alargados!$G107-Parametros_Alargados!$F107)*100))))</f>
        <v/>
      </c>
      <c r="G103" s="115">
        <f>IF(Base_Alargada!V106="","",IF(Parametros_Alargados!$D107="+",MIN(100,MAX(0,(Base_Alargada!V106-Parametros_Alargados!$F107)/(Parametros_Alargados!$G107-Parametros_Alargados!$F107)*100)),MIN(100,MAX(0,(Parametros_Alargados!$G107-Base_Alargada!V106)/(Parametros_Alargados!$G107-Parametros_Alargados!$F107)*100))))</f>
        <v/>
      </c>
      <c r="H103" s="115">
        <f>IF(Base_Alargada!W106="","",IF(Parametros_Alargados!$D107="+",MIN(100,MAX(0,(Base_Alargada!W106-Parametros_Alargados!$F107)/(Parametros_Alargados!$G107-Parametros_Alargados!$F107)*100)),MIN(100,MAX(0,(Parametros_Alargados!$G107-Base_Alargada!W106)/(Parametros_Alargados!$G107-Parametros_Alargados!$F107)*100))))</f>
        <v/>
      </c>
      <c r="I103" s="115">
        <f>IF(Base_Alargada!X106="","",IF(Parametros_Alargados!$D107="+",MIN(100,MAX(0,(Base_Alargada!X106-Parametros_Alargados!$F107)/(Parametros_Alargados!$G107-Parametros_Alargados!$F107)*100)),MIN(100,MAX(0,(Parametros_Alargados!$G107-Base_Alargada!X106)/(Parametros_Alargados!$G107-Parametros_Alargados!$F107)*100))))</f>
        <v/>
      </c>
      <c r="J103" s="115">
        <f>IF(Base_Alargada!Y106="","",IF(Parametros_Alargados!$D107="+",MIN(100,MAX(0,(Base_Alargada!Y106-Parametros_Alargados!$F107)/(Parametros_Alargados!$G107-Parametros_Alargados!$F107)*100)),MIN(100,MAX(0,(Parametros_Alargados!$G107-Base_Alargada!Y106)/(Parametros_Alargados!$G107-Parametros_Alargados!$F107)*100))))</f>
        <v/>
      </c>
      <c r="K103" s="115">
        <f>IF(Base_Alargada!Z106="","",IF(Parametros_Alargados!$D107="+",MIN(100,MAX(0,(Base_Alargada!Z106-Parametros_Alargados!$F107)/(Parametros_Alargados!$G107-Parametros_Alargados!$F107)*100)),MIN(100,MAX(0,(Parametros_Alargados!$G107-Base_Alargada!Z106)/(Parametros_Alargados!$G107-Parametros_Alargados!$F107)*100))))</f>
        <v/>
      </c>
      <c r="L103" s="115">
        <f>IF(Base_Alargada!AA106="","",IF(Parametros_Alargados!$D107="+",MIN(100,MAX(0,(Base_Alargada!AA106-Parametros_Alargados!$F107)/(Parametros_Alargados!$G107-Parametros_Alargados!$F107)*100)),MIN(100,MAX(0,(Parametros_Alargados!$G107-Base_Alargada!AA106)/(Parametros_Alargados!$G107-Parametros_Alargados!$F107)*100))))</f>
        <v/>
      </c>
      <c r="M103" s="115">
        <f>IF(Base_Alargada!AB106="","",IF(Parametros_Alargados!$D107="+",MIN(100,MAX(0,(Base_Alargada!AB106-Parametros_Alargados!$F107)/(Parametros_Alargados!$G107-Parametros_Alargados!$F107)*100)),MIN(100,MAX(0,(Parametros_Alargados!$G107-Base_Alargada!AB106)/(Parametros_Alargados!$G107-Parametros_Alargados!$F107)*100))))</f>
        <v/>
      </c>
    </row>
    <row r="104">
      <c r="A104" t="inlineStr">
        <is>
          <t>7. Segurança Alimentar e Saúde</t>
        </is>
      </c>
      <c r="B104" t="inlineStr">
        <is>
          <t>Cobertura universal de saúde - UHC service coverage index</t>
        </is>
      </c>
      <c r="C104" s="115">
        <f>IF(Base_Alargada!R107="","",IF(Parametros_Alargados!$D108="+",MIN(100,MAX(0,(Base_Alargada!R107-Parametros_Alargados!$F108)/(Parametros_Alargados!$G108-Parametros_Alargados!$F108)*100)),MIN(100,MAX(0,(Parametros_Alargados!$G108-Base_Alargada!R107)/(Parametros_Alargados!$G108-Parametros_Alargados!$F108)*100))))</f>
        <v/>
      </c>
      <c r="D104" s="115">
        <f>IF(Base_Alargada!S107="","",IF(Parametros_Alargados!$D108="+",MIN(100,MAX(0,(Base_Alargada!S107-Parametros_Alargados!$F108)/(Parametros_Alargados!$G108-Parametros_Alargados!$F108)*100)),MIN(100,MAX(0,(Parametros_Alargados!$G108-Base_Alargada!S107)/(Parametros_Alargados!$G108-Parametros_Alargados!$F108)*100))))</f>
        <v/>
      </c>
      <c r="E104" s="115">
        <f>IF(Base_Alargada!T107="","",IF(Parametros_Alargados!$D108="+",MIN(100,MAX(0,(Base_Alargada!T107-Parametros_Alargados!$F108)/(Parametros_Alargados!$G108-Parametros_Alargados!$F108)*100)),MIN(100,MAX(0,(Parametros_Alargados!$G108-Base_Alargada!T107)/(Parametros_Alargados!$G108-Parametros_Alargados!$F108)*100))))</f>
        <v/>
      </c>
      <c r="F104" s="115">
        <f>IF(Base_Alargada!U107="","",IF(Parametros_Alargados!$D108="+",MIN(100,MAX(0,(Base_Alargada!U107-Parametros_Alargados!$F108)/(Parametros_Alargados!$G108-Parametros_Alargados!$F108)*100)),MIN(100,MAX(0,(Parametros_Alargados!$G108-Base_Alargada!U107)/(Parametros_Alargados!$G108-Parametros_Alargados!$F108)*100))))</f>
        <v/>
      </c>
      <c r="G104" s="115">
        <f>IF(Base_Alargada!V107="","",IF(Parametros_Alargados!$D108="+",MIN(100,MAX(0,(Base_Alargada!V107-Parametros_Alargados!$F108)/(Parametros_Alargados!$G108-Parametros_Alargados!$F108)*100)),MIN(100,MAX(0,(Parametros_Alargados!$G108-Base_Alargada!V107)/(Parametros_Alargados!$G108-Parametros_Alargados!$F108)*100))))</f>
        <v/>
      </c>
      <c r="H104" s="115">
        <f>IF(Base_Alargada!W107="","",IF(Parametros_Alargados!$D108="+",MIN(100,MAX(0,(Base_Alargada!W107-Parametros_Alargados!$F108)/(Parametros_Alargados!$G108-Parametros_Alargados!$F108)*100)),MIN(100,MAX(0,(Parametros_Alargados!$G108-Base_Alargada!W107)/(Parametros_Alargados!$G108-Parametros_Alargados!$F108)*100))))</f>
        <v/>
      </c>
      <c r="I104" s="115">
        <f>IF(Base_Alargada!X107="","",IF(Parametros_Alargados!$D108="+",MIN(100,MAX(0,(Base_Alargada!X107-Parametros_Alargados!$F108)/(Parametros_Alargados!$G108-Parametros_Alargados!$F108)*100)),MIN(100,MAX(0,(Parametros_Alargados!$G108-Base_Alargada!X107)/(Parametros_Alargados!$G108-Parametros_Alargados!$F108)*100))))</f>
        <v/>
      </c>
      <c r="J104" s="115">
        <f>IF(Base_Alargada!Y107="","",IF(Parametros_Alargados!$D108="+",MIN(100,MAX(0,(Base_Alargada!Y107-Parametros_Alargados!$F108)/(Parametros_Alargados!$G108-Parametros_Alargados!$F108)*100)),MIN(100,MAX(0,(Parametros_Alargados!$G108-Base_Alargada!Y107)/(Parametros_Alargados!$G108-Parametros_Alargados!$F108)*100))))</f>
        <v/>
      </c>
      <c r="K104" s="115">
        <f>IF(Base_Alargada!Z107="","",IF(Parametros_Alargados!$D108="+",MIN(100,MAX(0,(Base_Alargada!Z107-Parametros_Alargados!$F108)/(Parametros_Alargados!$G108-Parametros_Alargados!$F108)*100)),MIN(100,MAX(0,(Parametros_Alargados!$G108-Base_Alargada!Z107)/(Parametros_Alargados!$G108-Parametros_Alargados!$F108)*100))))</f>
        <v/>
      </c>
      <c r="L104" s="115">
        <f>IF(Base_Alargada!AA107="","",IF(Parametros_Alargados!$D108="+",MIN(100,MAX(0,(Base_Alargada!AA107-Parametros_Alargados!$F108)/(Parametros_Alargados!$G108-Parametros_Alargados!$F108)*100)),MIN(100,MAX(0,(Parametros_Alargados!$G108-Base_Alargada!AA107)/(Parametros_Alargados!$G108-Parametros_Alargados!$F108)*100))))</f>
        <v/>
      </c>
      <c r="M104" s="115">
        <f>IF(Base_Alargada!AB107="","",IF(Parametros_Alargados!$D108="+",MIN(100,MAX(0,(Base_Alargada!AB107-Parametros_Alargados!$F108)/(Parametros_Alargados!$G108-Parametros_Alargados!$F108)*100)),MIN(100,MAX(0,(Parametros_Alargados!$G108-Base_Alargada!AB107)/(Parametros_Alargados!$G108-Parametros_Alargados!$F108)*100))))</f>
        <v/>
      </c>
    </row>
    <row r="105">
      <c r="A105" t="inlineStr">
        <is>
          <t>7. Segurança Alimentar e Saúde</t>
        </is>
      </c>
      <c r="B105" t="inlineStr">
        <is>
          <t>Vacinação DPT</t>
        </is>
      </c>
      <c r="C105" s="115">
        <f>IF(Base_Alargada!R108="","",IF(Parametros_Alargados!$D109="+",MIN(100,MAX(0,(Base_Alargada!R108-Parametros_Alargados!$F109)/(Parametros_Alargados!$G109-Parametros_Alargados!$F109)*100)),MIN(100,MAX(0,(Parametros_Alargados!$G109-Base_Alargada!R108)/(Parametros_Alargados!$G109-Parametros_Alargados!$F109)*100))))</f>
        <v/>
      </c>
      <c r="D105" s="115">
        <f>IF(Base_Alargada!S108="","",IF(Parametros_Alargados!$D109="+",MIN(100,MAX(0,(Base_Alargada!S108-Parametros_Alargados!$F109)/(Parametros_Alargados!$G109-Parametros_Alargados!$F109)*100)),MIN(100,MAX(0,(Parametros_Alargados!$G109-Base_Alargada!S108)/(Parametros_Alargados!$G109-Parametros_Alargados!$F109)*100))))</f>
        <v/>
      </c>
      <c r="E105" s="115">
        <f>IF(Base_Alargada!T108="","",IF(Parametros_Alargados!$D109="+",MIN(100,MAX(0,(Base_Alargada!T108-Parametros_Alargados!$F109)/(Parametros_Alargados!$G109-Parametros_Alargados!$F109)*100)),MIN(100,MAX(0,(Parametros_Alargados!$G109-Base_Alargada!T108)/(Parametros_Alargados!$G109-Parametros_Alargados!$F109)*100))))</f>
        <v/>
      </c>
      <c r="F105" s="115">
        <f>IF(Base_Alargada!U108="","",IF(Parametros_Alargados!$D109="+",MIN(100,MAX(0,(Base_Alargada!U108-Parametros_Alargados!$F109)/(Parametros_Alargados!$G109-Parametros_Alargados!$F109)*100)),MIN(100,MAX(0,(Parametros_Alargados!$G109-Base_Alargada!U108)/(Parametros_Alargados!$G109-Parametros_Alargados!$F109)*100))))</f>
        <v/>
      </c>
      <c r="G105" s="115">
        <f>IF(Base_Alargada!V108="","",IF(Parametros_Alargados!$D109="+",MIN(100,MAX(0,(Base_Alargada!V108-Parametros_Alargados!$F109)/(Parametros_Alargados!$G109-Parametros_Alargados!$F109)*100)),MIN(100,MAX(0,(Parametros_Alargados!$G109-Base_Alargada!V108)/(Parametros_Alargados!$G109-Parametros_Alargados!$F109)*100))))</f>
        <v/>
      </c>
      <c r="H105" s="115">
        <f>IF(Base_Alargada!W108="","",IF(Parametros_Alargados!$D109="+",MIN(100,MAX(0,(Base_Alargada!W108-Parametros_Alargados!$F109)/(Parametros_Alargados!$G109-Parametros_Alargados!$F109)*100)),MIN(100,MAX(0,(Parametros_Alargados!$G109-Base_Alargada!W108)/(Parametros_Alargados!$G109-Parametros_Alargados!$F109)*100))))</f>
        <v/>
      </c>
      <c r="I105" s="115">
        <f>IF(Base_Alargada!X108="","",IF(Parametros_Alargados!$D109="+",MIN(100,MAX(0,(Base_Alargada!X108-Parametros_Alargados!$F109)/(Parametros_Alargados!$G109-Parametros_Alargados!$F109)*100)),MIN(100,MAX(0,(Parametros_Alargados!$G109-Base_Alargada!X108)/(Parametros_Alargados!$G109-Parametros_Alargados!$F109)*100))))</f>
        <v/>
      </c>
      <c r="J105" s="115">
        <f>IF(Base_Alargada!Y108="","",IF(Parametros_Alargados!$D109="+",MIN(100,MAX(0,(Base_Alargada!Y108-Parametros_Alargados!$F109)/(Parametros_Alargados!$G109-Parametros_Alargados!$F109)*100)),MIN(100,MAX(0,(Parametros_Alargados!$G109-Base_Alargada!Y108)/(Parametros_Alargados!$G109-Parametros_Alargados!$F109)*100))))</f>
        <v/>
      </c>
      <c r="K105" s="115">
        <f>IF(Base_Alargada!Z108="","",IF(Parametros_Alargados!$D109="+",MIN(100,MAX(0,(Base_Alargada!Z108-Parametros_Alargados!$F109)/(Parametros_Alargados!$G109-Parametros_Alargados!$F109)*100)),MIN(100,MAX(0,(Parametros_Alargados!$G109-Base_Alargada!Z108)/(Parametros_Alargados!$G109-Parametros_Alargados!$F109)*100))))</f>
        <v/>
      </c>
      <c r="L105" s="115">
        <f>IF(Base_Alargada!AA108="","",IF(Parametros_Alargados!$D109="+",MIN(100,MAX(0,(Base_Alargada!AA108-Parametros_Alargados!$F109)/(Parametros_Alargados!$G109-Parametros_Alargados!$F109)*100)),MIN(100,MAX(0,(Parametros_Alargados!$G109-Base_Alargada!AA108)/(Parametros_Alargados!$G109-Parametros_Alargados!$F109)*100))))</f>
        <v/>
      </c>
      <c r="M105" s="115">
        <f>IF(Base_Alargada!AB108="","",IF(Parametros_Alargados!$D109="+",MIN(100,MAX(0,(Base_Alargada!AB108-Parametros_Alargados!$F109)/(Parametros_Alargados!$G109-Parametros_Alargados!$F109)*100)),MIN(100,MAX(0,(Parametros_Alargados!$G109-Base_Alargada!AB108)/(Parametros_Alargados!$G109-Parametros_Alargados!$F109)*100))))</f>
        <v/>
      </c>
    </row>
    <row r="106">
      <c r="A106" t="inlineStr">
        <is>
          <t>7. Segurança Alimentar e Saúde</t>
        </is>
      </c>
      <c r="B106" t="inlineStr">
        <is>
          <t>Despesa corrente em saúde (% PIB)</t>
        </is>
      </c>
      <c r="C106" s="115">
        <f>IF(Base_Alargada!R109="","",IF(Parametros_Alargados!$D110="+",MIN(100,MAX(0,(Base_Alargada!R109-Parametros_Alargados!$F110)/(Parametros_Alargados!$G110-Parametros_Alargados!$F110)*100)),MIN(100,MAX(0,(Parametros_Alargados!$G110-Base_Alargada!R109)/(Parametros_Alargados!$G110-Parametros_Alargados!$F110)*100))))</f>
        <v/>
      </c>
      <c r="D106" s="115">
        <f>IF(Base_Alargada!S109="","",IF(Parametros_Alargados!$D110="+",MIN(100,MAX(0,(Base_Alargada!S109-Parametros_Alargados!$F110)/(Parametros_Alargados!$G110-Parametros_Alargados!$F110)*100)),MIN(100,MAX(0,(Parametros_Alargados!$G110-Base_Alargada!S109)/(Parametros_Alargados!$G110-Parametros_Alargados!$F110)*100))))</f>
        <v/>
      </c>
      <c r="E106" s="115">
        <f>IF(Base_Alargada!T109="","",IF(Parametros_Alargados!$D110="+",MIN(100,MAX(0,(Base_Alargada!T109-Parametros_Alargados!$F110)/(Parametros_Alargados!$G110-Parametros_Alargados!$F110)*100)),MIN(100,MAX(0,(Parametros_Alargados!$G110-Base_Alargada!T109)/(Parametros_Alargados!$G110-Parametros_Alargados!$F110)*100))))</f>
        <v/>
      </c>
      <c r="F106" s="115">
        <f>IF(Base_Alargada!U109="","",IF(Parametros_Alargados!$D110="+",MIN(100,MAX(0,(Base_Alargada!U109-Parametros_Alargados!$F110)/(Parametros_Alargados!$G110-Parametros_Alargados!$F110)*100)),MIN(100,MAX(0,(Parametros_Alargados!$G110-Base_Alargada!U109)/(Parametros_Alargados!$G110-Parametros_Alargados!$F110)*100))))</f>
        <v/>
      </c>
      <c r="G106" s="115">
        <f>IF(Base_Alargada!V109="","",IF(Parametros_Alargados!$D110="+",MIN(100,MAX(0,(Base_Alargada!V109-Parametros_Alargados!$F110)/(Parametros_Alargados!$G110-Parametros_Alargados!$F110)*100)),MIN(100,MAX(0,(Parametros_Alargados!$G110-Base_Alargada!V109)/(Parametros_Alargados!$G110-Parametros_Alargados!$F110)*100))))</f>
        <v/>
      </c>
      <c r="H106" s="115">
        <f>IF(Base_Alargada!W109="","",IF(Parametros_Alargados!$D110="+",MIN(100,MAX(0,(Base_Alargada!W109-Parametros_Alargados!$F110)/(Parametros_Alargados!$G110-Parametros_Alargados!$F110)*100)),MIN(100,MAX(0,(Parametros_Alargados!$G110-Base_Alargada!W109)/(Parametros_Alargados!$G110-Parametros_Alargados!$F110)*100))))</f>
        <v/>
      </c>
      <c r="I106" s="115">
        <f>IF(Base_Alargada!X109="","",IF(Parametros_Alargados!$D110="+",MIN(100,MAX(0,(Base_Alargada!X109-Parametros_Alargados!$F110)/(Parametros_Alargados!$G110-Parametros_Alargados!$F110)*100)),MIN(100,MAX(0,(Parametros_Alargados!$G110-Base_Alargada!X109)/(Parametros_Alargados!$G110-Parametros_Alargados!$F110)*100))))</f>
        <v/>
      </c>
      <c r="J106" s="115">
        <f>IF(Base_Alargada!Y109="","",IF(Parametros_Alargados!$D110="+",MIN(100,MAX(0,(Base_Alargada!Y109-Parametros_Alargados!$F110)/(Parametros_Alargados!$G110-Parametros_Alargados!$F110)*100)),MIN(100,MAX(0,(Parametros_Alargados!$G110-Base_Alargada!Y109)/(Parametros_Alargados!$G110-Parametros_Alargados!$F110)*100))))</f>
        <v/>
      </c>
      <c r="K106" s="115">
        <f>IF(Base_Alargada!Z109="","",IF(Parametros_Alargados!$D110="+",MIN(100,MAX(0,(Base_Alargada!Z109-Parametros_Alargados!$F110)/(Parametros_Alargados!$G110-Parametros_Alargados!$F110)*100)),MIN(100,MAX(0,(Parametros_Alargados!$G110-Base_Alargada!Z109)/(Parametros_Alargados!$G110-Parametros_Alargados!$F110)*100))))</f>
        <v/>
      </c>
      <c r="L106" s="115">
        <f>IF(Base_Alargada!AA109="","",IF(Parametros_Alargados!$D110="+",MIN(100,MAX(0,(Base_Alargada!AA109-Parametros_Alargados!$F110)/(Parametros_Alargados!$G110-Parametros_Alargados!$F110)*100)),MIN(100,MAX(0,(Parametros_Alargados!$G110-Base_Alargada!AA109)/(Parametros_Alargados!$G110-Parametros_Alargados!$F110)*100))))</f>
        <v/>
      </c>
      <c r="M106" s="115">
        <f>IF(Base_Alargada!AB109="","",IF(Parametros_Alargados!$D110="+",MIN(100,MAX(0,(Base_Alargada!AB109-Parametros_Alargados!$F110)/(Parametros_Alargados!$G110-Parametros_Alargados!$F110)*100)),MIN(100,MAX(0,(Parametros_Alargados!$G110-Base_Alargada!AB109)/(Parametros_Alargados!$G110-Parametros_Alargados!$F110)*100))))</f>
        <v/>
      </c>
    </row>
    <row r="107">
      <c r="A107" t="inlineStr">
        <is>
          <t>7. Segurança Alimentar e Saúde</t>
        </is>
      </c>
      <c r="B107" t="inlineStr">
        <is>
          <t>Médicos por 1000 habitantes</t>
        </is>
      </c>
      <c r="C107" s="115">
        <f>IF(Base_Alargada!R110="","",IF(Parametros_Alargados!$D111="+",MIN(100,MAX(0,(Base_Alargada!R110-Parametros_Alargados!$F111)/(Parametros_Alargados!$G111-Parametros_Alargados!$F111)*100)),MIN(100,MAX(0,(Parametros_Alargados!$G111-Base_Alargada!R110)/(Parametros_Alargados!$G111-Parametros_Alargados!$F111)*100))))</f>
        <v/>
      </c>
      <c r="D107" s="115">
        <f>IF(Base_Alargada!S110="","",IF(Parametros_Alargados!$D111="+",MIN(100,MAX(0,(Base_Alargada!S110-Parametros_Alargados!$F111)/(Parametros_Alargados!$G111-Parametros_Alargados!$F111)*100)),MIN(100,MAX(0,(Parametros_Alargados!$G111-Base_Alargada!S110)/(Parametros_Alargados!$G111-Parametros_Alargados!$F111)*100))))</f>
        <v/>
      </c>
      <c r="E107" s="115">
        <f>IF(Base_Alargada!T110="","",IF(Parametros_Alargados!$D111="+",MIN(100,MAX(0,(Base_Alargada!T110-Parametros_Alargados!$F111)/(Parametros_Alargados!$G111-Parametros_Alargados!$F111)*100)),MIN(100,MAX(0,(Parametros_Alargados!$G111-Base_Alargada!T110)/(Parametros_Alargados!$G111-Parametros_Alargados!$F111)*100))))</f>
        <v/>
      </c>
      <c r="F107" s="115">
        <f>IF(Base_Alargada!U110="","",IF(Parametros_Alargados!$D111="+",MIN(100,MAX(0,(Base_Alargada!U110-Parametros_Alargados!$F111)/(Parametros_Alargados!$G111-Parametros_Alargados!$F111)*100)),MIN(100,MAX(0,(Parametros_Alargados!$G111-Base_Alargada!U110)/(Parametros_Alargados!$G111-Parametros_Alargados!$F111)*100))))</f>
        <v/>
      </c>
      <c r="G107" s="115">
        <f>IF(Base_Alargada!V110="","",IF(Parametros_Alargados!$D111="+",MIN(100,MAX(0,(Base_Alargada!V110-Parametros_Alargados!$F111)/(Parametros_Alargados!$G111-Parametros_Alargados!$F111)*100)),MIN(100,MAX(0,(Parametros_Alargados!$G111-Base_Alargada!V110)/(Parametros_Alargados!$G111-Parametros_Alargados!$F111)*100))))</f>
        <v/>
      </c>
      <c r="H107" s="115">
        <f>IF(Base_Alargada!W110="","",IF(Parametros_Alargados!$D111="+",MIN(100,MAX(0,(Base_Alargada!W110-Parametros_Alargados!$F111)/(Parametros_Alargados!$G111-Parametros_Alargados!$F111)*100)),MIN(100,MAX(0,(Parametros_Alargados!$G111-Base_Alargada!W110)/(Parametros_Alargados!$G111-Parametros_Alargados!$F111)*100))))</f>
        <v/>
      </c>
      <c r="I107" s="115">
        <f>IF(Base_Alargada!X110="","",IF(Parametros_Alargados!$D111="+",MIN(100,MAX(0,(Base_Alargada!X110-Parametros_Alargados!$F111)/(Parametros_Alargados!$G111-Parametros_Alargados!$F111)*100)),MIN(100,MAX(0,(Parametros_Alargados!$G111-Base_Alargada!X110)/(Parametros_Alargados!$G111-Parametros_Alargados!$F111)*100))))</f>
        <v/>
      </c>
      <c r="J107" s="115">
        <f>IF(Base_Alargada!Y110="","",IF(Parametros_Alargados!$D111="+",MIN(100,MAX(0,(Base_Alargada!Y110-Parametros_Alargados!$F111)/(Parametros_Alargados!$G111-Parametros_Alargados!$F111)*100)),MIN(100,MAX(0,(Parametros_Alargados!$G111-Base_Alargada!Y110)/(Parametros_Alargados!$G111-Parametros_Alargados!$F111)*100))))</f>
        <v/>
      </c>
      <c r="K107" s="115">
        <f>IF(Base_Alargada!Z110="","",IF(Parametros_Alargados!$D111="+",MIN(100,MAX(0,(Base_Alargada!Z110-Parametros_Alargados!$F111)/(Parametros_Alargados!$G111-Parametros_Alargados!$F111)*100)),MIN(100,MAX(0,(Parametros_Alargados!$G111-Base_Alargada!Z110)/(Parametros_Alargados!$G111-Parametros_Alargados!$F111)*100))))</f>
        <v/>
      </c>
      <c r="L107" s="115">
        <f>IF(Base_Alargada!AA110="","",IF(Parametros_Alargados!$D111="+",MIN(100,MAX(0,(Base_Alargada!AA110-Parametros_Alargados!$F111)/(Parametros_Alargados!$G111-Parametros_Alargados!$F111)*100)),MIN(100,MAX(0,(Parametros_Alargados!$G111-Base_Alargada!AA110)/(Parametros_Alargados!$G111-Parametros_Alargados!$F111)*100))))</f>
        <v/>
      </c>
      <c r="M107" s="115">
        <f>IF(Base_Alargada!AB110="","",IF(Parametros_Alargados!$D111="+",MIN(100,MAX(0,(Base_Alargada!AB110-Parametros_Alargados!$F111)/(Parametros_Alargados!$G111-Parametros_Alargados!$F111)*100)),MIN(100,MAX(0,(Parametros_Alargados!$G111-Base_Alargada!AB110)/(Parametros_Alargados!$G111-Parametros_Alargados!$F111)*100))))</f>
        <v/>
      </c>
    </row>
    <row r="108">
      <c r="A108" t="inlineStr">
        <is>
          <t>7. Segurança Alimentar e Saúde</t>
        </is>
      </c>
      <c r="B108" t="inlineStr">
        <is>
          <t>Camas hospitalares por 1000 habitantes</t>
        </is>
      </c>
      <c r="C108" s="115">
        <f>IF(Base_Alargada!R111="","",IF(Parametros_Alargados!$D112="+",MIN(100,MAX(0,(Base_Alargada!R111-Parametros_Alargados!$F112)/(Parametros_Alargados!$G112-Parametros_Alargados!$F112)*100)),MIN(100,MAX(0,(Parametros_Alargados!$G112-Base_Alargada!R111)/(Parametros_Alargados!$G112-Parametros_Alargados!$F112)*100))))</f>
        <v/>
      </c>
      <c r="D108" s="115">
        <f>IF(Base_Alargada!S111="","",IF(Parametros_Alargados!$D112="+",MIN(100,MAX(0,(Base_Alargada!S111-Parametros_Alargados!$F112)/(Parametros_Alargados!$G112-Parametros_Alargados!$F112)*100)),MIN(100,MAX(0,(Parametros_Alargados!$G112-Base_Alargada!S111)/(Parametros_Alargados!$G112-Parametros_Alargados!$F112)*100))))</f>
        <v/>
      </c>
      <c r="E108" s="115">
        <f>IF(Base_Alargada!T111="","",IF(Parametros_Alargados!$D112="+",MIN(100,MAX(0,(Base_Alargada!T111-Parametros_Alargados!$F112)/(Parametros_Alargados!$G112-Parametros_Alargados!$F112)*100)),MIN(100,MAX(0,(Parametros_Alargados!$G112-Base_Alargada!T111)/(Parametros_Alargados!$G112-Parametros_Alargados!$F112)*100))))</f>
        <v/>
      </c>
      <c r="F108" s="115">
        <f>IF(Base_Alargada!U111="","",IF(Parametros_Alargados!$D112="+",MIN(100,MAX(0,(Base_Alargada!U111-Parametros_Alargados!$F112)/(Parametros_Alargados!$G112-Parametros_Alargados!$F112)*100)),MIN(100,MAX(0,(Parametros_Alargados!$G112-Base_Alargada!U111)/(Parametros_Alargados!$G112-Parametros_Alargados!$F112)*100))))</f>
        <v/>
      </c>
      <c r="G108" s="115">
        <f>IF(Base_Alargada!V111="","",IF(Parametros_Alargados!$D112="+",MIN(100,MAX(0,(Base_Alargada!V111-Parametros_Alargados!$F112)/(Parametros_Alargados!$G112-Parametros_Alargados!$F112)*100)),MIN(100,MAX(0,(Parametros_Alargados!$G112-Base_Alargada!V111)/(Parametros_Alargados!$G112-Parametros_Alargados!$F112)*100))))</f>
        <v/>
      </c>
      <c r="H108" s="115">
        <f>IF(Base_Alargada!W111="","",IF(Parametros_Alargados!$D112="+",MIN(100,MAX(0,(Base_Alargada!W111-Parametros_Alargados!$F112)/(Parametros_Alargados!$G112-Parametros_Alargados!$F112)*100)),MIN(100,MAX(0,(Parametros_Alargados!$G112-Base_Alargada!W111)/(Parametros_Alargados!$G112-Parametros_Alargados!$F112)*100))))</f>
        <v/>
      </c>
      <c r="I108" s="115">
        <f>IF(Base_Alargada!X111="","",IF(Parametros_Alargados!$D112="+",MIN(100,MAX(0,(Base_Alargada!X111-Parametros_Alargados!$F112)/(Parametros_Alargados!$G112-Parametros_Alargados!$F112)*100)),MIN(100,MAX(0,(Parametros_Alargados!$G112-Base_Alargada!X111)/(Parametros_Alargados!$G112-Parametros_Alargados!$F112)*100))))</f>
        <v/>
      </c>
      <c r="J108" s="115">
        <f>IF(Base_Alargada!Y111="","",IF(Parametros_Alargados!$D112="+",MIN(100,MAX(0,(Base_Alargada!Y111-Parametros_Alargados!$F112)/(Parametros_Alargados!$G112-Parametros_Alargados!$F112)*100)),MIN(100,MAX(0,(Parametros_Alargados!$G112-Base_Alargada!Y111)/(Parametros_Alargados!$G112-Parametros_Alargados!$F112)*100))))</f>
        <v/>
      </c>
      <c r="K108" s="115">
        <f>IF(Base_Alargada!Z111="","",IF(Parametros_Alargados!$D112="+",MIN(100,MAX(0,(Base_Alargada!Z111-Parametros_Alargados!$F112)/(Parametros_Alargados!$G112-Parametros_Alargados!$F112)*100)),MIN(100,MAX(0,(Parametros_Alargados!$G112-Base_Alargada!Z111)/(Parametros_Alargados!$G112-Parametros_Alargados!$F112)*100))))</f>
        <v/>
      </c>
      <c r="L108" s="115">
        <f>IF(Base_Alargada!AA111="","",IF(Parametros_Alargados!$D112="+",MIN(100,MAX(0,(Base_Alargada!AA111-Parametros_Alargados!$F112)/(Parametros_Alargados!$G112-Parametros_Alargados!$F112)*100)),MIN(100,MAX(0,(Parametros_Alargados!$G112-Base_Alargada!AA111)/(Parametros_Alargados!$G112-Parametros_Alargados!$F112)*100))))</f>
        <v/>
      </c>
      <c r="M108" s="115">
        <f>IF(Base_Alargada!AB111="","",IF(Parametros_Alargados!$D112="+",MIN(100,MAX(0,(Base_Alargada!AB111-Parametros_Alargados!$F112)/(Parametros_Alargados!$G112-Parametros_Alargados!$F112)*100)),MIN(100,MAX(0,(Parametros_Alargados!$G112-Base_Alargada!AB111)/(Parametros_Alargados!$G112-Parametros_Alargados!$F112)*100))))</f>
        <v/>
      </c>
    </row>
    <row r="109">
      <c r="A109" t="inlineStr">
        <is>
          <t>7. Segurança Alimentar e Saúde</t>
        </is>
      </c>
      <c r="B109" t="inlineStr">
        <is>
          <t>Índice de produção alimentar</t>
        </is>
      </c>
      <c r="C109" s="115">
        <f>IF(Base_Alargada!R112="","",IF(Parametros_Alargados!$D113="+",MIN(100,MAX(0,(Base_Alargada!R112-Parametros_Alargados!$F113)/(Parametros_Alargados!$G113-Parametros_Alargados!$F113)*100)),MIN(100,MAX(0,(Parametros_Alargados!$G113-Base_Alargada!R112)/(Parametros_Alargados!$G113-Parametros_Alargados!$F113)*100))))</f>
        <v/>
      </c>
      <c r="D109" s="115">
        <f>IF(Base_Alargada!S112="","",IF(Parametros_Alargados!$D113="+",MIN(100,MAX(0,(Base_Alargada!S112-Parametros_Alargados!$F113)/(Parametros_Alargados!$G113-Parametros_Alargados!$F113)*100)),MIN(100,MAX(0,(Parametros_Alargados!$G113-Base_Alargada!S112)/(Parametros_Alargados!$G113-Parametros_Alargados!$F113)*100))))</f>
        <v/>
      </c>
      <c r="E109" s="115">
        <f>IF(Base_Alargada!T112="","",IF(Parametros_Alargados!$D113="+",MIN(100,MAX(0,(Base_Alargada!T112-Parametros_Alargados!$F113)/(Parametros_Alargados!$G113-Parametros_Alargados!$F113)*100)),MIN(100,MAX(0,(Parametros_Alargados!$G113-Base_Alargada!T112)/(Parametros_Alargados!$G113-Parametros_Alargados!$F113)*100))))</f>
        <v/>
      </c>
      <c r="F109" s="115">
        <f>IF(Base_Alargada!U112="","",IF(Parametros_Alargados!$D113="+",MIN(100,MAX(0,(Base_Alargada!U112-Parametros_Alargados!$F113)/(Parametros_Alargados!$G113-Parametros_Alargados!$F113)*100)),MIN(100,MAX(0,(Parametros_Alargados!$G113-Base_Alargada!U112)/(Parametros_Alargados!$G113-Parametros_Alargados!$F113)*100))))</f>
        <v/>
      </c>
      <c r="G109" s="115">
        <f>IF(Base_Alargada!V112="","",IF(Parametros_Alargados!$D113="+",MIN(100,MAX(0,(Base_Alargada!V112-Parametros_Alargados!$F113)/(Parametros_Alargados!$G113-Parametros_Alargados!$F113)*100)),MIN(100,MAX(0,(Parametros_Alargados!$G113-Base_Alargada!V112)/(Parametros_Alargados!$G113-Parametros_Alargados!$F113)*100))))</f>
        <v/>
      </c>
      <c r="H109" s="115">
        <f>IF(Base_Alargada!W112="","",IF(Parametros_Alargados!$D113="+",MIN(100,MAX(0,(Base_Alargada!W112-Parametros_Alargados!$F113)/(Parametros_Alargados!$G113-Parametros_Alargados!$F113)*100)),MIN(100,MAX(0,(Parametros_Alargados!$G113-Base_Alargada!W112)/(Parametros_Alargados!$G113-Parametros_Alargados!$F113)*100))))</f>
        <v/>
      </c>
      <c r="I109" s="115">
        <f>IF(Base_Alargada!X112="","",IF(Parametros_Alargados!$D113="+",MIN(100,MAX(0,(Base_Alargada!X112-Parametros_Alargados!$F113)/(Parametros_Alargados!$G113-Parametros_Alargados!$F113)*100)),MIN(100,MAX(0,(Parametros_Alargados!$G113-Base_Alargada!X112)/(Parametros_Alargados!$G113-Parametros_Alargados!$F113)*100))))</f>
        <v/>
      </c>
      <c r="J109" s="115">
        <f>IF(Base_Alargada!Y112="","",IF(Parametros_Alargados!$D113="+",MIN(100,MAX(0,(Base_Alargada!Y112-Parametros_Alargados!$F113)/(Parametros_Alargados!$G113-Parametros_Alargados!$F113)*100)),MIN(100,MAX(0,(Parametros_Alargados!$G113-Base_Alargada!Y112)/(Parametros_Alargados!$G113-Parametros_Alargados!$F113)*100))))</f>
        <v/>
      </c>
      <c r="K109" s="115">
        <f>IF(Base_Alargada!Z112="","",IF(Parametros_Alargados!$D113="+",MIN(100,MAX(0,(Base_Alargada!Z112-Parametros_Alargados!$F113)/(Parametros_Alargados!$G113-Parametros_Alargados!$F113)*100)),MIN(100,MAX(0,(Parametros_Alargados!$G113-Base_Alargada!Z112)/(Parametros_Alargados!$G113-Parametros_Alargados!$F113)*100))))</f>
        <v/>
      </c>
      <c r="L109" s="115">
        <f>IF(Base_Alargada!AA112="","",IF(Parametros_Alargados!$D113="+",MIN(100,MAX(0,(Base_Alargada!AA112-Parametros_Alargados!$F113)/(Parametros_Alargados!$G113-Parametros_Alargados!$F113)*100)),MIN(100,MAX(0,(Parametros_Alargados!$G113-Base_Alargada!AA112)/(Parametros_Alargados!$G113-Parametros_Alargados!$F113)*100))))</f>
        <v/>
      </c>
      <c r="M109" s="115">
        <f>IF(Base_Alargada!AB112="","",IF(Parametros_Alargados!$D113="+",MIN(100,MAX(0,(Base_Alargada!AB112-Parametros_Alargados!$F113)/(Parametros_Alargados!$G113-Parametros_Alargados!$F113)*100)),MIN(100,MAX(0,(Parametros_Alargados!$G113-Base_Alargada!AB112)/(Parametros_Alargados!$G113-Parametros_Alargados!$F113)*100))))</f>
        <v/>
      </c>
    </row>
    <row r="110">
      <c r="A110" t="inlineStr">
        <is>
          <t>7. Segurança Alimentar e Saúde</t>
        </is>
      </c>
      <c r="B110" t="inlineStr">
        <is>
          <t>Rendimento cerealífero</t>
        </is>
      </c>
      <c r="C110" s="115">
        <f>IF(Base_Alargada!R113="","",IF(Parametros_Alargados!$D114="+",MIN(100,MAX(0,(Base_Alargada!R113-Parametros_Alargados!$F114)/(Parametros_Alargados!$G114-Parametros_Alargados!$F114)*100)),MIN(100,MAX(0,(Parametros_Alargados!$G114-Base_Alargada!R113)/(Parametros_Alargados!$G114-Parametros_Alargados!$F114)*100))))</f>
        <v/>
      </c>
      <c r="D110" s="115">
        <f>IF(Base_Alargada!S113="","",IF(Parametros_Alargados!$D114="+",MIN(100,MAX(0,(Base_Alargada!S113-Parametros_Alargados!$F114)/(Parametros_Alargados!$G114-Parametros_Alargados!$F114)*100)),MIN(100,MAX(0,(Parametros_Alargados!$G114-Base_Alargada!S113)/(Parametros_Alargados!$G114-Parametros_Alargados!$F114)*100))))</f>
        <v/>
      </c>
      <c r="E110" s="115">
        <f>IF(Base_Alargada!T113="","",IF(Parametros_Alargados!$D114="+",MIN(100,MAX(0,(Base_Alargada!T113-Parametros_Alargados!$F114)/(Parametros_Alargados!$G114-Parametros_Alargados!$F114)*100)),MIN(100,MAX(0,(Parametros_Alargados!$G114-Base_Alargada!T113)/(Parametros_Alargados!$G114-Parametros_Alargados!$F114)*100))))</f>
        <v/>
      </c>
      <c r="F110" s="115">
        <f>IF(Base_Alargada!U113="","",IF(Parametros_Alargados!$D114="+",MIN(100,MAX(0,(Base_Alargada!U113-Parametros_Alargados!$F114)/(Parametros_Alargados!$G114-Parametros_Alargados!$F114)*100)),MIN(100,MAX(0,(Parametros_Alargados!$G114-Base_Alargada!U113)/(Parametros_Alargados!$G114-Parametros_Alargados!$F114)*100))))</f>
        <v/>
      </c>
      <c r="G110" s="115">
        <f>IF(Base_Alargada!V113="","",IF(Parametros_Alargados!$D114="+",MIN(100,MAX(0,(Base_Alargada!V113-Parametros_Alargados!$F114)/(Parametros_Alargados!$G114-Parametros_Alargados!$F114)*100)),MIN(100,MAX(0,(Parametros_Alargados!$G114-Base_Alargada!V113)/(Parametros_Alargados!$G114-Parametros_Alargados!$F114)*100))))</f>
        <v/>
      </c>
      <c r="H110" s="115">
        <f>IF(Base_Alargada!W113="","",IF(Parametros_Alargados!$D114="+",MIN(100,MAX(0,(Base_Alargada!W113-Parametros_Alargados!$F114)/(Parametros_Alargados!$G114-Parametros_Alargados!$F114)*100)),MIN(100,MAX(0,(Parametros_Alargados!$G114-Base_Alargada!W113)/(Parametros_Alargados!$G114-Parametros_Alargados!$F114)*100))))</f>
        <v/>
      </c>
      <c r="I110" s="115">
        <f>IF(Base_Alargada!X113="","",IF(Parametros_Alargados!$D114="+",MIN(100,MAX(0,(Base_Alargada!X113-Parametros_Alargados!$F114)/(Parametros_Alargados!$G114-Parametros_Alargados!$F114)*100)),MIN(100,MAX(0,(Parametros_Alargados!$G114-Base_Alargada!X113)/(Parametros_Alargados!$G114-Parametros_Alargados!$F114)*100))))</f>
        <v/>
      </c>
      <c r="J110" s="115">
        <f>IF(Base_Alargada!Y113="","",IF(Parametros_Alargados!$D114="+",MIN(100,MAX(0,(Base_Alargada!Y113-Parametros_Alargados!$F114)/(Parametros_Alargados!$G114-Parametros_Alargados!$F114)*100)),MIN(100,MAX(0,(Parametros_Alargados!$G114-Base_Alargada!Y113)/(Parametros_Alargados!$G114-Parametros_Alargados!$F114)*100))))</f>
        <v/>
      </c>
      <c r="K110" s="115">
        <f>IF(Base_Alargada!Z113="","",IF(Parametros_Alargados!$D114="+",MIN(100,MAX(0,(Base_Alargada!Z113-Parametros_Alargados!$F114)/(Parametros_Alargados!$G114-Parametros_Alargados!$F114)*100)),MIN(100,MAX(0,(Parametros_Alargados!$G114-Base_Alargada!Z113)/(Parametros_Alargados!$G114-Parametros_Alargados!$F114)*100))))</f>
        <v/>
      </c>
      <c r="L110" s="115">
        <f>IF(Base_Alargada!AA113="","",IF(Parametros_Alargados!$D114="+",MIN(100,MAX(0,(Base_Alargada!AA113-Parametros_Alargados!$F114)/(Parametros_Alargados!$G114-Parametros_Alargados!$F114)*100)),MIN(100,MAX(0,(Parametros_Alargados!$G114-Base_Alargada!AA113)/(Parametros_Alargados!$G114-Parametros_Alargados!$F114)*100))))</f>
        <v/>
      </c>
      <c r="M110" s="115">
        <f>IF(Base_Alargada!AB113="","",IF(Parametros_Alargados!$D114="+",MIN(100,MAX(0,(Base_Alargada!AB113-Parametros_Alargados!$F114)/(Parametros_Alargados!$G114-Parametros_Alargados!$F114)*100)),MIN(100,MAX(0,(Parametros_Alargados!$G114-Base_Alargada!AB113)/(Parametros_Alargados!$G114-Parametros_Alargados!$F114)*100))))</f>
        <v/>
      </c>
    </row>
  </sheetData>
  <autoFilter ref="A1:M110"/>
  <conditionalFormatting sqref="C2:M11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style="50" min="1" max="1"/>
    <col width="14" customWidth="1" style="50" min="2" max="2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  <col width="13" customWidth="1" style="50" min="11" max="11"/>
    <col width="13" customWidth="1" style="50" min="12" max="12"/>
    <col width="13" customWidth="1" style="50" min="13" max="13"/>
  </cols>
  <sheetData>
    <row r="1">
      <c r="A1" s="114" t="inlineStr">
        <is>
          <t>Subíndice</t>
        </is>
      </c>
      <c r="B1" s="114" t="inlineStr">
        <is>
          <t>Nº indicadores</t>
        </is>
      </c>
      <c r="C1" s="114" t="inlineStr">
        <is>
          <t>2015</t>
        </is>
      </c>
      <c r="D1" s="114" t="inlineStr">
        <is>
          <t>2016</t>
        </is>
      </c>
      <c r="E1" s="114" t="inlineStr">
        <is>
          <t>2017</t>
        </is>
      </c>
      <c r="F1" s="114" t="inlineStr">
        <is>
          <t>2018</t>
        </is>
      </c>
      <c r="G1" s="114" t="inlineStr">
        <is>
          <t>2019</t>
        </is>
      </c>
      <c r="H1" s="114" t="inlineStr">
        <is>
          <t>2020</t>
        </is>
      </c>
      <c r="I1" s="114" t="inlineStr">
        <is>
          <t>2021</t>
        </is>
      </c>
      <c r="J1" s="114" t="inlineStr">
        <is>
          <t>2022</t>
        </is>
      </c>
      <c r="K1" s="114" t="inlineStr">
        <is>
          <t>2023</t>
        </is>
      </c>
      <c r="L1" s="114" t="inlineStr">
        <is>
          <t>2024</t>
        </is>
      </c>
      <c r="M1" s="114" t="inlineStr">
        <is>
          <t>2025</t>
        </is>
      </c>
    </row>
    <row r="2">
      <c r="A2" t="inlineStr">
        <is>
          <t>1. Governança e Estado de Direito</t>
        </is>
      </c>
      <c r="B2" t="n">
        <v>13</v>
      </c>
      <c r="C2" s="115">
        <f>IF(SUMPRODUCT((Normalizacao_Alargada!C$2:C$14&lt;&gt;"")*1)&lt;Parametros_Alargados!$B$2*B2,"",SUMPRODUCT(IFERROR(Normalizacao_Alargada!C$2:C$14*Parametros_Alargados!$I$6:$I$18,0))/SUMPRODUCT((Normalizacao_Alargada!C$2:C$14&lt;&gt;"")*Parametros_Alargados!$I$6:$I$18))</f>
        <v/>
      </c>
      <c r="D2" s="115">
        <f>IF(SUMPRODUCT((Normalizacao_Alargada!D$2:D$14&lt;&gt;"")*1)&lt;Parametros_Alargados!$B$2*B2,"",SUMPRODUCT(IFERROR(Normalizacao_Alargada!D$2:D$14*Parametros_Alargados!$I$6:$I$18,0))/SUMPRODUCT((Normalizacao_Alargada!D$2:D$14&lt;&gt;"")*Parametros_Alargados!$I$6:$I$18))</f>
        <v/>
      </c>
      <c r="E2" s="115">
        <f>IF(SUMPRODUCT((Normalizacao_Alargada!E$2:E$14&lt;&gt;"")*1)&lt;Parametros_Alargados!$B$2*B2,"",SUMPRODUCT(IFERROR(Normalizacao_Alargada!E$2:E$14*Parametros_Alargados!$I$6:$I$18,0))/SUMPRODUCT((Normalizacao_Alargada!E$2:E$14&lt;&gt;"")*Parametros_Alargados!$I$6:$I$18))</f>
        <v/>
      </c>
      <c r="F2" s="115">
        <f>IF(SUMPRODUCT((Normalizacao_Alargada!F$2:F$14&lt;&gt;"")*1)&lt;Parametros_Alargados!$B$2*B2,"",SUMPRODUCT(IFERROR(Normalizacao_Alargada!F$2:F$14*Parametros_Alargados!$I$6:$I$18,0))/SUMPRODUCT((Normalizacao_Alargada!F$2:F$14&lt;&gt;"")*Parametros_Alargados!$I$6:$I$18))</f>
        <v/>
      </c>
      <c r="G2" s="115">
        <f>IF(SUMPRODUCT((Normalizacao_Alargada!G$2:G$14&lt;&gt;"")*1)&lt;Parametros_Alargados!$B$2*B2,"",SUMPRODUCT(IFERROR(Normalizacao_Alargada!G$2:G$14*Parametros_Alargados!$I$6:$I$18,0))/SUMPRODUCT((Normalizacao_Alargada!G$2:G$14&lt;&gt;"")*Parametros_Alargados!$I$6:$I$18))</f>
        <v/>
      </c>
      <c r="H2" s="115">
        <f>IF(SUMPRODUCT((Normalizacao_Alargada!H$2:H$14&lt;&gt;"")*1)&lt;Parametros_Alargados!$B$2*B2,"",SUMPRODUCT(IFERROR(Normalizacao_Alargada!H$2:H$14*Parametros_Alargados!$I$6:$I$18,0))/SUMPRODUCT((Normalizacao_Alargada!H$2:H$14&lt;&gt;"")*Parametros_Alargados!$I$6:$I$18))</f>
        <v/>
      </c>
      <c r="I2" s="115">
        <f>IF(SUMPRODUCT((Normalizacao_Alargada!I$2:I$14&lt;&gt;"")*1)&lt;Parametros_Alargados!$B$2*B2,"",SUMPRODUCT(IFERROR(Normalizacao_Alargada!I$2:I$14*Parametros_Alargados!$I$6:$I$18,0))/SUMPRODUCT((Normalizacao_Alargada!I$2:I$14&lt;&gt;"")*Parametros_Alargados!$I$6:$I$18))</f>
        <v/>
      </c>
      <c r="J2" s="115">
        <f>IF(SUMPRODUCT((Normalizacao_Alargada!J$2:J$14&lt;&gt;"")*1)&lt;Parametros_Alargados!$B$2*B2,"",SUMPRODUCT(IFERROR(Normalizacao_Alargada!J$2:J$14*Parametros_Alargados!$I$6:$I$18,0))/SUMPRODUCT((Normalizacao_Alargada!J$2:J$14&lt;&gt;"")*Parametros_Alargados!$I$6:$I$18))</f>
        <v/>
      </c>
      <c r="K2" s="115">
        <f>IF(SUMPRODUCT((Normalizacao_Alargada!K$2:K$14&lt;&gt;"")*1)&lt;Parametros_Alargados!$B$2*B2,"",SUMPRODUCT(IFERROR(Normalizacao_Alargada!K$2:K$14*Parametros_Alargados!$I$6:$I$18,0))/SUMPRODUCT((Normalizacao_Alargada!K$2:K$14&lt;&gt;"")*Parametros_Alargados!$I$6:$I$18))</f>
        <v/>
      </c>
      <c r="L2" s="115">
        <f>IF(SUMPRODUCT((Normalizacao_Alargada!L$2:L$14&lt;&gt;"")*1)&lt;Parametros_Alargados!$B$2*B2,"",SUMPRODUCT(IFERROR(Normalizacao_Alargada!L$2:L$14*Parametros_Alargados!$I$6:$I$18,0))/SUMPRODUCT((Normalizacao_Alargada!L$2:L$14&lt;&gt;"")*Parametros_Alargados!$I$6:$I$18))</f>
        <v/>
      </c>
      <c r="M2" s="115">
        <f>IF(SUMPRODUCT((Normalizacao_Alargada!M$2:M$14&lt;&gt;"")*1)&lt;Parametros_Alargados!$B$2*B2,"",SUMPRODUCT(IFERROR(Normalizacao_Alargada!M$2:M$14*Parametros_Alargados!$I$6:$I$18,0))/SUMPRODUCT((Normalizacao_Alargada!M$2:M$14&lt;&gt;"")*Parametros_Alargados!$I$6:$I$18))</f>
        <v/>
      </c>
    </row>
    <row r="3">
      <c r="A3" t="inlineStr">
        <is>
          <t>2. Estabilidade Macroeconómica</t>
        </is>
      </c>
      <c r="B3" t="n">
        <v>16</v>
      </c>
      <c r="C3" s="115">
        <f>IF(SUMPRODUCT((Normalizacao_Alargada!C$15:C$30&lt;&gt;"")*1)&lt;Parametros_Alargados!$B$2*B3,"",SUMPRODUCT(IFERROR(Normalizacao_Alargada!C$15:C$30*Parametros_Alargados!$I$19:$I$34,0))/SUMPRODUCT((Normalizacao_Alargada!C$15:C$30&lt;&gt;"")*Parametros_Alargados!$I$19:$I$34))</f>
        <v/>
      </c>
      <c r="D3" s="115">
        <f>IF(SUMPRODUCT((Normalizacao_Alargada!D$15:D$30&lt;&gt;"")*1)&lt;Parametros_Alargados!$B$2*B3,"",SUMPRODUCT(IFERROR(Normalizacao_Alargada!D$15:D$30*Parametros_Alargados!$I$19:$I$34,0))/SUMPRODUCT((Normalizacao_Alargada!D$15:D$30&lt;&gt;"")*Parametros_Alargados!$I$19:$I$34))</f>
        <v/>
      </c>
      <c r="E3" s="115">
        <f>IF(SUMPRODUCT((Normalizacao_Alargada!E$15:E$30&lt;&gt;"")*1)&lt;Parametros_Alargados!$B$2*B3,"",SUMPRODUCT(IFERROR(Normalizacao_Alargada!E$15:E$30*Parametros_Alargados!$I$19:$I$34,0))/SUMPRODUCT((Normalizacao_Alargada!E$15:E$30&lt;&gt;"")*Parametros_Alargados!$I$19:$I$34))</f>
        <v/>
      </c>
      <c r="F3" s="115">
        <f>IF(SUMPRODUCT((Normalizacao_Alargada!F$15:F$30&lt;&gt;"")*1)&lt;Parametros_Alargados!$B$2*B3,"",SUMPRODUCT(IFERROR(Normalizacao_Alargada!F$15:F$30*Parametros_Alargados!$I$19:$I$34,0))/SUMPRODUCT((Normalizacao_Alargada!F$15:F$30&lt;&gt;"")*Parametros_Alargados!$I$19:$I$34))</f>
        <v/>
      </c>
      <c r="G3" s="115">
        <f>IF(SUMPRODUCT((Normalizacao_Alargada!G$15:G$30&lt;&gt;"")*1)&lt;Parametros_Alargados!$B$2*B3,"",SUMPRODUCT(IFERROR(Normalizacao_Alargada!G$15:G$30*Parametros_Alargados!$I$19:$I$34,0))/SUMPRODUCT((Normalizacao_Alargada!G$15:G$30&lt;&gt;"")*Parametros_Alargados!$I$19:$I$34))</f>
        <v/>
      </c>
      <c r="H3" s="115">
        <f>IF(SUMPRODUCT((Normalizacao_Alargada!H$15:H$30&lt;&gt;"")*1)&lt;Parametros_Alargados!$B$2*B3,"",SUMPRODUCT(IFERROR(Normalizacao_Alargada!H$15:H$30*Parametros_Alargados!$I$19:$I$34,0))/SUMPRODUCT((Normalizacao_Alargada!H$15:H$30&lt;&gt;"")*Parametros_Alargados!$I$19:$I$34))</f>
        <v/>
      </c>
      <c r="I3" s="115">
        <f>IF(SUMPRODUCT((Normalizacao_Alargada!I$15:I$30&lt;&gt;"")*1)&lt;Parametros_Alargados!$B$2*B3,"",SUMPRODUCT(IFERROR(Normalizacao_Alargada!I$15:I$30*Parametros_Alargados!$I$19:$I$34,0))/SUMPRODUCT((Normalizacao_Alargada!I$15:I$30&lt;&gt;"")*Parametros_Alargados!$I$19:$I$34))</f>
        <v/>
      </c>
      <c r="J3" s="115">
        <f>IF(SUMPRODUCT((Normalizacao_Alargada!J$15:J$30&lt;&gt;"")*1)&lt;Parametros_Alargados!$B$2*B3,"",SUMPRODUCT(IFERROR(Normalizacao_Alargada!J$15:J$30*Parametros_Alargados!$I$19:$I$34,0))/SUMPRODUCT((Normalizacao_Alargada!J$15:J$30&lt;&gt;"")*Parametros_Alargados!$I$19:$I$34))</f>
        <v/>
      </c>
      <c r="K3" s="115">
        <f>IF(SUMPRODUCT((Normalizacao_Alargada!K$15:K$30&lt;&gt;"")*1)&lt;Parametros_Alargados!$B$2*B3,"",SUMPRODUCT(IFERROR(Normalizacao_Alargada!K$15:K$30*Parametros_Alargados!$I$19:$I$34,0))/SUMPRODUCT((Normalizacao_Alargada!K$15:K$30&lt;&gt;"")*Parametros_Alargados!$I$19:$I$34))</f>
        <v/>
      </c>
      <c r="L3" s="115">
        <f>IF(SUMPRODUCT((Normalizacao_Alargada!L$15:L$30&lt;&gt;"")*1)&lt;Parametros_Alargados!$B$2*B3,"",SUMPRODUCT(IFERROR(Normalizacao_Alargada!L$15:L$30*Parametros_Alargados!$I$19:$I$34,0))/SUMPRODUCT((Normalizacao_Alargada!L$15:L$30&lt;&gt;"")*Parametros_Alargados!$I$19:$I$34))</f>
        <v/>
      </c>
      <c r="M3" s="115">
        <f>IF(SUMPRODUCT((Normalizacao_Alargada!M$15:M$30&lt;&gt;"")*1)&lt;Parametros_Alargados!$B$2*B3,"",SUMPRODUCT(IFERROR(Normalizacao_Alargada!M$15:M$30*Parametros_Alargados!$I$19:$I$34,0))/SUMPRODUCT((Normalizacao_Alargada!M$15:M$30&lt;&gt;"")*Parametros_Alargados!$I$19:$I$34))</f>
        <v/>
      </c>
    </row>
    <row r="4">
      <c r="A4" t="inlineStr">
        <is>
          <t>3. Capital Humano</t>
        </is>
      </c>
      <c r="B4" t="n">
        <v>15</v>
      </c>
      <c r="C4" s="115">
        <f>IF(SUMPRODUCT((Normalizacao_Alargada!C$31:C$45&lt;&gt;"")*1)&lt;Parametros_Alargados!$B$2*B4,"",SUMPRODUCT(IFERROR(Normalizacao_Alargada!C$31:C$45*Parametros_Alargados!$I$35:$I$49,0))/SUMPRODUCT((Normalizacao_Alargada!C$31:C$45&lt;&gt;"")*Parametros_Alargados!$I$35:$I$49))</f>
        <v/>
      </c>
      <c r="D4" s="115">
        <f>IF(SUMPRODUCT((Normalizacao_Alargada!D$31:D$45&lt;&gt;"")*1)&lt;Parametros_Alargados!$B$2*B4,"",SUMPRODUCT(IFERROR(Normalizacao_Alargada!D$31:D$45*Parametros_Alargados!$I$35:$I$49,0))/SUMPRODUCT((Normalizacao_Alargada!D$31:D$45&lt;&gt;"")*Parametros_Alargados!$I$35:$I$49))</f>
        <v/>
      </c>
      <c r="E4" s="115">
        <f>IF(SUMPRODUCT((Normalizacao_Alargada!E$31:E$45&lt;&gt;"")*1)&lt;Parametros_Alargados!$B$2*B4,"",SUMPRODUCT(IFERROR(Normalizacao_Alargada!E$31:E$45*Parametros_Alargados!$I$35:$I$49,0))/SUMPRODUCT((Normalizacao_Alargada!E$31:E$45&lt;&gt;"")*Parametros_Alargados!$I$35:$I$49))</f>
        <v/>
      </c>
      <c r="F4" s="115">
        <f>IF(SUMPRODUCT((Normalizacao_Alargada!F$31:F$45&lt;&gt;"")*1)&lt;Parametros_Alargados!$B$2*B4,"",SUMPRODUCT(IFERROR(Normalizacao_Alargada!F$31:F$45*Parametros_Alargados!$I$35:$I$49,0))/SUMPRODUCT((Normalizacao_Alargada!F$31:F$45&lt;&gt;"")*Parametros_Alargados!$I$35:$I$49))</f>
        <v/>
      </c>
      <c r="G4" s="115">
        <f>IF(SUMPRODUCT((Normalizacao_Alargada!G$31:G$45&lt;&gt;"")*1)&lt;Parametros_Alargados!$B$2*B4,"",SUMPRODUCT(IFERROR(Normalizacao_Alargada!G$31:G$45*Parametros_Alargados!$I$35:$I$49,0))/SUMPRODUCT((Normalizacao_Alargada!G$31:G$45&lt;&gt;"")*Parametros_Alargados!$I$35:$I$49))</f>
        <v/>
      </c>
      <c r="H4" s="115">
        <f>IF(SUMPRODUCT((Normalizacao_Alargada!H$31:H$45&lt;&gt;"")*1)&lt;Parametros_Alargados!$B$2*B4,"",SUMPRODUCT(IFERROR(Normalizacao_Alargada!H$31:H$45*Parametros_Alargados!$I$35:$I$49,0))/SUMPRODUCT((Normalizacao_Alargada!H$31:H$45&lt;&gt;"")*Parametros_Alargados!$I$35:$I$49))</f>
        <v/>
      </c>
      <c r="I4" s="115">
        <f>IF(SUMPRODUCT((Normalizacao_Alargada!I$31:I$45&lt;&gt;"")*1)&lt;Parametros_Alargados!$B$2*B4,"",SUMPRODUCT(IFERROR(Normalizacao_Alargada!I$31:I$45*Parametros_Alargados!$I$35:$I$49,0))/SUMPRODUCT((Normalizacao_Alargada!I$31:I$45&lt;&gt;"")*Parametros_Alargados!$I$35:$I$49))</f>
        <v/>
      </c>
      <c r="J4" s="115">
        <f>IF(SUMPRODUCT((Normalizacao_Alargada!J$31:J$45&lt;&gt;"")*1)&lt;Parametros_Alargados!$B$2*B4,"",SUMPRODUCT(IFERROR(Normalizacao_Alargada!J$31:J$45*Parametros_Alargados!$I$35:$I$49,0))/SUMPRODUCT((Normalizacao_Alargada!J$31:J$45&lt;&gt;"")*Parametros_Alargados!$I$35:$I$49))</f>
        <v/>
      </c>
      <c r="K4" s="115">
        <f>IF(SUMPRODUCT((Normalizacao_Alargada!K$31:K$45&lt;&gt;"")*1)&lt;Parametros_Alargados!$B$2*B4,"",SUMPRODUCT(IFERROR(Normalizacao_Alargada!K$31:K$45*Parametros_Alargados!$I$35:$I$49,0))/SUMPRODUCT((Normalizacao_Alargada!K$31:K$45&lt;&gt;"")*Parametros_Alargados!$I$35:$I$49))</f>
        <v/>
      </c>
      <c r="L4" s="115">
        <f>IF(SUMPRODUCT((Normalizacao_Alargada!L$31:L$45&lt;&gt;"")*1)&lt;Parametros_Alargados!$B$2*B4,"",SUMPRODUCT(IFERROR(Normalizacao_Alargada!L$31:L$45*Parametros_Alargados!$I$35:$I$49,0))/SUMPRODUCT((Normalizacao_Alargada!L$31:L$45&lt;&gt;"")*Parametros_Alargados!$I$35:$I$49))</f>
        <v/>
      </c>
      <c r="M4" s="115">
        <f>IF(SUMPRODUCT((Normalizacao_Alargada!M$31:M$45&lt;&gt;"")*1)&lt;Parametros_Alargados!$B$2*B4,"",SUMPRODUCT(IFERROR(Normalizacao_Alargada!M$31:M$45*Parametros_Alargados!$I$35:$I$49,0))/SUMPRODUCT((Normalizacao_Alargada!M$31:M$45&lt;&gt;"")*Parametros_Alargados!$I$35:$I$49))</f>
        <v/>
      </c>
    </row>
    <row r="5">
      <c r="A5" t="inlineStr">
        <is>
          <t>4. Inclusão Social e Protecção</t>
        </is>
      </c>
      <c r="B5" t="n">
        <v>15</v>
      </c>
      <c r="C5" s="115">
        <f>IF(SUMPRODUCT((Normalizacao_Alargada!C$46:C$60&lt;&gt;"")*1)&lt;Parametros_Alargados!$B$2*B5,"",SUMPRODUCT(IFERROR(Normalizacao_Alargada!C$46:C$60*Parametros_Alargados!$I$50:$I$64,0))/SUMPRODUCT((Normalizacao_Alargada!C$46:C$60&lt;&gt;"")*Parametros_Alargados!$I$50:$I$64))</f>
        <v/>
      </c>
      <c r="D5" s="115">
        <f>IF(SUMPRODUCT((Normalizacao_Alargada!D$46:D$60&lt;&gt;"")*1)&lt;Parametros_Alargados!$B$2*B5,"",SUMPRODUCT(IFERROR(Normalizacao_Alargada!D$46:D$60*Parametros_Alargados!$I$50:$I$64,0))/SUMPRODUCT((Normalizacao_Alargada!D$46:D$60&lt;&gt;"")*Parametros_Alargados!$I$50:$I$64))</f>
        <v/>
      </c>
      <c r="E5" s="115">
        <f>IF(SUMPRODUCT((Normalizacao_Alargada!E$46:E$60&lt;&gt;"")*1)&lt;Parametros_Alargados!$B$2*B5,"",SUMPRODUCT(IFERROR(Normalizacao_Alargada!E$46:E$60*Parametros_Alargados!$I$50:$I$64,0))/SUMPRODUCT((Normalizacao_Alargada!E$46:E$60&lt;&gt;"")*Parametros_Alargados!$I$50:$I$64))</f>
        <v/>
      </c>
      <c r="F5" s="115">
        <f>IF(SUMPRODUCT((Normalizacao_Alargada!F$46:F$60&lt;&gt;"")*1)&lt;Parametros_Alargados!$B$2*B5,"",SUMPRODUCT(IFERROR(Normalizacao_Alargada!F$46:F$60*Parametros_Alargados!$I$50:$I$64,0))/SUMPRODUCT((Normalizacao_Alargada!F$46:F$60&lt;&gt;"")*Parametros_Alargados!$I$50:$I$64))</f>
        <v/>
      </c>
      <c r="G5" s="115">
        <f>IF(SUMPRODUCT((Normalizacao_Alargada!G$46:G$60&lt;&gt;"")*1)&lt;Parametros_Alargados!$B$2*B5,"",SUMPRODUCT(IFERROR(Normalizacao_Alargada!G$46:G$60*Parametros_Alargados!$I$50:$I$64,0))/SUMPRODUCT((Normalizacao_Alargada!G$46:G$60&lt;&gt;"")*Parametros_Alargados!$I$50:$I$64))</f>
        <v/>
      </c>
      <c r="H5" s="115">
        <f>IF(SUMPRODUCT((Normalizacao_Alargada!H$46:H$60&lt;&gt;"")*1)&lt;Parametros_Alargados!$B$2*B5,"",SUMPRODUCT(IFERROR(Normalizacao_Alargada!H$46:H$60*Parametros_Alargados!$I$50:$I$64,0))/SUMPRODUCT((Normalizacao_Alargada!H$46:H$60&lt;&gt;"")*Parametros_Alargados!$I$50:$I$64))</f>
        <v/>
      </c>
      <c r="I5" s="115">
        <f>IF(SUMPRODUCT((Normalizacao_Alargada!I$46:I$60&lt;&gt;"")*1)&lt;Parametros_Alargados!$B$2*B5,"",SUMPRODUCT(IFERROR(Normalizacao_Alargada!I$46:I$60*Parametros_Alargados!$I$50:$I$64,0))/SUMPRODUCT((Normalizacao_Alargada!I$46:I$60&lt;&gt;"")*Parametros_Alargados!$I$50:$I$64))</f>
        <v/>
      </c>
      <c r="J5" s="115">
        <f>IF(SUMPRODUCT((Normalizacao_Alargada!J$46:J$60&lt;&gt;"")*1)&lt;Parametros_Alargados!$B$2*B5,"",SUMPRODUCT(IFERROR(Normalizacao_Alargada!J$46:J$60*Parametros_Alargados!$I$50:$I$64,0))/SUMPRODUCT((Normalizacao_Alargada!J$46:J$60&lt;&gt;"")*Parametros_Alargados!$I$50:$I$64))</f>
        <v/>
      </c>
      <c r="K5" s="115">
        <f>IF(SUMPRODUCT((Normalizacao_Alargada!K$46:K$60&lt;&gt;"")*1)&lt;Parametros_Alargados!$B$2*B5,"",SUMPRODUCT(IFERROR(Normalizacao_Alargada!K$46:K$60*Parametros_Alargados!$I$50:$I$64,0))/SUMPRODUCT((Normalizacao_Alargada!K$46:K$60&lt;&gt;"")*Parametros_Alargados!$I$50:$I$64))</f>
        <v/>
      </c>
      <c r="L5" s="115">
        <f>IF(SUMPRODUCT((Normalizacao_Alargada!L$46:L$60&lt;&gt;"")*1)&lt;Parametros_Alargados!$B$2*B5,"",SUMPRODUCT(IFERROR(Normalizacao_Alargada!L$46:L$60*Parametros_Alargados!$I$50:$I$64,0))/SUMPRODUCT((Normalizacao_Alargada!L$46:L$60&lt;&gt;"")*Parametros_Alargados!$I$50:$I$64))</f>
        <v/>
      </c>
      <c r="M5" s="115">
        <f>IF(SUMPRODUCT((Normalizacao_Alargada!M$46:M$60&lt;&gt;"")*1)&lt;Parametros_Alargados!$B$2*B5,"",SUMPRODUCT(IFERROR(Normalizacao_Alargada!M$46:M$60*Parametros_Alargados!$I$50:$I$64,0))/SUMPRODUCT((Normalizacao_Alargada!M$46:M$60&lt;&gt;"")*Parametros_Alargados!$I$50:$I$64))</f>
        <v/>
      </c>
    </row>
    <row r="6">
      <c r="A6" t="inlineStr">
        <is>
          <t>5. Infraestruturas e Serviços</t>
        </is>
      </c>
      <c r="B6" t="n">
        <v>16</v>
      </c>
      <c r="C6" s="115">
        <f>IF(SUMPRODUCT((Normalizacao_Alargada!C$61:C$76&lt;&gt;"")*1)&lt;Parametros_Alargados!$B$2*B6,"",SUMPRODUCT(IFERROR(Normalizacao_Alargada!C$61:C$76*Parametros_Alargados!$I$65:$I$80,0))/SUMPRODUCT((Normalizacao_Alargada!C$61:C$76&lt;&gt;"")*Parametros_Alargados!$I$65:$I$80))</f>
        <v/>
      </c>
      <c r="D6" s="115">
        <f>IF(SUMPRODUCT((Normalizacao_Alargada!D$61:D$76&lt;&gt;"")*1)&lt;Parametros_Alargados!$B$2*B6,"",SUMPRODUCT(IFERROR(Normalizacao_Alargada!D$61:D$76*Parametros_Alargados!$I$65:$I$80,0))/SUMPRODUCT((Normalizacao_Alargada!D$61:D$76&lt;&gt;"")*Parametros_Alargados!$I$65:$I$80))</f>
        <v/>
      </c>
      <c r="E6" s="115">
        <f>IF(SUMPRODUCT((Normalizacao_Alargada!E$61:E$76&lt;&gt;"")*1)&lt;Parametros_Alargados!$B$2*B6,"",SUMPRODUCT(IFERROR(Normalizacao_Alargada!E$61:E$76*Parametros_Alargados!$I$65:$I$80,0))/SUMPRODUCT((Normalizacao_Alargada!E$61:E$76&lt;&gt;"")*Parametros_Alargados!$I$65:$I$80))</f>
        <v/>
      </c>
      <c r="F6" s="115">
        <f>IF(SUMPRODUCT((Normalizacao_Alargada!F$61:F$76&lt;&gt;"")*1)&lt;Parametros_Alargados!$B$2*B6,"",SUMPRODUCT(IFERROR(Normalizacao_Alargada!F$61:F$76*Parametros_Alargados!$I$65:$I$80,0))/SUMPRODUCT((Normalizacao_Alargada!F$61:F$76&lt;&gt;"")*Parametros_Alargados!$I$65:$I$80))</f>
        <v/>
      </c>
      <c r="G6" s="115">
        <f>IF(SUMPRODUCT((Normalizacao_Alargada!G$61:G$76&lt;&gt;"")*1)&lt;Parametros_Alargados!$B$2*B6,"",SUMPRODUCT(IFERROR(Normalizacao_Alargada!G$61:G$76*Parametros_Alargados!$I$65:$I$80,0))/SUMPRODUCT((Normalizacao_Alargada!G$61:G$76&lt;&gt;"")*Parametros_Alargados!$I$65:$I$80))</f>
        <v/>
      </c>
      <c r="H6" s="115">
        <f>IF(SUMPRODUCT((Normalizacao_Alargada!H$61:H$76&lt;&gt;"")*1)&lt;Parametros_Alargados!$B$2*B6,"",SUMPRODUCT(IFERROR(Normalizacao_Alargada!H$61:H$76*Parametros_Alargados!$I$65:$I$80,0))/SUMPRODUCT((Normalizacao_Alargada!H$61:H$76&lt;&gt;"")*Parametros_Alargados!$I$65:$I$80))</f>
        <v/>
      </c>
      <c r="I6" s="115">
        <f>IF(SUMPRODUCT((Normalizacao_Alargada!I$61:I$76&lt;&gt;"")*1)&lt;Parametros_Alargados!$B$2*B6,"",SUMPRODUCT(IFERROR(Normalizacao_Alargada!I$61:I$76*Parametros_Alargados!$I$65:$I$80,0))/SUMPRODUCT((Normalizacao_Alargada!I$61:I$76&lt;&gt;"")*Parametros_Alargados!$I$65:$I$80))</f>
        <v/>
      </c>
      <c r="J6" s="115">
        <f>IF(SUMPRODUCT((Normalizacao_Alargada!J$61:J$76&lt;&gt;"")*1)&lt;Parametros_Alargados!$B$2*B6,"",SUMPRODUCT(IFERROR(Normalizacao_Alargada!J$61:J$76*Parametros_Alargados!$I$65:$I$80,0))/SUMPRODUCT((Normalizacao_Alargada!J$61:J$76&lt;&gt;"")*Parametros_Alargados!$I$65:$I$80))</f>
        <v/>
      </c>
      <c r="K6" s="115">
        <f>IF(SUMPRODUCT((Normalizacao_Alargada!K$61:K$76&lt;&gt;"")*1)&lt;Parametros_Alargados!$B$2*B6,"",SUMPRODUCT(IFERROR(Normalizacao_Alargada!K$61:K$76*Parametros_Alargados!$I$65:$I$80,0))/SUMPRODUCT((Normalizacao_Alargada!K$61:K$76&lt;&gt;"")*Parametros_Alargados!$I$65:$I$80))</f>
        <v/>
      </c>
      <c r="L6" s="115">
        <f>IF(SUMPRODUCT((Normalizacao_Alargada!L$61:L$76&lt;&gt;"")*1)&lt;Parametros_Alargados!$B$2*B6,"",SUMPRODUCT(IFERROR(Normalizacao_Alargada!L$61:L$76*Parametros_Alargados!$I$65:$I$80,0))/SUMPRODUCT((Normalizacao_Alargada!L$61:L$76&lt;&gt;"")*Parametros_Alargados!$I$65:$I$80))</f>
        <v/>
      </c>
      <c r="M6" s="115">
        <f>IF(SUMPRODUCT((Normalizacao_Alargada!M$61:M$76&lt;&gt;"")*1)&lt;Parametros_Alargados!$B$2*B6,"",SUMPRODUCT(IFERROR(Normalizacao_Alargada!M$61:M$76*Parametros_Alargados!$I$65:$I$80,0))/SUMPRODUCT((Normalizacao_Alargada!M$61:M$76&lt;&gt;"")*Parametros_Alargados!$I$65:$I$80))</f>
        <v/>
      </c>
    </row>
    <row r="7">
      <c r="A7" t="inlineStr">
        <is>
          <t>6. Mercado de Trabalho</t>
        </is>
      </c>
      <c r="B7" t="n">
        <v>16</v>
      </c>
      <c r="C7" s="115">
        <f>IF(SUMPRODUCT((Normalizacao_Alargada!C$77:C$92&lt;&gt;"")*1)&lt;Parametros_Alargados!$B$2*B7,"",SUMPRODUCT(IFERROR(Normalizacao_Alargada!C$77:C$92*Parametros_Alargados!$I$81:$I$96,0))/SUMPRODUCT((Normalizacao_Alargada!C$77:C$92&lt;&gt;"")*Parametros_Alargados!$I$81:$I$96))</f>
        <v/>
      </c>
      <c r="D7" s="115">
        <f>IF(SUMPRODUCT((Normalizacao_Alargada!D$77:D$92&lt;&gt;"")*1)&lt;Parametros_Alargados!$B$2*B7,"",SUMPRODUCT(IFERROR(Normalizacao_Alargada!D$77:D$92*Parametros_Alargados!$I$81:$I$96,0))/SUMPRODUCT((Normalizacao_Alargada!D$77:D$92&lt;&gt;"")*Parametros_Alargados!$I$81:$I$96))</f>
        <v/>
      </c>
      <c r="E7" s="115">
        <f>IF(SUMPRODUCT((Normalizacao_Alargada!E$77:E$92&lt;&gt;"")*1)&lt;Parametros_Alargados!$B$2*B7,"",SUMPRODUCT(IFERROR(Normalizacao_Alargada!E$77:E$92*Parametros_Alargados!$I$81:$I$96,0))/SUMPRODUCT((Normalizacao_Alargada!E$77:E$92&lt;&gt;"")*Parametros_Alargados!$I$81:$I$96))</f>
        <v/>
      </c>
      <c r="F7" s="115">
        <f>IF(SUMPRODUCT((Normalizacao_Alargada!F$77:F$92&lt;&gt;"")*1)&lt;Parametros_Alargados!$B$2*B7,"",SUMPRODUCT(IFERROR(Normalizacao_Alargada!F$77:F$92*Parametros_Alargados!$I$81:$I$96,0))/SUMPRODUCT((Normalizacao_Alargada!F$77:F$92&lt;&gt;"")*Parametros_Alargados!$I$81:$I$96))</f>
        <v/>
      </c>
      <c r="G7" s="115">
        <f>IF(SUMPRODUCT((Normalizacao_Alargada!G$77:G$92&lt;&gt;"")*1)&lt;Parametros_Alargados!$B$2*B7,"",SUMPRODUCT(IFERROR(Normalizacao_Alargada!G$77:G$92*Parametros_Alargados!$I$81:$I$96,0))/SUMPRODUCT((Normalizacao_Alargada!G$77:G$92&lt;&gt;"")*Parametros_Alargados!$I$81:$I$96))</f>
        <v/>
      </c>
      <c r="H7" s="115">
        <f>IF(SUMPRODUCT((Normalizacao_Alargada!H$77:H$92&lt;&gt;"")*1)&lt;Parametros_Alargados!$B$2*B7,"",SUMPRODUCT(IFERROR(Normalizacao_Alargada!H$77:H$92*Parametros_Alargados!$I$81:$I$96,0))/SUMPRODUCT((Normalizacao_Alargada!H$77:H$92&lt;&gt;"")*Parametros_Alargados!$I$81:$I$96))</f>
        <v/>
      </c>
      <c r="I7" s="115">
        <f>IF(SUMPRODUCT((Normalizacao_Alargada!I$77:I$92&lt;&gt;"")*1)&lt;Parametros_Alargados!$B$2*B7,"",SUMPRODUCT(IFERROR(Normalizacao_Alargada!I$77:I$92*Parametros_Alargados!$I$81:$I$96,0))/SUMPRODUCT((Normalizacao_Alargada!I$77:I$92&lt;&gt;"")*Parametros_Alargados!$I$81:$I$96))</f>
        <v/>
      </c>
      <c r="J7" s="115">
        <f>IF(SUMPRODUCT((Normalizacao_Alargada!J$77:J$92&lt;&gt;"")*1)&lt;Parametros_Alargados!$B$2*B7,"",SUMPRODUCT(IFERROR(Normalizacao_Alargada!J$77:J$92*Parametros_Alargados!$I$81:$I$96,0))/SUMPRODUCT((Normalizacao_Alargada!J$77:J$92&lt;&gt;"")*Parametros_Alargados!$I$81:$I$96))</f>
        <v/>
      </c>
      <c r="K7" s="115">
        <f>IF(SUMPRODUCT((Normalizacao_Alargada!K$77:K$92&lt;&gt;"")*1)&lt;Parametros_Alargados!$B$2*B7,"",SUMPRODUCT(IFERROR(Normalizacao_Alargada!K$77:K$92*Parametros_Alargados!$I$81:$I$96,0))/SUMPRODUCT((Normalizacao_Alargada!K$77:K$92&lt;&gt;"")*Parametros_Alargados!$I$81:$I$96))</f>
        <v/>
      </c>
      <c r="L7" s="115">
        <f>IF(SUMPRODUCT((Normalizacao_Alargada!L$77:L$92&lt;&gt;"")*1)&lt;Parametros_Alargados!$B$2*B7,"",SUMPRODUCT(IFERROR(Normalizacao_Alargada!L$77:L$92*Parametros_Alargados!$I$81:$I$96,0))/SUMPRODUCT((Normalizacao_Alargada!L$77:L$92&lt;&gt;"")*Parametros_Alargados!$I$81:$I$96))</f>
        <v/>
      </c>
      <c r="M7" s="115">
        <f>IF(SUMPRODUCT((Normalizacao_Alargada!M$77:M$92&lt;&gt;"")*1)&lt;Parametros_Alargados!$B$2*B7,"",SUMPRODUCT(IFERROR(Normalizacao_Alargada!M$77:M$92*Parametros_Alargados!$I$81:$I$96,0))/SUMPRODUCT((Normalizacao_Alargada!M$77:M$92&lt;&gt;"")*Parametros_Alargados!$I$81:$I$96))</f>
        <v/>
      </c>
    </row>
    <row r="8">
      <c r="A8" t="inlineStr">
        <is>
          <t>7. Segurança Alimentar e Saúde</t>
        </is>
      </c>
      <c r="B8" t="n">
        <v>18</v>
      </c>
      <c r="C8" s="115">
        <f>IF(SUMPRODUCT((Normalizacao_Alargada!C$93:C$110&lt;&gt;"")*1)&lt;Parametros_Alargados!$B$2*B8,"",SUMPRODUCT(IFERROR(Normalizacao_Alargada!C$93:C$110*Parametros_Alargados!$I$97:$I$114,0))/SUMPRODUCT((Normalizacao_Alargada!C$93:C$110&lt;&gt;"")*Parametros_Alargados!$I$97:$I$114))</f>
        <v/>
      </c>
      <c r="D8" s="115">
        <f>IF(SUMPRODUCT((Normalizacao_Alargada!D$93:D$110&lt;&gt;"")*1)&lt;Parametros_Alargados!$B$2*B8,"",SUMPRODUCT(IFERROR(Normalizacao_Alargada!D$93:D$110*Parametros_Alargados!$I$97:$I$114,0))/SUMPRODUCT((Normalizacao_Alargada!D$93:D$110&lt;&gt;"")*Parametros_Alargados!$I$97:$I$114))</f>
        <v/>
      </c>
      <c r="E8" s="115">
        <f>IF(SUMPRODUCT((Normalizacao_Alargada!E$93:E$110&lt;&gt;"")*1)&lt;Parametros_Alargados!$B$2*B8,"",SUMPRODUCT(IFERROR(Normalizacao_Alargada!E$93:E$110*Parametros_Alargados!$I$97:$I$114,0))/SUMPRODUCT((Normalizacao_Alargada!E$93:E$110&lt;&gt;"")*Parametros_Alargados!$I$97:$I$114))</f>
        <v/>
      </c>
      <c r="F8" s="115">
        <f>IF(SUMPRODUCT((Normalizacao_Alargada!F$93:F$110&lt;&gt;"")*1)&lt;Parametros_Alargados!$B$2*B8,"",SUMPRODUCT(IFERROR(Normalizacao_Alargada!F$93:F$110*Parametros_Alargados!$I$97:$I$114,0))/SUMPRODUCT((Normalizacao_Alargada!F$93:F$110&lt;&gt;"")*Parametros_Alargados!$I$97:$I$114))</f>
        <v/>
      </c>
      <c r="G8" s="115">
        <f>IF(SUMPRODUCT((Normalizacao_Alargada!G$93:G$110&lt;&gt;"")*1)&lt;Parametros_Alargados!$B$2*B8,"",SUMPRODUCT(IFERROR(Normalizacao_Alargada!G$93:G$110*Parametros_Alargados!$I$97:$I$114,0))/SUMPRODUCT((Normalizacao_Alargada!G$93:G$110&lt;&gt;"")*Parametros_Alargados!$I$97:$I$114))</f>
        <v/>
      </c>
      <c r="H8" s="115">
        <f>IF(SUMPRODUCT((Normalizacao_Alargada!H$93:H$110&lt;&gt;"")*1)&lt;Parametros_Alargados!$B$2*B8,"",SUMPRODUCT(IFERROR(Normalizacao_Alargada!H$93:H$110*Parametros_Alargados!$I$97:$I$114,0))/SUMPRODUCT((Normalizacao_Alargada!H$93:H$110&lt;&gt;"")*Parametros_Alargados!$I$97:$I$114))</f>
        <v/>
      </c>
      <c r="I8" s="115">
        <f>IF(SUMPRODUCT((Normalizacao_Alargada!I$93:I$110&lt;&gt;"")*1)&lt;Parametros_Alargados!$B$2*B8,"",SUMPRODUCT(IFERROR(Normalizacao_Alargada!I$93:I$110*Parametros_Alargados!$I$97:$I$114,0))/SUMPRODUCT((Normalizacao_Alargada!I$93:I$110&lt;&gt;"")*Parametros_Alargados!$I$97:$I$114))</f>
        <v/>
      </c>
      <c r="J8" s="115">
        <f>IF(SUMPRODUCT((Normalizacao_Alargada!J$93:J$110&lt;&gt;"")*1)&lt;Parametros_Alargados!$B$2*B8,"",SUMPRODUCT(IFERROR(Normalizacao_Alargada!J$93:J$110*Parametros_Alargados!$I$97:$I$114,0))/SUMPRODUCT((Normalizacao_Alargada!J$93:J$110&lt;&gt;"")*Parametros_Alargados!$I$97:$I$114))</f>
        <v/>
      </c>
      <c r="K8" s="115">
        <f>IF(SUMPRODUCT((Normalizacao_Alargada!K$93:K$110&lt;&gt;"")*1)&lt;Parametros_Alargados!$B$2*B8,"",SUMPRODUCT(IFERROR(Normalizacao_Alargada!K$93:K$110*Parametros_Alargados!$I$97:$I$114,0))/SUMPRODUCT((Normalizacao_Alargada!K$93:K$110&lt;&gt;"")*Parametros_Alargados!$I$97:$I$114))</f>
        <v/>
      </c>
      <c r="L8" s="115">
        <f>IF(SUMPRODUCT((Normalizacao_Alargada!L$93:L$110&lt;&gt;"")*1)&lt;Parametros_Alargados!$B$2*B8,"",SUMPRODUCT(IFERROR(Normalizacao_Alargada!L$93:L$110*Parametros_Alargados!$I$97:$I$114,0))/SUMPRODUCT((Normalizacao_Alargada!L$93:L$110&lt;&gt;"")*Parametros_Alargados!$I$97:$I$114))</f>
        <v/>
      </c>
      <c r="M8" s="115">
        <f>IF(SUMPRODUCT((Normalizacao_Alargada!M$93:M$110&lt;&gt;"")*1)&lt;Parametros_Alargados!$B$2*B8,"",SUMPRODUCT(IFERROR(Normalizacao_Alargada!M$93:M$110*Parametros_Alargados!$I$97:$I$114,0))/SUMPRODUCT((Normalizacao_Alargada!M$93:M$110&lt;&gt;"")*Parametros_Alargados!$I$97:$I$114))</f>
        <v/>
      </c>
    </row>
    <row r="9"/>
    <row r="10"/>
    <row r="11">
      <c r="A11" s="108" t="inlineStr">
        <is>
          <t>Diagnóstico de cobertura</t>
        </is>
      </c>
    </row>
    <row r="12">
      <c r="A12" s="116" t="inlineStr">
        <is>
          <t>Subíndice</t>
        </is>
      </c>
      <c r="B12" s="116" t="inlineStr">
        <is>
          <t>Nº indicadores</t>
        </is>
      </c>
      <c r="C12" s="116" t="inlineStr">
        <is>
          <t>2015</t>
        </is>
      </c>
      <c r="D12" s="116" t="inlineStr">
        <is>
          <t>2016</t>
        </is>
      </c>
      <c r="E12" s="116" t="inlineStr">
        <is>
          <t>2017</t>
        </is>
      </c>
      <c r="F12" s="116" t="inlineStr">
        <is>
          <t>2018</t>
        </is>
      </c>
      <c r="G12" s="116" t="inlineStr">
        <is>
          <t>2019</t>
        </is>
      </c>
      <c r="H12" s="116" t="inlineStr">
        <is>
          <t>2020</t>
        </is>
      </c>
      <c r="I12" s="116" t="inlineStr">
        <is>
          <t>2021</t>
        </is>
      </c>
      <c r="J12" s="116" t="inlineStr">
        <is>
          <t>2022</t>
        </is>
      </c>
      <c r="K12" s="116" t="inlineStr">
        <is>
          <t>2023</t>
        </is>
      </c>
      <c r="L12" s="116" t="inlineStr">
        <is>
          <t>2024</t>
        </is>
      </c>
      <c r="M12" s="116" t="inlineStr">
        <is>
          <t>2025</t>
        </is>
      </c>
    </row>
    <row r="13">
      <c r="A13" t="inlineStr">
        <is>
          <t>1. Governança e Estado de Direito</t>
        </is>
      </c>
      <c r="B13" t="n">
        <v>13</v>
      </c>
      <c r="C13" s="115">
        <f>SUMPRODUCT((Normalizacao_Alargada!C$2:C$14&lt;&gt;"")*1)&amp;"/"&amp;B13</f>
        <v/>
      </c>
      <c r="D13" s="115">
        <f>SUMPRODUCT((Normalizacao_Alargada!D$2:D$14&lt;&gt;"")*1)&amp;"/"&amp;B13</f>
        <v/>
      </c>
      <c r="E13" s="115">
        <f>SUMPRODUCT((Normalizacao_Alargada!E$2:E$14&lt;&gt;"")*1)&amp;"/"&amp;B13</f>
        <v/>
      </c>
      <c r="F13" s="115">
        <f>SUMPRODUCT((Normalizacao_Alargada!F$2:F$14&lt;&gt;"")*1)&amp;"/"&amp;B13</f>
        <v/>
      </c>
      <c r="G13" s="115">
        <f>SUMPRODUCT((Normalizacao_Alargada!G$2:G$14&lt;&gt;"")*1)&amp;"/"&amp;B13</f>
        <v/>
      </c>
      <c r="H13" s="115">
        <f>SUMPRODUCT((Normalizacao_Alargada!H$2:H$14&lt;&gt;"")*1)&amp;"/"&amp;B13</f>
        <v/>
      </c>
      <c r="I13" s="115">
        <f>SUMPRODUCT((Normalizacao_Alargada!I$2:I$14&lt;&gt;"")*1)&amp;"/"&amp;B13</f>
        <v/>
      </c>
      <c r="J13" s="115">
        <f>SUMPRODUCT((Normalizacao_Alargada!J$2:J$14&lt;&gt;"")*1)&amp;"/"&amp;B13</f>
        <v/>
      </c>
      <c r="K13" s="115">
        <f>SUMPRODUCT((Normalizacao_Alargada!K$2:K$14&lt;&gt;"")*1)&amp;"/"&amp;B13</f>
        <v/>
      </c>
      <c r="L13" s="115">
        <f>SUMPRODUCT((Normalizacao_Alargada!L$2:L$14&lt;&gt;"")*1)&amp;"/"&amp;B13</f>
        <v/>
      </c>
      <c r="M13" s="115">
        <f>SUMPRODUCT((Normalizacao_Alargada!M$2:M$14&lt;&gt;"")*1)&amp;"/"&amp;B13</f>
        <v/>
      </c>
    </row>
    <row r="14">
      <c r="A14" t="inlineStr">
        <is>
          <t>2. Estabilidade Macroeconómica</t>
        </is>
      </c>
      <c r="B14" t="n">
        <v>16</v>
      </c>
      <c r="C14" s="115">
        <f>SUMPRODUCT((Normalizacao_Alargada!C$15:C$30&lt;&gt;"")*1)&amp;"/"&amp;B14</f>
        <v/>
      </c>
      <c r="D14" s="115">
        <f>SUMPRODUCT((Normalizacao_Alargada!D$15:D$30&lt;&gt;"")*1)&amp;"/"&amp;B14</f>
        <v/>
      </c>
      <c r="E14" s="115">
        <f>SUMPRODUCT((Normalizacao_Alargada!E$15:E$30&lt;&gt;"")*1)&amp;"/"&amp;B14</f>
        <v/>
      </c>
      <c r="F14" s="115">
        <f>SUMPRODUCT((Normalizacao_Alargada!F$15:F$30&lt;&gt;"")*1)&amp;"/"&amp;B14</f>
        <v/>
      </c>
      <c r="G14" s="115">
        <f>SUMPRODUCT((Normalizacao_Alargada!G$15:G$30&lt;&gt;"")*1)&amp;"/"&amp;B14</f>
        <v/>
      </c>
      <c r="H14" s="115">
        <f>SUMPRODUCT((Normalizacao_Alargada!H$15:H$30&lt;&gt;"")*1)&amp;"/"&amp;B14</f>
        <v/>
      </c>
      <c r="I14" s="115">
        <f>SUMPRODUCT((Normalizacao_Alargada!I$15:I$30&lt;&gt;"")*1)&amp;"/"&amp;B14</f>
        <v/>
      </c>
      <c r="J14" s="115">
        <f>SUMPRODUCT((Normalizacao_Alargada!J$15:J$30&lt;&gt;"")*1)&amp;"/"&amp;B14</f>
        <v/>
      </c>
      <c r="K14" s="115">
        <f>SUMPRODUCT((Normalizacao_Alargada!K$15:K$30&lt;&gt;"")*1)&amp;"/"&amp;B14</f>
        <v/>
      </c>
      <c r="L14" s="115">
        <f>SUMPRODUCT((Normalizacao_Alargada!L$15:L$30&lt;&gt;"")*1)&amp;"/"&amp;B14</f>
        <v/>
      </c>
      <c r="M14" s="115">
        <f>SUMPRODUCT((Normalizacao_Alargada!M$15:M$30&lt;&gt;"")*1)&amp;"/"&amp;B14</f>
        <v/>
      </c>
    </row>
    <row r="15">
      <c r="A15" t="inlineStr">
        <is>
          <t>3. Capital Humano</t>
        </is>
      </c>
      <c r="B15" t="n">
        <v>15</v>
      </c>
      <c r="C15" s="115">
        <f>SUMPRODUCT((Normalizacao_Alargada!C$31:C$45&lt;&gt;"")*1)&amp;"/"&amp;B15</f>
        <v/>
      </c>
      <c r="D15" s="115">
        <f>SUMPRODUCT((Normalizacao_Alargada!D$31:D$45&lt;&gt;"")*1)&amp;"/"&amp;B15</f>
        <v/>
      </c>
      <c r="E15" s="115">
        <f>SUMPRODUCT((Normalizacao_Alargada!E$31:E$45&lt;&gt;"")*1)&amp;"/"&amp;B15</f>
        <v/>
      </c>
      <c r="F15" s="115">
        <f>SUMPRODUCT((Normalizacao_Alargada!F$31:F$45&lt;&gt;"")*1)&amp;"/"&amp;B15</f>
        <v/>
      </c>
      <c r="G15" s="115">
        <f>SUMPRODUCT((Normalizacao_Alargada!G$31:G$45&lt;&gt;"")*1)&amp;"/"&amp;B15</f>
        <v/>
      </c>
      <c r="H15" s="115">
        <f>SUMPRODUCT((Normalizacao_Alargada!H$31:H$45&lt;&gt;"")*1)&amp;"/"&amp;B15</f>
        <v/>
      </c>
      <c r="I15" s="115">
        <f>SUMPRODUCT((Normalizacao_Alargada!I$31:I$45&lt;&gt;"")*1)&amp;"/"&amp;B15</f>
        <v/>
      </c>
      <c r="J15" s="115">
        <f>SUMPRODUCT((Normalizacao_Alargada!J$31:J$45&lt;&gt;"")*1)&amp;"/"&amp;B15</f>
        <v/>
      </c>
      <c r="K15" s="115">
        <f>SUMPRODUCT((Normalizacao_Alargada!K$31:K$45&lt;&gt;"")*1)&amp;"/"&amp;B15</f>
        <v/>
      </c>
      <c r="L15" s="115">
        <f>SUMPRODUCT((Normalizacao_Alargada!L$31:L$45&lt;&gt;"")*1)&amp;"/"&amp;B15</f>
        <v/>
      </c>
      <c r="M15" s="115">
        <f>SUMPRODUCT((Normalizacao_Alargada!M$31:M$45&lt;&gt;"")*1)&amp;"/"&amp;B15</f>
        <v/>
      </c>
    </row>
    <row r="16">
      <c r="A16" t="inlineStr">
        <is>
          <t>4. Inclusão Social e Protecção</t>
        </is>
      </c>
      <c r="B16" t="n">
        <v>15</v>
      </c>
      <c r="C16" s="115">
        <f>SUMPRODUCT((Normalizacao_Alargada!C$46:C$60&lt;&gt;"")*1)&amp;"/"&amp;B16</f>
        <v/>
      </c>
      <c r="D16" s="115">
        <f>SUMPRODUCT((Normalizacao_Alargada!D$46:D$60&lt;&gt;"")*1)&amp;"/"&amp;B16</f>
        <v/>
      </c>
      <c r="E16" s="115">
        <f>SUMPRODUCT((Normalizacao_Alargada!E$46:E$60&lt;&gt;"")*1)&amp;"/"&amp;B16</f>
        <v/>
      </c>
      <c r="F16" s="115">
        <f>SUMPRODUCT((Normalizacao_Alargada!F$46:F$60&lt;&gt;"")*1)&amp;"/"&amp;B16</f>
        <v/>
      </c>
      <c r="G16" s="115">
        <f>SUMPRODUCT((Normalizacao_Alargada!G$46:G$60&lt;&gt;"")*1)&amp;"/"&amp;B16</f>
        <v/>
      </c>
      <c r="H16" s="115">
        <f>SUMPRODUCT((Normalizacao_Alargada!H$46:H$60&lt;&gt;"")*1)&amp;"/"&amp;B16</f>
        <v/>
      </c>
      <c r="I16" s="115">
        <f>SUMPRODUCT((Normalizacao_Alargada!I$46:I$60&lt;&gt;"")*1)&amp;"/"&amp;B16</f>
        <v/>
      </c>
      <c r="J16" s="115">
        <f>SUMPRODUCT((Normalizacao_Alargada!J$46:J$60&lt;&gt;"")*1)&amp;"/"&amp;B16</f>
        <v/>
      </c>
      <c r="K16" s="115">
        <f>SUMPRODUCT((Normalizacao_Alargada!K$46:K$60&lt;&gt;"")*1)&amp;"/"&amp;B16</f>
        <v/>
      </c>
      <c r="L16" s="115">
        <f>SUMPRODUCT((Normalizacao_Alargada!L$46:L$60&lt;&gt;"")*1)&amp;"/"&amp;B16</f>
        <v/>
      </c>
      <c r="M16" s="115">
        <f>SUMPRODUCT((Normalizacao_Alargada!M$46:M$60&lt;&gt;"")*1)&amp;"/"&amp;B16</f>
        <v/>
      </c>
    </row>
    <row r="17">
      <c r="A17" t="inlineStr">
        <is>
          <t>5. Infraestruturas e Serviços</t>
        </is>
      </c>
      <c r="B17" t="n">
        <v>16</v>
      </c>
      <c r="C17" s="115">
        <f>SUMPRODUCT((Normalizacao_Alargada!C$61:C$76&lt;&gt;"")*1)&amp;"/"&amp;B17</f>
        <v/>
      </c>
      <c r="D17" s="115">
        <f>SUMPRODUCT((Normalizacao_Alargada!D$61:D$76&lt;&gt;"")*1)&amp;"/"&amp;B17</f>
        <v/>
      </c>
      <c r="E17" s="115">
        <f>SUMPRODUCT((Normalizacao_Alargada!E$61:E$76&lt;&gt;"")*1)&amp;"/"&amp;B17</f>
        <v/>
      </c>
      <c r="F17" s="115">
        <f>SUMPRODUCT((Normalizacao_Alargada!F$61:F$76&lt;&gt;"")*1)&amp;"/"&amp;B17</f>
        <v/>
      </c>
      <c r="G17" s="115">
        <f>SUMPRODUCT((Normalizacao_Alargada!G$61:G$76&lt;&gt;"")*1)&amp;"/"&amp;B17</f>
        <v/>
      </c>
      <c r="H17" s="115">
        <f>SUMPRODUCT((Normalizacao_Alargada!H$61:H$76&lt;&gt;"")*1)&amp;"/"&amp;B17</f>
        <v/>
      </c>
      <c r="I17" s="115">
        <f>SUMPRODUCT((Normalizacao_Alargada!I$61:I$76&lt;&gt;"")*1)&amp;"/"&amp;B17</f>
        <v/>
      </c>
      <c r="J17" s="115">
        <f>SUMPRODUCT((Normalizacao_Alargada!J$61:J$76&lt;&gt;"")*1)&amp;"/"&amp;B17</f>
        <v/>
      </c>
      <c r="K17" s="115">
        <f>SUMPRODUCT((Normalizacao_Alargada!K$61:K$76&lt;&gt;"")*1)&amp;"/"&amp;B17</f>
        <v/>
      </c>
      <c r="L17" s="115">
        <f>SUMPRODUCT((Normalizacao_Alargada!L$61:L$76&lt;&gt;"")*1)&amp;"/"&amp;B17</f>
        <v/>
      </c>
      <c r="M17" s="115">
        <f>SUMPRODUCT((Normalizacao_Alargada!M$61:M$76&lt;&gt;"")*1)&amp;"/"&amp;B17</f>
        <v/>
      </c>
    </row>
    <row r="18">
      <c r="A18" t="inlineStr">
        <is>
          <t>6. Mercado de Trabalho</t>
        </is>
      </c>
      <c r="B18" t="n">
        <v>16</v>
      </c>
      <c r="C18" s="115">
        <f>SUMPRODUCT((Normalizacao_Alargada!C$77:C$92&lt;&gt;"")*1)&amp;"/"&amp;B18</f>
        <v/>
      </c>
      <c r="D18" s="115">
        <f>SUMPRODUCT((Normalizacao_Alargada!D$77:D$92&lt;&gt;"")*1)&amp;"/"&amp;B18</f>
        <v/>
      </c>
      <c r="E18" s="115">
        <f>SUMPRODUCT((Normalizacao_Alargada!E$77:E$92&lt;&gt;"")*1)&amp;"/"&amp;B18</f>
        <v/>
      </c>
      <c r="F18" s="115">
        <f>SUMPRODUCT((Normalizacao_Alargada!F$77:F$92&lt;&gt;"")*1)&amp;"/"&amp;B18</f>
        <v/>
      </c>
      <c r="G18" s="115">
        <f>SUMPRODUCT((Normalizacao_Alargada!G$77:G$92&lt;&gt;"")*1)&amp;"/"&amp;B18</f>
        <v/>
      </c>
      <c r="H18" s="115">
        <f>SUMPRODUCT((Normalizacao_Alargada!H$77:H$92&lt;&gt;"")*1)&amp;"/"&amp;B18</f>
        <v/>
      </c>
      <c r="I18" s="115">
        <f>SUMPRODUCT((Normalizacao_Alargada!I$77:I$92&lt;&gt;"")*1)&amp;"/"&amp;B18</f>
        <v/>
      </c>
      <c r="J18" s="115">
        <f>SUMPRODUCT((Normalizacao_Alargada!J$77:J$92&lt;&gt;"")*1)&amp;"/"&amp;B18</f>
        <v/>
      </c>
      <c r="K18" s="115">
        <f>SUMPRODUCT((Normalizacao_Alargada!K$77:K$92&lt;&gt;"")*1)&amp;"/"&amp;B18</f>
        <v/>
      </c>
      <c r="L18" s="115">
        <f>SUMPRODUCT((Normalizacao_Alargada!L$77:L$92&lt;&gt;"")*1)&amp;"/"&amp;B18</f>
        <v/>
      </c>
      <c r="M18" s="115">
        <f>SUMPRODUCT((Normalizacao_Alargada!M$77:M$92&lt;&gt;"")*1)&amp;"/"&amp;B18</f>
        <v/>
      </c>
    </row>
    <row r="19">
      <c r="A19" t="inlineStr">
        <is>
          <t>7. Segurança Alimentar e Saúde</t>
        </is>
      </c>
      <c r="B19" t="n">
        <v>18</v>
      </c>
      <c r="C19" s="115">
        <f>SUMPRODUCT((Normalizacao_Alargada!C$93:C$110&lt;&gt;"")*1)&amp;"/"&amp;B19</f>
        <v/>
      </c>
      <c r="D19" s="115">
        <f>SUMPRODUCT((Normalizacao_Alargada!D$93:D$110&lt;&gt;"")*1)&amp;"/"&amp;B19</f>
        <v/>
      </c>
      <c r="E19" s="115">
        <f>SUMPRODUCT((Normalizacao_Alargada!E$93:E$110&lt;&gt;"")*1)&amp;"/"&amp;B19</f>
        <v/>
      </c>
      <c r="F19" s="115">
        <f>SUMPRODUCT((Normalizacao_Alargada!F$93:F$110&lt;&gt;"")*1)&amp;"/"&amp;B19</f>
        <v/>
      </c>
      <c r="G19" s="115">
        <f>SUMPRODUCT((Normalizacao_Alargada!G$93:G$110&lt;&gt;"")*1)&amp;"/"&amp;B19</f>
        <v/>
      </c>
      <c r="H19" s="115">
        <f>SUMPRODUCT((Normalizacao_Alargada!H$93:H$110&lt;&gt;"")*1)&amp;"/"&amp;B19</f>
        <v/>
      </c>
      <c r="I19" s="115">
        <f>SUMPRODUCT((Normalizacao_Alargada!I$93:I$110&lt;&gt;"")*1)&amp;"/"&amp;B19</f>
        <v/>
      </c>
      <c r="J19" s="115">
        <f>SUMPRODUCT((Normalizacao_Alargada!J$93:J$110&lt;&gt;"")*1)&amp;"/"&amp;B19</f>
        <v/>
      </c>
      <c r="K19" s="115">
        <f>SUMPRODUCT((Normalizacao_Alargada!K$93:K$110&lt;&gt;"")*1)&amp;"/"&amp;B19</f>
        <v/>
      </c>
      <c r="L19" s="115">
        <f>SUMPRODUCT((Normalizacao_Alargada!L$93:L$110&lt;&gt;"")*1)&amp;"/"&amp;B19</f>
        <v/>
      </c>
      <c r="M19" s="115">
        <f>SUMPRODUCT((Normalizacao_Alargada!M$93:M$110&lt;&gt;"")*1)&amp;"/"&amp;B19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style="50" min="1" max="1"/>
    <col width="10" customWidth="1" style="50" min="2" max="2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  <col width="13" customWidth="1" style="50" min="11" max="11"/>
    <col width="13" customWidth="1" style="50" min="12" max="12"/>
    <col width="13" customWidth="1" style="50" min="13" max="13"/>
  </cols>
  <sheetData>
    <row r="1">
      <c r="A1" s="97" t="inlineStr">
        <is>
          <t>Índice global alargado IGDA-BDA</t>
        </is>
      </c>
    </row>
    <row r="2"/>
    <row r="3">
      <c r="A3" s="114" t="inlineStr">
        <is>
          <t>Componente</t>
        </is>
      </c>
      <c r="B3" s="114" t="inlineStr">
        <is>
          <t>Peso</t>
        </is>
      </c>
      <c r="C3" s="114" t="inlineStr">
        <is>
          <t>2015</t>
        </is>
      </c>
      <c r="D3" s="114" t="inlineStr">
        <is>
          <t>2016</t>
        </is>
      </c>
      <c r="E3" s="114" t="inlineStr">
        <is>
          <t>2017</t>
        </is>
      </c>
      <c r="F3" s="114" t="inlineStr">
        <is>
          <t>2018</t>
        </is>
      </c>
      <c r="G3" s="114" t="inlineStr">
        <is>
          <t>2019</t>
        </is>
      </c>
      <c r="H3" s="114" t="inlineStr">
        <is>
          <t>2020</t>
        </is>
      </c>
      <c r="I3" s="114" t="inlineStr">
        <is>
          <t>2021</t>
        </is>
      </c>
      <c r="J3" s="114" t="inlineStr">
        <is>
          <t>2022</t>
        </is>
      </c>
      <c r="K3" s="114" t="inlineStr">
        <is>
          <t>2023</t>
        </is>
      </c>
      <c r="L3" s="114" t="inlineStr">
        <is>
          <t>2024</t>
        </is>
      </c>
      <c r="M3" s="114" t="inlineStr">
        <is>
          <t>2025</t>
        </is>
      </c>
    </row>
    <row r="4">
      <c r="A4" t="inlineStr">
        <is>
          <t>1. Governança e Estado de Direito</t>
        </is>
      </c>
      <c r="B4" t="n">
        <v>1</v>
      </c>
      <c r="C4" s="115">
        <f>Subindices_Alargados!C2</f>
        <v/>
      </c>
      <c r="D4" s="115">
        <f>Subindices_Alargados!D2</f>
        <v/>
      </c>
      <c r="E4" s="115">
        <f>Subindices_Alargados!E2</f>
        <v/>
      </c>
      <c r="F4" s="115">
        <f>Subindices_Alargados!F2</f>
        <v/>
      </c>
      <c r="G4" s="115">
        <f>Subindices_Alargados!G2</f>
        <v/>
      </c>
      <c r="H4" s="115">
        <f>Subindices_Alargados!H2</f>
        <v/>
      </c>
      <c r="I4" s="115">
        <f>Subindices_Alargados!I2</f>
        <v/>
      </c>
      <c r="J4" s="115">
        <f>Subindices_Alargados!J2</f>
        <v/>
      </c>
      <c r="K4" s="115">
        <f>Subindices_Alargados!K2</f>
        <v/>
      </c>
      <c r="L4" s="115">
        <f>Subindices_Alargados!L2</f>
        <v/>
      </c>
      <c r="M4" s="115">
        <f>Subindices_Alargados!M2</f>
        <v/>
      </c>
    </row>
    <row r="5">
      <c r="A5" t="inlineStr">
        <is>
          <t>2. Estabilidade Macroeconómica</t>
        </is>
      </c>
      <c r="B5" t="n">
        <v>1</v>
      </c>
      <c r="C5" s="115">
        <f>Subindices_Alargados!C3</f>
        <v/>
      </c>
      <c r="D5" s="115">
        <f>Subindices_Alargados!D3</f>
        <v/>
      </c>
      <c r="E5" s="115">
        <f>Subindices_Alargados!E3</f>
        <v/>
      </c>
      <c r="F5" s="115">
        <f>Subindices_Alargados!F3</f>
        <v/>
      </c>
      <c r="G5" s="115">
        <f>Subindices_Alargados!G3</f>
        <v/>
      </c>
      <c r="H5" s="115">
        <f>Subindices_Alargados!H3</f>
        <v/>
      </c>
      <c r="I5" s="115">
        <f>Subindices_Alargados!I3</f>
        <v/>
      </c>
      <c r="J5" s="115">
        <f>Subindices_Alargados!J3</f>
        <v/>
      </c>
      <c r="K5" s="115">
        <f>Subindices_Alargados!K3</f>
        <v/>
      </c>
      <c r="L5" s="115">
        <f>Subindices_Alargados!L3</f>
        <v/>
      </c>
      <c r="M5" s="115">
        <f>Subindices_Alargados!M3</f>
        <v/>
      </c>
    </row>
    <row r="6">
      <c r="A6" t="inlineStr">
        <is>
          <t>3. Capital Humano</t>
        </is>
      </c>
      <c r="B6" t="n">
        <v>1</v>
      </c>
      <c r="C6" s="115">
        <f>Subindices_Alargados!C4</f>
        <v/>
      </c>
      <c r="D6" s="115">
        <f>Subindices_Alargados!D4</f>
        <v/>
      </c>
      <c r="E6" s="115">
        <f>Subindices_Alargados!E4</f>
        <v/>
      </c>
      <c r="F6" s="115">
        <f>Subindices_Alargados!F4</f>
        <v/>
      </c>
      <c r="G6" s="115">
        <f>Subindices_Alargados!G4</f>
        <v/>
      </c>
      <c r="H6" s="115">
        <f>Subindices_Alargados!H4</f>
        <v/>
      </c>
      <c r="I6" s="115">
        <f>Subindices_Alargados!I4</f>
        <v/>
      </c>
      <c r="J6" s="115">
        <f>Subindices_Alargados!J4</f>
        <v/>
      </c>
      <c r="K6" s="115">
        <f>Subindices_Alargados!K4</f>
        <v/>
      </c>
      <c r="L6" s="115">
        <f>Subindices_Alargados!L4</f>
        <v/>
      </c>
      <c r="M6" s="115">
        <f>Subindices_Alargados!M4</f>
        <v/>
      </c>
    </row>
    <row r="7">
      <c r="A7" t="inlineStr">
        <is>
          <t>4. Inclusão Social e Protecção</t>
        </is>
      </c>
      <c r="B7" t="n">
        <v>1</v>
      </c>
      <c r="C7" s="115">
        <f>Subindices_Alargados!C5</f>
        <v/>
      </c>
      <c r="D7" s="115">
        <f>Subindices_Alargados!D5</f>
        <v/>
      </c>
      <c r="E7" s="115">
        <f>Subindices_Alargados!E5</f>
        <v/>
      </c>
      <c r="F7" s="115">
        <f>Subindices_Alargados!F5</f>
        <v/>
      </c>
      <c r="G7" s="115">
        <f>Subindices_Alargados!G5</f>
        <v/>
      </c>
      <c r="H7" s="115">
        <f>Subindices_Alargados!H5</f>
        <v/>
      </c>
      <c r="I7" s="115">
        <f>Subindices_Alargados!I5</f>
        <v/>
      </c>
      <c r="J7" s="115">
        <f>Subindices_Alargados!J5</f>
        <v/>
      </c>
      <c r="K7" s="115">
        <f>Subindices_Alargados!K5</f>
        <v/>
      </c>
      <c r="L7" s="115">
        <f>Subindices_Alargados!L5</f>
        <v/>
      </c>
      <c r="M7" s="115">
        <f>Subindices_Alargados!M5</f>
        <v/>
      </c>
    </row>
    <row r="8">
      <c r="A8" t="inlineStr">
        <is>
          <t>5. Infraestruturas e Serviços</t>
        </is>
      </c>
      <c r="B8" t="n">
        <v>1</v>
      </c>
      <c r="C8" s="115">
        <f>Subindices_Alargados!C6</f>
        <v/>
      </c>
      <c r="D8" s="115">
        <f>Subindices_Alargados!D6</f>
        <v/>
      </c>
      <c r="E8" s="115">
        <f>Subindices_Alargados!E6</f>
        <v/>
      </c>
      <c r="F8" s="115">
        <f>Subindices_Alargados!F6</f>
        <v/>
      </c>
      <c r="G8" s="115">
        <f>Subindices_Alargados!G6</f>
        <v/>
      </c>
      <c r="H8" s="115">
        <f>Subindices_Alargados!H6</f>
        <v/>
      </c>
      <c r="I8" s="115">
        <f>Subindices_Alargados!I6</f>
        <v/>
      </c>
      <c r="J8" s="115">
        <f>Subindices_Alargados!J6</f>
        <v/>
      </c>
      <c r="K8" s="115">
        <f>Subindices_Alargados!K6</f>
        <v/>
      </c>
      <c r="L8" s="115">
        <f>Subindices_Alargados!L6</f>
        <v/>
      </c>
      <c r="M8" s="115">
        <f>Subindices_Alargados!M6</f>
        <v/>
      </c>
    </row>
    <row r="9">
      <c r="A9" t="inlineStr">
        <is>
          <t>6. Mercado de Trabalho</t>
        </is>
      </c>
      <c r="B9" t="n">
        <v>1</v>
      </c>
      <c r="C9" s="115">
        <f>Subindices_Alargados!C7</f>
        <v/>
      </c>
      <c r="D9" s="115">
        <f>Subindices_Alargados!D7</f>
        <v/>
      </c>
      <c r="E9" s="115">
        <f>Subindices_Alargados!E7</f>
        <v/>
      </c>
      <c r="F9" s="115">
        <f>Subindices_Alargados!F7</f>
        <v/>
      </c>
      <c r="G9" s="115">
        <f>Subindices_Alargados!G7</f>
        <v/>
      </c>
      <c r="H9" s="115">
        <f>Subindices_Alargados!H7</f>
        <v/>
      </c>
      <c r="I9" s="115">
        <f>Subindices_Alargados!I7</f>
        <v/>
      </c>
      <c r="J9" s="115">
        <f>Subindices_Alargados!J7</f>
        <v/>
      </c>
      <c r="K9" s="115">
        <f>Subindices_Alargados!K7</f>
        <v/>
      </c>
      <c r="L9" s="115">
        <f>Subindices_Alargados!L7</f>
        <v/>
      </c>
      <c r="M9" s="115">
        <f>Subindices_Alargados!M7</f>
        <v/>
      </c>
    </row>
    <row r="10">
      <c r="A10" t="inlineStr">
        <is>
          <t>7. Segurança Alimentar e Saúde</t>
        </is>
      </c>
      <c r="B10" t="n">
        <v>1</v>
      </c>
      <c r="C10" s="115">
        <f>Subindices_Alargados!C8</f>
        <v/>
      </c>
      <c r="D10" s="115">
        <f>Subindices_Alargados!D8</f>
        <v/>
      </c>
      <c r="E10" s="115">
        <f>Subindices_Alargados!E8</f>
        <v/>
      </c>
      <c r="F10" s="115">
        <f>Subindices_Alargados!F8</f>
        <v/>
      </c>
      <c r="G10" s="115">
        <f>Subindices_Alargados!G8</f>
        <v/>
      </c>
      <c r="H10" s="115">
        <f>Subindices_Alargados!H8</f>
        <v/>
      </c>
      <c r="I10" s="115">
        <f>Subindices_Alargados!I8</f>
        <v/>
      </c>
      <c r="J10" s="115">
        <f>Subindices_Alargados!J8</f>
        <v/>
      </c>
      <c r="K10" s="115">
        <f>Subindices_Alargados!K8</f>
        <v/>
      </c>
      <c r="L10" s="115">
        <f>Subindices_Alargados!L8</f>
        <v/>
      </c>
      <c r="M10" s="115">
        <f>Subindices_Alargados!M8</f>
        <v/>
      </c>
    </row>
    <row r="11"/>
    <row r="12">
      <c r="A12" s="117" t="inlineStr">
        <is>
          <t>IGDA-BDA Alargado</t>
        </is>
      </c>
      <c r="C12" s="115">
        <f>IF(SUMPRODUCT((C$4:C$10&lt;&gt;"")*1)&lt;Parametros_Alargados!$B$3,"",SUMPRODUCT(IFERROR(C$4:C$10*$B$4:$B$10,0))/SUMPRODUCT((C$4:C$10&lt;&gt;"")*$B$4:$B$10))</f>
        <v/>
      </c>
      <c r="D12" s="115">
        <f>IF(SUMPRODUCT((D$4:D$10&lt;&gt;"")*1)&lt;Parametros_Alargados!$B$3,"",SUMPRODUCT(IFERROR(D$4:D$10*$B$4:$B$10,0))/SUMPRODUCT((D$4:D$10&lt;&gt;"")*$B$4:$B$10))</f>
        <v/>
      </c>
      <c r="E12" s="115">
        <f>IF(SUMPRODUCT((E$4:E$10&lt;&gt;"")*1)&lt;Parametros_Alargados!$B$3,"",SUMPRODUCT(IFERROR(E$4:E$10*$B$4:$B$10,0))/SUMPRODUCT((E$4:E$10&lt;&gt;"")*$B$4:$B$10))</f>
        <v/>
      </c>
      <c r="F12" s="115">
        <f>IF(SUMPRODUCT((F$4:F$10&lt;&gt;"")*1)&lt;Parametros_Alargados!$B$3,"",SUMPRODUCT(IFERROR(F$4:F$10*$B$4:$B$10,0))/SUMPRODUCT((F$4:F$10&lt;&gt;"")*$B$4:$B$10))</f>
        <v/>
      </c>
      <c r="G12" s="115">
        <f>IF(SUMPRODUCT((G$4:G$10&lt;&gt;"")*1)&lt;Parametros_Alargados!$B$3,"",SUMPRODUCT(IFERROR(G$4:G$10*$B$4:$B$10,0))/SUMPRODUCT((G$4:G$10&lt;&gt;"")*$B$4:$B$10))</f>
        <v/>
      </c>
      <c r="H12" s="115">
        <f>IF(SUMPRODUCT((H$4:H$10&lt;&gt;"")*1)&lt;Parametros_Alargados!$B$3,"",SUMPRODUCT(IFERROR(H$4:H$10*$B$4:$B$10,0))/SUMPRODUCT((H$4:H$10&lt;&gt;"")*$B$4:$B$10))</f>
        <v/>
      </c>
      <c r="I12" s="115">
        <f>IF(SUMPRODUCT((I$4:I$10&lt;&gt;"")*1)&lt;Parametros_Alargados!$B$3,"",SUMPRODUCT(IFERROR(I$4:I$10*$B$4:$B$10,0))/SUMPRODUCT((I$4:I$10&lt;&gt;"")*$B$4:$B$10))</f>
        <v/>
      </c>
      <c r="J12" s="115">
        <f>IF(SUMPRODUCT((J$4:J$10&lt;&gt;"")*1)&lt;Parametros_Alargados!$B$3,"",SUMPRODUCT(IFERROR(J$4:J$10*$B$4:$B$10,0))/SUMPRODUCT((J$4:J$10&lt;&gt;"")*$B$4:$B$10))</f>
        <v/>
      </c>
      <c r="K12" s="115">
        <f>IF(SUMPRODUCT((K$4:K$10&lt;&gt;"")*1)&lt;Parametros_Alargados!$B$3,"",SUMPRODUCT(IFERROR(K$4:K$10*$B$4:$B$10,0))/SUMPRODUCT((K$4:K$10&lt;&gt;"")*$B$4:$B$10))</f>
        <v/>
      </c>
      <c r="L12" s="115">
        <f>IF(SUMPRODUCT((L$4:L$10&lt;&gt;"")*1)&lt;Parametros_Alargados!$B$3,"",SUMPRODUCT(IFERROR(L$4:L$10*$B$4:$B$10,0))/SUMPRODUCT((L$4:L$10&lt;&gt;"")*$B$4:$B$10))</f>
        <v/>
      </c>
      <c r="M12" s="115">
        <f>IF(SUMPRODUCT((M$4:M$10&lt;&gt;"")*1)&lt;Parametros_Alargados!$B$3,"",SUMPRODUCT(IFERROR(M$4:M$10*$B$4:$B$10,0))/SUMPRODUCT((M$4:M$10&lt;&gt;"")*$B$4:$B$10))</f>
        <v/>
      </c>
    </row>
    <row r="13"/>
    <row r="14">
      <c r="A14" t="inlineStr">
        <is>
          <t>Subíndices com dados</t>
        </is>
      </c>
      <c r="C14" s="115">
        <f>SUMPRODUCT((C$4:C$10&lt;&gt;"")*1)&amp;"/7"</f>
        <v/>
      </c>
      <c r="D14" s="115">
        <f>SUMPRODUCT((D$4:D$10&lt;&gt;"")*1)&amp;"/7"</f>
        <v/>
      </c>
      <c r="E14" s="115">
        <f>SUMPRODUCT((E$4:E$10&lt;&gt;"")*1)&amp;"/7"</f>
        <v/>
      </c>
      <c r="F14" s="115">
        <f>SUMPRODUCT((F$4:F$10&lt;&gt;"")*1)&amp;"/7"</f>
        <v/>
      </c>
      <c r="G14" s="115">
        <f>SUMPRODUCT((G$4:G$10&lt;&gt;"")*1)&amp;"/7"</f>
        <v/>
      </c>
      <c r="H14" s="115">
        <f>SUMPRODUCT((H$4:H$10&lt;&gt;"")*1)&amp;"/7"</f>
        <v/>
      </c>
      <c r="I14" s="115">
        <f>SUMPRODUCT((I$4:I$10&lt;&gt;"")*1)&amp;"/7"</f>
        <v/>
      </c>
      <c r="J14" s="115">
        <f>SUMPRODUCT((J$4:J$10&lt;&gt;"")*1)&amp;"/7"</f>
        <v/>
      </c>
      <c r="K14" s="115">
        <f>SUMPRODUCT((K$4:K$10&lt;&gt;"")*1)&amp;"/7"</f>
        <v/>
      </c>
      <c r="L14" s="115">
        <f>SUMPRODUCT((L$4:L$10&lt;&gt;"")*1)&amp;"/7"</f>
        <v/>
      </c>
      <c r="M14" s="115">
        <f>SUMPRODUCT((M$4:M$10&lt;&gt;"")*1)&amp;"/7"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2026-01-03T13:30:03Z</dcterms:created>
  <dcterms:modified xmlns:dcterms="http://purl.org/dc/terms/" xmlns:xsi="http://www.w3.org/2001/XMLSchema-instance" xsi:type="dcterms:W3CDTF">2026-05-22T13:34:48Z</dcterms:modified>
  <cp:revision>2</cp:revision>
</cp:coreProperties>
</file>

<file path=docProps/custom.xml><?xml version="1.0" encoding="utf-8"?>
<Properties xmlns="http://schemas.openxmlformats.org/officeDocument/2006/custom-properties">
  <property name="MSIP_Label_eb7992e3-e0e1-4341-bf60-8e57bf2032c5_ActionId" fmtid="{D5CDD505-2E9C-101B-9397-08002B2CF9AE}" pid="2">
    <vt:lpwstr xmlns:vt="http://schemas.openxmlformats.org/officeDocument/2006/docPropsVTypes">bd366fd4-9d63-40bf-8a56-dece0e7d90f2</vt:lpwstr>
  </property>
  <property name="MSIP_Label_eb7992e3-e0e1-4341-bf60-8e57bf2032c5_ContentBits" fmtid="{D5CDD505-2E9C-101B-9397-08002B2CF9AE}" pid="3">
    <vt:lpwstr xmlns:vt="http://schemas.openxmlformats.org/officeDocument/2006/docPropsVTypes">0</vt:lpwstr>
  </property>
  <property name="MSIP_Label_eb7992e3-e0e1-4341-bf60-8e57bf2032c5_Enabled" fmtid="{D5CDD505-2E9C-101B-9397-08002B2CF9AE}" pid="4">
    <vt:lpwstr xmlns:vt="http://schemas.openxmlformats.org/officeDocument/2006/docPropsVTypes">true</vt:lpwstr>
  </property>
  <property name="MSIP_Label_eb7992e3-e0e1-4341-bf60-8e57bf2032c5_Method" fmtid="{D5CDD505-2E9C-101B-9397-08002B2CF9AE}" pid="5">
    <vt:lpwstr xmlns:vt="http://schemas.openxmlformats.org/officeDocument/2006/docPropsVTypes">Privileged</vt:lpwstr>
  </property>
  <property name="MSIP_Label_eb7992e3-e0e1-4341-bf60-8e57bf2032c5_Name" fmtid="{D5CDD505-2E9C-101B-9397-08002B2CF9AE}" pid="6">
    <vt:lpwstr xmlns:vt="http://schemas.openxmlformats.org/officeDocument/2006/docPropsVTypes">Informação Pública</vt:lpwstr>
  </property>
  <property name="MSIP_Label_eb7992e3-e0e1-4341-bf60-8e57bf2032c5_SetDate" fmtid="{D5CDD505-2E9C-101B-9397-08002B2CF9AE}" pid="7">
    <vt:lpwstr xmlns:vt="http://schemas.openxmlformats.org/officeDocument/2006/docPropsVTypes">2026-05-12T21:04:42Z</vt:lpwstr>
  </property>
  <property name="MSIP_Label_eb7992e3-e0e1-4341-bf60-8e57bf2032c5_SiteId" fmtid="{D5CDD505-2E9C-101B-9397-08002B2CF9AE}" pid="8">
    <vt:lpwstr xmlns:vt="http://schemas.openxmlformats.org/officeDocument/2006/docPropsVTypes">c23fa617-d0cf-4c92-a529-5e444a4cc1fa</vt:lpwstr>
  </property>
  <property name="MSIP_Label_eb7992e3-e0e1-4341-bf60-8e57bf2032c5_Tag" fmtid="{D5CDD505-2E9C-101B-9397-08002B2CF9AE}" pid="9">
    <vt:lpwstr xmlns:vt="http://schemas.openxmlformats.org/officeDocument/2006/docPropsVTypes">10, 0, 1, 1</vt:lpwstr>
  </property>
</Properties>
</file>