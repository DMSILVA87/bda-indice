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msao\Downloads\"/>
    </mc:Choice>
  </mc:AlternateContent>
  <xr:revisionPtr revIDLastSave="0" documentId="8_{6AD35E8B-BC53-4706-8199-874DF45E03B0}" xr6:coauthVersionLast="47" xr6:coauthVersionMax="47" xr10:uidLastSave="{00000000-0000-0000-0000-000000000000}"/>
  <bookViews>
    <workbookView xWindow="-110" yWindow="-110" windowWidth="34620" windowHeight="13900" tabRatio="500" activeTab="4" xr2:uid="{00000000-000D-0000-FFFF-FFFF00000000}"/>
  </bookViews>
  <sheets>
    <sheet name="Início" sheetId="1" r:id="rId1"/>
    <sheet name="Painel" sheetId="2" r:id="rId2"/>
    <sheet name="ICD" sheetId="3" r:id="rId3"/>
    <sheet name="ICE" sheetId="4" r:id="rId4"/>
    <sheet name="Dados" sheetId="5" r:id="rId5"/>
    <sheet name="Metodologia" sheetId="6" r:id="rId6"/>
  </sheets>
  <definedNames>
    <definedName name="_xlnm.Print_Area" localSheetId="0">Início!$A$1:$L$45</definedName>
    <definedName name="_xlnm.Print_Area" localSheetId="1">Painel!$A$1:$P$115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1" i="4" l="1"/>
  <c r="G71" i="4"/>
  <c r="J71" i="4" s="1"/>
  <c r="F71" i="4"/>
  <c r="E71" i="4"/>
  <c r="D71" i="4"/>
  <c r="C71" i="4"/>
  <c r="B71" i="4"/>
  <c r="A71" i="4"/>
  <c r="I70" i="4"/>
  <c r="H70" i="4"/>
  <c r="G70" i="4"/>
  <c r="J70" i="4" s="1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H68" i="4"/>
  <c r="G68" i="4"/>
  <c r="I68" i="4" s="1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J66" i="4" s="1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H64" i="4"/>
  <c r="G64" i="4"/>
  <c r="I64" i="4" s="1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I62" i="4"/>
  <c r="H62" i="4"/>
  <c r="G62" i="4"/>
  <c r="J62" i="4" s="1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H60" i="4"/>
  <c r="G60" i="4"/>
  <c r="I60" i="4" s="1"/>
  <c r="F60" i="4"/>
  <c r="E60" i="4"/>
  <c r="D60" i="4"/>
  <c r="C60" i="4"/>
  <c r="B60" i="4"/>
  <c r="A60" i="4"/>
  <c r="J59" i="4"/>
  <c r="H59" i="4"/>
  <c r="G59" i="4"/>
  <c r="I59" i="4" s="1"/>
  <c r="F59" i="4"/>
  <c r="E59" i="4"/>
  <c r="D59" i="4"/>
  <c r="C59" i="4"/>
  <c r="B59" i="4"/>
  <c r="A59" i="4"/>
  <c r="J58" i="4"/>
  <c r="H58" i="4"/>
  <c r="G58" i="4"/>
  <c r="I58" i="4" s="1"/>
  <c r="F58" i="4"/>
  <c r="E58" i="4"/>
  <c r="D58" i="4"/>
  <c r="C58" i="4"/>
  <c r="B58" i="4"/>
  <c r="A58" i="4"/>
  <c r="C12" i="4" s="1"/>
  <c r="J79" i="2" s="1"/>
  <c r="J57" i="4"/>
  <c r="I57" i="4"/>
  <c r="H57" i="4"/>
  <c r="G57" i="4"/>
  <c r="F57" i="4"/>
  <c r="E57" i="4"/>
  <c r="D57" i="4"/>
  <c r="C57" i="4"/>
  <c r="B57" i="4"/>
  <c r="A57" i="4"/>
  <c r="H56" i="4"/>
  <c r="G56" i="4"/>
  <c r="J56" i="4" s="1"/>
  <c r="F56" i="4"/>
  <c r="E56" i="4"/>
  <c r="D56" i="4"/>
  <c r="C56" i="4"/>
  <c r="B56" i="4"/>
  <c r="A56" i="4"/>
  <c r="I55" i="4"/>
  <c r="H55" i="4"/>
  <c r="G55" i="4"/>
  <c r="J55" i="4" s="1"/>
  <c r="F55" i="4"/>
  <c r="E55" i="4"/>
  <c r="D55" i="4"/>
  <c r="C55" i="4"/>
  <c r="B55" i="4"/>
  <c r="A55" i="4"/>
  <c r="H54" i="4"/>
  <c r="G54" i="4"/>
  <c r="J54" i="4" s="1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J50" i="4" s="1"/>
  <c r="F50" i="4"/>
  <c r="E50" i="4"/>
  <c r="D50" i="4"/>
  <c r="C50" i="4"/>
  <c r="B50" i="4"/>
  <c r="A50" i="4"/>
  <c r="J49" i="4"/>
  <c r="H49" i="4"/>
  <c r="G49" i="4"/>
  <c r="I49" i="4" s="1"/>
  <c r="F49" i="4"/>
  <c r="E49" i="4"/>
  <c r="D49" i="4"/>
  <c r="C49" i="4"/>
  <c r="B49" i="4"/>
  <c r="A49" i="4"/>
  <c r="J48" i="4"/>
  <c r="H48" i="4"/>
  <c r="G48" i="4"/>
  <c r="I48" i="4" s="1"/>
  <c r="F48" i="4"/>
  <c r="E48" i="4"/>
  <c r="D48" i="4"/>
  <c r="C48" i="4"/>
  <c r="B48" i="4"/>
  <c r="A48" i="4"/>
  <c r="J47" i="4"/>
  <c r="H47" i="4"/>
  <c r="G47" i="4"/>
  <c r="I47" i="4" s="1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H44" i="4"/>
  <c r="G44" i="4"/>
  <c r="I44" i="4" s="1"/>
  <c r="F44" i="4"/>
  <c r="E44" i="4"/>
  <c r="D44" i="4"/>
  <c r="C44" i="4"/>
  <c r="B44" i="4"/>
  <c r="A44" i="4"/>
  <c r="J43" i="4"/>
  <c r="H43" i="4"/>
  <c r="G43" i="4"/>
  <c r="I43" i="4" s="1"/>
  <c r="F43" i="4"/>
  <c r="E43" i="4"/>
  <c r="D43" i="4"/>
  <c r="C43" i="4"/>
  <c r="B43" i="4"/>
  <c r="A43" i="4"/>
  <c r="J42" i="4"/>
  <c r="H42" i="4"/>
  <c r="G42" i="4"/>
  <c r="I42" i="4" s="1"/>
  <c r="F42" i="4"/>
  <c r="E42" i="4"/>
  <c r="D42" i="4"/>
  <c r="C42" i="4"/>
  <c r="B42" i="4"/>
  <c r="A42" i="4"/>
  <c r="J41" i="4"/>
  <c r="I41" i="4"/>
  <c r="H41" i="4"/>
  <c r="G41" i="4"/>
  <c r="F41" i="4"/>
  <c r="E41" i="4"/>
  <c r="D41" i="4"/>
  <c r="C41" i="4"/>
  <c r="B41" i="4"/>
  <c r="A41" i="4"/>
  <c r="H40" i="4"/>
  <c r="G40" i="4"/>
  <c r="J40" i="4" s="1"/>
  <c r="F40" i="4"/>
  <c r="E40" i="4"/>
  <c r="D40" i="4"/>
  <c r="C40" i="4"/>
  <c r="B40" i="4"/>
  <c r="A40" i="4"/>
  <c r="I39" i="4"/>
  <c r="H39" i="4"/>
  <c r="G39" i="4"/>
  <c r="J39" i="4" s="1"/>
  <c r="F39" i="4"/>
  <c r="E39" i="4"/>
  <c r="D39" i="4"/>
  <c r="C39" i="4"/>
  <c r="B39" i="4"/>
  <c r="A39" i="4"/>
  <c r="H38" i="4"/>
  <c r="G38" i="4"/>
  <c r="J38" i="4" s="1"/>
  <c r="F38" i="4"/>
  <c r="E38" i="4"/>
  <c r="D38" i="4"/>
  <c r="C38" i="4"/>
  <c r="B38" i="4"/>
  <c r="A38" i="4"/>
  <c r="J37" i="4"/>
  <c r="I37" i="4"/>
  <c r="H37" i="4"/>
  <c r="G37" i="4"/>
  <c r="F37" i="4"/>
  <c r="E37" i="4"/>
  <c r="D37" i="4"/>
  <c r="C37" i="4"/>
  <c r="B37" i="4"/>
  <c r="A37" i="4"/>
  <c r="J36" i="4"/>
  <c r="I36" i="4"/>
  <c r="H36" i="4"/>
  <c r="G36" i="4"/>
  <c r="F36" i="4"/>
  <c r="E36" i="4"/>
  <c r="D36" i="4"/>
  <c r="C36" i="4"/>
  <c r="B36" i="4"/>
  <c r="A36" i="4"/>
  <c r="H35" i="4"/>
  <c r="G35" i="4"/>
  <c r="M10" i="2" s="1"/>
  <c r="F35" i="4"/>
  <c r="E35" i="4"/>
  <c r="D35" i="4"/>
  <c r="C35" i="4"/>
  <c r="B35" i="4"/>
  <c r="A35" i="4"/>
  <c r="H34" i="4"/>
  <c r="G34" i="4"/>
  <c r="J34" i="4" s="1"/>
  <c r="F34" i="4"/>
  <c r="E34" i="4"/>
  <c r="D34" i="4"/>
  <c r="C34" i="4"/>
  <c r="B34" i="4"/>
  <c r="A34" i="4"/>
  <c r="J33" i="4"/>
  <c r="H33" i="4"/>
  <c r="G33" i="4"/>
  <c r="I33" i="4" s="1"/>
  <c r="F33" i="4"/>
  <c r="E33" i="4"/>
  <c r="D33" i="4"/>
  <c r="C33" i="4"/>
  <c r="B33" i="4"/>
  <c r="A33" i="4"/>
  <c r="J32" i="4"/>
  <c r="H32" i="4"/>
  <c r="G32" i="4"/>
  <c r="I32" i="4" s="1"/>
  <c r="F32" i="4"/>
  <c r="E32" i="4"/>
  <c r="D32" i="4"/>
  <c r="C32" i="4"/>
  <c r="B32" i="4"/>
  <c r="A32" i="4"/>
  <c r="J31" i="4"/>
  <c r="H31" i="4"/>
  <c r="G31" i="4"/>
  <c r="I31" i="4" s="1"/>
  <c r="F31" i="4"/>
  <c r="E31" i="4"/>
  <c r="D31" i="4"/>
  <c r="C31" i="4"/>
  <c r="B31" i="4"/>
  <c r="A31" i="4"/>
  <c r="J30" i="4"/>
  <c r="I30" i="4"/>
  <c r="H30" i="4"/>
  <c r="G30" i="4"/>
  <c r="F30" i="4"/>
  <c r="E30" i="4"/>
  <c r="D30" i="4"/>
  <c r="C30" i="4"/>
  <c r="B30" i="4"/>
  <c r="A30" i="4"/>
  <c r="J29" i="4"/>
  <c r="H29" i="4"/>
  <c r="G29" i="4"/>
  <c r="I29" i="4" s="1"/>
  <c r="F29" i="4"/>
  <c r="E29" i="4"/>
  <c r="D29" i="4"/>
  <c r="C29" i="4"/>
  <c r="B29" i="4"/>
  <c r="A29" i="4"/>
  <c r="J28" i="4"/>
  <c r="I28" i="4"/>
  <c r="H28" i="4"/>
  <c r="G28" i="4"/>
  <c r="F28" i="4"/>
  <c r="E28" i="4"/>
  <c r="D28" i="4"/>
  <c r="C28" i="4"/>
  <c r="B28" i="4"/>
  <c r="A28" i="4"/>
  <c r="J27" i="4"/>
  <c r="H27" i="4"/>
  <c r="G27" i="4"/>
  <c r="I27" i="4" s="1"/>
  <c r="F27" i="4"/>
  <c r="E27" i="4"/>
  <c r="D27" i="4"/>
  <c r="C27" i="4"/>
  <c r="B27" i="4"/>
  <c r="A27" i="4"/>
  <c r="J26" i="4"/>
  <c r="H26" i="4"/>
  <c r="G26" i="4"/>
  <c r="I26" i="4" s="1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H24" i="4"/>
  <c r="G24" i="4"/>
  <c r="J24" i="4" s="1"/>
  <c r="F24" i="4"/>
  <c r="E24" i="4"/>
  <c r="D24" i="4"/>
  <c r="C24" i="4"/>
  <c r="B24" i="4"/>
  <c r="A24" i="4"/>
  <c r="J23" i="4"/>
  <c r="I23" i="4"/>
  <c r="H23" i="4"/>
  <c r="G23" i="4"/>
  <c r="F23" i="4"/>
  <c r="E23" i="4"/>
  <c r="D23" i="4"/>
  <c r="C23" i="4"/>
  <c r="B23" i="4"/>
  <c r="A23" i="4"/>
  <c r="I22" i="4"/>
  <c r="H22" i="4"/>
  <c r="G22" i="4"/>
  <c r="J22" i="4" s="1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C6" i="4"/>
  <c r="Y71" i="3"/>
  <c r="T71" i="3"/>
  <c r="S71" i="3"/>
  <c r="R71" i="3"/>
  <c r="Q71" i="3"/>
  <c r="O71" i="3"/>
  <c r="N71" i="3"/>
  <c r="X71" i="3" s="1"/>
  <c r="M71" i="3"/>
  <c r="W71" i="3" s="1"/>
  <c r="L71" i="3"/>
  <c r="V71" i="3" s="1"/>
  <c r="K71" i="3"/>
  <c r="U71" i="3" s="1"/>
  <c r="J71" i="3"/>
  <c r="I71" i="3"/>
  <c r="H71" i="3"/>
  <c r="G71" i="3"/>
  <c r="F71" i="3"/>
  <c r="P71" i="3" s="1"/>
  <c r="E71" i="3"/>
  <c r="D71" i="3"/>
  <c r="C71" i="3"/>
  <c r="B71" i="3"/>
  <c r="Y70" i="3"/>
  <c r="W70" i="3"/>
  <c r="V70" i="3"/>
  <c r="T70" i="3"/>
  <c r="S70" i="3"/>
  <c r="R70" i="3"/>
  <c r="N70" i="3"/>
  <c r="X70" i="3" s="1"/>
  <c r="M70" i="3"/>
  <c r="L70" i="3"/>
  <c r="K70" i="3"/>
  <c r="U70" i="3" s="1"/>
  <c r="J70" i="3"/>
  <c r="I70" i="3"/>
  <c r="H70" i="3"/>
  <c r="G70" i="3"/>
  <c r="Q70" i="3" s="1"/>
  <c r="F70" i="3"/>
  <c r="P70" i="3" s="1"/>
  <c r="E70" i="3"/>
  <c r="O70" i="3" s="1"/>
  <c r="D70" i="3"/>
  <c r="C70" i="3"/>
  <c r="B70" i="3"/>
  <c r="Y69" i="3"/>
  <c r="S69" i="3"/>
  <c r="R69" i="3"/>
  <c r="Q69" i="3"/>
  <c r="O69" i="3"/>
  <c r="N69" i="3"/>
  <c r="X69" i="3" s="1"/>
  <c r="M69" i="3"/>
  <c r="W69" i="3" s="1"/>
  <c r="L69" i="3"/>
  <c r="V69" i="3" s="1"/>
  <c r="K69" i="3"/>
  <c r="U69" i="3" s="1"/>
  <c r="J69" i="3"/>
  <c r="T69" i="3" s="1"/>
  <c r="I69" i="3"/>
  <c r="H69" i="3"/>
  <c r="G69" i="3"/>
  <c r="F69" i="3"/>
  <c r="P69" i="3" s="1"/>
  <c r="E69" i="3"/>
  <c r="D69" i="3"/>
  <c r="C69" i="3"/>
  <c r="B69" i="3"/>
  <c r="Y68" i="3"/>
  <c r="W68" i="3"/>
  <c r="V68" i="3"/>
  <c r="U68" i="3"/>
  <c r="T68" i="3"/>
  <c r="S68" i="3"/>
  <c r="R68" i="3"/>
  <c r="N68" i="3"/>
  <c r="X68" i="3" s="1"/>
  <c r="M68" i="3"/>
  <c r="L68" i="3"/>
  <c r="K68" i="3"/>
  <c r="J68" i="3"/>
  <c r="I68" i="3"/>
  <c r="H68" i="3"/>
  <c r="G68" i="3"/>
  <c r="Q68" i="3" s="1"/>
  <c r="F68" i="3"/>
  <c r="P68" i="3" s="1"/>
  <c r="E68" i="3"/>
  <c r="O68" i="3" s="1"/>
  <c r="D68" i="3"/>
  <c r="C68" i="3"/>
  <c r="B68" i="3"/>
  <c r="Y67" i="3"/>
  <c r="S67" i="3"/>
  <c r="R67" i="3"/>
  <c r="Q67" i="3"/>
  <c r="O67" i="3"/>
  <c r="N67" i="3"/>
  <c r="X67" i="3" s="1"/>
  <c r="M67" i="3"/>
  <c r="W67" i="3" s="1"/>
  <c r="L67" i="3"/>
  <c r="V67" i="3" s="1"/>
  <c r="K67" i="3"/>
  <c r="U67" i="3" s="1"/>
  <c r="J67" i="3"/>
  <c r="T67" i="3" s="1"/>
  <c r="I67" i="3"/>
  <c r="H67" i="3"/>
  <c r="G67" i="3"/>
  <c r="F67" i="3"/>
  <c r="P67" i="3" s="1"/>
  <c r="E67" i="3"/>
  <c r="D67" i="3"/>
  <c r="C67" i="3"/>
  <c r="B67" i="3"/>
  <c r="Y66" i="3"/>
  <c r="W66" i="3"/>
  <c r="V66" i="3"/>
  <c r="U66" i="3"/>
  <c r="T66" i="3"/>
  <c r="S66" i="3"/>
  <c r="R66" i="3"/>
  <c r="N66" i="3"/>
  <c r="X66" i="3" s="1"/>
  <c r="M66" i="3"/>
  <c r="L66" i="3"/>
  <c r="K66" i="3"/>
  <c r="J66" i="3"/>
  <c r="I66" i="3"/>
  <c r="H66" i="3"/>
  <c r="G66" i="3"/>
  <c r="Q66" i="3" s="1"/>
  <c r="F66" i="3"/>
  <c r="P66" i="3" s="1"/>
  <c r="E66" i="3"/>
  <c r="O66" i="3" s="1"/>
  <c r="D66" i="3"/>
  <c r="C66" i="3"/>
  <c r="B66" i="3"/>
  <c r="Y65" i="3"/>
  <c r="S65" i="3"/>
  <c r="R65" i="3"/>
  <c r="Q65" i="3"/>
  <c r="O65" i="3"/>
  <c r="N65" i="3"/>
  <c r="X65" i="3" s="1"/>
  <c r="M65" i="3"/>
  <c r="W65" i="3" s="1"/>
  <c r="L65" i="3"/>
  <c r="V65" i="3" s="1"/>
  <c r="K65" i="3"/>
  <c r="U65" i="3" s="1"/>
  <c r="J65" i="3"/>
  <c r="T65" i="3" s="1"/>
  <c r="I65" i="3"/>
  <c r="H65" i="3"/>
  <c r="G65" i="3"/>
  <c r="F65" i="3"/>
  <c r="P65" i="3" s="1"/>
  <c r="E65" i="3"/>
  <c r="D65" i="3"/>
  <c r="C65" i="3"/>
  <c r="B65" i="3"/>
  <c r="Y64" i="3"/>
  <c r="W64" i="3"/>
  <c r="V64" i="3"/>
  <c r="U64" i="3"/>
  <c r="T64" i="3"/>
  <c r="S64" i="3"/>
  <c r="R64" i="3"/>
  <c r="N64" i="3"/>
  <c r="X64" i="3" s="1"/>
  <c r="M64" i="3"/>
  <c r="L64" i="3"/>
  <c r="K64" i="3"/>
  <c r="J64" i="3"/>
  <c r="I64" i="3"/>
  <c r="H64" i="3"/>
  <c r="G64" i="3"/>
  <c r="Q64" i="3" s="1"/>
  <c r="F64" i="3"/>
  <c r="P64" i="3" s="1"/>
  <c r="E64" i="3"/>
  <c r="O64" i="3" s="1"/>
  <c r="D64" i="3"/>
  <c r="C64" i="3"/>
  <c r="B64" i="3"/>
  <c r="Y63" i="3"/>
  <c r="T63" i="3"/>
  <c r="S63" i="3"/>
  <c r="R63" i="3"/>
  <c r="Q63" i="3"/>
  <c r="O63" i="3"/>
  <c r="N63" i="3"/>
  <c r="X63" i="3" s="1"/>
  <c r="M63" i="3"/>
  <c r="W63" i="3" s="1"/>
  <c r="L63" i="3"/>
  <c r="V63" i="3" s="1"/>
  <c r="K63" i="3"/>
  <c r="U63" i="3" s="1"/>
  <c r="J63" i="3"/>
  <c r="I63" i="3"/>
  <c r="H63" i="3"/>
  <c r="G63" i="3"/>
  <c r="F63" i="3"/>
  <c r="P63" i="3" s="1"/>
  <c r="E63" i="3"/>
  <c r="D63" i="3"/>
  <c r="C63" i="3"/>
  <c r="B63" i="3"/>
  <c r="Y62" i="3"/>
  <c r="W62" i="3"/>
  <c r="V62" i="3"/>
  <c r="T62" i="3"/>
  <c r="S62" i="3"/>
  <c r="R62" i="3"/>
  <c r="N62" i="3"/>
  <c r="X62" i="3" s="1"/>
  <c r="M62" i="3"/>
  <c r="L62" i="3"/>
  <c r="K62" i="3"/>
  <c r="U62" i="3" s="1"/>
  <c r="J62" i="3"/>
  <c r="I62" i="3"/>
  <c r="H62" i="3"/>
  <c r="G62" i="3"/>
  <c r="Q62" i="3" s="1"/>
  <c r="F62" i="3"/>
  <c r="P62" i="3" s="1"/>
  <c r="E62" i="3"/>
  <c r="O62" i="3" s="1"/>
  <c r="D62" i="3"/>
  <c r="C62" i="3"/>
  <c r="B62" i="3"/>
  <c r="Y61" i="3"/>
  <c r="S61" i="3"/>
  <c r="R61" i="3"/>
  <c r="Q61" i="3"/>
  <c r="O61" i="3"/>
  <c r="N61" i="3"/>
  <c r="X61" i="3" s="1"/>
  <c r="M61" i="3"/>
  <c r="W61" i="3" s="1"/>
  <c r="L61" i="3"/>
  <c r="V61" i="3" s="1"/>
  <c r="K61" i="3"/>
  <c r="U61" i="3" s="1"/>
  <c r="J61" i="3"/>
  <c r="T61" i="3" s="1"/>
  <c r="I61" i="3"/>
  <c r="H61" i="3"/>
  <c r="G61" i="3"/>
  <c r="F61" i="3"/>
  <c r="P61" i="3" s="1"/>
  <c r="E61" i="3"/>
  <c r="D61" i="3"/>
  <c r="C61" i="3"/>
  <c r="B61" i="3"/>
  <c r="Y60" i="3"/>
  <c r="W60" i="3"/>
  <c r="V60" i="3"/>
  <c r="U60" i="3"/>
  <c r="T60" i="3"/>
  <c r="S60" i="3"/>
  <c r="R60" i="3"/>
  <c r="N60" i="3"/>
  <c r="X60" i="3" s="1"/>
  <c r="M60" i="3"/>
  <c r="L60" i="3"/>
  <c r="K60" i="3"/>
  <c r="J60" i="3"/>
  <c r="I60" i="3"/>
  <c r="H60" i="3"/>
  <c r="G60" i="3"/>
  <c r="Q60" i="3" s="1"/>
  <c r="F60" i="3"/>
  <c r="P60" i="3" s="1"/>
  <c r="E60" i="3"/>
  <c r="O60" i="3" s="1"/>
  <c r="D60" i="3"/>
  <c r="C60" i="3"/>
  <c r="B60" i="3"/>
  <c r="Y59" i="3"/>
  <c r="S59" i="3"/>
  <c r="R59" i="3"/>
  <c r="Q59" i="3"/>
  <c r="O59" i="3"/>
  <c r="N59" i="3"/>
  <c r="X59" i="3" s="1"/>
  <c r="M59" i="3"/>
  <c r="W59" i="3" s="1"/>
  <c r="L59" i="3"/>
  <c r="V59" i="3" s="1"/>
  <c r="K59" i="3"/>
  <c r="U59" i="3" s="1"/>
  <c r="J59" i="3"/>
  <c r="T59" i="3" s="1"/>
  <c r="I59" i="3"/>
  <c r="H59" i="3"/>
  <c r="G59" i="3"/>
  <c r="F59" i="3"/>
  <c r="P59" i="3" s="1"/>
  <c r="E59" i="3"/>
  <c r="D59" i="3"/>
  <c r="C59" i="3"/>
  <c r="B59" i="3"/>
  <c r="Y58" i="3"/>
  <c r="W58" i="3"/>
  <c r="U58" i="3"/>
  <c r="T58" i="3"/>
  <c r="S58" i="3"/>
  <c r="R58" i="3"/>
  <c r="N58" i="3"/>
  <c r="X58" i="3" s="1"/>
  <c r="M58" i="3"/>
  <c r="L58" i="3"/>
  <c r="V58" i="3" s="1"/>
  <c r="K58" i="3"/>
  <c r="J58" i="3"/>
  <c r="I58" i="3"/>
  <c r="H58" i="3"/>
  <c r="G58" i="3"/>
  <c r="Q58" i="3" s="1"/>
  <c r="F58" i="3"/>
  <c r="P58" i="3" s="1"/>
  <c r="E58" i="3"/>
  <c r="O58" i="3" s="1"/>
  <c r="D58" i="3"/>
  <c r="C58" i="3"/>
  <c r="B58" i="3"/>
  <c r="Y57" i="3"/>
  <c r="S57" i="3"/>
  <c r="R57" i="3"/>
  <c r="Q57" i="3"/>
  <c r="O57" i="3"/>
  <c r="N57" i="3"/>
  <c r="X57" i="3" s="1"/>
  <c r="M57" i="3"/>
  <c r="W57" i="3" s="1"/>
  <c r="L57" i="3"/>
  <c r="V57" i="3" s="1"/>
  <c r="K57" i="3"/>
  <c r="U57" i="3" s="1"/>
  <c r="J57" i="3"/>
  <c r="T57" i="3" s="1"/>
  <c r="I57" i="3"/>
  <c r="H57" i="3"/>
  <c r="G57" i="3"/>
  <c r="F57" i="3"/>
  <c r="P57" i="3" s="1"/>
  <c r="E57" i="3"/>
  <c r="D57" i="3"/>
  <c r="C57" i="3"/>
  <c r="B57" i="3"/>
  <c r="Y56" i="3"/>
  <c r="W56" i="3"/>
  <c r="V56" i="3"/>
  <c r="U56" i="3"/>
  <c r="T56" i="3"/>
  <c r="S56" i="3"/>
  <c r="R56" i="3"/>
  <c r="N56" i="3"/>
  <c r="X56" i="3" s="1"/>
  <c r="M56" i="3"/>
  <c r="L56" i="3"/>
  <c r="K56" i="3"/>
  <c r="J56" i="3"/>
  <c r="I56" i="3"/>
  <c r="H56" i="3"/>
  <c r="G56" i="3"/>
  <c r="Q56" i="3" s="1"/>
  <c r="F56" i="3"/>
  <c r="P56" i="3" s="1"/>
  <c r="E56" i="3"/>
  <c r="O56" i="3" s="1"/>
  <c r="D56" i="3"/>
  <c r="C56" i="3"/>
  <c r="B56" i="3"/>
  <c r="Y55" i="3"/>
  <c r="S55" i="3"/>
  <c r="R55" i="3"/>
  <c r="Q55" i="3"/>
  <c r="O55" i="3"/>
  <c r="N55" i="3"/>
  <c r="X55" i="3" s="1"/>
  <c r="M55" i="3"/>
  <c r="W55" i="3" s="1"/>
  <c r="L55" i="3"/>
  <c r="V55" i="3" s="1"/>
  <c r="K55" i="3"/>
  <c r="U55" i="3" s="1"/>
  <c r="J55" i="3"/>
  <c r="T55" i="3" s="1"/>
  <c r="I55" i="3"/>
  <c r="H55" i="3"/>
  <c r="G55" i="3"/>
  <c r="F55" i="3"/>
  <c r="P55" i="3" s="1"/>
  <c r="E55" i="3"/>
  <c r="D55" i="3"/>
  <c r="C55" i="3"/>
  <c r="B55" i="3"/>
  <c r="Y54" i="3"/>
  <c r="W54" i="3"/>
  <c r="T54" i="3"/>
  <c r="S54" i="3"/>
  <c r="R54" i="3"/>
  <c r="N54" i="3"/>
  <c r="X54" i="3" s="1"/>
  <c r="M54" i="3"/>
  <c r="L54" i="3"/>
  <c r="V54" i="3" s="1"/>
  <c r="K54" i="3"/>
  <c r="U54" i="3" s="1"/>
  <c r="J54" i="3"/>
  <c r="I54" i="3"/>
  <c r="H54" i="3"/>
  <c r="G54" i="3"/>
  <c r="Q54" i="3" s="1"/>
  <c r="F54" i="3"/>
  <c r="P54" i="3" s="1"/>
  <c r="E54" i="3"/>
  <c r="O54" i="3" s="1"/>
  <c r="D54" i="3"/>
  <c r="C54" i="3"/>
  <c r="B54" i="3"/>
  <c r="Y53" i="3"/>
  <c r="S53" i="3"/>
  <c r="R53" i="3"/>
  <c r="Q53" i="3"/>
  <c r="O53" i="3"/>
  <c r="N53" i="3"/>
  <c r="X53" i="3" s="1"/>
  <c r="M53" i="3"/>
  <c r="W53" i="3" s="1"/>
  <c r="L53" i="3"/>
  <c r="V53" i="3" s="1"/>
  <c r="K53" i="3"/>
  <c r="U53" i="3" s="1"/>
  <c r="J53" i="3"/>
  <c r="T53" i="3" s="1"/>
  <c r="I53" i="3"/>
  <c r="H53" i="3"/>
  <c r="G53" i="3"/>
  <c r="F53" i="3"/>
  <c r="P53" i="3" s="1"/>
  <c r="E53" i="3"/>
  <c r="D53" i="3"/>
  <c r="C53" i="3"/>
  <c r="B53" i="3"/>
  <c r="Y52" i="3"/>
  <c r="W52" i="3"/>
  <c r="V52" i="3"/>
  <c r="U52" i="3"/>
  <c r="T52" i="3"/>
  <c r="S52" i="3"/>
  <c r="R52" i="3"/>
  <c r="N52" i="3"/>
  <c r="X52" i="3" s="1"/>
  <c r="M52" i="3"/>
  <c r="L52" i="3"/>
  <c r="K52" i="3"/>
  <c r="J52" i="3"/>
  <c r="I52" i="3"/>
  <c r="H52" i="3"/>
  <c r="G52" i="3"/>
  <c r="Q52" i="3" s="1"/>
  <c r="F52" i="3"/>
  <c r="P52" i="3" s="1"/>
  <c r="E52" i="3"/>
  <c r="O52" i="3" s="1"/>
  <c r="D52" i="3"/>
  <c r="C52" i="3"/>
  <c r="B52" i="3"/>
  <c r="Y51" i="3"/>
  <c r="T51" i="3"/>
  <c r="S51" i="3"/>
  <c r="R51" i="3"/>
  <c r="Q51" i="3"/>
  <c r="O51" i="3"/>
  <c r="N51" i="3"/>
  <c r="X51" i="3" s="1"/>
  <c r="M51" i="3"/>
  <c r="W51" i="3" s="1"/>
  <c r="L51" i="3"/>
  <c r="V51" i="3" s="1"/>
  <c r="K51" i="3"/>
  <c r="U51" i="3" s="1"/>
  <c r="J51" i="3"/>
  <c r="I51" i="3"/>
  <c r="H51" i="3"/>
  <c r="G51" i="3"/>
  <c r="F51" i="3"/>
  <c r="P51" i="3" s="1"/>
  <c r="E51" i="3"/>
  <c r="D51" i="3"/>
  <c r="C51" i="3"/>
  <c r="B51" i="3"/>
  <c r="Y50" i="3"/>
  <c r="W50" i="3"/>
  <c r="T50" i="3"/>
  <c r="S50" i="3"/>
  <c r="R50" i="3"/>
  <c r="N50" i="3"/>
  <c r="X50" i="3" s="1"/>
  <c r="M50" i="3"/>
  <c r="L50" i="3"/>
  <c r="V50" i="3" s="1"/>
  <c r="K50" i="3"/>
  <c r="U50" i="3" s="1"/>
  <c r="J50" i="3"/>
  <c r="I50" i="3"/>
  <c r="H50" i="3"/>
  <c r="G50" i="3"/>
  <c r="Q50" i="3" s="1"/>
  <c r="F50" i="3"/>
  <c r="P50" i="3" s="1"/>
  <c r="E50" i="3"/>
  <c r="O50" i="3" s="1"/>
  <c r="D50" i="3"/>
  <c r="C50" i="3"/>
  <c r="B50" i="3"/>
  <c r="Y49" i="3"/>
  <c r="S49" i="3"/>
  <c r="R49" i="3"/>
  <c r="Q49" i="3"/>
  <c r="O49" i="3"/>
  <c r="N49" i="3"/>
  <c r="X49" i="3" s="1"/>
  <c r="M49" i="3"/>
  <c r="W49" i="3" s="1"/>
  <c r="L49" i="3"/>
  <c r="V49" i="3" s="1"/>
  <c r="K49" i="3"/>
  <c r="U49" i="3" s="1"/>
  <c r="J49" i="3"/>
  <c r="T49" i="3" s="1"/>
  <c r="I49" i="3"/>
  <c r="H49" i="3"/>
  <c r="G49" i="3"/>
  <c r="F49" i="3"/>
  <c r="P49" i="3" s="1"/>
  <c r="E49" i="3"/>
  <c r="D49" i="3"/>
  <c r="C49" i="3"/>
  <c r="B49" i="3"/>
  <c r="Y48" i="3"/>
  <c r="W48" i="3"/>
  <c r="V48" i="3"/>
  <c r="U48" i="3"/>
  <c r="T48" i="3"/>
  <c r="S48" i="3"/>
  <c r="R48" i="3"/>
  <c r="N48" i="3"/>
  <c r="X48" i="3" s="1"/>
  <c r="M48" i="3"/>
  <c r="L48" i="3"/>
  <c r="K48" i="3"/>
  <c r="J48" i="3"/>
  <c r="I48" i="3"/>
  <c r="H48" i="3"/>
  <c r="G48" i="3"/>
  <c r="Q48" i="3" s="1"/>
  <c r="F48" i="3"/>
  <c r="P48" i="3" s="1"/>
  <c r="E48" i="3"/>
  <c r="O48" i="3" s="1"/>
  <c r="D48" i="3"/>
  <c r="C48" i="3"/>
  <c r="B48" i="3"/>
  <c r="Y47" i="3"/>
  <c r="T47" i="3"/>
  <c r="S47" i="3"/>
  <c r="R47" i="3"/>
  <c r="Q47" i="3"/>
  <c r="O47" i="3"/>
  <c r="N47" i="3"/>
  <c r="X47" i="3" s="1"/>
  <c r="M47" i="3"/>
  <c r="W47" i="3" s="1"/>
  <c r="L47" i="3"/>
  <c r="V47" i="3" s="1"/>
  <c r="K47" i="3"/>
  <c r="U47" i="3" s="1"/>
  <c r="J47" i="3"/>
  <c r="I47" i="3"/>
  <c r="H47" i="3"/>
  <c r="G47" i="3"/>
  <c r="F47" i="3"/>
  <c r="P47" i="3" s="1"/>
  <c r="E47" i="3"/>
  <c r="D47" i="3"/>
  <c r="C47" i="3"/>
  <c r="B47" i="3"/>
  <c r="Y46" i="3"/>
  <c r="W46" i="3"/>
  <c r="V46" i="3"/>
  <c r="T46" i="3"/>
  <c r="S46" i="3"/>
  <c r="R46" i="3"/>
  <c r="N46" i="3"/>
  <c r="X46" i="3" s="1"/>
  <c r="M46" i="3"/>
  <c r="L46" i="3"/>
  <c r="K46" i="3"/>
  <c r="U46" i="3" s="1"/>
  <c r="J46" i="3"/>
  <c r="I46" i="3"/>
  <c r="H46" i="3"/>
  <c r="G46" i="3"/>
  <c r="Q46" i="3" s="1"/>
  <c r="F46" i="3"/>
  <c r="P46" i="3" s="1"/>
  <c r="E46" i="3"/>
  <c r="O46" i="3" s="1"/>
  <c r="D46" i="3"/>
  <c r="C46" i="3"/>
  <c r="B46" i="3"/>
  <c r="Y45" i="3"/>
  <c r="S45" i="3"/>
  <c r="R45" i="3"/>
  <c r="Q45" i="3"/>
  <c r="O45" i="3"/>
  <c r="N45" i="3"/>
  <c r="X45" i="3" s="1"/>
  <c r="M45" i="3"/>
  <c r="W45" i="3" s="1"/>
  <c r="L45" i="3"/>
  <c r="V45" i="3" s="1"/>
  <c r="K45" i="3"/>
  <c r="U45" i="3" s="1"/>
  <c r="J45" i="3"/>
  <c r="T45" i="3" s="1"/>
  <c r="I45" i="3"/>
  <c r="H45" i="3"/>
  <c r="G45" i="3"/>
  <c r="F45" i="3"/>
  <c r="P45" i="3" s="1"/>
  <c r="E45" i="3"/>
  <c r="D45" i="3"/>
  <c r="C45" i="3"/>
  <c r="B45" i="3"/>
  <c r="Y44" i="3"/>
  <c r="W44" i="3"/>
  <c r="V44" i="3"/>
  <c r="U44" i="3"/>
  <c r="T44" i="3"/>
  <c r="S44" i="3"/>
  <c r="R44" i="3"/>
  <c r="N44" i="3"/>
  <c r="X44" i="3" s="1"/>
  <c r="M44" i="3"/>
  <c r="L44" i="3"/>
  <c r="K44" i="3"/>
  <c r="J44" i="3"/>
  <c r="I44" i="3"/>
  <c r="H44" i="3"/>
  <c r="G44" i="3"/>
  <c r="Q44" i="3" s="1"/>
  <c r="F44" i="3"/>
  <c r="P44" i="3" s="1"/>
  <c r="E44" i="3"/>
  <c r="O44" i="3" s="1"/>
  <c r="D44" i="3"/>
  <c r="C44" i="3"/>
  <c r="B44" i="3"/>
  <c r="Y43" i="3"/>
  <c r="T43" i="3"/>
  <c r="S43" i="3"/>
  <c r="R43" i="3"/>
  <c r="Q43" i="3"/>
  <c r="O43" i="3"/>
  <c r="N43" i="3"/>
  <c r="X43" i="3" s="1"/>
  <c r="M43" i="3"/>
  <c r="W43" i="3" s="1"/>
  <c r="L43" i="3"/>
  <c r="V43" i="3" s="1"/>
  <c r="K43" i="3"/>
  <c r="U43" i="3" s="1"/>
  <c r="J43" i="3"/>
  <c r="I43" i="3"/>
  <c r="H43" i="3"/>
  <c r="G43" i="3"/>
  <c r="F43" i="3"/>
  <c r="P43" i="3" s="1"/>
  <c r="E43" i="3"/>
  <c r="D43" i="3"/>
  <c r="C43" i="3"/>
  <c r="B43" i="3"/>
  <c r="Y42" i="3"/>
  <c r="W42" i="3"/>
  <c r="T42" i="3"/>
  <c r="S42" i="3"/>
  <c r="R42" i="3"/>
  <c r="N42" i="3"/>
  <c r="X42" i="3" s="1"/>
  <c r="M42" i="3"/>
  <c r="L42" i="3"/>
  <c r="V42" i="3" s="1"/>
  <c r="K42" i="3"/>
  <c r="U42" i="3" s="1"/>
  <c r="J42" i="3"/>
  <c r="I42" i="3"/>
  <c r="H42" i="3"/>
  <c r="G42" i="3"/>
  <c r="Q42" i="3" s="1"/>
  <c r="F42" i="3"/>
  <c r="P42" i="3" s="1"/>
  <c r="E42" i="3"/>
  <c r="O42" i="3" s="1"/>
  <c r="D42" i="3"/>
  <c r="C42" i="3"/>
  <c r="B42" i="3"/>
  <c r="Y41" i="3"/>
  <c r="S41" i="3"/>
  <c r="R41" i="3"/>
  <c r="Q41" i="3"/>
  <c r="O41" i="3"/>
  <c r="N41" i="3"/>
  <c r="X41" i="3" s="1"/>
  <c r="M41" i="3"/>
  <c r="W41" i="3" s="1"/>
  <c r="L41" i="3"/>
  <c r="V41" i="3" s="1"/>
  <c r="K41" i="3"/>
  <c r="U41" i="3" s="1"/>
  <c r="J41" i="3"/>
  <c r="T41" i="3" s="1"/>
  <c r="I41" i="3"/>
  <c r="H41" i="3"/>
  <c r="G41" i="3"/>
  <c r="F41" i="3"/>
  <c r="P41" i="3" s="1"/>
  <c r="E41" i="3"/>
  <c r="D41" i="3"/>
  <c r="C41" i="3"/>
  <c r="B41" i="3"/>
  <c r="Y40" i="3"/>
  <c r="W40" i="3"/>
  <c r="V40" i="3"/>
  <c r="U40" i="3"/>
  <c r="T40" i="3"/>
  <c r="S40" i="3"/>
  <c r="R40" i="3"/>
  <c r="N40" i="3"/>
  <c r="X40" i="3" s="1"/>
  <c r="M40" i="3"/>
  <c r="L40" i="3"/>
  <c r="K40" i="3"/>
  <c r="J40" i="3"/>
  <c r="I40" i="3"/>
  <c r="H40" i="3"/>
  <c r="G40" i="3"/>
  <c r="Q40" i="3" s="1"/>
  <c r="F40" i="3"/>
  <c r="P40" i="3" s="1"/>
  <c r="E40" i="3"/>
  <c r="O40" i="3" s="1"/>
  <c r="D40" i="3"/>
  <c r="C40" i="3"/>
  <c r="B40" i="3"/>
  <c r="Y39" i="3"/>
  <c r="S39" i="3"/>
  <c r="R39" i="3"/>
  <c r="Q39" i="3"/>
  <c r="O39" i="3"/>
  <c r="N39" i="3"/>
  <c r="X39" i="3" s="1"/>
  <c r="M39" i="3"/>
  <c r="W39" i="3" s="1"/>
  <c r="L39" i="3"/>
  <c r="V39" i="3" s="1"/>
  <c r="K39" i="3"/>
  <c r="U39" i="3" s="1"/>
  <c r="J39" i="3"/>
  <c r="T39" i="3" s="1"/>
  <c r="I39" i="3"/>
  <c r="H39" i="3"/>
  <c r="G39" i="3"/>
  <c r="F39" i="3"/>
  <c r="P39" i="3" s="1"/>
  <c r="E39" i="3"/>
  <c r="D39" i="3"/>
  <c r="C39" i="3"/>
  <c r="B39" i="3"/>
  <c r="Y38" i="3"/>
  <c r="W38" i="3"/>
  <c r="V38" i="3"/>
  <c r="U38" i="3"/>
  <c r="T38" i="3"/>
  <c r="S38" i="3"/>
  <c r="R38" i="3"/>
  <c r="N38" i="3"/>
  <c r="X38" i="3" s="1"/>
  <c r="M38" i="3"/>
  <c r="L38" i="3"/>
  <c r="K38" i="3"/>
  <c r="J38" i="3"/>
  <c r="I38" i="3"/>
  <c r="H38" i="3"/>
  <c r="G38" i="3"/>
  <c r="Q38" i="3" s="1"/>
  <c r="F38" i="3"/>
  <c r="P38" i="3" s="1"/>
  <c r="E38" i="3"/>
  <c r="O38" i="3" s="1"/>
  <c r="D38" i="3"/>
  <c r="C38" i="3"/>
  <c r="B38" i="3"/>
  <c r="Y37" i="3"/>
  <c r="S37" i="3"/>
  <c r="R37" i="3"/>
  <c r="Q37" i="3"/>
  <c r="O37" i="3"/>
  <c r="N37" i="3"/>
  <c r="X37" i="3" s="1"/>
  <c r="M37" i="3"/>
  <c r="W37" i="3" s="1"/>
  <c r="L37" i="3"/>
  <c r="V37" i="3" s="1"/>
  <c r="K37" i="3"/>
  <c r="U37" i="3" s="1"/>
  <c r="J37" i="3"/>
  <c r="T37" i="3" s="1"/>
  <c r="I37" i="3"/>
  <c r="H37" i="3"/>
  <c r="G37" i="3"/>
  <c r="F37" i="3"/>
  <c r="P37" i="3" s="1"/>
  <c r="E37" i="3"/>
  <c r="D37" i="3"/>
  <c r="C37" i="3"/>
  <c r="B37" i="3"/>
  <c r="Y36" i="3"/>
  <c r="W36" i="3"/>
  <c r="V36" i="3"/>
  <c r="U36" i="3"/>
  <c r="T36" i="3"/>
  <c r="S36" i="3"/>
  <c r="R36" i="3"/>
  <c r="N36" i="3"/>
  <c r="X36" i="3" s="1"/>
  <c r="M36" i="3"/>
  <c r="L36" i="3"/>
  <c r="K36" i="3"/>
  <c r="J36" i="3"/>
  <c r="I36" i="3"/>
  <c r="H36" i="3"/>
  <c r="G36" i="3"/>
  <c r="Q36" i="3" s="1"/>
  <c r="F36" i="3"/>
  <c r="P36" i="3" s="1"/>
  <c r="E36" i="3"/>
  <c r="O36" i="3" s="1"/>
  <c r="D36" i="3"/>
  <c r="C36" i="3"/>
  <c r="B36" i="3"/>
  <c r="Y35" i="3"/>
  <c r="S35" i="3"/>
  <c r="R35" i="3"/>
  <c r="Q35" i="3"/>
  <c r="O35" i="3"/>
  <c r="N35" i="3"/>
  <c r="X35" i="3" s="1"/>
  <c r="M35" i="3"/>
  <c r="W35" i="3" s="1"/>
  <c r="L35" i="3"/>
  <c r="V35" i="3" s="1"/>
  <c r="K35" i="3"/>
  <c r="U35" i="3" s="1"/>
  <c r="J35" i="3"/>
  <c r="T35" i="3" s="1"/>
  <c r="I35" i="3"/>
  <c r="H35" i="3"/>
  <c r="G35" i="3"/>
  <c r="F35" i="3"/>
  <c r="P35" i="3" s="1"/>
  <c r="E35" i="3"/>
  <c r="D35" i="3"/>
  <c r="C35" i="3"/>
  <c r="B35" i="3"/>
  <c r="Y34" i="3"/>
  <c r="W34" i="3"/>
  <c r="T34" i="3"/>
  <c r="S34" i="3"/>
  <c r="R34" i="3"/>
  <c r="N34" i="3"/>
  <c r="X34" i="3" s="1"/>
  <c r="M34" i="3"/>
  <c r="L34" i="3"/>
  <c r="V34" i="3" s="1"/>
  <c r="K34" i="3"/>
  <c r="U34" i="3" s="1"/>
  <c r="J34" i="3"/>
  <c r="I34" i="3"/>
  <c r="H34" i="3"/>
  <c r="G34" i="3"/>
  <c r="Q34" i="3" s="1"/>
  <c r="F34" i="3"/>
  <c r="P34" i="3" s="1"/>
  <c r="E34" i="3"/>
  <c r="O34" i="3" s="1"/>
  <c r="D34" i="3"/>
  <c r="C34" i="3"/>
  <c r="B34" i="3"/>
  <c r="Y33" i="3"/>
  <c r="S33" i="3"/>
  <c r="R33" i="3"/>
  <c r="Q33" i="3"/>
  <c r="O33" i="3"/>
  <c r="N33" i="3"/>
  <c r="X33" i="3" s="1"/>
  <c r="M33" i="3"/>
  <c r="W33" i="3" s="1"/>
  <c r="L33" i="3"/>
  <c r="V33" i="3" s="1"/>
  <c r="K33" i="3"/>
  <c r="U33" i="3" s="1"/>
  <c r="J33" i="3"/>
  <c r="T33" i="3" s="1"/>
  <c r="I33" i="3"/>
  <c r="H33" i="3"/>
  <c r="G33" i="3"/>
  <c r="F33" i="3"/>
  <c r="P33" i="3" s="1"/>
  <c r="E33" i="3"/>
  <c r="D33" i="3"/>
  <c r="C33" i="3"/>
  <c r="B33" i="3"/>
  <c r="Y32" i="3"/>
  <c r="W32" i="3"/>
  <c r="V32" i="3"/>
  <c r="U32" i="3"/>
  <c r="T32" i="3"/>
  <c r="S32" i="3"/>
  <c r="R32" i="3"/>
  <c r="N32" i="3"/>
  <c r="X32" i="3" s="1"/>
  <c r="M32" i="3"/>
  <c r="L32" i="3"/>
  <c r="K32" i="3"/>
  <c r="J32" i="3"/>
  <c r="I32" i="3"/>
  <c r="H32" i="3"/>
  <c r="G32" i="3"/>
  <c r="Q32" i="3" s="1"/>
  <c r="F32" i="3"/>
  <c r="P32" i="3" s="1"/>
  <c r="E32" i="3"/>
  <c r="O32" i="3" s="1"/>
  <c r="D32" i="3"/>
  <c r="C32" i="3"/>
  <c r="B32" i="3"/>
  <c r="Y31" i="3"/>
  <c r="T31" i="3"/>
  <c r="S31" i="3"/>
  <c r="R31" i="3"/>
  <c r="Q31" i="3"/>
  <c r="O31" i="3"/>
  <c r="N31" i="3"/>
  <c r="X31" i="3" s="1"/>
  <c r="M31" i="3"/>
  <c r="W31" i="3" s="1"/>
  <c r="L31" i="3"/>
  <c r="V31" i="3" s="1"/>
  <c r="K31" i="3"/>
  <c r="U31" i="3" s="1"/>
  <c r="J31" i="3"/>
  <c r="I31" i="3"/>
  <c r="H31" i="3"/>
  <c r="G31" i="3"/>
  <c r="F31" i="3"/>
  <c r="P31" i="3" s="1"/>
  <c r="E31" i="3"/>
  <c r="D31" i="3"/>
  <c r="C31" i="3"/>
  <c r="B31" i="3"/>
  <c r="Y30" i="3"/>
  <c r="W30" i="3"/>
  <c r="T30" i="3"/>
  <c r="S30" i="3"/>
  <c r="R30" i="3"/>
  <c r="N30" i="3"/>
  <c r="X30" i="3" s="1"/>
  <c r="M30" i="3"/>
  <c r="L30" i="3"/>
  <c r="V30" i="3" s="1"/>
  <c r="K30" i="3"/>
  <c r="U30" i="3" s="1"/>
  <c r="J30" i="3"/>
  <c r="I30" i="3"/>
  <c r="H30" i="3"/>
  <c r="G30" i="3"/>
  <c r="Q30" i="3" s="1"/>
  <c r="F30" i="3"/>
  <c r="P30" i="3" s="1"/>
  <c r="E30" i="3"/>
  <c r="O30" i="3" s="1"/>
  <c r="D30" i="3"/>
  <c r="C30" i="3"/>
  <c r="B30" i="3"/>
  <c r="Y29" i="3"/>
  <c r="S29" i="3"/>
  <c r="R29" i="3"/>
  <c r="Q29" i="3"/>
  <c r="O29" i="3"/>
  <c r="N29" i="3"/>
  <c r="X29" i="3" s="1"/>
  <c r="M29" i="3"/>
  <c r="W29" i="3" s="1"/>
  <c r="L29" i="3"/>
  <c r="V29" i="3" s="1"/>
  <c r="K29" i="3"/>
  <c r="U29" i="3" s="1"/>
  <c r="J29" i="3"/>
  <c r="T29" i="3" s="1"/>
  <c r="I29" i="3"/>
  <c r="H29" i="3"/>
  <c r="G29" i="3"/>
  <c r="F29" i="3"/>
  <c r="P29" i="3" s="1"/>
  <c r="E29" i="3"/>
  <c r="D29" i="3"/>
  <c r="C29" i="3"/>
  <c r="B29" i="3"/>
  <c r="Y28" i="3"/>
  <c r="W28" i="3"/>
  <c r="V28" i="3"/>
  <c r="U28" i="3"/>
  <c r="T28" i="3"/>
  <c r="S28" i="3"/>
  <c r="R28" i="3"/>
  <c r="N28" i="3"/>
  <c r="X28" i="3" s="1"/>
  <c r="M28" i="3"/>
  <c r="L28" i="3"/>
  <c r="K28" i="3"/>
  <c r="J28" i="3"/>
  <c r="I28" i="3"/>
  <c r="H28" i="3"/>
  <c r="G28" i="3"/>
  <c r="Q28" i="3" s="1"/>
  <c r="F28" i="3"/>
  <c r="P28" i="3" s="1"/>
  <c r="E28" i="3"/>
  <c r="O28" i="3" s="1"/>
  <c r="D28" i="3"/>
  <c r="C28" i="3"/>
  <c r="B28" i="3"/>
  <c r="Y27" i="3"/>
  <c r="T27" i="3"/>
  <c r="S27" i="3"/>
  <c r="R27" i="3"/>
  <c r="Q27" i="3"/>
  <c r="O27" i="3"/>
  <c r="N27" i="3"/>
  <c r="X27" i="3" s="1"/>
  <c r="M27" i="3"/>
  <c r="W27" i="3" s="1"/>
  <c r="L27" i="3"/>
  <c r="V27" i="3" s="1"/>
  <c r="K27" i="3"/>
  <c r="U27" i="3" s="1"/>
  <c r="J27" i="3"/>
  <c r="I27" i="3"/>
  <c r="H27" i="3"/>
  <c r="G27" i="3"/>
  <c r="F27" i="3"/>
  <c r="P27" i="3" s="1"/>
  <c r="E27" i="3"/>
  <c r="D27" i="3"/>
  <c r="C27" i="3"/>
  <c r="B27" i="3"/>
  <c r="Y26" i="3"/>
  <c r="X26" i="3"/>
  <c r="W26" i="3"/>
  <c r="T26" i="3"/>
  <c r="S26" i="3"/>
  <c r="R26" i="3"/>
  <c r="N26" i="3"/>
  <c r="M26" i="3"/>
  <c r="L26" i="3"/>
  <c r="V26" i="3" s="1"/>
  <c r="K26" i="3"/>
  <c r="U26" i="3" s="1"/>
  <c r="J26" i="3"/>
  <c r="I26" i="3"/>
  <c r="H26" i="3"/>
  <c r="G26" i="3"/>
  <c r="Q26" i="3" s="1"/>
  <c r="F26" i="3"/>
  <c r="P26" i="3" s="1"/>
  <c r="E26" i="3"/>
  <c r="O26" i="3" s="1"/>
  <c r="D26" i="3"/>
  <c r="C26" i="3"/>
  <c r="B26" i="3"/>
  <c r="Y25" i="3"/>
  <c r="S25" i="3"/>
  <c r="R25" i="3"/>
  <c r="Q25" i="3"/>
  <c r="O25" i="3"/>
  <c r="N25" i="3"/>
  <c r="X25" i="3" s="1"/>
  <c r="M25" i="3"/>
  <c r="W25" i="3" s="1"/>
  <c r="L25" i="3"/>
  <c r="V25" i="3" s="1"/>
  <c r="K25" i="3"/>
  <c r="U25" i="3" s="1"/>
  <c r="J25" i="3"/>
  <c r="T25" i="3" s="1"/>
  <c r="I25" i="3"/>
  <c r="H25" i="3"/>
  <c r="G25" i="3"/>
  <c r="F25" i="3"/>
  <c r="P25" i="3" s="1"/>
  <c r="E25" i="3"/>
  <c r="D25" i="3"/>
  <c r="C25" i="3"/>
  <c r="B25" i="3"/>
  <c r="Y24" i="3"/>
  <c r="W24" i="3"/>
  <c r="V24" i="3"/>
  <c r="U24" i="3"/>
  <c r="T24" i="3"/>
  <c r="S24" i="3"/>
  <c r="R24" i="3"/>
  <c r="N24" i="3"/>
  <c r="X24" i="3" s="1"/>
  <c r="M24" i="3"/>
  <c r="L24" i="3"/>
  <c r="K24" i="3"/>
  <c r="J24" i="3"/>
  <c r="I24" i="3"/>
  <c r="H24" i="3"/>
  <c r="G24" i="3"/>
  <c r="Q24" i="3" s="1"/>
  <c r="F24" i="3"/>
  <c r="P24" i="3" s="1"/>
  <c r="E24" i="3"/>
  <c r="O24" i="3" s="1"/>
  <c r="D24" i="3"/>
  <c r="C24" i="3"/>
  <c r="B24" i="3"/>
  <c r="Y23" i="3"/>
  <c r="T23" i="3"/>
  <c r="S23" i="3"/>
  <c r="R23" i="3"/>
  <c r="Q23" i="3"/>
  <c r="O23" i="3"/>
  <c r="N23" i="3"/>
  <c r="X23" i="3" s="1"/>
  <c r="M23" i="3"/>
  <c r="W23" i="3" s="1"/>
  <c r="L23" i="3"/>
  <c r="V23" i="3" s="1"/>
  <c r="K23" i="3"/>
  <c r="U23" i="3" s="1"/>
  <c r="J23" i="3"/>
  <c r="I23" i="3"/>
  <c r="H23" i="3"/>
  <c r="G23" i="3"/>
  <c r="F23" i="3"/>
  <c r="P23" i="3" s="1"/>
  <c r="E23" i="3"/>
  <c r="D23" i="3"/>
  <c r="C23" i="3"/>
  <c r="B23" i="3"/>
  <c r="Y22" i="3"/>
  <c r="W22" i="3"/>
  <c r="V22" i="3"/>
  <c r="U22" i="3"/>
  <c r="T22" i="3"/>
  <c r="S22" i="3"/>
  <c r="R22" i="3"/>
  <c r="N22" i="3"/>
  <c r="X22" i="3" s="1"/>
  <c r="M22" i="3"/>
  <c r="L22" i="3"/>
  <c r="K22" i="3"/>
  <c r="J22" i="3"/>
  <c r="I22" i="3"/>
  <c r="H22" i="3"/>
  <c r="G22" i="3"/>
  <c r="Q22" i="3" s="1"/>
  <c r="F22" i="3"/>
  <c r="P22" i="3" s="1"/>
  <c r="E22" i="3"/>
  <c r="O22" i="3" s="1"/>
  <c r="D22" i="3"/>
  <c r="C22" i="3"/>
  <c r="B22" i="3"/>
  <c r="C10" i="3" s="1"/>
  <c r="C77" i="2" s="1"/>
  <c r="Y21" i="3"/>
  <c r="S21" i="3"/>
  <c r="R21" i="3"/>
  <c r="Q21" i="3"/>
  <c r="N21" i="3"/>
  <c r="X21" i="3" s="1"/>
  <c r="M21" i="3"/>
  <c r="W21" i="3" s="1"/>
  <c r="L21" i="3"/>
  <c r="V21" i="3" s="1"/>
  <c r="K21" i="3"/>
  <c r="U21" i="3" s="1"/>
  <c r="J21" i="3"/>
  <c r="T21" i="3" s="1"/>
  <c r="I21" i="3"/>
  <c r="H21" i="3"/>
  <c r="G21" i="3"/>
  <c r="F21" i="3"/>
  <c r="P21" i="3" s="1"/>
  <c r="E21" i="3"/>
  <c r="D21" i="3"/>
  <c r="C21" i="3"/>
  <c r="B21" i="3"/>
  <c r="P101" i="2"/>
  <c r="O101" i="2"/>
  <c r="N101" i="2"/>
  <c r="L101" i="2"/>
  <c r="H101" i="2"/>
  <c r="P100" i="2"/>
  <c r="O100" i="2"/>
  <c r="N100" i="2"/>
  <c r="M100" i="2"/>
  <c r="O99" i="2"/>
  <c r="M99" i="2"/>
  <c r="L99" i="2"/>
  <c r="H99" i="2"/>
  <c r="P98" i="2"/>
  <c r="O98" i="2"/>
  <c r="N98" i="2"/>
  <c r="M98" i="2"/>
  <c r="L98" i="2"/>
  <c r="H98" i="2"/>
  <c r="P97" i="2"/>
  <c r="O97" i="2"/>
  <c r="M97" i="2"/>
  <c r="L97" i="2"/>
  <c r="H97" i="2"/>
  <c r="P96" i="2"/>
  <c r="O96" i="2"/>
  <c r="N96" i="2"/>
  <c r="M96" i="2"/>
  <c r="L96" i="2"/>
  <c r="L95" i="2"/>
  <c r="H95" i="2"/>
  <c r="L93" i="2"/>
  <c r="H93" i="2"/>
  <c r="O92" i="2"/>
  <c r="N92" i="2"/>
  <c r="N91" i="2"/>
  <c r="M91" i="2"/>
  <c r="L91" i="2"/>
  <c r="P89" i="2"/>
  <c r="O89" i="2"/>
  <c r="H80" i="2"/>
  <c r="A80" i="2"/>
  <c r="H79" i="2"/>
  <c r="A79" i="2"/>
  <c r="H78" i="2"/>
  <c r="A78" i="2"/>
  <c r="H77" i="2"/>
  <c r="A77" i="2"/>
  <c r="H76" i="2"/>
  <c r="A76" i="2"/>
  <c r="H75" i="2"/>
  <c r="A75" i="2"/>
  <c r="H74" i="2"/>
  <c r="A74" i="2"/>
  <c r="H73" i="2"/>
  <c r="A73" i="2"/>
  <c r="W58" i="2"/>
  <c r="V58" i="2"/>
  <c r="L100" i="2" s="1"/>
  <c r="U58" i="2"/>
  <c r="P93" i="2" s="1"/>
  <c r="U40" i="2"/>
  <c r="U39" i="2"/>
  <c r="U38" i="2"/>
  <c r="U37" i="2"/>
  <c r="U36" i="2"/>
  <c r="U35" i="2"/>
  <c r="U34" i="2"/>
  <c r="I10" i="3" l="1"/>
  <c r="H10" i="3"/>
  <c r="G10" i="3"/>
  <c r="H7" i="3"/>
  <c r="E7" i="3"/>
  <c r="D10" i="3"/>
  <c r="D77" i="2" s="1"/>
  <c r="D12" i="3"/>
  <c r="D79" i="2" s="1"/>
  <c r="E9" i="3"/>
  <c r="G6" i="3"/>
  <c r="E12" i="3"/>
  <c r="L11" i="3"/>
  <c r="G11" i="3"/>
  <c r="B16" i="3"/>
  <c r="G8" i="3"/>
  <c r="I8" i="3"/>
  <c r="H8" i="3"/>
  <c r="H11" i="3"/>
  <c r="E11" i="3"/>
  <c r="C11" i="3"/>
  <c r="C78" i="2" s="1"/>
  <c r="D11" i="3"/>
  <c r="D78" i="2" s="1"/>
  <c r="D6" i="4"/>
  <c r="I54" i="4"/>
  <c r="C12" i="3"/>
  <c r="C79" i="2" s="1"/>
  <c r="E6" i="4"/>
  <c r="E13" i="4" s="1"/>
  <c r="J73" i="2"/>
  <c r="J12" i="3"/>
  <c r="J51" i="4"/>
  <c r="I51" i="4"/>
  <c r="K12" i="3"/>
  <c r="L12" i="3"/>
  <c r="B12" i="3"/>
  <c r="B79" i="2" s="1"/>
  <c r="B12" i="4"/>
  <c r="B11" i="3"/>
  <c r="B78" i="2" s="1"/>
  <c r="B6" i="4"/>
  <c r="E6" i="3"/>
  <c r="E8" i="4"/>
  <c r="I38" i="4"/>
  <c r="D6" i="3"/>
  <c r="B7" i="3"/>
  <c r="B74" i="2" s="1"/>
  <c r="C7" i="3"/>
  <c r="C74" i="2" s="1"/>
  <c r="V44" i="2"/>
  <c r="D7" i="3"/>
  <c r="D74" i="2" s="1"/>
  <c r="C6" i="3"/>
  <c r="D8" i="3"/>
  <c r="D75" i="2" s="1"/>
  <c r="B14" i="4"/>
  <c r="C14" i="4"/>
  <c r="B10" i="3"/>
  <c r="B77" i="2" s="1"/>
  <c r="J67" i="4"/>
  <c r="I67" i="4"/>
  <c r="B9" i="3"/>
  <c r="B76" i="2" s="1"/>
  <c r="C9" i="3"/>
  <c r="C76" i="2" s="1"/>
  <c r="O21" i="3"/>
  <c r="B6" i="3" s="1"/>
  <c r="V62" i="2"/>
  <c r="D9" i="3"/>
  <c r="D76" i="2" s="1"/>
  <c r="E8" i="3"/>
  <c r="K9" i="3"/>
  <c r="D14" i="4"/>
  <c r="B8" i="4"/>
  <c r="E11" i="4"/>
  <c r="B11" i="4"/>
  <c r="E10" i="4"/>
  <c r="D10" i="4"/>
  <c r="C10" i="4"/>
  <c r="J77" i="2" s="1"/>
  <c r="B9" i="4"/>
  <c r="L6" i="3"/>
  <c r="L9" i="3"/>
  <c r="J35" i="4"/>
  <c r="A109" i="2" s="1"/>
  <c r="I35" i="4"/>
  <c r="C9" i="4"/>
  <c r="J76" i="2" s="1"/>
  <c r="H90" i="2"/>
  <c r="M90" i="2"/>
  <c r="F111" i="2"/>
  <c r="D9" i="4"/>
  <c r="M95" i="2"/>
  <c r="W64" i="2"/>
  <c r="O95" i="2"/>
  <c r="W65" i="2"/>
  <c r="P95" i="2"/>
  <c r="J8" i="3"/>
  <c r="I11" i="3"/>
  <c r="C16" i="3"/>
  <c r="E9" i="4"/>
  <c r="W66" i="2"/>
  <c r="O90" i="2"/>
  <c r="H96" i="2"/>
  <c r="M101" i="2"/>
  <c r="K8" i="3"/>
  <c r="J11" i="3"/>
  <c r="D16" i="3"/>
  <c r="N95" i="2"/>
  <c r="N90" i="2"/>
  <c r="P90" i="2"/>
  <c r="L8" i="3"/>
  <c r="K11" i="3"/>
  <c r="E16" i="3"/>
  <c r="L90" i="2"/>
  <c r="H91" i="2"/>
  <c r="B10" i="4"/>
  <c r="I24" i="4"/>
  <c r="P92" i="2" s="1"/>
  <c r="I40" i="4"/>
  <c r="I56" i="4"/>
  <c r="I34" i="4"/>
  <c r="I50" i="4"/>
  <c r="I66" i="4"/>
  <c r="O91" i="2"/>
  <c r="P91" i="2"/>
  <c r="I107" i="2"/>
  <c r="H6" i="3"/>
  <c r="G9" i="3"/>
  <c r="H92" i="2"/>
  <c r="M107" i="2"/>
  <c r="I6" i="3"/>
  <c r="H9" i="3"/>
  <c r="G12" i="3"/>
  <c r="L92" i="2"/>
  <c r="N97" i="2"/>
  <c r="J6" i="3"/>
  <c r="I9" i="3"/>
  <c r="H12" i="3"/>
  <c r="C11" i="4"/>
  <c r="J78" i="2" s="1"/>
  <c r="M92" i="2"/>
  <c r="K6" i="3"/>
  <c r="J9" i="3"/>
  <c r="I12" i="3"/>
  <c r="D11" i="4"/>
  <c r="M93" i="2"/>
  <c r="B7" i="4"/>
  <c r="D12" i="4"/>
  <c r="F85" i="2"/>
  <c r="N93" i="2"/>
  <c r="G7" i="3"/>
  <c r="E10" i="3"/>
  <c r="C7" i="4"/>
  <c r="J74" i="2" s="1"/>
  <c r="E12" i="4"/>
  <c r="O93" i="2"/>
  <c r="D7" i="4"/>
  <c r="E7" i="4"/>
  <c r="H94" i="2"/>
  <c r="M109" i="2"/>
  <c r="J7" i="3"/>
  <c r="N85" i="2"/>
  <c r="L94" i="2"/>
  <c r="N99" i="2"/>
  <c r="K7" i="3"/>
  <c r="J10" i="3"/>
  <c r="M94" i="2"/>
  <c r="L89" i="2"/>
  <c r="N94" i="2"/>
  <c r="P99" i="2"/>
  <c r="L10" i="3"/>
  <c r="C8" i="4"/>
  <c r="J75" i="2" s="1"/>
  <c r="H89" i="2"/>
  <c r="K10" i="3"/>
  <c r="W61" i="2"/>
  <c r="M89" i="2"/>
  <c r="O94" i="2"/>
  <c r="H100" i="2"/>
  <c r="B8" i="3"/>
  <c r="B75" i="2" s="1"/>
  <c r="D8" i="4"/>
  <c r="J85" i="2"/>
  <c r="I7" i="3"/>
  <c r="L7" i="3"/>
  <c r="N89" i="2"/>
  <c r="P94" i="2"/>
  <c r="C8" i="3"/>
  <c r="C75" i="2" s="1"/>
  <c r="I71" i="4"/>
  <c r="B73" i="2" l="1"/>
  <c r="B14" i="3"/>
  <c r="B13" i="3"/>
  <c r="V61" i="2"/>
  <c r="V36" i="2"/>
  <c r="I75" i="2"/>
  <c r="I13" i="3"/>
  <c r="W5" i="2" s="1"/>
  <c r="W63" i="2"/>
  <c r="E75" i="2"/>
  <c r="N8" i="3"/>
  <c r="X27" i="2"/>
  <c r="C13" i="4"/>
  <c r="X18" i="2"/>
  <c r="G8" i="4"/>
  <c r="K75" i="2"/>
  <c r="F8" i="4"/>
  <c r="L75" i="2" s="1"/>
  <c r="W36" i="2"/>
  <c r="I111" i="2"/>
  <c r="M7" i="2"/>
  <c r="D13" i="4"/>
  <c r="X16" i="2"/>
  <c r="K73" i="2"/>
  <c r="W34" i="2"/>
  <c r="G6" i="4"/>
  <c r="F6" i="4"/>
  <c r="X30" i="2"/>
  <c r="E78" i="2"/>
  <c r="N11" i="3"/>
  <c r="E109" i="2"/>
  <c r="K76" i="2"/>
  <c r="W37" i="2"/>
  <c r="G9" i="4"/>
  <c r="F9" i="4"/>
  <c r="L76" i="2" s="1"/>
  <c r="X19" i="2"/>
  <c r="X29" i="2"/>
  <c r="N10" i="3"/>
  <c r="E77" i="2"/>
  <c r="G12" i="4"/>
  <c r="F12" i="4"/>
  <c r="L79" i="2" s="1"/>
  <c r="X22" i="2"/>
  <c r="K79" i="2"/>
  <c r="W40" i="2"/>
  <c r="V38" i="2"/>
  <c r="I77" i="2"/>
  <c r="C13" i="3"/>
  <c r="C73" i="2"/>
  <c r="C14" i="3"/>
  <c r="I110" i="2"/>
  <c r="H13" i="3"/>
  <c r="W4" i="2" s="1"/>
  <c r="W62" i="2"/>
  <c r="E79" i="2"/>
  <c r="N12" i="3"/>
  <c r="X31" i="2"/>
  <c r="G13" i="3"/>
  <c r="W3" i="2" s="1"/>
  <c r="F110" i="2"/>
  <c r="X21" i="2"/>
  <c r="K78" i="2"/>
  <c r="W39" i="2"/>
  <c r="G11" i="4"/>
  <c r="F11" i="4"/>
  <c r="L78" i="2" s="1"/>
  <c r="D13" i="3"/>
  <c r="D14" i="3"/>
  <c r="D73" i="2"/>
  <c r="V63" i="2"/>
  <c r="X28" i="2"/>
  <c r="N9" i="3"/>
  <c r="E76" i="2"/>
  <c r="I74" i="2"/>
  <c r="V35" i="2"/>
  <c r="K13" i="3"/>
  <c r="W7" i="2" s="1"/>
  <c r="N111" i="2"/>
  <c r="F107" i="2"/>
  <c r="M108" i="2"/>
  <c r="N110" i="2"/>
  <c r="M110" i="2"/>
  <c r="N108" i="2"/>
  <c r="I108" i="2"/>
  <c r="E108" i="2"/>
  <c r="F108" i="2"/>
  <c r="E107" i="2"/>
  <c r="A107" i="2"/>
  <c r="F109" i="2"/>
  <c r="E13" i="3"/>
  <c r="X25" i="2"/>
  <c r="E14" i="3"/>
  <c r="N6" i="3"/>
  <c r="H85" i="2" s="1"/>
  <c r="E73" i="2"/>
  <c r="N7" i="3"/>
  <c r="X26" i="2"/>
  <c r="E74" i="2"/>
  <c r="V64" i="2"/>
  <c r="L13" i="3"/>
  <c r="W8" i="2" s="1"/>
  <c r="K74" i="2"/>
  <c r="X17" i="2"/>
  <c r="G7" i="4"/>
  <c r="F7" i="4"/>
  <c r="L74" i="2" s="1"/>
  <c r="W35" i="2"/>
  <c r="E110" i="2"/>
  <c r="A108" i="2"/>
  <c r="V37" i="2"/>
  <c r="I76" i="2"/>
  <c r="B13" i="4"/>
  <c r="I73" i="2"/>
  <c r="V34" i="2"/>
  <c r="J13" i="3"/>
  <c r="W6" i="2" s="1"/>
  <c r="N107" i="2"/>
  <c r="A110" i="2"/>
  <c r="A111" i="2"/>
  <c r="I109" i="2"/>
  <c r="N109" i="2"/>
  <c r="K77" i="2"/>
  <c r="W38" i="2"/>
  <c r="F10" i="4"/>
  <c r="L77" i="2" s="1"/>
  <c r="G10" i="4"/>
  <c r="X20" i="2"/>
  <c r="V40" i="2"/>
  <c r="I79" i="2"/>
  <c r="E111" i="2"/>
  <c r="M111" i="2"/>
  <c r="V43" i="2"/>
  <c r="V45" i="2"/>
  <c r="I78" i="2"/>
  <c r="V39" i="2"/>
  <c r="V46" i="2"/>
  <c r="L73" i="2" l="1"/>
  <c r="L85" i="2"/>
  <c r="V31" i="2"/>
  <c r="U31" i="2"/>
  <c r="V30" i="2"/>
  <c r="V29" i="2"/>
  <c r="U29" i="2"/>
  <c r="U30" i="2"/>
  <c r="V28" i="2"/>
  <c r="V26" i="2"/>
  <c r="U25" i="2"/>
  <c r="U26" i="2"/>
  <c r="V25" i="2"/>
  <c r="V27" i="2"/>
  <c r="U27" i="2"/>
  <c r="U28" i="2"/>
  <c r="N13" i="3"/>
  <c r="E7" i="2" s="1"/>
  <c r="A9" i="2"/>
  <c r="V6" i="2"/>
  <c r="E9" i="2"/>
  <c r="A7" i="2"/>
  <c r="E80" i="2"/>
  <c r="I10" i="1"/>
  <c r="C80" i="2"/>
  <c r="V4" i="2"/>
  <c r="G13" i="4"/>
  <c r="F13" i="4"/>
  <c r="L80" i="2" s="1"/>
  <c r="V13" i="2"/>
  <c r="I7" i="2"/>
  <c r="I9" i="2"/>
  <c r="K80" i="2"/>
  <c r="I15" i="1"/>
  <c r="I80" i="2"/>
  <c r="V11" i="2"/>
  <c r="B80" i="2"/>
  <c r="V3" i="2"/>
  <c r="V18" i="2"/>
  <c r="U18" i="2"/>
  <c r="U17" i="2"/>
  <c r="V17" i="2"/>
  <c r="V16" i="2"/>
  <c r="U16" i="2"/>
  <c r="V21" i="2"/>
  <c r="U21" i="2"/>
  <c r="U20" i="2"/>
  <c r="V20" i="2"/>
  <c r="V22" i="2"/>
  <c r="U22" i="2"/>
  <c r="V19" i="2"/>
  <c r="U19" i="2"/>
  <c r="D80" i="2"/>
  <c r="V5" i="2"/>
  <c r="V12" i="2"/>
  <c r="J80" i="2"/>
</calcChain>
</file>

<file path=xl/sharedStrings.xml><?xml version="1.0" encoding="utf-8"?>
<sst xmlns="http://schemas.openxmlformats.org/spreadsheetml/2006/main" count="786" uniqueCount="376">
  <si>
    <t>Índices Compósitos do PDN 2023–2027</t>
  </si>
  <si>
    <t>Angola · Execução do Plano de Desenvolvimento Nacional · dados do Relatório Anual 2025 (MINPLAN)</t>
  </si>
  <si>
    <t>Este livro apresenta dois indicadores compósitos construídos segundo as boas práticas internacionais (OCDE/JRC, Handbook on Constructing Composite Indicators, 2008), a partir dos 51 indicadores de execução do painel oficial do MINPLAN, organizados em 7 domínios. Todos os cálculos estão em fórmulas vivas: ao alterar um valor na folha «Dados», índices, painel e gráficos recalculam automaticamente.</t>
  </si>
  <si>
    <t>Os dois índices</t>
  </si>
  <si>
    <t>1 · ICD — Índice Compósito de Desenvolvimento</t>
  </si>
  <si>
    <t>Mede o progresso observado do desenvolvimento: cada indicador é normalizado com base 2022 = 100 («menor é melhor» invertidos) e agregado por média geométrica dentro do domínio e entre os 7 domínios.</t>
  </si>
  <si>
    <t>em 2025 (2022 = 100)</t>
  </si>
  <si>
    <t>→ ver folha «ICD»</t>
  </si>
  <si>
    <t>2 · ICE — Índice Compósito de Execução do PDN</t>
  </si>
  <si>
    <t>Mede a execução face ao previsto (executado ÷ previsto): grau de atingimento da meta anual interpolada, com tecto de 100% por indicador (excedentes não compensam défices) e média aritmética por domínio e entre domínios.</t>
  </si>
  <si>
    <t>da meta anual em 2025</t>
  </si>
  <si>
    <t>→ ver folha «ICE»</t>
  </si>
  <si>
    <t>Como utilizar</t>
  </si>
  <si>
    <t>1.</t>
  </si>
  <si>
    <t>Abra a folha «Painel» — síntese, gráficos, mapa de calor e explorador de domínio (com menu pendente ▼).</t>
  </si>
  <si>
    <t>2.</t>
  </si>
  <si>
    <t>Consulte «ICD» e «ICE» para os resultados por domínio e o detalhe dos 51 indicadores, com fórmulas auditáveis.</t>
  </si>
  <si>
    <t>3.</t>
  </si>
  <si>
    <t>Os valores de entrada estão na folha «Dados», a azul. Corrija ou actualize aí — tudo recalcula automaticamente.</t>
  </si>
  <si>
    <t>4.</t>
  </si>
  <si>
    <t>A folha «Metodologia» documenta opções de cálculo, alinhamento com a OCDE/JRC, robustez e limitações.</t>
  </si>
  <si>
    <t>5.</t>
  </si>
  <si>
    <t>Nada está protegido: pode ordenar, filtrar e copiar. Evite apagar colunas ocultas (auxiliares técnicas).</t>
  </si>
  <si>
    <t>Navegação</t>
  </si>
  <si>
    <t>→ Painel</t>
  </si>
  <si>
    <t>Visualizações e dashboards — síntese 2025, evoluções, domínios, radar, distribuição, explorador e extremos</t>
  </si>
  <si>
    <t>→ ICD</t>
  </si>
  <si>
    <t>Índice Compósito de Desenvolvimento — resultados e detalhe normalizado (2022 = 100)</t>
  </si>
  <si>
    <t>→ ICE</t>
  </si>
  <si>
    <t>Índice Compósito de Execução — % da meta anual por domínio e indicador (executado/previsto)</t>
  </si>
  <si>
    <t>→ Dados</t>
  </si>
  <si>
    <t>Base de dados editável: 51 indicadores, observações 2022–2025 e metas anuais 2022–2027</t>
  </si>
  <si>
    <t>→ Metodologia</t>
  </si>
  <si>
    <t>Especificação completa dos índices, alinhamento OCDE/JRC, robustez, limitações e fontes</t>
  </si>
  <si>
    <t>Convenções</t>
  </si>
  <si>
    <t>Texto azul</t>
  </si>
  <si>
    <t>valores de entrada editáveis (folha «Dados»)</t>
  </si>
  <si>
    <t>Texto preto</t>
  </si>
  <si>
    <t>fórmulas — não escrever por cima</t>
  </si>
  <si>
    <t>● ● ●</t>
  </si>
  <si>
    <t>semáforos ICE: verde ≥90% · amarelo 75–90% · vermelho &lt;75% da meta anual</t>
  </si>
  <si>
    <t>Mapa de calor</t>
  </si>
  <si>
    <t>avermelhado = abaixo de 2022/da meta · azulado/violeta = acima</t>
  </si>
  <si>
    <t>Ficha técnica</t>
  </si>
  <si>
    <t>Execução (observações e metas MINPLAN 2025)</t>
  </si>
  <si>
    <t>https://www.minplan.gov.ao/en/publicacoes/relatorios-balanco-pdn</t>
  </si>
  <si>
    <t>Plano (PDN 2023–2027, metas 2027)</t>
  </si>
  <si>
    <t>https://www.nepad.org/sites/default/files/2024-07/20231030%283%29_layout_Final_Angola_PDN%202023-2027-1.pdf</t>
  </si>
  <si>
    <t>Extracção dos dados: 2026-07-17 · Ano-base: 2022 · Metodologia: OCDE/JRC (2008), Handbook on Constructing Composite Indicators. As metas anuais 2026–2027 sem valor publicado no PDN são derivadas (ver «Metodologia» — limitações); os índices não substituem os relatórios oficiais de balanço do PDN.</t>
  </si>
  <si>
    <t>PDN Angola 2023–2027  ·  Índices Compósitos — Painel de Interpretação</t>
  </si>
  <si>
    <t>ÁREA TÉCNICA DOS GRÁFICOS — não editar</t>
  </si>
  <si>
    <t>ICD — Desenvolvimento (progresso observado, 2022 = 100)   ·   ICE — Execução (executado ÷ previsto, % da meta anual)   ·   Dados: painel MINPLAN, Relatório Anual 2025</t>
  </si>
  <si>
    <t>Síntese 2025</t>
  </si>
  <si>
    <t>ICD · DESENVOLVIMENTO 2025</t>
  </si>
  <si>
    <t>HIATO FACE À TRAJECTÓRIA DE METAS</t>
  </si>
  <si>
    <t>ICE · EXECUÇÃO DA META ANUAL 2025</t>
  </si>
  <si>
    <t>INDICADORES NA META (≥100%)</t>
  </si>
  <si>
    <t>Índice global, base 2022 = 100</t>
  </si>
  <si>
    <t>Pontos de índice: observado 2025 vs meta interpolada 2025</t>
  </si>
  <si>
    <t>Média dos 7 domínios, tecto de 100% por indicador</t>
  </si>
  <si>
    <t>Evolução global</t>
  </si>
  <si>
    <t>ICD — desenvolvimento observado vs trajectória de metas (2022 = 100)</t>
  </si>
  <si>
    <t>ICE — execução global da meta anual</t>
  </si>
  <si>
    <t>A linha tracejada indica onde o índice deveria estar se todas as metas anuais interpoladas fossem cumpridas, até 2027.</t>
  </si>
  <si>
    <t>Média dos 7 domínios; cada indicador com tecto de 100%.</t>
  </si>
  <si>
    <t>Domínios em 2025</t>
  </si>
  <si>
    <t>ICE por domínio — % da meta anual em 2025 (ordenado)</t>
  </si>
  <si>
    <t>ICD por domínio — nível do índice em 2025 (2022 = 100)</t>
  </si>
  <si>
    <t>Distância de cada domínio à meta anual interpolada; a linha tracejada marca os 100%.</t>
  </si>
  <si>
    <t>Acima da linha = domínio melhor do que em 2022; Protecção Social mais do que duplicou.</t>
  </si>
  <si>
    <t>≥100%</t>
  </si>
  <si>
    <t>75–100%</t>
  </si>
  <si>
    <t>50–75%</t>
  </si>
  <si>
    <t>&lt;50%</t>
  </si>
  <si>
    <t>Saúde</t>
  </si>
  <si>
    <t>Perfil de execução e distribuição dos indicadores</t>
  </si>
  <si>
    <t>Protecção Social</t>
  </si>
  <si>
    <t>Perfil ICE por domínio — 2023 vs 2025</t>
  </si>
  <si>
    <t>Indicadores por classe de atingimento — 2025</t>
  </si>
  <si>
    <t>Comunicação</t>
  </si>
  <si>
    <t>Quanto mais próximo da orla (100%), melhor a execução; o recuo entre anos assinala perda de ritmo.</t>
  </si>
  <si>
    <t>Classificação face à meta anual, sem tecto (43 indicadores avaliados; 8 sem dados/meta).</t>
  </si>
  <si>
    <t>Educação e FP</t>
  </si>
  <si>
    <t>Infraestruturas</t>
  </si>
  <si>
    <t>Fomento à Produção</t>
  </si>
  <si>
    <t>Económico</t>
  </si>
  <si>
    <t>Mapa de calor — domínio × ano</t>
  </si>
  <si>
    <t>Os mesmos valores dos gráficos, em tabela (leitura exacta).</t>
  </si>
  <si>
    <t>ICD · nível do índice (2022 = 100)</t>
  </si>
  <si>
    <t>ICE · % da meta anual</t>
  </si>
  <si>
    <t>Domínio</t>
  </si>
  <si>
    <t>Δ 25−24</t>
  </si>
  <si>
    <t>Explorador de domínio</t>
  </si>
  <si>
    <t>Escolha um domínio na célula em baixo (▼) — o gráfico e a tabela actualizam automaticamente.</t>
  </si>
  <si>
    <t>Domínio:</t>
  </si>
  <si>
    <t>ICD 2025 (2022=100)</t>
  </si>
  <si>
    <t>Hiato vs meta (pts)</t>
  </si>
  <si>
    <t>ICE 2025 (% meta)</t>
  </si>
  <si>
    <t>Δ ICE 2025−24 (p.p.)</t>
  </si>
  <si>
    <t>Nº de indicadores</t>
  </si>
  <si>
    <t>Trajectória do domínio (2022 = 100)</t>
  </si>
  <si>
    <t>Observado vs metas anuais interpoladas até 2027.</t>
  </si>
  <si>
    <t>Indicador</t>
  </si>
  <si>
    <t>Unidade</t>
  </si>
  <si>
    <t>Obs. 2025</t>
  </si>
  <si>
    <t>Meta 2025</t>
  </si>
  <si>
    <t>% da meta</t>
  </si>
  <si>
    <t>Classe</t>
  </si>
  <si>
    <t>Extremos em 2025 — % da meta anual (sem tecto)</t>
  </si>
  <si>
    <t>Maiores execuções (Top 5)</t>
  </si>
  <si>
    <t>Maiores atrasos (Bottom 5)</t>
  </si>
  <si>
    <t>Notas: ICD agrega os 51 indicadores (média geométrica; «menor é melhor» invertidos). ICE compara o observado com a meta anual interpolada (46 indicadores com meta; tecto de 100%). Metodologia completa e limitações na folha «Metodologia».</t>
  </si>
  <si>
    <t>ICD — Índice Compósito de Desenvolvimento (Execução do PDN, 2022 = 100)</t>
  </si>
  <si>
    <t>Progresso observado dos 51 indicadores face ao ano-base 2022, com inversão dos indicadores «menor é melhor». Agregação: média geométrica dentro de cada domínio e entre os 7 domínios (pesos iguais). Valores &gt;100 = melhoria face a 2022.</t>
  </si>
  <si>
    <t>A. Resultados — domínios e índice global</t>
  </si>
  <si>
    <t>2022</t>
  </si>
  <si>
    <t>2023</t>
  </si>
  <si>
    <t>2024</t>
  </si>
  <si>
    <t>2025</t>
  </si>
  <si>
    <t>Trajectória de metas:  2022</t>
  </si>
  <si>
    <t>2026</t>
  </si>
  <si>
    <t>2027</t>
  </si>
  <si>
    <t>Hiato 2025 (obs. − meta)</t>
  </si>
  <si>
    <t>ÍNDICE GLOBAL (ICD)</t>
  </si>
  <si>
    <t>Robustez: painel equilibrado (48 indicadores)</t>
  </si>
  <si>
    <t>Leitura: 100 = nível de 2022. O hiato compara o observado em 2025 com a trajectória de metas no mesmo ano (pontos de índice).</t>
  </si>
  <si>
    <t>Educação e FP (painel 48 — auxiliar)</t>
  </si>
  <si>
    <t>B. Detalhe por indicador — valores normalizados (2022 = 100)</t>
  </si>
  <si>
    <t>ID</t>
  </si>
  <si>
    <t>Direcção</t>
  </si>
  <si>
    <t>Obs. 2022</t>
  </si>
  <si>
    <t>Obs. 2023</t>
  </si>
  <si>
    <t>Obs. 2024</t>
  </si>
  <si>
    <t>Meta 2022</t>
  </si>
  <si>
    <t>Meta 2023</t>
  </si>
  <si>
    <t>Meta 2024</t>
  </si>
  <si>
    <t>Meta 2026</t>
  </si>
  <si>
    <t>Meta 2027</t>
  </si>
  <si>
    <t>ln obs 2022</t>
  </si>
  <si>
    <t>ln obs 2023</t>
  </si>
  <si>
    <t>ln obs 2024</t>
  </si>
  <si>
    <t>ln obs 2025</t>
  </si>
  <si>
    <t>ln meta 2022</t>
  </si>
  <si>
    <t>ln meta 2023</t>
  </si>
  <si>
    <t>ln meta 2024</t>
  </si>
  <si>
    <t>ln meta 2025</t>
  </si>
  <si>
    <t>ln meta 2026</t>
  </si>
  <si>
    <t>ln meta 2027</t>
  </si>
  <si>
    <t>Painel 48</t>
  </si>
  <si>
    <t>IMP-saude-novas_camas_em_hospitais_cumulativo</t>
  </si>
  <si>
    <t>IMP-saude-taxa_de_cobertura_da_4_a_consulta_pre_natal</t>
  </si>
  <si>
    <t>IMP-saude-taxa_de_imunizacao_bcg</t>
  </si>
  <si>
    <t>IMP-saude-taxa_de_vacinacao_contra_o_sarampo</t>
  </si>
  <si>
    <t>IMP-saude-taxa_de_incidencia_da_malaria</t>
  </si>
  <si>
    <t>IMP-saude-taxa_de_sucesso_do_tratamento_para_a_tuberculose</t>
  </si>
  <si>
    <t>IMP-saude-partos_institucionais_realizados_por_profissionais_qualificados</t>
  </si>
  <si>
    <t>IMP-proteccao_social-pessoas_integradas_em_actividades_geradoras_de_renda_cumulativo</t>
  </si>
  <si>
    <t>IMP-proteccao_social-beneficiarios_de_transferencias_sociais_monetarias_cumulativo</t>
  </si>
  <si>
    <t>IMP-proteccao_social-familias_assistidas_com_cesta_basica_de_alimentos_cumulativo</t>
  </si>
  <si>
    <t>IMP-comunicacao-numero_de_assinantes_de_internet</t>
  </si>
  <si>
    <t>IMP-comunicacao-numero_de_assinantes_de_servicos_moveis</t>
  </si>
  <si>
    <t>IMP-educacao_e_formacao_profissional-salas_de_aula_do_ensino_primario_cumulativo</t>
  </si>
  <si>
    <t>IMP-educacao_e_formacao_profissional-salas_de_aula_do_i_ciclo_do_ensino_secundario_cumulativo</t>
  </si>
  <si>
    <t>IMP-educacao_e_formacao_profissional-salas_de_aula_do_ii_ciclo_do_ensino_secundario_cumulativo</t>
  </si>
  <si>
    <t>IMP-educacao_e_formacao_profissional-taxa_de_alfabetizacao_da_populacao_maior_que_15_anos</t>
  </si>
  <si>
    <t>IMP-educacao_e_formacao_profissional-taxa_de_conclusao_do_ensino_primario</t>
  </si>
  <si>
    <t>IMP-educacao_e_formacao_profissional-taxa_de_conclusao_do_i_ciclo_do_ensino_secundario_ensino_geral</t>
  </si>
  <si>
    <t>IMP-educacao_e_formacao_profissional-taxa_de_conclusao_do_ii_ciclo_do_ensino_secundario_ensino_geral</t>
  </si>
  <si>
    <t>IMP-educacao_e_formacao_profissional-professores_de_ensino_pre_escolar_com_a_qualificacao_minima_exigida_cumulativo</t>
  </si>
  <si>
    <t>IMP-educacao_e_formacao_profissional-professores_de_ensino_primario_com_a_qualificacao_minima_exigida_cumulativo</t>
  </si>
  <si>
    <t>IMP-educacao_e_formacao_profissional-professores_de_ensino_secundario_com_a_qualificacao_minima_exigida_cumulativo</t>
  </si>
  <si>
    <t>IMP-educacao_e_formacao_profissional-numero_de_pessoas_formadas_pelo_snefp_cumulativo</t>
  </si>
  <si>
    <t>IMP-educacao_e_formacao_profissional-kits_profissionais_distribuidos_cumulativo</t>
  </si>
  <si>
    <t>IMP-educacao_e_formacao_profissional-estudantes_matriculados_no_ensino_superior_cumulativo</t>
  </si>
  <si>
    <t>IMP-infraestruturas_habitacao_e_servicos_comunitarios-estradas_nacionais_reabilitadas_cumulativo</t>
  </si>
  <si>
    <t>IMP-infraestruturas_habitacao_e_servicos_comunitarios-equipamentos_sociais_construidos_ou_reabilitados_cumulativo</t>
  </si>
  <si>
    <t>IMP-infraestruturas_habitacao_e_servicos_comunitarios-construcao_e_reabilitacao_de_pontes_cumulativo</t>
  </si>
  <si>
    <t>IMP-infraestruturas_habitacao_e_servicos_comunitarios-taxa_de_electrificacao</t>
  </si>
  <si>
    <t>IMP-infraestruturas_habitacao_e_servicos_comunitarios-numero_de_ligacoes_cumulativo</t>
  </si>
  <si>
    <t>IMP-infraestruturas_habitacao_e_servicos_comunitarios-numero_de_sedes_municipais_com_distribuicao_de_energia_pela_ende</t>
  </si>
  <si>
    <t>IMP-infraestruturas_habitacao_e_servicos_comunitarios-de_producao_total_de_energia_de_fontes_renovaveis</t>
  </si>
  <si>
    <t>IMP-infraestruturas_habitacao_e_servicos_comunitarios-potencia_instalada_proveniente_de_fontes_renovaveis</t>
  </si>
  <si>
    <t>IMP-infraestruturas_habitacao_e_servicos_comunitarios-quantidade_de_agua_tratada_cumulativo</t>
  </si>
  <si>
    <t>IMP-infraestruturas_habitacao_e_servicos_comunitarios-taxa_de_cobertura_de_aguas_nas_areas_urbanas</t>
  </si>
  <si>
    <t>IMP-infraestruturas_habitacao_e_servicos_comunitarios-taxa_de_cobertura_de_aguas_nas_areas_rurais</t>
  </si>
  <si>
    <t>IMP-fomento_a_producao-toneladas_de_carne_produzidas</t>
  </si>
  <si>
    <t>IMP-fomento_a_producao-toneladas_de_raizes_e_tuberculos_produzidas</t>
  </si>
  <si>
    <t>IMP-fomento_a_producao-toneladas_de_fruta_produzidas</t>
  </si>
  <si>
    <t>IMP-fomento_a_producao-toneladas_de_cereais_produzidas</t>
  </si>
  <si>
    <t>IMP-fomento_a_producao-toneladas_de_horticolas_produzidas</t>
  </si>
  <si>
    <t>IMP-fomento_a_producao-ovos_produzidos</t>
  </si>
  <si>
    <t>IMP-fomento_a_producao-litros_de_leite_produzidos</t>
  </si>
  <si>
    <t>IMP-fomento_a_producao-unidades_industriais_no_subsector_da_industria_pesqueira_e_de_transformacao_de_carne_instaladas_cumulativo</t>
  </si>
  <si>
    <t>IMP-fomento_a_producao-toneladas_de_peixe_de_captura_industrial_e_semi_industrial_produzidas</t>
  </si>
  <si>
    <t>IMP-economico-taxa_de_crescimento_do_pib</t>
  </si>
  <si>
    <t>IMP-economico-taxa_de_crescimento_do_pib_nao_petrolifero</t>
  </si>
  <si>
    <t>IMP-economico-taxa_de_inflacao</t>
  </si>
  <si>
    <t>IMP-economico-empregos_formais_bruto_gerados</t>
  </si>
  <si>
    <t>IMP-economico-empregos_formais_liquidos_gerados</t>
  </si>
  <si>
    <t>IMP-economico-taxa_de_desemprego</t>
  </si>
  <si>
    <t>ICE — Índice Compósito de Execução do PDN (Executado / Previsto)</t>
  </si>
  <si>
    <t>Grau de atingimento da meta anual interpolada (distância-à-meta com tecto de 100%: excedentes não compensam défices; indicadores «menor é melhor» invertidos). Agregação: média aritmética dentro do domínio e entre os 7 domínios. 46 indicadores com meta.</t>
  </si>
  <si>
    <t>2025 sem tecto</t>
  </si>
  <si>
    <t>Δ 2025−2024</t>
  </si>
  <si>
    <t>Semáforo 2025</t>
  </si>
  <si>
    <t>ÍNDICE GLOBAL (ICE)</t>
  </si>
  <si>
    <t>Robustez: média simples dos 46 indicadores</t>
  </si>
  <si>
    <t>Leitura: 100% = meta anual cumprida. O semáforo assinala ≥90% (verde), 75–90% (amarelo) e &lt;75% (vermelho).</t>
  </si>
  <si>
    <t>B. Detalhe por indicador — % de execução da meta anual (tecto 100%)</t>
  </si>
  <si>
    <t>2025 vs meta MINPLAN publicada (s/ tecto)</t>
  </si>
  <si>
    <t>Classe 2025</t>
  </si>
  <si>
    <t>Chave téc.</t>
  </si>
  <si>
    <t>Dados de base — 51 indicadores de execução do PDN Angola 2023–2027</t>
  </si>
  <si>
    <t>Fonte: painel MINPLAN (Relatório Anual 2025, extraído 2026-07-17) e PDN 2023–2027. Células com texto AZUL = valores de entrada editáveis; tudo o resto recalcula automaticamente.</t>
  </si>
  <si>
    <t>Domínio (curto)</t>
  </si>
  <si>
    <t>Fonte</t>
  </si>
  <si>
    <t>Obs. 2022 (base)</t>
  </si>
  <si>
    <t>Meta MINPLAN 2025</t>
  </si>
  <si>
    <t>Meta anual 2022</t>
  </si>
  <si>
    <t>Meta anual 2023</t>
  </si>
  <si>
    <t>Meta anual 2024</t>
  </si>
  <si>
    <t>Meta anual 2025</t>
  </si>
  <si>
    <t>Meta anual 2026</t>
  </si>
  <si>
    <t>Meta anual 2027</t>
  </si>
  <si>
    <t>Origem da Meta 2027</t>
  </si>
  <si>
    <t>Interpolação</t>
  </si>
  <si>
    <t>Novas Camas em Hospitais (Cumulativo)</t>
  </si>
  <si>
    <t>N.º</t>
  </si>
  <si>
    <t>Maior é melhor</t>
  </si>
  <si>
    <t>MINSA</t>
  </si>
  <si>
    <t>Taxa de cobertura da 4.ª consulta pré-natal</t>
  </si>
  <si>
    <t>%</t>
  </si>
  <si>
    <t>Derivada: extensão linear da trajectória planeada 2022-2025</t>
  </si>
  <si>
    <t>Linear</t>
  </si>
  <si>
    <t>Taxa de imunização BCG</t>
  </si>
  <si>
    <t>Taxa de vacinação contra o sarampo</t>
  </si>
  <si>
    <t>Taxa de incidência da malária</t>
  </si>
  <si>
    <t>Por 1 000 habitantes</t>
  </si>
  <si>
    <t>Menor é melhor</t>
  </si>
  <si>
    <t>Taxa de sucesso do tratamento para a tuberculose</t>
  </si>
  <si>
    <t>Partos institucionais realizados por profissionais qualificados</t>
  </si>
  <si>
    <t>Pessoas integradas em actividades geradoras de renda (cumulativo)</t>
  </si>
  <si>
    <t>MASFAMU</t>
  </si>
  <si>
    <t>Beneficiários de transferências sociais monetárias (cumulativo)</t>
  </si>
  <si>
    <t>Famílias assistidas com cesta básica de alimentos (cumulativo)</t>
  </si>
  <si>
    <t>Número de assinantes de Internet</t>
  </si>
  <si>
    <t>N.º/100 habitantes</t>
  </si>
  <si>
    <t>MINTTICS</t>
  </si>
  <si>
    <t>Número de assinantes de serviços móveis</t>
  </si>
  <si>
    <t>Educação e Formação Profissional</t>
  </si>
  <si>
    <t>Salas de aula do Ensino Primário (cumulativo)</t>
  </si>
  <si>
    <t>MED</t>
  </si>
  <si>
    <t>Salas de aula do I Ciclo do Ensino Secundário (cumulativo)</t>
  </si>
  <si>
    <t>Derivada: Meta MINPLAN 2025 mantida constante até 2027</t>
  </si>
  <si>
    <t>Salas de aula do II Ciclo do Ensino Secundário (cumulativo)</t>
  </si>
  <si>
    <t>Taxa de alfabetização da população maior que 15 anos</t>
  </si>
  <si>
    <t>INE/MED</t>
  </si>
  <si>
    <t>Meta PDN 2027 publicada (p. 55)</t>
  </si>
  <si>
    <t>Taxa de conclusão do Ensino Primário</t>
  </si>
  <si>
    <t>Taxa de conclusão do I Ciclo do Ensino Secundário (Ensino Geral)</t>
  </si>
  <si>
    <t>Taxa de conclusão do II Ciclo do Ensino Secundário (Ensino Geral)</t>
  </si>
  <si>
    <t>Professores de Ensino Pré-escolar com a qualificação mínima exigida (cumulativo)</t>
  </si>
  <si>
    <t>Professores de Ensino Primário com a qualificação mínima exigida (cumulativo)</t>
  </si>
  <si>
    <t>Professores de Ensino Secundário com a qualificação mínima exigida (cumulativo)</t>
  </si>
  <si>
    <t>Número de pessoas formadas pelo SNEFP (cumulativo)</t>
  </si>
  <si>
    <t>UTGPNFQ</t>
  </si>
  <si>
    <t>Kits profissionais distribuídos (cumulativo)</t>
  </si>
  <si>
    <t>MAPTSS</t>
  </si>
  <si>
    <t>Estudantes matriculados no Ensino Superior (cumulativo)</t>
  </si>
  <si>
    <t>MESCTI</t>
  </si>
  <si>
    <t>Infraestruturas, Habitação e Serviços Comunitários</t>
  </si>
  <si>
    <t>Estradas Nacionais reabilitadas (cumulativo)</t>
  </si>
  <si>
    <t>Km</t>
  </si>
  <si>
    <t>MINOPUH</t>
  </si>
  <si>
    <t>Equipamentos sociais construídos ou reabilitados (cumulativo)</t>
  </si>
  <si>
    <t>Construção e reabilitação de pontes (cumulativo)</t>
  </si>
  <si>
    <t>M</t>
  </si>
  <si>
    <t>Taxa de electrificação</t>
  </si>
  <si>
    <t>% da população</t>
  </si>
  <si>
    <t>MINEA</t>
  </si>
  <si>
    <t>Meta PDN 2027 publicada (p. 104)</t>
  </si>
  <si>
    <t>Número de ligações (cumulativo)</t>
  </si>
  <si>
    <t>Milhões</t>
  </si>
  <si>
    <t>Número de sedes municipais com distribuição de energia pela ENDE</t>
  </si>
  <si>
    <t>Derivada: extensão geométrica da trajectória planeada 2022-2025</t>
  </si>
  <si>
    <t>Geométrica (CAGR)</t>
  </si>
  <si>
    <t>% de produção total de energia de fontes renováveis</t>
  </si>
  <si>
    <t>Potência instalada proveniente de fontes renováveis</t>
  </si>
  <si>
    <t>GW</t>
  </si>
  <si>
    <t>Quantidade de água tratada (cumulativo)</t>
  </si>
  <si>
    <t>Mm³/d</t>
  </si>
  <si>
    <t>Taxa de cobertura de águas nas áreas urbanas</t>
  </si>
  <si>
    <t>Taxa de cobertura de águas nas áreas rurais</t>
  </si>
  <si>
    <t>Toneladas de carne produzidas</t>
  </si>
  <si>
    <t>Toneladas</t>
  </si>
  <si>
    <t>MINAGRIF</t>
  </si>
  <si>
    <t>Meta PDN 2027 publicada (p. 138): 788 mil t convertidas para toneladas</t>
  </si>
  <si>
    <t>Toneladas de raízes e tubérculos produzidas</t>
  </si>
  <si>
    <t>Toneladas de fruta produzidas</t>
  </si>
  <si>
    <t>Toneladas de cereais produzidas</t>
  </si>
  <si>
    <t>Toneladas de hortícolas produzidas</t>
  </si>
  <si>
    <t>Ovos produzidos</t>
  </si>
  <si>
    <t>Litros de leite produzidos</t>
  </si>
  <si>
    <t>Milhões de Litros</t>
  </si>
  <si>
    <t>Unidades industriais no subsector da indústria pesqueira e de transformação de carne instaladas (cumulativo)</t>
  </si>
  <si>
    <t>MINDCOM</t>
  </si>
  <si>
    <t>Toneladas de peixe de captura industrial e semi-industrial produzidas</t>
  </si>
  <si>
    <t>Milhares de Toneladas</t>
  </si>
  <si>
    <t>MINPERMAR</t>
  </si>
  <si>
    <t>Taxa de crescimento do PIB</t>
  </si>
  <si>
    <t>INE/MINPLAN</t>
  </si>
  <si>
    <t>Trajectória média PDN 2023-2027 (p. 13); não é meta anual específica</t>
  </si>
  <si>
    <t>Taxa de crescimento do PIB não petrolífero</t>
  </si>
  <si>
    <t>Taxa de inflação</t>
  </si>
  <si>
    <t>INE</t>
  </si>
  <si>
    <t>Empregos Formais Bruto Gerados</t>
  </si>
  <si>
    <t>INSS/MAPTSS</t>
  </si>
  <si>
    <t>Empregos Formais Líquidos Gerados</t>
  </si>
  <si>
    <t>Taxa de Desemprego</t>
  </si>
  <si>
    <t>Meta PDN 2027 publicada (p. 13)</t>
  </si>
  <si>
    <t>Notas: os 5 indicadores sem qualquer meta publicada (camas hospitalares, cobertura de águas urbanas/rurais, empregos brutos/líquidos) entram apenas no ICD. Os 3 indicadores de professores não têm dados observados 2024–2025. «Painel 48» = 1 marca o painel equilibrado usado na análise de robustez. Direcção a laranja = «Menor é melhor».</t>
  </si>
  <si>
    <t>Metodologia — construção dos dois índices compósitos</t>
  </si>
  <si>
    <t>Alinhada com OCDE/JRC (2008), Handbook on Constructing Composite Indicators; reproduz e documenta a metodologia das séries-meta fornecidas (ficheiro 03), validada contra o painel oficial.</t>
  </si>
  <si>
    <t>1 · Universo e estrutura</t>
  </si>
  <si>
    <t>51 indicadores de execução do painel oficial do MINPLAN (Relatório Anual 2025), organizados em 7 domínios: Saúde (7), Protecção Social (3), Comunicação (2), Educação e Formação Profissional (13), Infraestruturas, Habitação e Serviços Comunitários (11), Fomento à Produção (9) e Económico (6). Período observado: 2022 (ano-base) a 2025. 46 indicadores têm meta; 5 não têm qualquer meta publicada (camas hospitalares, cobertura de águas urbanas e rurais, empregos brutos e líquidos) e entram apenas no ICD.</t>
  </si>
  <si>
    <t>2 · ICD — Índice Compósito de Desenvolvimento (Execução do PDN)</t>
  </si>
  <si>
    <t>Pergunta</t>
  </si>
  <si>
    <t>«Quanto progrediu o desenvolvimento face a 2022?» — mede o nível observado, independentemente das metas.</t>
  </si>
  <si>
    <t>Normalização</t>
  </si>
  <si>
    <t>Base fixa 2022 = 100: para «maior é melhor», N = 100 × valor ÷ base 2022; para «menor é melhor» (incidência da malária, inflação, desemprego), N = 100 × base 2022 ÷ valor — a melhoria aumenta sempre o índice.</t>
  </si>
  <si>
    <t>Agregação</t>
  </si>
  <si>
    <t>Média geométrica dos indicadores dentro de cada domínio e média geométrica dos 7 domínios (pesos iguais). A média geométrica limita a compensabilidade — um domínio em queda não é anulado por outro em alta — e penaliza desequilíbrios, prática recomendada pela OCDE/JRC e usada em índices como o IDH e o IGDA.</t>
  </si>
  <si>
    <t>Trajectória de metas</t>
  </si>
  <si>
    <t>A mesma cadeia de cálculo aplicada às metas anuais interpoladas (46 indicadores) gera a trajectória planeada do ICD até 2027 — a linha tracejada do Painel. O hiato = ICD observado − ICD da trajectória, em pontos de índice.</t>
  </si>
  <si>
    <t>3 · ICE — Índice Compósito de Execução do PDN (Executado ÷ Previsto)</t>
  </si>
  <si>
    <t>«Que fracção do previsto foi executada?» — mede o atingimento da meta anual, ano a ano.</t>
  </si>
  <si>
    <t>Atingimento</t>
  </si>
  <si>
    <t>Para «maior é melhor», A = observado ÷ meta anual interpolada; para «menor é melhor», A = meta ÷ observado. Tecto de 100% por indicador (distância-à-meta censurada): excedentes num indicador não compensam défices noutro — prática dos índices de acompanhamento dos ODS.</t>
  </si>
  <si>
    <t>Média aritmética dos indicadores dentro do domínio e média aritmética dos 7 domínios (pesos iguais). Em percentagens de atingimento, a média aritmética preserva a leitura directa («% média da meta cumprida»).</t>
  </si>
  <si>
    <t>Validação</t>
  </si>
  <si>
    <t>A coluna «2025 vs meta MINPLAN publicada» (folha ICE, sem tecto) reproduz o «% do alvo» do painel oficial nos casos comparáveis, validando os dados de entrada.</t>
  </si>
  <si>
    <t>4 · Metas anuais e Meta 2027</t>
  </si>
  <si>
    <t>Trajectória planeada 2022 → meta MINPLAN 2025 → meta 2027, interpolada LINEARMENTE para percentagens, taxas, rácios e stocks cumulativos, e GEOMETRICAMENTE (CAGR) para níveis de produção.</t>
  </si>
  <si>
    <t>Publicada no PDN quando existe correspondência directa (7 casos); caso contrário, derivada da trajectória planeada 2022→2025: prolongamento ao mesmo ritmo se o plano previa melhoria, ou manutenção da meta 2025 se o plano tolerava estagnação. A coluna «Origem da Meta 2027» (folha Dados) identifica cada caso.</t>
  </si>
  <si>
    <t>5 · Dados em falta e robustez</t>
  </si>
  <si>
    <t>Professores (3)</t>
  </si>
  <si>
    <t>Sem observações 2024–2025: o domínio Educação e FP usa, em cada ano, os indicadores disponíveis (13 em 2023; 10 em 2024–2025).</t>
  </si>
  <si>
    <t>Robustez</t>
  </si>
  <si>
    <t>Duas verificações nas folhas ICD e ICE: (i) ICD com painel equilibrado de 48 indicadores (sem professores) — difere apenas em 2023 (104,0 vs 104,0); (ii) média simples dos 46 indicadores do ICE vs média de domínios (85,6% vs 86,7% em 2025) — a hierarquia por domínios evita que Educação (13 indicadores) pese 6× mais do que Comunicação (2).</t>
  </si>
  <si>
    <t>6 · Alinhamento com o Handbook OCDE/JRC (2008)</t>
  </si>
  <si>
    <t>1. Quadro teórico</t>
  </si>
  <si>
    <t>estrutura oficial do PDN: 7 domínios do painel MINPLAN</t>
  </si>
  <si>
    <t>2. Selecção de dados</t>
  </si>
  <si>
    <t>51 indicadores oficiais; fontes sectoriais identificadas na folha Dados</t>
  </si>
  <si>
    <t>3. Imputação</t>
  </si>
  <si>
    <t>sem imputação — usa-se o painel disponível em cada ano (transparente e verificável)</t>
  </si>
  <si>
    <t>4. Análise multivariada</t>
  </si>
  <si>
    <t>coerência dentro de cada domínio inspeccionável no detalhe por indicador</t>
  </si>
  <si>
    <t>5. Normalização</t>
  </si>
  <si>
    <t>ICD: base 2022 = 100 com inversão; ICE: distância-à-meta com tecto</t>
  </si>
  <si>
    <t>6. Ponderação</t>
  </si>
  <si>
    <t>pesos iguais (transparência), hierarquia indicador → domínio → global</t>
  </si>
  <si>
    <t>7. Agregação</t>
  </si>
  <si>
    <t>geométrica (ICD) · aritmética (ICE)</t>
  </si>
  <si>
    <t>8. Robustez</t>
  </si>
  <si>
    <t>painel 48, média simples 46, coluna de validação vs painel oficial</t>
  </si>
  <si>
    <t>9. Ligação a outras medidas</t>
  </si>
  <si>
    <t>hiato ICD vs trajectória de metas; % do alvo MINPLAN</t>
  </si>
  <si>
    <t>10. Visualização</t>
  </si>
  <si>
    <t>folha Painel: síntese, evolução, domínios, radar, distribuição, explorador</t>
  </si>
  <si>
    <t>7 · Limitações</t>
  </si>
  <si>
    <t>• As metas 2027 derivadas são implícitas e não substituem metas oficiais; • as metas MINPLAN 2025 de salas de aula (I/II ciclo) são inferiores à base 2022 e a meta de inflação 2025 (18%) é superior à base (14%) — nestes casos o atingimento pode ser ≥100% sem melhoria face a 2022 (o ICD corrige essa leitura); • o crescimento do PIB usa a trajectória média 2023–2027 como referência; • pesos iguais são uma opção normativa — outras ponderações são possíveis editando as fórmulas de agregação; • a comparabilidade indicador-a-indicador com o texto do PDN é limitada (ver ficheiro de comparação 02).</t>
  </si>
  <si>
    <t>8 · Fontes e actualização</t>
  </si>
  <si>
    <t>Execução e metas MINPLAN 2025: https://www.minplan.gov.ao/en/publicacoes/relatorios-balanco-pdn</t>
  </si>
  <si>
    <t>PDN 2023–2027 (texto e metas 2027): https://www.nepad.org/sites/default/files/2024-07/20231030%283%29_layout_Final_Angola_PDN%202023-2027-1.pdf</t>
  </si>
  <si>
    <t>Extracção: 2026-07-17. Para actualizar: introduza novas observações ou metas na folha «Dados» (células azuis) — normalizações, índices, painel e gráficos recalculam automaticamente. Nenhuma folha está protegida.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</si>
</sst>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"/>
    <numFmt numFmtId="165" formatCode="0.0%"/>
    <numFmt numFmtId="166" formatCode="\+0.0;\-0.0"/>
    <numFmt numFmtId="167" formatCode="\+0.0;\-0.0;&quot;= pts vs 2024&quot;"/>
    <numFmt numFmtId="168" formatCode="\+0.0%&quot; p.p. vs 2024&quot;;\-0.0%&quot; p.p. vs 2024&quot;"/>
    <numFmt numFmtId="169" formatCode="\+0.0%;\-0.0%"/>
    <numFmt numFmtId="170" formatCode="#,##0.##"/>
    <numFmt numFmtId="171" formatCode="\+0.0;\-0.0;\="/>
  </numFmts>
  <fonts count="3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0"/>
      <color rgb="FFC3C2B7"/>
      <name val="Arial"/>
      <charset val="1"/>
    </font>
    <font>
      <sz val="10"/>
      <color rgb="FF0B0B0B"/>
      <name val="Arial"/>
      <charset val="1"/>
    </font>
    <font>
      <b/>
      <sz val="13"/>
      <color rgb="FF0B0B0B"/>
      <name val="Arial"/>
      <charset val="1"/>
    </font>
    <font>
      <b/>
      <sz val="11"/>
      <color rgb="FF1C5CAB"/>
      <name val="Arial"/>
      <charset val="1"/>
    </font>
    <font>
      <b/>
      <sz val="22"/>
      <color rgb="FF0B0B0B"/>
      <name val="Arial"/>
      <charset val="1"/>
    </font>
    <font>
      <sz val="9"/>
      <color rgb="FF52514E"/>
      <name val="Arial"/>
      <charset val="1"/>
    </font>
    <font>
      <sz val="8"/>
      <color rgb="FF898781"/>
      <name val="Arial"/>
      <charset val="1"/>
    </font>
    <font>
      <b/>
      <sz val="9"/>
      <color rgb="FF1C5CAB"/>
      <name val="Arial"/>
      <charset val="1"/>
    </font>
    <font>
      <b/>
      <sz val="11"/>
      <color rgb="FF4A3AA7"/>
      <name val="Arial"/>
      <charset val="1"/>
    </font>
    <font>
      <b/>
      <sz val="9"/>
      <color rgb="FF4A3AA7"/>
      <name val="Arial"/>
      <charset val="1"/>
    </font>
    <font>
      <b/>
      <sz val="10"/>
      <color rgb="FF1C5CAB"/>
      <name val="Arial"/>
      <charset val="1"/>
    </font>
    <font>
      <sz val="9.5"/>
      <color rgb="FF0B0B0B"/>
      <name val="Arial"/>
      <charset val="1"/>
    </font>
    <font>
      <b/>
      <sz val="9"/>
      <color rgb="FF0B0B0B"/>
      <name val="Arial"/>
      <charset val="1"/>
    </font>
    <font>
      <b/>
      <sz val="9"/>
      <color rgb="FF0CA30C"/>
      <name val="Arial"/>
      <charset val="1"/>
    </font>
    <font>
      <sz val="8"/>
      <color rgb="FF1C5CAB"/>
      <name val="Arial"/>
      <charset val="1"/>
    </font>
    <font>
      <b/>
      <sz val="15"/>
      <color rgb="FFFFFFFF"/>
      <name val="Arial"/>
      <charset val="1"/>
    </font>
    <font>
      <sz val="7"/>
      <color rgb="FF898781"/>
      <name val="Arial"/>
      <charset val="1"/>
    </font>
    <font>
      <b/>
      <sz val="11"/>
      <color rgb="FF0B0B0B"/>
      <name val="Arial"/>
      <charset val="1"/>
    </font>
    <font>
      <b/>
      <sz val="8"/>
      <color rgb="FF52514E"/>
      <name val="Arial"/>
      <charset val="1"/>
    </font>
    <font>
      <b/>
      <sz val="26"/>
      <color rgb="FF0B0B0B"/>
      <name val="Arial"/>
      <charset val="1"/>
    </font>
    <font>
      <b/>
      <sz val="9"/>
      <color rgb="FF52514E"/>
      <name val="Arial"/>
      <charset val="1"/>
    </font>
    <font>
      <sz val="7.5"/>
      <color rgb="FF898781"/>
      <name val="Arial"/>
      <charset val="1"/>
    </font>
    <font>
      <b/>
      <sz val="10"/>
      <color rgb="FF0B0B0B"/>
      <name val="Arial"/>
      <charset val="1"/>
    </font>
    <font>
      <b/>
      <sz val="8"/>
      <color rgb="FFFFFFFF"/>
      <name val="Arial"/>
      <charset val="1"/>
    </font>
    <font>
      <sz val="8"/>
      <color rgb="FF0B0B0B"/>
      <name val="Arial"/>
      <charset val="1"/>
    </font>
    <font>
      <b/>
      <sz val="8"/>
      <color rgb="FF0B0B0B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B0B0B"/>
      <name val="Arial"/>
      <charset val="1"/>
    </font>
    <font>
      <sz val="8"/>
      <color rgb="FF52514E"/>
      <name val="Arial"/>
      <charset val="1"/>
    </font>
    <font>
      <i/>
      <sz val="8"/>
      <color rgb="FF52514E"/>
      <name val="Arial"/>
      <charset val="1"/>
    </font>
    <font>
      <b/>
      <sz val="10"/>
      <color rgb="FF4A3AA7"/>
      <name val="Arial"/>
      <charset val="1"/>
    </font>
    <font>
      <sz val="9"/>
      <color rgb="FF1C5CAB"/>
      <name val="Arial"/>
      <charset val="1"/>
    </font>
    <font>
      <b/>
      <sz val="9"/>
      <color rgb="FFEC835A"/>
      <name val="Arial"/>
      <charset val="1"/>
    </font>
    <font>
      <b/>
      <sz val="12"/>
      <color rgb="FF1C5CAB"/>
      <name val="Arial"/>
      <charset val="1"/>
    </font>
    <font>
      <b/>
      <sz val="9.5"/>
      <color rgb="FF0B0B0B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9"/>
        <bgColor rgb="FF0B0B0B"/>
      </patternFill>
    </fill>
    <fill>
      <patternFill patternType="solid">
        <fgColor rgb="FFF9F9F7"/>
        <bgColor rgb="FFFCFCFB"/>
      </patternFill>
    </fill>
    <fill>
      <patternFill patternType="solid">
        <fgColor rgb="FFFCFCFB"/>
        <bgColor rgb="FFFFFFFF"/>
      </patternFill>
    </fill>
    <fill>
      <patternFill patternType="solid">
        <fgColor rgb="FFFFFFFF"/>
        <bgColor rgb="FFFCFCFB"/>
      </patternFill>
    </fill>
    <fill>
      <patternFill patternType="solid">
        <fgColor rgb="FFCDE2FB"/>
        <bgColor rgb="FFE6E3F6"/>
      </patternFill>
    </fill>
    <fill>
      <patternFill patternType="solid">
        <fgColor rgb="FF898781"/>
        <bgColor rgb="FF878787"/>
      </patternFill>
    </fill>
    <fill>
      <patternFill patternType="solid">
        <fgColor rgb="FFE6E3F6"/>
        <bgColor rgb="FFE1E0D9"/>
      </patternFill>
    </fill>
  </fills>
  <borders count="28">
    <border>
      <left/>
      <right/>
      <top/>
      <bottom/>
      <diagonal/>
    </border>
    <border>
      <left style="thick">
        <color rgb="FF2A78D6"/>
      </left>
      <right/>
      <top style="thin">
        <color rgb="FFE1E0D9"/>
      </top>
      <bottom/>
      <diagonal/>
    </border>
    <border>
      <left/>
      <right style="thin">
        <color rgb="FFE1E0D9"/>
      </right>
      <top style="thin">
        <color rgb="FFE1E0D9"/>
      </top>
      <bottom/>
      <diagonal/>
    </border>
    <border>
      <left style="thick">
        <color rgb="FF2A78D6"/>
      </left>
      <right/>
      <top/>
      <bottom/>
      <diagonal/>
    </border>
    <border>
      <left/>
      <right style="thin">
        <color rgb="FFE1E0D9"/>
      </right>
      <top/>
      <bottom/>
      <diagonal/>
    </border>
    <border>
      <left style="thick">
        <color rgb="FF2A78D6"/>
      </left>
      <right/>
      <top/>
      <bottom style="thin">
        <color rgb="FFE1E0D9"/>
      </bottom>
      <diagonal/>
    </border>
    <border>
      <left/>
      <right/>
      <top/>
      <bottom style="thin">
        <color rgb="FFE1E0D9"/>
      </bottom>
      <diagonal/>
    </border>
    <border>
      <left/>
      <right style="thin">
        <color rgb="FFE1E0D9"/>
      </right>
      <top/>
      <bottom style="thin">
        <color rgb="FFE1E0D9"/>
      </bottom>
      <diagonal/>
    </border>
    <border>
      <left style="thick">
        <color rgb="FF4A3AA7"/>
      </left>
      <right/>
      <top style="thin">
        <color rgb="FFE1E0D9"/>
      </top>
      <bottom/>
      <diagonal/>
    </border>
    <border>
      <left style="thick">
        <color rgb="FF4A3AA7"/>
      </left>
      <right/>
      <top/>
      <bottom/>
      <diagonal/>
    </border>
    <border>
      <left style="thick">
        <color rgb="FF4A3AA7"/>
      </left>
      <right/>
      <top/>
      <bottom style="thin">
        <color rgb="FFE1E0D9"/>
      </bottom>
      <diagonal/>
    </border>
    <border>
      <left/>
      <right/>
      <top/>
      <bottom style="thin">
        <color rgb="FFC3C2B7"/>
      </bottom>
      <diagonal/>
    </border>
    <border>
      <left style="thin">
        <color rgb="FFE1E0D9"/>
      </left>
      <right/>
      <top style="thick">
        <color rgb="FF2A78D6"/>
      </top>
      <bottom/>
      <diagonal/>
    </border>
    <border>
      <left/>
      <right/>
      <top style="thick">
        <color rgb="FF2A78D6"/>
      </top>
      <bottom/>
      <diagonal/>
    </border>
    <border>
      <left/>
      <right style="thin">
        <color rgb="FFE1E0D9"/>
      </right>
      <top style="thick">
        <color rgb="FF2A78D6"/>
      </top>
      <bottom/>
      <diagonal/>
    </border>
    <border>
      <left style="thin">
        <color rgb="FFE1E0D9"/>
      </left>
      <right/>
      <top style="thick">
        <color rgb="FF898781"/>
      </top>
      <bottom/>
      <diagonal/>
    </border>
    <border>
      <left/>
      <right/>
      <top style="thick">
        <color rgb="FF898781"/>
      </top>
      <bottom/>
      <diagonal/>
    </border>
    <border>
      <left/>
      <right style="thin">
        <color rgb="FFE1E0D9"/>
      </right>
      <top style="thick">
        <color rgb="FF898781"/>
      </top>
      <bottom/>
      <diagonal/>
    </border>
    <border>
      <left style="thin">
        <color rgb="FFE1E0D9"/>
      </left>
      <right/>
      <top style="thick">
        <color rgb="FF4A3AA7"/>
      </top>
      <bottom/>
      <diagonal/>
    </border>
    <border>
      <left/>
      <right/>
      <top style="thick">
        <color rgb="FF4A3AA7"/>
      </top>
      <bottom/>
      <diagonal/>
    </border>
    <border>
      <left/>
      <right style="thin">
        <color rgb="FFE1E0D9"/>
      </right>
      <top style="thick">
        <color rgb="FF4A3AA7"/>
      </top>
      <bottom/>
      <diagonal/>
    </border>
    <border>
      <left style="thin">
        <color rgb="FFE1E0D9"/>
      </left>
      <right/>
      <top style="thick">
        <color rgb="FF0CA30C"/>
      </top>
      <bottom/>
      <diagonal/>
    </border>
    <border>
      <left/>
      <right/>
      <top style="thick">
        <color rgb="FF0CA30C"/>
      </top>
      <bottom/>
      <diagonal/>
    </border>
    <border>
      <left/>
      <right style="thin">
        <color rgb="FFE1E0D9"/>
      </right>
      <top style="thick">
        <color rgb="FF0CA30C"/>
      </top>
      <bottom/>
      <diagonal/>
    </border>
    <border>
      <left style="thin">
        <color rgb="FFE1E0D9"/>
      </left>
      <right style="thin">
        <color rgb="FFE1E0D9"/>
      </right>
      <top/>
      <bottom/>
      <diagonal/>
    </border>
    <border>
      <left style="thin">
        <color rgb="FFE1E0D9"/>
      </left>
      <right style="thin">
        <color rgb="FFE1E0D9"/>
      </right>
      <top/>
      <bottom style="thin">
        <color rgb="FFE1E0D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medium">
        <color rgb="FF2A78D6"/>
      </left>
      <right/>
      <top style="medium">
        <color rgb="FF2A78D6"/>
      </top>
      <bottom style="medium">
        <color rgb="FF2A78D6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7" fillId="0" borderId="6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indent="1"/>
    </xf>
    <xf numFmtId="0" fontId="7" fillId="3" borderId="9" xfId="0" applyFont="1" applyFill="1" applyBorder="1" applyAlignment="1">
      <alignment horizontal="left" vertical="top" wrapText="1"/>
    </xf>
    <xf numFmtId="165" fontId="6" fillId="3" borderId="2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left" vertical="top" wrapText="1"/>
    </xf>
    <xf numFmtId="164" fontId="6" fillId="3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/>
    <xf numFmtId="0" fontId="0" fillId="3" borderId="6" xfId="0" applyFill="1" applyBorder="1"/>
    <xf numFmtId="0" fontId="0" fillId="3" borderId="7" xfId="0" applyFill="1" applyBorder="1"/>
    <xf numFmtId="0" fontId="12" fillId="0" borderId="0" xfId="0" applyFont="1"/>
    <xf numFmtId="0" fontId="12" fillId="0" borderId="6" xfId="0" applyFont="1" applyBorder="1" applyAlignment="1">
      <alignment horizontal="left" vertical="center" indent="1"/>
    </xf>
    <xf numFmtId="0" fontId="0" fillId="0" borderId="6" xfId="0" applyBorder="1"/>
    <xf numFmtId="0" fontId="9" fillId="0" borderId="0" xfId="0" applyFont="1"/>
    <xf numFmtId="0" fontId="14" fillId="0" borderId="0" xfId="0" applyFont="1"/>
    <xf numFmtId="0" fontId="15" fillId="0" borderId="0" xfId="0" applyFont="1"/>
    <xf numFmtId="0" fontId="18" fillId="0" borderId="0" xfId="0" applyFont="1"/>
    <xf numFmtId="164" fontId="18" fillId="0" borderId="0" xfId="0" applyNumberFormat="1" applyFont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165" fontId="18" fillId="0" borderId="0" xfId="0" applyNumberFormat="1" applyFont="1"/>
    <xf numFmtId="10" fontId="18" fillId="0" borderId="0" xfId="0" applyNumberFormat="1" applyFont="1"/>
    <xf numFmtId="0" fontId="11" fillId="0" borderId="0" xfId="0" applyFont="1"/>
    <xf numFmtId="0" fontId="25" fillId="2" borderId="26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left" vertical="center" wrapText="1"/>
    </xf>
    <xf numFmtId="164" fontId="26" fillId="0" borderId="26" xfId="0" applyNumberFormat="1" applyFont="1" applyBorder="1" applyAlignment="1">
      <alignment horizontal="center" vertical="center" wrapText="1"/>
    </xf>
    <xf numFmtId="165" fontId="26" fillId="0" borderId="26" xfId="0" applyNumberFormat="1" applyFont="1" applyBorder="1" applyAlignment="1">
      <alignment horizontal="center" vertical="center" wrapText="1"/>
    </xf>
    <xf numFmtId="169" fontId="26" fillId="0" borderId="26" xfId="0" applyNumberFormat="1" applyFont="1" applyBorder="1" applyAlignment="1">
      <alignment horizontal="center" vertical="center" wrapText="1"/>
    </xf>
    <xf numFmtId="0" fontId="27" fillId="0" borderId="26" xfId="0" applyFont="1" applyBorder="1" applyAlignment="1">
      <alignment horizontal="left" vertical="center" wrapText="1"/>
    </xf>
    <xf numFmtId="164" fontId="27" fillId="0" borderId="26" xfId="0" applyNumberFormat="1" applyFont="1" applyBorder="1" applyAlignment="1">
      <alignment horizontal="center" vertical="center" wrapText="1"/>
    </xf>
    <xf numFmtId="165" fontId="27" fillId="0" borderId="26" xfId="0" applyNumberFormat="1" applyFont="1" applyBorder="1" applyAlignment="1">
      <alignment horizontal="center" vertical="center" wrapText="1"/>
    </xf>
    <xf numFmtId="169" fontId="27" fillId="0" borderId="26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170" fontId="26" fillId="0" borderId="26" xfId="0" applyNumberFormat="1" applyFont="1" applyBorder="1" applyAlignment="1">
      <alignment horizontal="right" vertical="center"/>
    </xf>
    <xf numFmtId="0" fontId="26" fillId="0" borderId="26" xfId="0" applyFont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left" vertical="center" wrapText="1"/>
    </xf>
    <xf numFmtId="170" fontId="26" fillId="3" borderId="26" xfId="0" applyNumberFormat="1" applyFont="1" applyFill="1" applyBorder="1" applyAlignment="1">
      <alignment horizontal="right" vertical="center"/>
    </xf>
    <xf numFmtId="165" fontId="26" fillId="3" borderId="26" xfId="0" applyNumberFormat="1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9" fontId="26" fillId="0" borderId="26" xfId="0" applyNumberFormat="1" applyFont="1" applyBorder="1" applyAlignment="1">
      <alignment horizontal="center" vertical="center" wrapText="1"/>
    </xf>
    <xf numFmtId="9" fontId="26" fillId="3" borderId="26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9" fillId="2" borderId="26" xfId="0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164" fontId="30" fillId="0" borderId="26" xfId="0" applyNumberFormat="1" applyFont="1" applyBorder="1" applyAlignment="1">
      <alignment horizontal="center" vertical="center" wrapText="1"/>
    </xf>
    <xf numFmtId="164" fontId="30" fillId="0" borderId="0" xfId="0" applyNumberFormat="1" applyFont="1" applyAlignment="1">
      <alignment horizontal="center" vertical="center" wrapText="1"/>
    </xf>
    <xf numFmtId="171" fontId="30" fillId="0" borderId="26" xfId="0" applyNumberFormat="1" applyFont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left" vertical="center" wrapText="1"/>
    </xf>
    <xf numFmtId="164" fontId="12" fillId="6" borderId="26" xfId="0" applyNumberFormat="1" applyFont="1" applyFill="1" applyBorder="1" applyAlignment="1">
      <alignment horizontal="center" vertical="center" wrapText="1"/>
    </xf>
    <xf numFmtId="171" fontId="12" fillId="6" borderId="26" xfId="0" applyNumberFormat="1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 wrapText="1"/>
    </xf>
    <xf numFmtId="171" fontId="30" fillId="0" borderId="0" xfId="0" applyNumberFormat="1" applyFont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25" fillId="7" borderId="26" xfId="0" applyFont="1" applyFill="1" applyBorder="1" applyAlignment="1">
      <alignment horizontal="center" vertical="center" wrapText="1"/>
    </xf>
    <xf numFmtId="0" fontId="18" fillId="0" borderId="26" xfId="0" applyFont="1" applyBorder="1"/>
    <xf numFmtId="0" fontId="26" fillId="0" borderId="26" xfId="0" applyFont="1" applyBorder="1"/>
    <xf numFmtId="0" fontId="18" fillId="3" borderId="26" xfId="0" applyFont="1" applyFill="1" applyBorder="1"/>
    <xf numFmtId="0" fontId="26" fillId="3" borderId="26" xfId="0" applyFont="1" applyFill="1" applyBorder="1"/>
    <xf numFmtId="164" fontId="26" fillId="3" borderId="26" xfId="0" applyNumberFormat="1" applyFont="1" applyFill="1" applyBorder="1" applyAlignment="1">
      <alignment horizontal="center" vertical="center" wrapText="1"/>
    </xf>
    <xf numFmtId="165" fontId="30" fillId="0" borderId="26" xfId="0" applyNumberFormat="1" applyFont="1" applyBorder="1" applyAlignment="1">
      <alignment horizontal="center" vertical="center" wrapText="1"/>
    </xf>
    <xf numFmtId="169" fontId="30" fillId="0" borderId="26" xfId="0" applyNumberFormat="1" applyFont="1" applyBorder="1" applyAlignment="1">
      <alignment horizontal="center" vertical="center" wrapText="1"/>
    </xf>
    <xf numFmtId="0" fontId="33" fillId="8" borderId="26" xfId="0" applyFont="1" applyFill="1" applyBorder="1" applyAlignment="1">
      <alignment horizontal="left" vertical="center" wrapText="1"/>
    </xf>
    <xf numFmtId="165" fontId="33" fillId="8" borderId="26" xfId="0" applyNumberFormat="1" applyFont="1" applyFill="1" applyBorder="1" applyAlignment="1">
      <alignment horizontal="center" vertical="center" wrapText="1"/>
    </xf>
    <xf numFmtId="169" fontId="33" fillId="8" borderId="26" xfId="0" applyNumberFormat="1" applyFont="1" applyFill="1" applyBorder="1" applyAlignment="1">
      <alignment horizontal="center" vertical="center" wrapText="1"/>
    </xf>
    <xf numFmtId="10" fontId="18" fillId="3" borderId="26" xfId="0" applyNumberFormat="1" applyFont="1" applyFill="1" applyBorder="1"/>
    <xf numFmtId="10" fontId="18" fillId="0" borderId="26" xfId="0" applyNumberFormat="1" applyFont="1" applyBorder="1"/>
    <xf numFmtId="0" fontId="30" fillId="0" borderId="26" xfId="0" applyFont="1" applyBorder="1" applyAlignment="1">
      <alignment horizontal="left" vertical="center" wrapText="1"/>
    </xf>
    <xf numFmtId="170" fontId="34" fillId="0" borderId="26" xfId="0" applyNumberFormat="1" applyFont="1" applyBorder="1" applyAlignment="1">
      <alignment horizontal="right" vertical="center"/>
    </xf>
    <xf numFmtId="0" fontId="30" fillId="3" borderId="26" xfId="0" applyFont="1" applyFill="1" applyBorder="1" applyAlignment="1">
      <alignment horizontal="left" vertical="center" wrapText="1"/>
    </xf>
    <xf numFmtId="170" fontId="34" fillId="3" borderId="26" xfId="0" applyNumberFormat="1" applyFont="1" applyFill="1" applyBorder="1" applyAlignment="1">
      <alignment horizontal="right" vertical="center"/>
    </xf>
    <xf numFmtId="0" fontId="35" fillId="0" borderId="26" xfId="0" applyFont="1" applyBorder="1" applyAlignment="1">
      <alignment horizontal="left" vertical="center" wrapText="1"/>
    </xf>
    <xf numFmtId="0" fontId="35" fillId="3" borderId="26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top" wrapText="1"/>
    </xf>
    <xf numFmtId="0" fontId="22" fillId="0" borderId="6" xfId="0" applyFont="1" applyBorder="1"/>
    <xf numFmtId="0" fontId="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17" fillId="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9" fillId="0" borderId="11" xfId="0" applyFont="1" applyBorder="1" applyAlignment="1">
      <alignment horizontal="left"/>
    </xf>
    <xf numFmtId="0" fontId="20" fillId="4" borderId="24" xfId="0" applyFont="1" applyFill="1" applyBorder="1" applyAlignment="1">
      <alignment horizontal="left" vertical="center" indent="1"/>
    </xf>
    <xf numFmtId="164" fontId="21" fillId="4" borderId="24" xfId="0" applyNumberFormat="1" applyFont="1" applyFill="1" applyBorder="1" applyAlignment="1">
      <alignment horizontal="left" vertical="center" indent="1"/>
    </xf>
    <xf numFmtId="166" fontId="21" fillId="4" borderId="24" xfId="0" applyNumberFormat="1" applyFont="1" applyFill="1" applyBorder="1" applyAlignment="1">
      <alignment horizontal="left" vertical="center" indent="1"/>
    </xf>
    <xf numFmtId="165" fontId="21" fillId="4" borderId="24" xfId="0" applyNumberFormat="1" applyFont="1" applyFill="1" applyBorder="1" applyAlignment="1">
      <alignment horizontal="left" vertical="center" indent="1"/>
    </xf>
    <xf numFmtId="1" fontId="21" fillId="4" borderId="24" xfId="0" applyNumberFormat="1" applyFont="1" applyFill="1" applyBorder="1" applyAlignment="1">
      <alignment horizontal="left" vertical="center" indent="1"/>
    </xf>
    <xf numFmtId="167" fontId="22" fillId="4" borderId="24" xfId="0" applyNumberFormat="1" applyFont="1" applyFill="1" applyBorder="1" applyAlignment="1">
      <alignment horizontal="left" vertical="center" indent="1"/>
    </xf>
    <xf numFmtId="0" fontId="22" fillId="4" borderId="24" xfId="0" applyFont="1" applyFill="1" applyBorder="1" applyAlignment="1">
      <alignment horizontal="left" vertical="center" indent="1"/>
    </xf>
    <xf numFmtId="168" fontId="22" fillId="4" borderId="24" xfId="0" applyNumberFormat="1" applyFont="1" applyFill="1" applyBorder="1" applyAlignment="1">
      <alignment horizontal="left" vertical="center" indent="1"/>
    </xf>
    <xf numFmtId="0" fontId="0" fillId="4" borderId="24" xfId="0" applyFill="1" applyBorder="1"/>
    <xf numFmtId="0" fontId="23" fillId="4" borderId="25" xfId="0" applyFont="1" applyFill="1" applyBorder="1" applyAlignment="1">
      <alignment horizontal="left" vertical="top" indent="1"/>
    </xf>
    <xf numFmtId="0" fontId="24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5" fillId="5" borderId="27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9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25" fillId="2" borderId="26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3" borderId="26" xfId="0" applyFont="1" applyFill="1" applyBorder="1" applyAlignment="1">
      <alignment horizontal="left" vertical="center" wrapText="1"/>
    </xf>
    <xf numFmtId="0" fontId="25" fillId="2" borderId="26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left" vertical="center" indent="1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top" wrapText="1"/>
    </xf>
    <xf numFmtId="0" fontId="36" fillId="0" borderId="11" xfId="0" applyFont="1" applyBorder="1"/>
    <xf numFmtId="0" fontId="13" fillId="0" borderId="0" xfId="0" applyFont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0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sz val="8"/>
        <color rgb="FFD03B3B"/>
        <name val="Arial"/>
        <charset val="1"/>
      </font>
    </dxf>
    <dxf>
      <font>
        <b/>
        <sz val="8"/>
        <color rgb="FFB4522E"/>
        <name val="Arial"/>
        <charset val="1"/>
      </font>
    </dxf>
    <dxf>
      <font>
        <b/>
        <sz val="8"/>
        <color rgb="FF8A6100"/>
        <name val="Arial"/>
        <charset val="1"/>
      </font>
    </dxf>
    <dxf>
      <font>
        <b/>
        <sz val="8"/>
        <color rgb="FF006300"/>
        <name val="Arial"/>
        <charset val="1"/>
      </font>
    </dxf>
    <dxf>
      <font>
        <b/>
        <sz val="8"/>
        <color rgb="FFD03B3B"/>
        <name val="Arial"/>
        <charset val="1"/>
      </font>
    </dxf>
    <dxf>
      <font>
        <b/>
        <sz val="8"/>
        <color rgb="FFB4522E"/>
        <name val="Arial"/>
        <charset val="1"/>
      </font>
    </dxf>
    <dxf>
      <font>
        <b/>
        <sz val="8"/>
        <color rgb="FF8A6100"/>
        <name val="Arial"/>
        <charset val="1"/>
      </font>
    </dxf>
    <dxf>
      <font>
        <b/>
        <sz val="8"/>
        <color rgb="FF006300"/>
        <name val="Arial"/>
        <charset val="1"/>
      </font>
    </dxf>
    <dxf>
      <font>
        <b/>
        <sz val="9"/>
        <color rgb="FF006300"/>
        <name val="Arial"/>
        <charset val="1"/>
      </font>
    </dxf>
    <dxf>
      <font>
        <b/>
        <sz val="9"/>
        <color rgb="FFD03B3B"/>
        <name val="Arial"/>
        <charset val="1"/>
      </font>
    </dxf>
    <dxf>
      <font>
        <b/>
        <sz val="26"/>
        <color rgb="FF006300"/>
        <name val="Arial"/>
        <charset val="1"/>
      </font>
    </dxf>
    <dxf>
      <font>
        <b/>
        <sz val="26"/>
        <color rgb="FFD03B3B"/>
        <name val="Arial"/>
        <charset val="1"/>
      </font>
    </dxf>
    <dxf>
      <font>
        <b/>
        <sz val="9"/>
        <color rgb="FF006300"/>
        <name val="Arial"/>
        <charset val="1"/>
      </font>
    </dxf>
    <dxf>
      <font>
        <b/>
        <sz val="9"/>
        <color rgb="FFD03B3B"/>
        <name val="Arial"/>
        <charset val="1"/>
      </font>
    </dxf>
  </dxfs>
  <tableStyles count="1" defaultTableStyle="TableStyleMedium2" defaultPivotStyle="PivotStyleLight16">
    <tableStyle name="Invisible" pivot="0" table="0" count="0" xr9:uid="{F2B97E44-08EA-483F-A6AF-8A44F33EC8F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300"/>
      <rgbColor rgb="FF000080"/>
      <rgbColor rgb="FF8A6100"/>
      <rgbColor rgb="FF800080"/>
      <rgbColor rgb="FF008080"/>
      <rgbColor rgb="FFC3C2B7"/>
      <rgbColor rgb="FF878787"/>
      <rgbColor rgb="FF9999FF"/>
      <rgbColor rgb="FFD03B3B"/>
      <rgbColor rgb="FFF9F9F7"/>
      <rgbColor rgb="FFE6E3F6"/>
      <rgbColor rgb="FF660066"/>
      <rgbColor rgb="FFEC835A"/>
      <rgbColor rgb="FF1C5CAB"/>
      <rgbColor rgb="FFCDE2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FCFB"/>
      <rgbColor rgb="FFE1E0D9"/>
      <rgbColor rgb="FFFFFF99"/>
      <rgbColor rgb="FF99CCFF"/>
      <rgbColor rgb="FFFF99CC"/>
      <rgbColor rgb="FFCC99FF"/>
      <rgbColor rgb="FFD9D9D9"/>
      <rgbColor rgb="FF2A78D6"/>
      <rgbColor rgb="FF33CCCC"/>
      <rgbColor rgb="FF99CC00"/>
      <rgbColor rgb="FFFFCC00"/>
      <rgbColor rgb="FFFAB219"/>
      <rgbColor rgb="FFFF6600"/>
      <rgbColor rgb="FF4F81BD"/>
      <rgbColor rgb="FF898781"/>
      <rgbColor rgb="FF003366"/>
      <rgbColor rgb="FF0CA30C"/>
      <rgbColor rgb="FF0B0B0B"/>
      <rgbColor rgb="FF1A1A19"/>
      <rgbColor rgb="FFB4522E"/>
      <rgbColor rgb="FF993366"/>
      <rgbColor rgb="FF4A3AA7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ICD observado</c:v>
          </c:tx>
          <c:spPr>
            <a:ln w="2844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Painel!$U$3:$U$8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Painel!$V$3:$V$8</c:f>
              <c:numCache>
                <c:formatCode>0.0</c:formatCode>
                <c:ptCount val="6"/>
                <c:pt idx="0">
                  <c:v>100.0000000000001</c:v>
                </c:pt>
                <c:pt idx="1">
                  <c:v>104.00862501333525</c:v>
                </c:pt>
                <c:pt idx="2">
                  <c:v>123.3554734389252</c:v>
                </c:pt>
                <c:pt idx="3">
                  <c:v>131.60202459865158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B-47B1-892E-50383067B731}"/>
            </c:ext>
          </c:extLst>
        </c:ser>
        <c:ser>
          <c:idx val="1"/>
          <c:order val="1"/>
          <c:tx>
            <c:v>Trajectória de metas</c:v>
          </c:tx>
          <c:spPr>
            <a:ln w="1908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Painel!$U$3:$U$8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Painel!$W$3:$W$8</c:f>
              <c:numCache>
                <c:formatCode>0.0</c:formatCode>
                <c:ptCount val="6"/>
                <c:pt idx="0">
                  <c:v>100.00000000000009</c:v>
                </c:pt>
                <c:pt idx="1">
                  <c:v>116.92773624079591</c:v>
                </c:pt>
                <c:pt idx="2">
                  <c:v>130.72015202884788</c:v>
                </c:pt>
                <c:pt idx="3">
                  <c:v>142.94737055475335</c:v>
                </c:pt>
                <c:pt idx="4">
                  <c:v>154.5480923003453</c:v>
                </c:pt>
                <c:pt idx="5">
                  <c:v>165.56543906704172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B-47B1-892E-50383067B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147383"/>
        <c:axId val="28253484"/>
      </c:lineChart>
      <c:catAx>
        <c:axId val="86147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28253484"/>
        <c:crosses val="autoZero"/>
        <c:auto val="1"/>
        <c:lblAlgn val="ctr"/>
        <c:lblOffset val="100"/>
        <c:noMultiLvlLbl val="0"/>
      </c:catAx>
      <c:valAx>
        <c:axId val="28253484"/>
        <c:scaling>
          <c:orientation val="minMax"/>
          <c:min val="9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861473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ICE (% da meta anual)</c:v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Painel!$U$11:$U$13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Painel!$V$11:$V$13</c:f>
              <c:numCache>
                <c:formatCode>0.0%</c:formatCode>
                <c:ptCount val="3"/>
                <c:pt idx="0">
                  <c:v>0.87068219839413297</c:v>
                </c:pt>
                <c:pt idx="1">
                  <c:v>0.87363163950079736</c:v>
                </c:pt>
                <c:pt idx="2">
                  <c:v>0.86735330150259393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8-4897-99A7-1CEE2F39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801305"/>
        <c:axId val="49842317"/>
      </c:barChart>
      <c:lineChart>
        <c:grouping val="standard"/>
        <c:varyColors val="0"/>
        <c:ser>
          <c:idx val="1"/>
          <c:order val="1"/>
          <c:tx>
            <c:v>Meta (100%)</c:v>
          </c:tx>
          <c:spPr>
            <a:ln w="1908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Painel!$U$11:$U$13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Painel!$W$11:$W$13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8-4897-99A7-1CEE2F39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801305"/>
        <c:axId val="49842317"/>
      </c:lineChart>
      <c:catAx>
        <c:axId val="21801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49842317"/>
        <c:crosses val="autoZero"/>
        <c:auto val="1"/>
        <c:lblAlgn val="ctr"/>
        <c:lblOffset val="100"/>
        <c:noMultiLvlLbl val="0"/>
      </c:catAx>
      <c:valAx>
        <c:axId val="4984231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218013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% da meta anual 2025</c:v>
          </c:tx>
          <c:spPr>
            <a:solidFill>
              <a:srgbClr val="4A3AA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Painel!$U$16:$U$22</c:f>
              <c:strCache>
                <c:ptCount val="7"/>
                <c:pt idx="0">
                  <c:v>Comunicação</c:v>
                </c:pt>
                <c:pt idx="1">
                  <c:v>Económico</c:v>
                </c:pt>
                <c:pt idx="2">
                  <c:v>Saúde</c:v>
                </c:pt>
                <c:pt idx="3">
                  <c:v>Educação e FP</c:v>
                </c:pt>
                <c:pt idx="4">
                  <c:v>Infraestruturas</c:v>
                </c:pt>
                <c:pt idx="5">
                  <c:v>Fomento à Produção</c:v>
                </c:pt>
                <c:pt idx="6">
                  <c:v>Protecção Social</c:v>
                </c:pt>
              </c:strCache>
            </c:strRef>
          </c:cat>
          <c:val>
            <c:numRef>
              <c:f>Painel!$V$16:$V$22</c:f>
              <c:numCache>
                <c:formatCode>0.0%</c:formatCode>
                <c:ptCount val="7"/>
                <c:pt idx="0">
                  <c:v>0.99367088607594933</c:v>
                </c:pt>
                <c:pt idx="1">
                  <c:v>0.94067534076827763</c:v>
                </c:pt>
                <c:pt idx="2">
                  <c:v>0.9297422090421934</c:v>
                </c:pt>
                <c:pt idx="3">
                  <c:v>0.89157842779765184</c:v>
                </c:pt>
                <c:pt idx="4">
                  <c:v>0.80944156460417149</c:v>
                </c:pt>
                <c:pt idx="5">
                  <c:v>0.79184027145550318</c:v>
                </c:pt>
                <c:pt idx="6">
                  <c:v>0.71452441077441087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4-4173-88A9-3C5C29203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99787392"/>
        <c:axId val="63416635"/>
      </c:barChart>
      <c:lineChart>
        <c:grouping val="standard"/>
        <c:varyColors val="0"/>
        <c:ser>
          <c:idx val="1"/>
          <c:order val="1"/>
          <c:tx>
            <c:v>Meta (100%)</c:v>
          </c:tx>
          <c:spPr>
            <a:ln w="1908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Painel!$U$16:$U$22</c:f>
              <c:strCache>
                <c:ptCount val="7"/>
                <c:pt idx="0">
                  <c:v>Comunicação</c:v>
                </c:pt>
                <c:pt idx="1">
                  <c:v>Económico</c:v>
                </c:pt>
                <c:pt idx="2">
                  <c:v>Saúde</c:v>
                </c:pt>
                <c:pt idx="3">
                  <c:v>Educação e FP</c:v>
                </c:pt>
                <c:pt idx="4">
                  <c:v>Infraestruturas</c:v>
                </c:pt>
                <c:pt idx="5">
                  <c:v>Fomento à Produção</c:v>
                </c:pt>
                <c:pt idx="6">
                  <c:v>Protecção Social</c:v>
                </c:pt>
              </c:strCache>
            </c:strRef>
          </c:cat>
          <c:val>
            <c:numRef>
              <c:f>Painel!$W$16:$W$22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4-4173-88A9-3C5C29203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787392"/>
        <c:axId val="63416635"/>
      </c:lineChart>
      <c:catAx>
        <c:axId val="997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63416635"/>
        <c:crosses val="autoZero"/>
        <c:auto val="1"/>
        <c:lblAlgn val="ctr"/>
        <c:lblOffset val="100"/>
        <c:noMultiLvlLbl val="0"/>
      </c:catAx>
      <c:valAx>
        <c:axId val="63416635"/>
        <c:scaling>
          <c:orientation val="minMax"/>
          <c:max val="1.1000000000000001"/>
          <c:min val="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997873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ICD 2025</c:v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Painel!$U$25:$U$31</c:f>
              <c:strCache>
                <c:ptCount val="7"/>
                <c:pt idx="0">
                  <c:v>Protecção Social</c:v>
                </c:pt>
                <c:pt idx="1">
                  <c:v>Fomento à Produção</c:v>
                </c:pt>
                <c:pt idx="2">
                  <c:v>Comunicação</c:v>
                </c:pt>
                <c:pt idx="3">
                  <c:v>Educação e FP</c:v>
                </c:pt>
                <c:pt idx="4">
                  <c:v>Saúde</c:v>
                </c:pt>
                <c:pt idx="5">
                  <c:v>Económico</c:v>
                </c:pt>
                <c:pt idx="6">
                  <c:v>Infraestruturas</c:v>
                </c:pt>
              </c:strCache>
            </c:strRef>
          </c:cat>
          <c:val>
            <c:numRef>
              <c:f>Painel!$V$25:$V$31</c:f>
              <c:numCache>
                <c:formatCode>0.0</c:formatCode>
                <c:ptCount val="7"/>
                <c:pt idx="0">
                  <c:v>219.44308027157371</c:v>
                </c:pt>
                <c:pt idx="1">
                  <c:v>139.70088938242088</c:v>
                </c:pt>
                <c:pt idx="2">
                  <c:v>134.37096247164254</c:v>
                </c:pt>
                <c:pt idx="3">
                  <c:v>126.3988651698851</c:v>
                </c:pt>
                <c:pt idx="4">
                  <c:v>124.03482749154095</c:v>
                </c:pt>
                <c:pt idx="5">
                  <c:v>103.99605563656245</c:v>
                </c:pt>
                <c:pt idx="6">
                  <c:v>101.79063304112248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C-4DAC-990B-2214853C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6680604"/>
        <c:axId val="15091456"/>
      </c:barChart>
      <c:lineChart>
        <c:grouping val="standard"/>
        <c:varyColors val="0"/>
        <c:ser>
          <c:idx val="1"/>
          <c:order val="1"/>
          <c:tx>
            <c:v>Nível de 2022 (=100)</c:v>
          </c:tx>
          <c:spPr>
            <a:ln w="1908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Painel!$U$25:$U$31</c:f>
              <c:strCache>
                <c:ptCount val="7"/>
                <c:pt idx="0">
                  <c:v>Protecção Social</c:v>
                </c:pt>
                <c:pt idx="1">
                  <c:v>Fomento à Produção</c:v>
                </c:pt>
                <c:pt idx="2">
                  <c:v>Comunicação</c:v>
                </c:pt>
                <c:pt idx="3">
                  <c:v>Educação e FP</c:v>
                </c:pt>
                <c:pt idx="4">
                  <c:v>Saúde</c:v>
                </c:pt>
                <c:pt idx="5">
                  <c:v>Económico</c:v>
                </c:pt>
                <c:pt idx="6">
                  <c:v>Infraestruturas</c:v>
                </c:pt>
              </c:strCache>
            </c:strRef>
          </c:cat>
          <c:val>
            <c:numRef>
              <c:f>Painel!$W$25:$W$31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C-4DAC-990B-2214853C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680604"/>
        <c:axId val="15091456"/>
      </c:lineChart>
      <c:catAx>
        <c:axId val="36680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15091456"/>
        <c:crosses val="autoZero"/>
        <c:auto val="1"/>
        <c:lblAlgn val="ctr"/>
        <c:lblOffset val="100"/>
        <c:noMultiLvlLbl val="0"/>
      </c:catAx>
      <c:valAx>
        <c:axId val="15091456"/>
        <c:scaling>
          <c:orientation val="minMax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366806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tx>
            <c:v>2023</c:v>
          </c:tx>
          <c:spPr>
            <a:ln w="19080">
              <a:solidFill>
                <a:srgbClr val="898781"/>
              </a:solidFill>
              <a:round/>
            </a:ln>
          </c:spPr>
          <c:marker>
            <c:symbol val="circle"/>
            <c:size val="6"/>
            <c:spPr>
              <a:solidFill>
                <a:srgbClr val="89878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Painel!$U$34:$U$40</c:f>
              <c:strCache>
                <c:ptCount val="7"/>
                <c:pt idx="0">
                  <c:v>Saúde</c:v>
                </c:pt>
                <c:pt idx="1">
                  <c:v>Protecção Social</c:v>
                </c:pt>
                <c:pt idx="2">
                  <c:v>Comunicação</c:v>
                </c:pt>
                <c:pt idx="3">
                  <c:v>Educação e FP</c:v>
                </c:pt>
                <c:pt idx="4">
                  <c:v>Infraestruturas</c:v>
                </c:pt>
                <c:pt idx="5">
                  <c:v>Fomento à Produção</c:v>
                </c:pt>
                <c:pt idx="6">
                  <c:v>Económico</c:v>
                </c:pt>
              </c:strCache>
            </c:strRef>
          </c:cat>
          <c:val>
            <c:numRef>
              <c:f>Painel!$V$34:$V$40</c:f>
              <c:numCache>
                <c:formatCode>0.0%</c:formatCode>
                <c:ptCount val="7"/>
                <c:pt idx="0">
                  <c:v>0.97317947646895042</c:v>
                </c:pt>
                <c:pt idx="1">
                  <c:v>0.76454172784876795</c:v>
                </c:pt>
                <c:pt idx="2">
                  <c:v>0.98529411764705888</c:v>
                </c:pt>
                <c:pt idx="3">
                  <c:v>0.95696565130367972</c:v>
                </c:pt>
                <c:pt idx="4">
                  <c:v>0.87727498449173058</c:v>
                </c:pt>
                <c:pt idx="5">
                  <c:v>0.9344169778962913</c:v>
                </c:pt>
                <c:pt idx="6">
                  <c:v>0.60310245310245225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D-4672-B208-6F1FD3DA846F}"/>
            </c:ext>
          </c:extLst>
        </c:ser>
        <c:ser>
          <c:idx val="1"/>
          <c:order val="1"/>
          <c:tx>
            <c:v>2025</c:v>
          </c:tx>
          <c:spPr>
            <a:ln w="28440">
              <a:solidFill>
                <a:srgbClr val="4A3AA7"/>
              </a:solidFill>
              <a:round/>
            </a:ln>
          </c:spPr>
          <c:marker>
            <c:symbol val="circle"/>
            <c:size val="6"/>
            <c:spPr>
              <a:solidFill>
                <a:srgbClr val="4A3AA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Painel!$U$34:$U$40</c:f>
              <c:strCache>
                <c:ptCount val="7"/>
                <c:pt idx="0">
                  <c:v>Saúde</c:v>
                </c:pt>
                <c:pt idx="1">
                  <c:v>Protecção Social</c:v>
                </c:pt>
                <c:pt idx="2">
                  <c:v>Comunicação</c:v>
                </c:pt>
                <c:pt idx="3">
                  <c:v>Educação e FP</c:v>
                </c:pt>
                <c:pt idx="4">
                  <c:v>Infraestruturas</c:v>
                </c:pt>
                <c:pt idx="5">
                  <c:v>Fomento à Produção</c:v>
                </c:pt>
                <c:pt idx="6">
                  <c:v>Económico</c:v>
                </c:pt>
              </c:strCache>
            </c:strRef>
          </c:cat>
          <c:val>
            <c:numRef>
              <c:f>Painel!$W$34:$W$40</c:f>
              <c:numCache>
                <c:formatCode>0.0%</c:formatCode>
                <c:ptCount val="7"/>
                <c:pt idx="0">
                  <c:v>0.9297422090421934</c:v>
                </c:pt>
                <c:pt idx="1">
                  <c:v>0.71452441077441087</c:v>
                </c:pt>
                <c:pt idx="2">
                  <c:v>0.99367088607594933</c:v>
                </c:pt>
                <c:pt idx="3">
                  <c:v>0.89157842779765184</c:v>
                </c:pt>
                <c:pt idx="4">
                  <c:v>0.80944156460417149</c:v>
                </c:pt>
                <c:pt idx="5">
                  <c:v>0.79184027145550318</c:v>
                </c:pt>
                <c:pt idx="6">
                  <c:v>0.94067534076827763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D-4672-B208-6F1FD3DA8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931"/>
        <c:axId val="83653408"/>
      </c:radarChart>
      <c:catAx>
        <c:axId val="18889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83653408"/>
        <c:crosses val="autoZero"/>
        <c:auto val="1"/>
        <c:lblAlgn val="ctr"/>
        <c:lblOffset val="100"/>
        <c:noMultiLvlLbl val="0"/>
      </c:catAx>
      <c:valAx>
        <c:axId val="8365340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18889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Indicadores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CA30C"/>
              </a:solidFill>
              <a:ln w="19080">
                <a:solidFill>
                  <a:srgbClr val="FCFCFB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F1A-4BBB-AC2C-AA164693F995}"/>
              </c:ext>
            </c:extLst>
          </c:dPt>
          <c:dPt>
            <c:idx val="1"/>
            <c:bubble3D val="0"/>
            <c:spPr>
              <a:solidFill>
                <a:srgbClr val="FAB219"/>
              </a:solidFill>
              <a:ln w="19080">
                <a:solidFill>
                  <a:srgbClr val="FCFCFB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F1A-4BBB-AC2C-AA164693F995}"/>
              </c:ext>
            </c:extLst>
          </c:dPt>
          <c:dPt>
            <c:idx val="2"/>
            <c:bubble3D val="0"/>
            <c:spPr>
              <a:solidFill>
                <a:srgbClr val="EC835A"/>
              </a:solidFill>
              <a:ln w="19080">
                <a:solidFill>
                  <a:srgbClr val="FCFCFB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F1A-4BBB-AC2C-AA164693F995}"/>
              </c:ext>
            </c:extLst>
          </c:dPt>
          <c:dPt>
            <c:idx val="3"/>
            <c:bubble3D val="0"/>
            <c:spPr>
              <a:solidFill>
                <a:srgbClr val="D03B3B"/>
              </a:solidFill>
              <a:ln w="19080">
                <a:solidFill>
                  <a:srgbClr val="FCFCFB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F1A-4BBB-AC2C-AA164693F99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F1A-4BBB-AC2C-AA164693F99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F1A-4BBB-AC2C-AA164693F99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F1A-4BBB-AC2C-AA164693F99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F1A-4BBB-AC2C-AA164693F9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Painel!$U$43:$U$46</c:f>
              <c:strCache>
                <c:ptCount val="4"/>
                <c:pt idx="0">
                  <c:v>≥100%</c:v>
                </c:pt>
                <c:pt idx="1">
                  <c:v>75–100%</c:v>
                </c:pt>
                <c:pt idx="2">
                  <c:v>50–75%</c:v>
                </c:pt>
                <c:pt idx="3">
                  <c:v>&lt;50%</c:v>
                </c:pt>
              </c:strCache>
            </c:strRef>
          </c:cat>
          <c:val>
            <c:numRef>
              <c:f>Painel!$V$43:$V$46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1A-4BBB-AC2C-AA164693F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Observado</c:v>
          </c:tx>
          <c:spPr>
            <a:ln w="2844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Painel!$U$61:$U$66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Painel!$V$61:$V$66</c:f>
              <c:numCache>
                <c:formatCode>0.0</c:formatCode>
                <c:ptCount val="6"/>
                <c:pt idx="0">
                  <c:v>100.00000000000013</c:v>
                </c:pt>
                <c:pt idx="1">
                  <c:v>117.09797540704085</c:v>
                </c:pt>
                <c:pt idx="2">
                  <c:v>118.73721786599893</c:v>
                </c:pt>
                <c:pt idx="3">
                  <c:v>124.03482749154095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9-4BBA-8F5A-53FCA84656B0}"/>
            </c:ext>
          </c:extLst>
        </c:ser>
        <c:ser>
          <c:idx val="1"/>
          <c:order val="1"/>
          <c:tx>
            <c:v>Trajectória de metas</c:v>
          </c:tx>
          <c:spPr>
            <a:ln w="1908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Painel!$U$61:$U$66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Painel!$W$61:$W$66</c:f>
              <c:numCache>
                <c:formatCode>0.0</c:formatCode>
                <c:ptCount val="6"/>
                <c:pt idx="0">
                  <c:v>100.00000000000013</c:v>
                </c:pt>
                <c:pt idx="1">
                  <c:v>107.99741282920785</c:v>
                </c:pt>
                <c:pt idx="2">
                  <c:v>115.82334051941419</c:v>
                </c:pt>
                <c:pt idx="3">
                  <c:v>123.57952571671105</c:v>
                </c:pt>
                <c:pt idx="4">
                  <c:v>131.34194603853973</c:v>
                </c:pt>
                <c:pt idx="5">
                  <c:v>139.17450343891539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9-4BBA-8F5A-53FCA8465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68552"/>
        <c:axId val="17014705"/>
      </c:lineChart>
      <c:catAx>
        <c:axId val="366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17014705"/>
        <c:crosses val="autoZero"/>
        <c:auto val="1"/>
        <c:lblAlgn val="ctr"/>
        <c:lblOffset val="100"/>
        <c:noMultiLvlLbl val="0"/>
      </c:catAx>
      <c:valAx>
        <c:axId val="17014705"/>
        <c:scaling>
          <c:orientation val="minMax"/>
          <c:min val="6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898781"/>
                </a:solidFill>
                <a:latin typeface="Arial"/>
              </a:defRPr>
            </a:pPr>
            <a:endParaRPr lang="en-US"/>
          </a:p>
        </c:txPr>
        <c:crossAx val="3668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52514E"/>
              </a:solidFill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502200</xdr:colOff>
      <xdr:row>29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656640</xdr:colOff>
      <xdr:row>29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502200</xdr:colOff>
      <xdr:row>48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14</xdr:col>
      <xdr:colOff>656640</xdr:colOff>
      <xdr:row>48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5</xdr:col>
      <xdr:colOff>656640</xdr:colOff>
      <xdr:row>68</xdr:row>
      <xdr:rowOff>47880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13</xdr:col>
      <xdr:colOff>368640</xdr:colOff>
      <xdr:row>68</xdr:row>
      <xdr:rowOff>47880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86</xdr:row>
      <xdr:rowOff>43920</xdr:rowOff>
    </xdr:from>
    <xdr:to>
      <xdr:col>5</xdr:col>
      <xdr:colOff>656640</xdr:colOff>
      <xdr:row>101</xdr:row>
      <xdr:rowOff>154080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pad.org/sites/default/files/2024-07/20231030%283%29_layout_Final_Angola_PDN%202023-2027-1.pdf" TargetMode="External"/><Relationship Id="rId1" Type="http://schemas.openxmlformats.org/officeDocument/2006/relationships/hyperlink" Target="https://www.minplan.gov.ao/en/publicacoes/relatorios-balanco-pd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9"/>
    <pageSetUpPr fitToPage="1"/>
  </sheetPr>
  <dimension ref="A1:K44"/>
  <sheetViews>
    <sheetView showGridLines="0" topLeftCell="A14" zoomScaleNormal="100" workbookViewId="0">
      <selection activeCell="B15" sqref="B15:H15"/>
    </sheetView>
  </sheetViews>
  <sheetFormatPr defaultColWidth="8.6328125" defaultRowHeight="14.5" x14ac:dyDescent="0.35"/>
  <cols>
    <col min="1" max="1" width="3" customWidth="1"/>
    <col min="2" max="11" width="13.453125" customWidth="1"/>
  </cols>
  <sheetData>
    <row r="1" spans="1:1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 x14ac:dyDescent="0.3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1:11" ht="18" customHeight="1" x14ac:dyDescent="0.35">
      <c r="A3" s="15"/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6" spans="1:11" ht="15" customHeight="1" x14ac:dyDescent="0.35"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35">
      <c r="B7" s="12"/>
      <c r="C7" s="12"/>
      <c r="D7" s="12"/>
      <c r="E7" s="12"/>
      <c r="F7" s="12"/>
      <c r="G7" s="12"/>
      <c r="H7" s="12"/>
      <c r="I7" s="12"/>
      <c r="J7" s="12"/>
      <c r="K7" s="12"/>
    </row>
    <row r="9" spans="1:11" ht="16.5" x14ac:dyDescent="0.35">
      <c r="B9" s="16" t="s">
        <v>3</v>
      </c>
    </row>
    <row r="10" spans="1:11" x14ac:dyDescent="0.35">
      <c r="B10" s="11" t="s">
        <v>4</v>
      </c>
      <c r="C10" s="11"/>
      <c r="D10" s="11"/>
      <c r="E10" s="11"/>
      <c r="F10" s="11"/>
      <c r="G10" s="11"/>
      <c r="H10" s="11"/>
      <c r="I10" s="10">
        <f>ICD!E13</f>
        <v>131.60202459865158</v>
      </c>
      <c r="J10" s="10"/>
      <c r="K10" s="10"/>
    </row>
    <row r="11" spans="1:11" ht="15" customHeight="1" x14ac:dyDescent="0.35">
      <c r="B11" s="9" t="s">
        <v>5</v>
      </c>
      <c r="C11" s="9"/>
      <c r="D11" s="9"/>
      <c r="E11" s="9"/>
      <c r="F11" s="9"/>
      <c r="G11" s="9"/>
      <c r="H11" s="9"/>
      <c r="I11" s="10"/>
      <c r="J11" s="10"/>
      <c r="K11" s="10"/>
    </row>
    <row r="12" spans="1:11" x14ac:dyDescent="0.35">
      <c r="B12" s="9"/>
      <c r="C12" s="9"/>
      <c r="D12" s="9"/>
      <c r="E12" s="9"/>
      <c r="F12" s="9"/>
      <c r="G12" s="9"/>
      <c r="H12" s="9"/>
      <c r="I12" s="8" t="s">
        <v>6</v>
      </c>
      <c r="J12" s="8"/>
      <c r="K12" s="8"/>
    </row>
    <row r="13" spans="1:11" ht="18" customHeight="1" x14ac:dyDescent="0.35">
      <c r="B13" s="7" t="s">
        <v>7</v>
      </c>
      <c r="C13" s="7"/>
      <c r="D13" s="7"/>
      <c r="E13" s="7"/>
      <c r="F13" s="7"/>
      <c r="G13" s="7"/>
      <c r="H13" s="7"/>
      <c r="I13" s="17"/>
      <c r="J13" s="17"/>
      <c r="K13" s="18"/>
    </row>
    <row r="15" spans="1:11" x14ac:dyDescent="0.35">
      <c r="B15" s="6" t="s">
        <v>8</v>
      </c>
      <c r="C15" s="6"/>
      <c r="D15" s="6"/>
      <c r="E15" s="6"/>
      <c r="F15" s="6"/>
      <c r="G15" s="6"/>
      <c r="H15" s="6"/>
      <c r="I15" s="5">
        <f>ICE!D13</f>
        <v>0.86735330150259393</v>
      </c>
      <c r="J15" s="5"/>
      <c r="K15" s="5"/>
    </row>
    <row r="16" spans="1:11" ht="15" customHeight="1" x14ac:dyDescent="0.35">
      <c r="B16" s="4" t="s">
        <v>9</v>
      </c>
      <c r="C16" s="4"/>
      <c r="D16" s="4"/>
      <c r="E16" s="4"/>
      <c r="F16" s="4"/>
      <c r="G16" s="4"/>
      <c r="H16" s="4"/>
      <c r="I16" s="5"/>
      <c r="J16" s="5"/>
      <c r="K16" s="5"/>
    </row>
    <row r="17" spans="2:11" x14ac:dyDescent="0.35">
      <c r="B17" s="4"/>
      <c r="C17" s="4"/>
      <c r="D17" s="4"/>
      <c r="E17" s="4"/>
      <c r="F17" s="4"/>
      <c r="G17" s="4"/>
      <c r="H17" s="4"/>
      <c r="I17" s="8" t="s">
        <v>10</v>
      </c>
      <c r="J17" s="8"/>
      <c r="K17" s="8"/>
    </row>
    <row r="18" spans="2:11" ht="18" customHeight="1" x14ac:dyDescent="0.35">
      <c r="B18" s="3" t="s">
        <v>11</v>
      </c>
      <c r="C18" s="3"/>
      <c r="D18" s="3"/>
      <c r="E18" s="3"/>
      <c r="F18" s="3"/>
      <c r="G18" s="3"/>
      <c r="H18" s="3"/>
      <c r="I18" s="17"/>
      <c r="J18" s="17"/>
      <c r="K18" s="18"/>
    </row>
    <row r="20" spans="2:11" ht="16.5" x14ac:dyDescent="0.35">
      <c r="B20" s="16" t="s">
        <v>12</v>
      </c>
    </row>
    <row r="21" spans="2:11" ht="16.5" customHeight="1" x14ac:dyDescent="0.35">
      <c r="B21" s="19" t="s">
        <v>13</v>
      </c>
      <c r="C21" s="2" t="s">
        <v>14</v>
      </c>
      <c r="D21" s="2"/>
      <c r="E21" s="2"/>
      <c r="F21" s="2"/>
      <c r="G21" s="2"/>
      <c r="H21" s="2"/>
      <c r="I21" s="2"/>
      <c r="J21" s="2"/>
      <c r="K21" s="2"/>
    </row>
    <row r="22" spans="2:11" ht="16.5" customHeight="1" x14ac:dyDescent="0.35">
      <c r="B22" s="19" t="s">
        <v>15</v>
      </c>
      <c r="C22" s="2" t="s">
        <v>16</v>
      </c>
      <c r="D22" s="2"/>
      <c r="E22" s="2"/>
      <c r="F22" s="2"/>
      <c r="G22" s="2"/>
      <c r="H22" s="2"/>
      <c r="I22" s="2"/>
      <c r="J22" s="2"/>
      <c r="K22" s="2"/>
    </row>
    <row r="23" spans="2:11" ht="16.5" customHeight="1" x14ac:dyDescent="0.35">
      <c r="B23" s="19" t="s">
        <v>17</v>
      </c>
      <c r="C23" s="2" t="s">
        <v>18</v>
      </c>
      <c r="D23" s="2"/>
      <c r="E23" s="2"/>
      <c r="F23" s="2"/>
      <c r="G23" s="2"/>
      <c r="H23" s="2"/>
      <c r="I23" s="2"/>
      <c r="J23" s="2"/>
      <c r="K23" s="2"/>
    </row>
    <row r="24" spans="2:11" ht="16.5" customHeight="1" x14ac:dyDescent="0.35">
      <c r="B24" s="19" t="s">
        <v>19</v>
      </c>
      <c r="C24" s="2" t="s">
        <v>20</v>
      </c>
      <c r="D24" s="2"/>
      <c r="E24" s="2"/>
      <c r="F24" s="2"/>
      <c r="G24" s="2"/>
      <c r="H24" s="2"/>
      <c r="I24" s="2"/>
      <c r="J24" s="2"/>
      <c r="K24" s="2"/>
    </row>
    <row r="25" spans="2:11" ht="16.5" customHeight="1" x14ac:dyDescent="0.35">
      <c r="B25" s="19" t="s">
        <v>21</v>
      </c>
      <c r="C25" s="2" t="s">
        <v>22</v>
      </c>
      <c r="D25" s="2"/>
      <c r="E25" s="2"/>
      <c r="F25" s="2"/>
      <c r="G25" s="2"/>
      <c r="H25" s="2"/>
      <c r="I25" s="2"/>
      <c r="J25" s="2"/>
      <c r="K25" s="2"/>
    </row>
    <row r="27" spans="2:11" ht="16.5" x14ac:dyDescent="0.35">
      <c r="B27" s="16" t="s">
        <v>23</v>
      </c>
    </row>
    <row r="28" spans="2:11" ht="18" customHeight="1" x14ac:dyDescent="0.35">
      <c r="B28" s="20" t="s">
        <v>24</v>
      </c>
      <c r="C28" s="21"/>
      <c r="D28" s="1" t="s">
        <v>25</v>
      </c>
      <c r="E28" s="1"/>
      <c r="F28" s="1"/>
      <c r="G28" s="1"/>
      <c r="H28" s="1"/>
      <c r="I28" s="1"/>
      <c r="J28" s="1"/>
      <c r="K28" s="1"/>
    </row>
    <row r="29" spans="2:11" ht="18" customHeight="1" x14ac:dyDescent="0.35">
      <c r="B29" s="20" t="s">
        <v>26</v>
      </c>
      <c r="C29" s="21"/>
      <c r="D29" s="1" t="s">
        <v>27</v>
      </c>
      <c r="E29" s="1"/>
      <c r="F29" s="1"/>
      <c r="G29" s="1"/>
      <c r="H29" s="1"/>
      <c r="I29" s="1"/>
      <c r="J29" s="1"/>
      <c r="K29" s="1"/>
    </row>
    <row r="30" spans="2:11" ht="18" customHeight="1" x14ac:dyDescent="0.35">
      <c r="B30" s="20" t="s">
        <v>28</v>
      </c>
      <c r="C30" s="21"/>
      <c r="D30" s="1" t="s">
        <v>29</v>
      </c>
      <c r="E30" s="1"/>
      <c r="F30" s="1"/>
      <c r="G30" s="1"/>
      <c r="H30" s="1"/>
      <c r="I30" s="1"/>
      <c r="J30" s="1"/>
      <c r="K30" s="1"/>
    </row>
    <row r="31" spans="2:11" ht="18" customHeight="1" x14ac:dyDescent="0.35">
      <c r="B31" s="20" t="s">
        <v>30</v>
      </c>
      <c r="C31" s="21"/>
      <c r="D31" s="1" t="s">
        <v>31</v>
      </c>
      <c r="E31" s="1"/>
      <c r="F31" s="1"/>
      <c r="G31" s="1"/>
      <c r="H31" s="1"/>
      <c r="I31" s="1"/>
      <c r="J31" s="1"/>
      <c r="K31" s="1"/>
    </row>
    <row r="32" spans="2:11" ht="18" customHeight="1" x14ac:dyDescent="0.35">
      <c r="B32" s="20" t="s">
        <v>32</v>
      </c>
      <c r="C32" s="21"/>
      <c r="D32" s="1" t="s">
        <v>33</v>
      </c>
      <c r="E32" s="1"/>
      <c r="F32" s="1"/>
      <c r="G32" s="1"/>
      <c r="H32" s="1"/>
      <c r="I32" s="1"/>
      <c r="J32" s="1"/>
      <c r="K32" s="1"/>
    </row>
    <row r="34" spans="2:11" ht="16.5" x14ac:dyDescent="0.35">
      <c r="B34" s="16" t="s">
        <v>34</v>
      </c>
    </row>
    <row r="35" spans="2:11" ht="15" customHeight="1" x14ac:dyDescent="0.35">
      <c r="B35" s="22" t="s">
        <v>35</v>
      </c>
      <c r="D35" s="94" t="s">
        <v>36</v>
      </c>
      <c r="E35" s="94"/>
      <c r="F35" s="94"/>
      <c r="G35" s="94"/>
      <c r="H35" s="94"/>
      <c r="I35" s="94"/>
      <c r="J35" s="94"/>
      <c r="K35" s="94"/>
    </row>
    <row r="36" spans="2:11" ht="15" customHeight="1" x14ac:dyDescent="0.35">
      <c r="B36" s="23" t="s">
        <v>37</v>
      </c>
      <c r="D36" s="94" t="s">
        <v>38</v>
      </c>
      <c r="E36" s="94"/>
      <c r="F36" s="94"/>
      <c r="G36" s="94"/>
      <c r="H36" s="94"/>
      <c r="I36" s="94"/>
      <c r="J36" s="94"/>
      <c r="K36" s="94"/>
    </row>
    <row r="37" spans="2:11" ht="15" customHeight="1" x14ac:dyDescent="0.35">
      <c r="B37" s="24" t="s">
        <v>39</v>
      </c>
      <c r="D37" s="94" t="s">
        <v>40</v>
      </c>
      <c r="E37" s="94"/>
      <c r="F37" s="94"/>
      <c r="G37" s="94"/>
      <c r="H37" s="94"/>
      <c r="I37" s="94"/>
      <c r="J37" s="94"/>
      <c r="K37" s="94"/>
    </row>
    <row r="38" spans="2:11" ht="15" customHeight="1" x14ac:dyDescent="0.35">
      <c r="B38" s="22" t="s">
        <v>41</v>
      </c>
      <c r="D38" s="94" t="s">
        <v>42</v>
      </c>
      <c r="E38" s="94"/>
      <c r="F38" s="94"/>
      <c r="G38" s="94"/>
      <c r="H38" s="94"/>
      <c r="I38" s="94"/>
      <c r="J38" s="94"/>
      <c r="K38" s="94"/>
    </row>
    <row r="40" spans="2:11" ht="16.5" x14ac:dyDescent="0.35">
      <c r="B40" s="16" t="s">
        <v>43</v>
      </c>
    </row>
    <row r="41" spans="2:11" ht="15" customHeight="1" x14ac:dyDescent="0.35">
      <c r="B41" s="94" t="s">
        <v>44</v>
      </c>
      <c r="C41" s="94"/>
      <c r="D41" s="94"/>
      <c r="E41" s="94"/>
      <c r="F41" s="95" t="s">
        <v>45</v>
      </c>
      <c r="G41" s="95"/>
      <c r="H41" s="95"/>
      <c r="I41" s="95"/>
      <c r="J41" s="95"/>
      <c r="K41" s="95"/>
    </row>
    <row r="42" spans="2:11" ht="15" customHeight="1" x14ac:dyDescent="0.35">
      <c r="B42" s="94" t="s">
        <v>46</v>
      </c>
      <c r="C42" s="94"/>
      <c r="D42" s="94"/>
      <c r="E42" s="94"/>
      <c r="F42" s="95" t="s">
        <v>47</v>
      </c>
      <c r="G42" s="95"/>
      <c r="H42" s="95"/>
      <c r="I42" s="95"/>
      <c r="J42" s="95"/>
      <c r="K42" s="95"/>
    </row>
    <row r="43" spans="2:11" ht="15" customHeight="1" x14ac:dyDescent="0.35">
      <c r="B43" s="96" t="s">
        <v>48</v>
      </c>
      <c r="C43" s="96"/>
      <c r="D43" s="96"/>
      <c r="E43" s="96"/>
      <c r="F43" s="96"/>
      <c r="G43" s="96"/>
      <c r="H43" s="96"/>
      <c r="I43" s="96"/>
      <c r="J43" s="96"/>
      <c r="K43" s="96"/>
    </row>
    <row r="44" spans="2:11" x14ac:dyDescent="0.35">
      <c r="B44" s="96"/>
      <c r="C44" s="96"/>
      <c r="D44" s="96"/>
      <c r="E44" s="96"/>
      <c r="F44" s="96"/>
      <c r="G44" s="96"/>
      <c r="H44" s="96"/>
      <c r="I44" s="96"/>
      <c r="J44" s="96"/>
      <c r="K44" s="96"/>
    </row>
  </sheetData>
  <mergeCells count="32">
    <mergeCell ref="B41:E41"/>
    <mergeCell ref="F41:K41"/>
    <mergeCell ref="B42:E42"/>
    <mergeCell ref="F42:K42"/>
    <mergeCell ref="B43:K44"/>
    <mergeCell ref="D32:K32"/>
    <mergeCell ref="D35:K35"/>
    <mergeCell ref="D36:K36"/>
    <mergeCell ref="D37:K37"/>
    <mergeCell ref="D38:K38"/>
    <mergeCell ref="C25:K25"/>
    <mergeCell ref="D28:K28"/>
    <mergeCell ref="D29:K29"/>
    <mergeCell ref="D30:K30"/>
    <mergeCell ref="D31:K31"/>
    <mergeCell ref="B18:H18"/>
    <mergeCell ref="C21:K21"/>
    <mergeCell ref="C22:K22"/>
    <mergeCell ref="C23:K23"/>
    <mergeCell ref="C24:K24"/>
    <mergeCell ref="B13:H13"/>
    <mergeCell ref="B15:H15"/>
    <mergeCell ref="I15:K16"/>
    <mergeCell ref="B16:H17"/>
    <mergeCell ref="I17:K17"/>
    <mergeCell ref="B2:K2"/>
    <mergeCell ref="B3:K3"/>
    <mergeCell ref="B6:K7"/>
    <mergeCell ref="B10:H10"/>
    <mergeCell ref="I10:K11"/>
    <mergeCell ref="B11:H12"/>
    <mergeCell ref="I12:K12"/>
  </mergeCells>
  <hyperlinks>
    <hyperlink ref="B13" location="'ICD'!A1" display="→ ver folha «ICD»" xr:uid="{00000000-0004-0000-0000-000000000000}"/>
    <hyperlink ref="B18" location="'ICE'!A1" display="→ ver folha «ICE»" xr:uid="{00000000-0004-0000-0000-000001000000}"/>
    <hyperlink ref="B28" location="'Painel'!A1" display="→ Painel" xr:uid="{00000000-0004-0000-0000-000002000000}"/>
    <hyperlink ref="B29" location="'ICD'!A1" display="→ ICD" xr:uid="{00000000-0004-0000-0000-000003000000}"/>
    <hyperlink ref="B30" location="'ICE'!A1" display="→ ICE" xr:uid="{00000000-0004-0000-0000-000004000000}"/>
    <hyperlink ref="B31" location="'Dados'!A1" display="→ Dados" xr:uid="{00000000-0004-0000-0000-000005000000}"/>
    <hyperlink ref="B32" location="'Metodologia'!A1" display="→ Metodologia" xr:uid="{00000000-0004-0000-0000-000006000000}"/>
    <hyperlink ref="F41" r:id="rId1" xr:uid="{00000000-0004-0000-0000-000007000000}"/>
    <hyperlink ref="F42" r:id="rId2" xr:uid="{00000000-0004-0000-0000-000008000000}"/>
  </hyperlink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78D6"/>
    <pageSetUpPr fitToPage="1"/>
  </sheetPr>
  <dimension ref="A1:X114"/>
  <sheetViews>
    <sheetView showGridLines="0" topLeftCell="A48" zoomScale="90" zoomScaleNormal="90" workbookViewId="0">
      <selection sqref="A1:P1"/>
    </sheetView>
  </sheetViews>
  <sheetFormatPr defaultColWidth="8.6328125" defaultRowHeight="14.5" x14ac:dyDescent="0.35"/>
  <cols>
    <col min="1" max="16" width="10.81640625" customWidth="1"/>
    <col min="17" max="20" width="2.6328125" customWidth="1"/>
    <col min="21" max="24" width="1.1796875" customWidth="1"/>
  </cols>
  <sheetData>
    <row r="1" spans="1:24" ht="33.75" customHeight="1" x14ac:dyDescent="0.35">
      <c r="A1" s="97" t="s">
        <v>49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U1" s="25" t="s">
        <v>50</v>
      </c>
    </row>
    <row r="2" spans="1:24" ht="18" customHeight="1" x14ac:dyDescent="0.35">
      <c r="A2" s="98" t="s">
        <v>51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1:24" x14ac:dyDescent="0.35">
      <c r="U3" s="25">
        <v>2022</v>
      </c>
      <c r="V3" s="26">
        <f>ICD!B13</f>
        <v>100.0000000000001</v>
      </c>
      <c r="W3" s="26">
        <f>ICD!G13</f>
        <v>100.00000000000009</v>
      </c>
    </row>
    <row r="4" spans="1:24" ht="24" customHeight="1" x14ac:dyDescent="0.35">
      <c r="A4" s="99" t="s">
        <v>52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U4" s="25">
        <v>2023</v>
      </c>
      <c r="V4" s="26">
        <f>ICD!C13</f>
        <v>104.00862501333525</v>
      </c>
      <c r="W4" s="26">
        <f>ICD!H13</f>
        <v>116.92773624079591</v>
      </c>
    </row>
    <row r="5" spans="1:24" ht="6" customHeight="1" x14ac:dyDescent="0.35">
      <c r="A5" s="27"/>
      <c r="B5" s="28"/>
      <c r="C5" s="29"/>
      <c r="E5" s="30"/>
      <c r="F5" s="31"/>
      <c r="G5" s="32"/>
      <c r="I5" s="33"/>
      <c r="J5" s="34"/>
      <c r="K5" s="35"/>
      <c r="M5" s="36"/>
      <c r="N5" s="37"/>
      <c r="O5" s="38"/>
      <c r="U5" s="25">
        <v>2024</v>
      </c>
      <c r="V5" s="26">
        <f>ICD!D13</f>
        <v>123.3554734389252</v>
      </c>
      <c r="W5" s="26">
        <f>ICD!I13</f>
        <v>130.72015202884788</v>
      </c>
    </row>
    <row r="6" spans="1:24" x14ac:dyDescent="0.35">
      <c r="A6" s="100" t="s">
        <v>53</v>
      </c>
      <c r="B6" s="100"/>
      <c r="C6" s="100"/>
      <c r="E6" s="100" t="s">
        <v>54</v>
      </c>
      <c r="F6" s="100"/>
      <c r="G6" s="100"/>
      <c r="I6" s="100" t="s">
        <v>55</v>
      </c>
      <c r="J6" s="100"/>
      <c r="K6" s="100"/>
      <c r="M6" s="100" t="s">
        <v>56</v>
      </c>
      <c r="N6" s="100"/>
      <c r="O6" s="100"/>
      <c r="U6" s="25">
        <v>2025</v>
      </c>
      <c r="V6" s="26">
        <f>ICD!E13</f>
        <v>131.60202459865158</v>
      </c>
      <c r="W6" s="26">
        <f>ICD!J13</f>
        <v>142.94737055475335</v>
      </c>
    </row>
    <row r="7" spans="1:24" ht="21.75" customHeight="1" x14ac:dyDescent="0.35">
      <c r="A7" s="101">
        <f>ICD!E13</f>
        <v>131.60202459865158</v>
      </c>
      <c r="B7" s="101"/>
      <c r="C7" s="101"/>
      <c r="E7" s="102">
        <f>ICD!N13</f>
        <v>-11.345345956101767</v>
      </c>
      <c r="F7" s="102"/>
      <c r="G7" s="102"/>
      <c r="I7" s="103">
        <f>ICE!D13</f>
        <v>0.86735330150259393</v>
      </c>
      <c r="J7" s="103"/>
      <c r="K7" s="103"/>
      <c r="M7" s="104">
        <f>COUNTIF(ICE!$I$21:$I$71,"≥100%")</f>
        <v>17</v>
      </c>
      <c r="N7" s="104"/>
      <c r="O7" s="104"/>
      <c r="U7" s="25">
        <v>2026</v>
      </c>
      <c r="W7" s="26">
        <f>ICD!K13</f>
        <v>154.5480923003453</v>
      </c>
    </row>
    <row r="8" spans="1:24" ht="13.5" customHeight="1" x14ac:dyDescent="0.35">
      <c r="A8" s="101"/>
      <c r="B8" s="101"/>
      <c r="C8" s="101"/>
      <c r="E8" s="102"/>
      <c r="F8" s="102"/>
      <c r="G8" s="102"/>
      <c r="I8" s="103"/>
      <c r="J8" s="103"/>
      <c r="K8" s="103"/>
      <c r="M8" s="104"/>
      <c r="N8" s="104"/>
      <c r="O8" s="104"/>
      <c r="U8" s="25">
        <v>2027</v>
      </c>
      <c r="W8" s="26">
        <f>ICD!L13</f>
        <v>165.56543906704172</v>
      </c>
    </row>
    <row r="9" spans="1:24" x14ac:dyDescent="0.35">
      <c r="A9" s="105">
        <f>ICD!E13-ICD!D13</f>
        <v>8.2465511597263799</v>
      </c>
      <c r="B9" s="105"/>
      <c r="C9" s="105"/>
      <c r="E9" s="106" t="str">
        <f>"obs. "&amp;ROUND(ICD!E13,1)&amp;" vs meta "&amp;ROUND(ICD!J13,1)</f>
        <v>obs. 131,6 vs meta 142,9</v>
      </c>
      <c r="F9" s="106"/>
      <c r="G9" s="106"/>
      <c r="I9" s="107">
        <f>ICE!D13-ICE!C13</f>
        <v>-6.2783379982034315E-3</v>
      </c>
      <c r="J9" s="107"/>
      <c r="K9" s="107"/>
      <c r="M9" s="108"/>
      <c r="N9" s="108"/>
      <c r="O9" s="108"/>
    </row>
    <row r="10" spans="1:24" x14ac:dyDescent="0.35">
      <c r="A10" s="109" t="s">
        <v>57</v>
      </c>
      <c r="B10" s="109"/>
      <c r="C10" s="109"/>
      <c r="E10" s="109" t="s">
        <v>58</v>
      </c>
      <c r="F10" s="109"/>
      <c r="G10" s="109"/>
      <c r="I10" s="109" t="s">
        <v>59</v>
      </c>
      <c r="J10" s="109"/>
      <c r="K10" s="109"/>
      <c r="M10" s="109" t="str">
        <f>"em "&amp;COUNTIF(ICE!$G$21:$G$71,"&gt;0")&amp;" indicadores avaliados em 2025"</f>
        <v>em 43 indicadores avaliados em 2025</v>
      </c>
      <c r="N10" s="109"/>
      <c r="O10" s="109"/>
    </row>
    <row r="11" spans="1:24" x14ac:dyDescent="0.35">
      <c r="U11" s="25">
        <v>2023</v>
      </c>
      <c r="V11" s="39">
        <f>ICE!B13</f>
        <v>0.87068219839413297</v>
      </c>
      <c r="W11" s="25">
        <v>1</v>
      </c>
    </row>
    <row r="12" spans="1:24" ht="24" customHeight="1" x14ac:dyDescent="0.35">
      <c r="A12" s="99" t="s">
        <v>60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U12" s="25">
        <v>2024</v>
      </c>
      <c r="V12" s="39">
        <f>ICE!C13</f>
        <v>0.87363163950079736</v>
      </c>
      <c r="W12" s="25">
        <v>1</v>
      </c>
    </row>
    <row r="13" spans="1:24" x14ac:dyDescent="0.35">
      <c r="A13" s="110" t="s">
        <v>61</v>
      </c>
      <c r="B13" s="110"/>
      <c r="C13" s="110"/>
      <c r="D13" s="110"/>
      <c r="E13" s="110"/>
      <c r="F13" s="110"/>
      <c r="G13" s="110"/>
      <c r="H13" s="110"/>
      <c r="J13" s="110" t="s">
        <v>62</v>
      </c>
      <c r="K13" s="110"/>
      <c r="L13" s="110"/>
      <c r="M13" s="110"/>
      <c r="N13" s="110"/>
      <c r="O13" s="110"/>
      <c r="P13" s="110"/>
      <c r="U13" s="25">
        <v>2025</v>
      </c>
      <c r="V13" s="39">
        <f>ICE!D13</f>
        <v>0.86735330150259393</v>
      </c>
      <c r="W13" s="25">
        <v>1</v>
      </c>
    </row>
    <row r="14" spans="1:24" x14ac:dyDescent="0.35">
      <c r="A14" s="111" t="s">
        <v>63</v>
      </c>
      <c r="B14" s="111"/>
      <c r="C14" s="111"/>
      <c r="D14" s="111"/>
      <c r="E14" s="111"/>
      <c r="F14" s="111"/>
      <c r="G14" s="111"/>
      <c r="H14" s="111"/>
      <c r="J14" s="111" t="s">
        <v>64</v>
      </c>
      <c r="K14" s="111"/>
      <c r="L14" s="111"/>
      <c r="M14" s="111"/>
      <c r="N14" s="111"/>
      <c r="O14" s="111"/>
      <c r="P14" s="111"/>
    </row>
    <row r="16" spans="1:24" x14ac:dyDescent="0.35">
      <c r="U16" s="25" t="str">
        <f>INDEX(ICE!$A$6:$A$12,MATCH(LARGE($X$16:$X$22,1),$X$16:$X$22,0))</f>
        <v>Comunicação</v>
      </c>
      <c r="V16" s="39">
        <f>INDEX(ICE!$D$6:$D$12,MATCH(LARGE($X$16:$X$22,1),$X$16:$X$22,0))</f>
        <v>0.99367088607594933</v>
      </c>
      <c r="W16" s="25">
        <v>1</v>
      </c>
      <c r="X16" s="40">
        <f>ICE!D6+ROW()/10^7</f>
        <v>0.92974380904219345</v>
      </c>
    </row>
    <row r="17" spans="1:24" x14ac:dyDescent="0.35">
      <c r="U17" s="25" t="str">
        <f>INDEX(ICE!$A$6:$A$12,MATCH(LARGE($X$16:$X$22,2),$X$16:$X$22,0))</f>
        <v>Económico</v>
      </c>
      <c r="V17" s="39">
        <f>INDEX(ICE!$D$6:$D$12,MATCH(LARGE($X$16:$X$22,2),$X$16:$X$22,0))</f>
        <v>0.94067534076827763</v>
      </c>
      <c r="W17" s="25">
        <v>1</v>
      </c>
      <c r="X17" s="40">
        <f>ICE!D7+ROW()/10^7</f>
        <v>0.71452611077441086</v>
      </c>
    </row>
    <row r="18" spans="1:24" x14ac:dyDescent="0.35">
      <c r="U18" s="25" t="str">
        <f>INDEX(ICE!$A$6:$A$12,MATCH(LARGE($X$16:$X$22,3),$X$16:$X$22,0))</f>
        <v>Saúde</v>
      </c>
      <c r="V18" s="39">
        <f>INDEX(ICE!$D$6:$D$12,MATCH(LARGE($X$16:$X$22,3),$X$16:$X$22,0))</f>
        <v>0.9297422090421934</v>
      </c>
      <c r="W18" s="25">
        <v>1</v>
      </c>
      <c r="X18" s="40">
        <f>ICE!D8+ROW()/10^7</f>
        <v>0.99367268607594939</v>
      </c>
    </row>
    <row r="19" spans="1:24" x14ac:dyDescent="0.35">
      <c r="U19" s="25" t="str">
        <f>INDEX(ICE!$A$6:$A$12,MATCH(LARGE($X$16:$X$22,4),$X$16:$X$22,0))</f>
        <v>Educação e FP</v>
      </c>
      <c r="V19" s="39">
        <f>INDEX(ICE!$D$6:$D$12,MATCH(LARGE($X$16:$X$22,4),$X$16:$X$22,0))</f>
        <v>0.89157842779765184</v>
      </c>
      <c r="W19" s="25">
        <v>1</v>
      </c>
      <c r="X19" s="40">
        <f>ICE!D9+ROW()/10^7</f>
        <v>0.89158032779765184</v>
      </c>
    </row>
    <row r="20" spans="1:24" x14ac:dyDescent="0.35">
      <c r="U20" s="25" t="str">
        <f>INDEX(ICE!$A$6:$A$12,MATCH(LARGE($X$16:$X$22,5),$X$16:$X$22,0))</f>
        <v>Infraestruturas</v>
      </c>
      <c r="V20" s="39">
        <f>INDEX(ICE!$D$6:$D$12,MATCH(LARGE($X$16:$X$22,5),$X$16:$X$22,0))</f>
        <v>0.80944156460417149</v>
      </c>
      <c r="W20" s="25">
        <v>1</v>
      </c>
      <c r="X20" s="40">
        <f>ICE!D10+ROW()/10^7</f>
        <v>0.80944356460417144</v>
      </c>
    </row>
    <row r="21" spans="1:24" x14ac:dyDescent="0.35">
      <c r="U21" s="25" t="str">
        <f>INDEX(ICE!$A$6:$A$12,MATCH(LARGE($X$16:$X$22,6),$X$16:$X$22,0))</f>
        <v>Fomento à Produção</v>
      </c>
      <c r="V21" s="39">
        <f>INDEX(ICE!$D$6:$D$12,MATCH(LARGE($X$16:$X$22,6),$X$16:$X$22,0))</f>
        <v>0.79184027145550318</v>
      </c>
      <c r="W21" s="25">
        <v>1</v>
      </c>
      <c r="X21" s="40">
        <f>ICE!D11+ROW()/10^7</f>
        <v>0.79184237145550318</v>
      </c>
    </row>
    <row r="22" spans="1:24" x14ac:dyDescent="0.35">
      <c r="U22" s="25" t="str">
        <f>INDEX(ICE!$A$6:$A$12,MATCH(LARGE($X$16:$X$22,7),$X$16:$X$22,0))</f>
        <v>Protecção Social</v>
      </c>
      <c r="V22" s="39">
        <f>INDEX(ICE!$D$6:$D$12,MATCH(LARGE($X$16:$X$22,7),$X$16:$X$22,0))</f>
        <v>0.71452441077441087</v>
      </c>
      <c r="W22" s="25">
        <v>1</v>
      </c>
      <c r="X22" s="40">
        <f>ICE!D12+ROW()/10^7</f>
        <v>0.94067754076827759</v>
      </c>
    </row>
    <row r="25" spans="1:24" x14ac:dyDescent="0.35">
      <c r="U25" s="25" t="str">
        <f>INDEX(ICD!$A$6:$A$12,MATCH(LARGE($X$25:$X$31,1),$X$25:$X$31,0))</f>
        <v>Protecção Social</v>
      </c>
      <c r="V25" s="26">
        <f>INDEX(ICD!$E$6:$E$12,MATCH(LARGE($X$25:$X$31,1),$X$25:$X$31,0))</f>
        <v>219.44308027157371</v>
      </c>
      <c r="W25" s="25">
        <v>100</v>
      </c>
      <c r="X25" s="25">
        <f>ICD!E6+ROW()/10^7</f>
        <v>124.03482999154095</v>
      </c>
    </row>
    <row r="26" spans="1:24" x14ac:dyDescent="0.35">
      <c r="U26" s="25" t="str">
        <f>INDEX(ICD!$A$6:$A$12,MATCH(LARGE($X$25:$X$31,2),$X$25:$X$31,0))</f>
        <v>Fomento à Produção</v>
      </c>
      <c r="V26" s="26">
        <f>INDEX(ICD!$E$6:$E$12,MATCH(LARGE($X$25:$X$31,2),$X$25:$X$31,0))</f>
        <v>139.70088938242088</v>
      </c>
      <c r="W26" s="25">
        <v>100</v>
      </c>
      <c r="X26" s="25">
        <f>ICD!E7+ROW()/10^7</f>
        <v>219.44308287157369</v>
      </c>
    </row>
    <row r="27" spans="1:24" x14ac:dyDescent="0.35">
      <c r="U27" s="25" t="str">
        <f>INDEX(ICD!$A$6:$A$12,MATCH(LARGE($X$25:$X$31,3),$X$25:$X$31,0))</f>
        <v>Comunicação</v>
      </c>
      <c r="V27" s="26">
        <f>INDEX(ICD!$E$6:$E$12,MATCH(LARGE($X$25:$X$31,3),$X$25:$X$31,0))</f>
        <v>134.37096247164254</v>
      </c>
      <c r="W27" s="25">
        <v>100</v>
      </c>
      <c r="X27" s="25">
        <f>ICD!E8+ROW()/10^7</f>
        <v>134.37096517164255</v>
      </c>
    </row>
    <row r="28" spans="1:24" x14ac:dyDescent="0.35">
      <c r="U28" s="25" t="str">
        <f>INDEX(ICD!$A$6:$A$12,MATCH(LARGE($X$25:$X$31,4),$X$25:$X$31,0))</f>
        <v>Educação e FP</v>
      </c>
      <c r="V28" s="26">
        <f>INDEX(ICD!$E$6:$E$12,MATCH(LARGE($X$25:$X$31,4),$X$25:$X$31,0))</f>
        <v>126.3988651698851</v>
      </c>
      <c r="W28" s="25">
        <v>100</v>
      </c>
      <c r="X28" s="25">
        <f>ICD!E9+ROW()/10^7</f>
        <v>126.3988679698851</v>
      </c>
    </row>
    <row r="29" spans="1:24" x14ac:dyDescent="0.35">
      <c r="U29" s="25" t="str">
        <f>INDEX(ICD!$A$6:$A$12,MATCH(LARGE($X$25:$X$31,5),$X$25:$X$31,0))</f>
        <v>Saúde</v>
      </c>
      <c r="V29" s="26">
        <f>INDEX(ICD!$E$6:$E$12,MATCH(LARGE($X$25:$X$31,5),$X$25:$X$31,0))</f>
        <v>124.03482749154095</v>
      </c>
      <c r="W29" s="25">
        <v>100</v>
      </c>
      <c r="X29" s="25">
        <f>ICD!E10+ROW()/10^7</f>
        <v>101.79063594112247</v>
      </c>
    </row>
    <row r="30" spans="1:24" x14ac:dyDescent="0.35">
      <c r="U30" s="25" t="str">
        <f>INDEX(ICD!$A$6:$A$12,MATCH(LARGE($X$25:$X$31,6),$X$25:$X$31,0))</f>
        <v>Económico</v>
      </c>
      <c r="V30" s="26">
        <f>INDEX(ICD!$E$6:$E$12,MATCH(LARGE($X$25:$X$31,6),$X$25:$X$31,0))</f>
        <v>103.99605563656245</v>
      </c>
      <c r="W30" s="25">
        <v>100</v>
      </c>
      <c r="X30" s="25">
        <f>ICD!E11+ROW()/10^7</f>
        <v>139.70089238242088</v>
      </c>
    </row>
    <row r="31" spans="1:24" ht="24" customHeight="1" x14ac:dyDescent="0.35">
      <c r="A31" s="99" t="s">
        <v>65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U31" s="25" t="str">
        <f>INDEX(ICD!$A$6:$A$12,MATCH(LARGE($X$25:$X$31,7),$X$25:$X$31,0))</f>
        <v>Infraestruturas</v>
      </c>
      <c r="V31" s="26">
        <f>INDEX(ICD!$E$6:$E$12,MATCH(LARGE($X$25:$X$31,7),$X$25:$X$31,0))</f>
        <v>101.79063304112248</v>
      </c>
      <c r="W31" s="25">
        <v>100</v>
      </c>
      <c r="X31" s="25">
        <f>ICD!E12+ROW()/10^7</f>
        <v>103.99605873656245</v>
      </c>
    </row>
    <row r="32" spans="1:24" x14ac:dyDescent="0.35">
      <c r="A32" s="110" t="s">
        <v>66</v>
      </c>
      <c r="B32" s="110"/>
      <c r="C32" s="110"/>
      <c r="D32" s="110"/>
      <c r="E32" s="110"/>
      <c r="F32" s="110"/>
      <c r="G32" s="110"/>
      <c r="H32" s="110"/>
      <c r="J32" s="110" t="s">
        <v>67</v>
      </c>
      <c r="K32" s="110"/>
      <c r="L32" s="110"/>
      <c r="M32" s="110"/>
      <c r="N32" s="110"/>
      <c r="O32" s="110"/>
      <c r="P32" s="110"/>
    </row>
    <row r="33" spans="1:23" x14ac:dyDescent="0.35">
      <c r="A33" s="111" t="s">
        <v>68</v>
      </c>
      <c r="B33" s="111"/>
      <c r="C33" s="111"/>
      <c r="D33" s="111"/>
      <c r="E33" s="111"/>
      <c r="F33" s="111"/>
      <c r="G33" s="111"/>
      <c r="H33" s="111"/>
      <c r="J33" s="111" t="s">
        <v>69</v>
      </c>
      <c r="K33" s="111"/>
      <c r="L33" s="111"/>
      <c r="M33" s="111"/>
      <c r="N33" s="111"/>
      <c r="O33" s="111"/>
      <c r="P33" s="111"/>
    </row>
    <row r="34" spans="1:23" x14ac:dyDescent="0.35">
      <c r="U34" s="25" t="str">
        <f>ICE!A6</f>
        <v>Saúde</v>
      </c>
      <c r="V34" s="39">
        <f>ICE!B6</f>
        <v>0.97317947646895042</v>
      </c>
      <c r="W34" s="39">
        <f>ICE!D6</f>
        <v>0.9297422090421934</v>
      </c>
    </row>
    <row r="35" spans="1:23" x14ac:dyDescent="0.35">
      <c r="U35" s="25" t="str">
        <f>ICE!A7</f>
        <v>Protecção Social</v>
      </c>
      <c r="V35" s="39">
        <f>ICE!B7</f>
        <v>0.76454172784876795</v>
      </c>
      <c r="W35" s="39">
        <f>ICE!D7</f>
        <v>0.71452441077441087</v>
      </c>
    </row>
    <row r="36" spans="1:23" x14ac:dyDescent="0.35">
      <c r="U36" s="25" t="str">
        <f>ICE!A8</f>
        <v>Comunicação</v>
      </c>
      <c r="V36" s="39">
        <f>ICE!B8</f>
        <v>0.98529411764705888</v>
      </c>
      <c r="W36" s="39">
        <f>ICE!D8</f>
        <v>0.99367088607594933</v>
      </c>
    </row>
    <row r="37" spans="1:23" x14ac:dyDescent="0.35">
      <c r="U37" s="25" t="str">
        <f>ICE!A9</f>
        <v>Educação e FP</v>
      </c>
      <c r="V37" s="39">
        <f>ICE!B9</f>
        <v>0.95696565130367972</v>
      </c>
      <c r="W37" s="39">
        <f>ICE!D9</f>
        <v>0.89157842779765184</v>
      </c>
    </row>
    <row r="38" spans="1:23" x14ac:dyDescent="0.35">
      <c r="U38" s="25" t="str">
        <f>ICE!A10</f>
        <v>Infraestruturas</v>
      </c>
      <c r="V38" s="39">
        <f>ICE!B10</f>
        <v>0.87727498449173058</v>
      </c>
      <c r="W38" s="39">
        <f>ICE!D10</f>
        <v>0.80944156460417149</v>
      </c>
    </row>
    <row r="39" spans="1:23" x14ac:dyDescent="0.35">
      <c r="U39" s="25" t="str">
        <f>ICE!A11</f>
        <v>Fomento à Produção</v>
      </c>
      <c r="V39" s="39">
        <f>ICE!B11</f>
        <v>0.9344169778962913</v>
      </c>
      <c r="W39" s="39">
        <f>ICE!D11</f>
        <v>0.79184027145550318</v>
      </c>
    </row>
    <row r="40" spans="1:23" x14ac:dyDescent="0.35">
      <c r="U40" s="25" t="str">
        <f>ICE!A12</f>
        <v>Económico</v>
      </c>
      <c r="V40" s="39">
        <f>ICE!B12</f>
        <v>0.60310245310245225</v>
      </c>
      <c r="W40" s="39">
        <f>ICE!D12</f>
        <v>0.94067534076827763</v>
      </c>
    </row>
    <row r="43" spans="1:23" x14ac:dyDescent="0.35">
      <c r="U43" s="25" t="s">
        <v>70</v>
      </c>
      <c r="V43" s="25">
        <f>SUMPRODUCT(--(ICE!$I$21:$I$71="≥100%"))</f>
        <v>17</v>
      </c>
    </row>
    <row r="44" spans="1:23" x14ac:dyDescent="0.35">
      <c r="U44" s="25" t="s">
        <v>71</v>
      </c>
      <c r="V44" s="25">
        <f>SUMPRODUCT(--(ICE!$I$21:$I$71="75–100%"))</f>
        <v>17</v>
      </c>
    </row>
    <row r="45" spans="1:23" x14ac:dyDescent="0.35">
      <c r="U45" s="25" t="s">
        <v>72</v>
      </c>
      <c r="V45" s="25">
        <f>SUMPRODUCT(--(ICE!$I$21:$I$71="50–75%"))</f>
        <v>5</v>
      </c>
    </row>
    <row r="46" spans="1:23" x14ac:dyDescent="0.35">
      <c r="U46" s="25" t="s">
        <v>73</v>
      </c>
      <c r="V46" s="25">
        <f>SUMPRODUCT(--(ICE!$I$21:$I$71="&lt;50%"))</f>
        <v>4</v>
      </c>
    </row>
    <row r="49" spans="1:23" x14ac:dyDescent="0.35">
      <c r="U49" s="25" t="s">
        <v>74</v>
      </c>
    </row>
    <row r="50" spans="1:23" ht="24" customHeight="1" x14ac:dyDescent="0.35">
      <c r="A50" s="99" t="s">
        <v>75</v>
      </c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U50" s="25" t="s">
        <v>76</v>
      </c>
    </row>
    <row r="51" spans="1:23" x14ac:dyDescent="0.35">
      <c r="A51" s="110" t="s">
        <v>77</v>
      </c>
      <c r="B51" s="110"/>
      <c r="C51" s="110"/>
      <c r="D51" s="110"/>
      <c r="E51" s="110"/>
      <c r="F51" s="110"/>
      <c r="G51" s="110"/>
      <c r="I51" s="110" t="s">
        <v>78</v>
      </c>
      <c r="J51" s="110"/>
      <c r="K51" s="110"/>
      <c r="L51" s="110"/>
      <c r="M51" s="110"/>
      <c r="N51" s="110"/>
      <c r="O51" s="110"/>
      <c r="P51" s="110"/>
      <c r="U51" s="25" t="s">
        <v>79</v>
      </c>
    </row>
    <row r="52" spans="1:23" x14ac:dyDescent="0.35">
      <c r="A52" s="111" t="s">
        <v>80</v>
      </c>
      <c r="B52" s="111"/>
      <c r="C52" s="111"/>
      <c r="D52" s="111"/>
      <c r="E52" s="111"/>
      <c r="F52" s="111"/>
      <c r="G52" s="111"/>
      <c r="I52" s="111" t="s">
        <v>81</v>
      </c>
      <c r="J52" s="111"/>
      <c r="K52" s="111"/>
      <c r="L52" s="111"/>
      <c r="M52" s="111"/>
      <c r="N52" s="111"/>
      <c r="O52" s="111"/>
      <c r="P52" s="111"/>
      <c r="U52" s="25" t="s">
        <v>82</v>
      </c>
    </row>
    <row r="53" spans="1:23" x14ac:dyDescent="0.35">
      <c r="U53" s="25" t="s">
        <v>83</v>
      </c>
    </row>
    <row r="54" spans="1:23" x14ac:dyDescent="0.35">
      <c r="U54" s="25" t="s">
        <v>84</v>
      </c>
    </row>
    <row r="55" spans="1:23" x14ac:dyDescent="0.35">
      <c r="U55" s="25" t="s">
        <v>85</v>
      </c>
    </row>
    <row r="58" spans="1:23" x14ac:dyDescent="0.35">
      <c r="U58" s="25">
        <f>MATCH($B$84,Dados!$C$5:$C$55,0)</f>
        <v>1</v>
      </c>
      <c r="V58" s="25">
        <f>COUNTIF(Dados!$C$5:$C$55,$B$84)</f>
        <v>7</v>
      </c>
      <c r="W58" s="25">
        <f>MATCH($B$84,ICE!$A$6:$A$12,0)</f>
        <v>1</v>
      </c>
    </row>
    <row r="61" spans="1:23" x14ac:dyDescent="0.35">
      <c r="U61" s="25">
        <v>2022</v>
      </c>
      <c r="V61" s="26">
        <f>INDEX(ICD!$B$6:$E$12,$W$58,1)</f>
        <v>100.00000000000013</v>
      </c>
      <c r="W61" s="26">
        <f>INDEX(ICD!$G$6:$L$12,$W$58,1)</f>
        <v>100.00000000000013</v>
      </c>
    </row>
    <row r="62" spans="1:23" x14ac:dyDescent="0.35">
      <c r="U62" s="25">
        <v>2023</v>
      </c>
      <c r="V62" s="26">
        <f>INDEX(ICD!$B$6:$E$12,$W$58,2)</f>
        <v>117.09797540704085</v>
      </c>
      <c r="W62" s="26">
        <f>INDEX(ICD!$G$6:$L$12,$W$58,2)</f>
        <v>107.99741282920785</v>
      </c>
    </row>
    <row r="63" spans="1:23" x14ac:dyDescent="0.35">
      <c r="U63" s="25">
        <v>2024</v>
      </c>
      <c r="V63" s="26">
        <f>INDEX(ICD!$B$6:$E$12,$W$58,3)</f>
        <v>118.73721786599893</v>
      </c>
      <c r="W63" s="26">
        <f>INDEX(ICD!$G$6:$L$12,$W$58,3)</f>
        <v>115.82334051941419</v>
      </c>
    </row>
    <row r="64" spans="1:23" x14ac:dyDescent="0.35">
      <c r="U64" s="25">
        <v>2025</v>
      </c>
      <c r="V64" s="26">
        <f>INDEX(ICD!$B$6:$E$12,$W$58,4)</f>
        <v>124.03482749154095</v>
      </c>
      <c r="W64" s="26">
        <f>INDEX(ICD!$G$6:$L$12,$W$58,4)</f>
        <v>123.57952571671105</v>
      </c>
    </row>
    <row r="65" spans="1:23" x14ac:dyDescent="0.35">
      <c r="U65" s="25">
        <v>2026</v>
      </c>
      <c r="W65" s="26">
        <f>INDEX(ICD!$G$6:$L$12,$W$58,5)</f>
        <v>131.34194603853973</v>
      </c>
    </row>
    <row r="66" spans="1:23" x14ac:dyDescent="0.35">
      <c r="U66" s="25">
        <v>2027</v>
      </c>
      <c r="W66" s="26">
        <f>INDEX(ICD!$G$6:$L$12,$W$58,6)</f>
        <v>139.17450343891539</v>
      </c>
    </row>
    <row r="69" spans="1:23" ht="24" customHeight="1" x14ac:dyDescent="0.35">
      <c r="A69" s="99" t="s">
        <v>86</v>
      </c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</row>
    <row r="70" spans="1:23" x14ac:dyDescent="0.35">
      <c r="A70" s="111" t="s">
        <v>87</v>
      </c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</row>
    <row r="71" spans="1:23" x14ac:dyDescent="0.35">
      <c r="A71" s="22" t="s">
        <v>88</v>
      </c>
      <c r="H71" s="41" t="s">
        <v>89</v>
      </c>
    </row>
    <row r="72" spans="1:23" x14ac:dyDescent="0.35">
      <c r="A72" s="42" t="s">
        <v>90</v>
      </c>
      <c r="B72" s="42">
        <v>2022</v>
      </c>
      <c r="C72" s="42">
        <v>2023</v>
      </c>
      <c r="D72" s="42">
        <v>2024</v>
      </c>
      <c r="E72" s="42">
        <v>2025</v>
      </c>
      <c r="H72" s="42" t="s">
        <v>90</v>
      </c>
      <c r="I72" s="42">
        <v>2023</v>
      </c>
      <c r="J72" s="42">
        <v>2024</v>
      </c>
      <c r="K72" s="42">
        <v>2025</v>
      </c>
      <c r="L72" s="42" t="s">
        <v>91</v>
      </c>
    </row>
    <row r="73" spans="1:23" x14ac:dyDescent="0.35">
      <c r="A73" s="43" t="str">
        <f>ICD!A6</f>
        <v>Saúde</v>
      </c>
      <c r="B73" s="44">
        <f>ICD!B6</f>
        <v>100.00000000000013</v>
      </c>
      <c r="C73" s="44">
        <f>ICD!C6</f>
        <v>117.09797540704085</v>
      </c>
      <c r="D73" s="44">
        <f>ICD!D6</f>
        <v>118.73721786599893</v>
      </c>
      <c r="E73" s="44">
        <f>ICD!E6</f>
        <v>124.03482749154095</v>
      </c>
      <c r="H73" s="43" t="str">
        <f>ICE!A6</f>
        <v>Saúde</v>
      </c>
      <c r="I73" s="45">
        <f>ICE!B6</f>
        <v>0.97317947646895042</v>
      </c>
      <c r="J73" s="45">
        <f>ICE!C6</f>
        <v>0.9410686088931165</v>
      </c>
      <c r="K73" s="45">
        <f>ICE!D6</f>
        <v>0.9297422090421934</v>
      </c>
      <c r="L73" s="46">
        <f>ICE!F6</f>
        <v>-1.1326399850923097E-2</v>
      </c>
    </row>
    <row r="74" spans="1:23" ht="20" x14ac:dyDescent="0.35">
      <c r="A74" s="43" t="str">
        <f>ICD!A7</f>
        <v>Protecção Social</v>
      </c>
      <c r="B74" s="44">
        <f>ICD!B7</f>
        <v>100.00000000000004</v>
      </c>
      <c r="C74" s="44">
        <f>ICD!C7</f>
        <v>127.20929164529568</v>
      </c>
      <c r="D74" s="44">
        <f>ICD!D7</f>
        <v>192.24444809039124</v>
      </c>
      <c r="E74" s="44">
        <f>ICD!E7</f>
        <v>219.44308027157371</v>
      </c>
      <c r="H74" s="43" t="str">
        <f>ICE!A7</f>
        <v>Protecção Social</v>
      </c>
      <c r="I74" s="45">
        <f>ICE!B7</f>
        <v>0.76454172784876795</v>
      </c>
      <c r="J74" s="45">
        <f>ICE!C7</f>
        <v>0.7503805869533583</v>
      </c>
      <c r="K74" s="45">
        <f>ICE!D7</f>
        <v>0.71452441077441087</v>
      </c>
      <c r="L74" s="46">
        <f>ICE!F7</f>
        <v>-3.585617617894743E-2</v>
      </c>
    </row>
    <row r="75" spans="1:23" x14ac:dyDescent="0.35">
      <c r="A75" s="43" t="str">
        <f>ICD!A8</f>
        <v>Comunicação</v>
      </c>
      <c r="B75" s="44">
        <f>ICD!B8</f>
        <v>100.00000000000004</v>
      </c>
      <c r="C75" s="44">
        <f>ICD!C8</f>
        <v>107.04360482220943</v>
      </c>
      <c r="D75" s="44">
        <f>ICD!D8</f>
        <v>111.80339887498948</v>
      </c>
      <c r="E75" s="44">
        <f>ICD!E8</f>
        <v>134.37096247164254</v>
      </c>
      <c r="H75" s="43" t="str">
        <f>ICE!A8</f>
        <v>Comunicação</v>
      </c>
      <c r="I75" s="45">
        <f>ICE!B8</f>
        <v>0.98529411764705888</v>
      </c>
      <c r="J75" s="45">
        <f>ICE!C8</f>
        <v>0.96281464530892424</v>
      </c>
      <c r="K75" s="45">
        <f>ICE!D8</f>
        <v>0.99367088607594933</v>
      </c>
      <c r="L75" s="46">
        <f>ICE!F8</f>
        <v>3.0856240767025089E-2</v>
      </c>
    </row>
    <row r="76" spans="1:23" x14ac:dyDescent="0.35">
      <c r="A76" s="43" t="str">
        <f>ICD!A9</f>
        <v>Educação e FP</v>
      </c>
      <c r="B76" s="44">
        <f>ICD!B9</f>
        <v>100.00000000000013</v>
      </c>
      <c r="C76" s="44">
        <f>ICD!C9</f>
        <v>106.9709249950254</v>
      </c>
      <c r="D76" s="44">
        <f>ICD!D9</f>
        <v>116.01022289564081</v>
      </c>
      <c r="E76" s="44">
        <f>ICD!E9</f>
        <v>126.3988651698851</v>
      </c>
      <c r="H76" s="43" t="str">
        <f>ICE!A9</f>
        <v>Educação e FP</v>
      </c>
      <c r="I76" s="45">
        <f>ICE!B9</f>
        <v>0.95696565130367972</v>
      </c>
      <c r="J76" s="45">
        <f>ICE!C9</f>
        <v>0.9162416197492822</v>
      </c>
      <c r="K76" s="45">
        <f>ICE!D9</f>
        <v>0.89157842779765184</v>
      </c>
      <c r="L76" s="46">
        <f>ICE!F9</f>
        <v>-2.4663191951630359E-2</v>
      </c>
    </row>
    <row r="77" spans="1:23" x14ac:dyDescent="0.35">
      <c r="A77" s="43" t="str">
        <f>ICD!A10</f>
        <v>Infraestruturas</v>
      </c>
      <c r="B77" s="44">
        <f>ICD!B10</f>
        <v>100.00000000000013</v>
      </c>
      <c r="C77" s="44">
        <f>ICD!C10</f>
        <v>102.07015214834554</v>
      </c>
      <c r="D77" s="44">
        <f>ICD!D10</f>
        <v>107.24459792040791</v>
      </c>
      <c r="E77" s="44">
        <f>ICD!E10</f>
        <v>101.79063304112248</v>
      </c>
      <c r="H77" s="43" t="str">
        <f>ICE!A10</f>
        <v>Infraestruturas</v>
      </c>
      <c r="I77" s="45">
        <f>ICE!B10</f>
        <v>0.87727498449173058</v>
      </c>
      <c r="J77" s="45">
        <f>ICE!C10</f>
        <v>0.83383111841616175</v>
      </c>
      <c r="K77" s="45">
        <f>ICE!D10</f>
        <v>0.80944156460417149</v>
      </c>
      <c r="L77" s="46">
        <f>ICE!F10</f>
        <v>-2.4389553811990261E-2</v>
      </c>
    </row>
    <row r="78" spans="1:23" ht="20" x14ac:dyDescent="0.35">
      <c r="A78" s="43" t="str">
        <f>ICD!A11</f>
        <v>Fomento à Produção</v>
      </c>
      <c r="B78" s="44">
        <f>ICD!B11</f>
        <v>100.00000000000013</v>
      </c>
      <c r="C78" s="44">
        <f>ICD!C11</f>
        <v>113.04714956784322</v>
      </c>
      <c r="D78" s="44">
        <f>ICD!D11</f>
        <v>134.20486415269028</v>
      </c>
      <c r="E78" s="44">
        <f>ICD!E11</f>
        <v>139.70088938242088</v>
      </c>
      <c r="H78" s="43" t="str">
        <f>ICE!A11</f>
        <v>Fomento à Produção</v>
      </c>
      <c r="I78" s="45">
        <f>ICE!B11</f>
        <v>0.9344169778962913</v>
      </c>
      <c r="J78" s="45">
        <f>ICE!C11</f>
        <v>0.85567815115299117</v>
      </c>
      <c r="K78" s="45">
        <f>ICE!D11</f>
        <v>0.79184027145550318</v>
      </c>
      <c r="L78" s="46">
        <f>ICE!F11</f>
        <v>-6.3837879697487998E-2</v>
      </c>
    </row>
    <row r="79" spans="1:23" x14ac:dyDescent="0.35">
      <c r="A79" s="43" t="str">
        <f>ICD!A12</f>
        <v>Económico</v>
      </c>
      <c r="B79" s="44">
        <f>ICD!B12</f>
        <v>100.00000000000013</v>
      </c>
      <c r="C79" s="44">
        <f>ICD!C12</f>
        <v>66.900969156263585</v>
      </c>
      <c r="D79" s="44">
        <f>ICD!D12</f>
        <v>101.99369982162017</v>
      </c>
      <c r="E79" s="44">
        <f>ICD!E12</f>
        <v>103.99605563656245</v>
      </c>
      <c r="H79" s="43" t="str">
        <f>ICE!A12</f>
        <v>Económico</v>
      </c>
      <c r="I79" s="45">
        <f>ICE!B12</f>
        <v>0.60310245310245225</v>
      </c>
      <c r="J79" s="45">
        <f>ICE!C12</f>
        <v>0.85540674603174671</v>
      </c>
      <c r="K79" s="45">
        <f>ICE!D12</f>
        <v>0.94067534076827763</v>
      </c>
      <c r="L79" s="46">
        <f>ICE!F12</f>
        <v>8.5268594736530923E-2</v>
      </c>
    </row>
    <row r="80" spans="1:23" ht="21" x14ac:dyDescent="0.35">
      <c r="A80" s="47" t="str">
        <f>ICD!A13</f>
        <v>ÍNDICE GLOBAL (ICD)</v>
      </c>
      <c r="B80" s="48">
        <f>ICD!B13</f>
        <v>100.0000000000001</v>
      </c>
      <c r="C80" s="48">
        <f>ICD!C13</f>
        <v>104.00862501333525</v>
      </c>
      <c r="D80" s="48">
        <f>ICD!D13</f>
        <v>123.3554734389252</v>
      </c>
      <c r="E80" s="48">
        <f>ICD!E13</f>
        <v>131.60202459865158</v>
      </c>
      <c r="H80" s="47" t="str">
        <f>ICE!A13</f>
        <v>ÍNDICE GLOBAL (ICE)</v>
      </c>
      <c r="I80" s="49">
        <f>ICE!B13</f>
        <v>0.87068219839413297</v>
      </c>
      <c r="J80" s="49">
        <f>ICE!C13</f>
        <v>0.87363163950079736</v>
      </c>
      <c r="K80" s="49">
        <f>ICE!D13</f>
        <v>0.86735330150259393</v>
      </c>
      <c r="L80" s="50">
        <f>ICE!F13</f>
        <v>-6.2783379982034315E-3</v>
      </c>
    </row>
    <row r="82" spans="1:16" ht="24" customHeight="1" x14ac:dyDescent="0.35">
      <c r="A82" s="99" t="s">
        <v>92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</row>
    <row r="83" spans="1:16" x14ac:dyDescent="0.35">
      <c r="A83" s="111" t="s">
        <v>93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</row>
    <row r="84" spans="1:16" ht="21.75" customHeight="1" x14ac:dyDescent="0.35">
      <c r="A84" s="51" t="s">
        <v>94</v>
      </c>
      <c r="B84" s="112" t="s">
        <v>74</v>
      </c>
      <c r="C84" s="112"/>
      <c r="D84" s="112"/>
      <c r="F84" s="113" t="s">
        <v>95</v>
      </c>
      <c r="G84" s="113"/>
      <c r="H84" s="113" t="s">
        <v>96</v>
      </c>
      <c r="I84" s="113"/>
      <c r="J84" s="113" t="s">
        <v>97</v>
      </c>
      <c r="K84" s="113"/>
      <c r="L84" s="113" t="s">
        <v>98</v>
      </c>
      <c r="M84" s="113"/>
      <c r="N84" s="113" t="s">
        <v>99</v>
      </c>
      <c r="O84" s="113"/>
    </row>
    <row r="85" spans="1:16" ht="19.5" customHeight="1" x14ac:dyDescent="0.35">
      <c r="F85" s="114">
        <f>INDEX(ICD!$E$6:$E$12,$W$58)</f>
        <v>124.03482749154095</v>
      </c>
      <c r="G85" s="114"/>
      <c r="H85" s="115">
        <f>INDEX(ICD!$N$6:$N$12,$W$58)</f>
        <v>0.45530177482990553</v>
      </c>
      <c r="I85" s="115"/>
      <c r="J85" s="116">
        <f>INDEX(ICE!$D$6:$D$12,$W$58)</f>
        <v>0.9297422090421934</v>
      </c>
      <c r="K85" s="116"/>
      <c r="L85" s="117">
        <f>INDEX(ICE!$F$6:$F$12,$W$58)</f>
        <v>-1.1326399850923097E-2</v>
      </c>
      <c r="M85" s="117"/>
      <c r="N85" s="118">
        <f>$V$58</f>
        <v>7</v>
      </c>
      <c r="O85" s="118"/>
    </row>
    <row r="87" spans="1:16" x14ac:dyDescent="0.35">
      <c r="A87" s="110" t="s">
        <v>100</v>
      </c>
      <c r="B87" s="110"/>
      <c r="C87" s="110"/>
      <c r="D87" s="110"/>
      <c r="E87" s="110"/>
      <c r="F87" s="110"/>
    </row>
    <row r="88" spans="1:16" ht="15" customHeight="1" x14ac:dyDescent="0.35">
      <c r="A88" s="111" t="s">
        <v>101</v>
      </c>
      <c r="B88" s="111"/>
      <c r="C88" s="111"/>
      <c r="D88" s="111"/>
      <c r="E88" s="111"/>
      <c r="F88" s="111"/>
      <c r="H88" s="119" t="s">
        <v>102</v>
      </c>
      <c r="I88" s="119"/>
      <c r="J88" s="119"/>
      <c r="K88" s="119"/>
      <c r="L88" s="42" t="s">
        <v>103</v>
      </c>
      <c r="M88" s="42" t="s">
        <v>104</v>
      </c>
      <c r="N88" s="42" t="s">
        <v>105</v>
      </c>
      <c r="O88" s="42" t="s">
        <v>106</v>
      </c>
      <c r="P88" s="42" t="s">
        <v>107</v>
      </c>
    </row>
    <row r="89" spans="1:16" x14ac:dyDescent="0.35">
      <c r="H89" s="120" t="str">
        <f>IF(1&gt;$V$58,"",INDEX(Dados!$D$5:$D$55,$U$58+1-1))</f>
        <v>Novas Camas em Hospitais (Cumulativo)</v>
      </c>
      <c r="I89" s="120"/>
      <c r="J89" s="120"/>
      <c r="K89" s="120"/>
      <c r="L89" s="43" t="str">
        <f>IF(1&gt;$V$58,"",INDEX(Dados!$E$5:$E$55,$U$58+1-1))</f>
        <v>N.º</v>
      </c>
      <c r="M89" s="52">
        <f>IF(1&gt;$V$58,"",IF(INDEX(Dados!$K$5:$K$55,$U$58+1-1)="","—",INDEX(Dados!$K$5:$K$55,$U$58+1-1)))</f>
        <v>7304</v>
      </c>
      <c r="N89" s="52" t="str">
        <f>IF(1&gt;$V$58,"",IF(INDEX(Dados!$P$5:$P$55,$U$58+1-1)="","—",INDEX(Dados!$P$5:$P$55,$U$58+1-1)))</f>
        <v>—</v>
      </c>
      <c r="O89" s="45" t="str">
        <f>IF(1&gt;$V$58,"",INDEX(ICE!$F$21:$F$71,$U$58+1-1))</f>
        <v/>
      </c>
      <c r="P89" s="53" t="str">
        <f>IF(1&gt;$V$58,"",INDEX(ICE!$I$21:$I$71,$U$58+1-1))</f>
        <v>Sem dados</v>
      </c>
    </row>
    <row r="90" spans="1:16" x14ac:dyDescent="0.35">
      <c r="H90" s="121" t="str">
        <f>IF(2&gt;$V$58,"",INDEX(Dados!$D$5:$D$55,$U$58+2-1))</f>
        <v>Taxa de cobertura da 4.ª consulta pré-natal</v>
      </c>
      <c r="I90" s="121"/>
      <c r="J90" s="121"/>
      <c r="K90" s="121"/>
      <c r="L90" s="54" t="str">
        <f>IF(2&gt;$V$58,"",INDEX(Dados!$E$5:$E$55,$U$58+2-1))</f>
        <v>%</v>
      </c>
      <c r="M90" s="55">
        <f>IF(2&gt;$V$58,"",IF(INDEX(Dados!$K$5:$K$55,$U$58+2-1)="","—",INDEX(Dados!$K$5:$K$55,$U$58+2-1)))</f>
        <v>60</v>
      </c>
      <c r="N90" s="55">
        <f>IF(2&gt;$V$58,"",IF(INDEX(Dados!$P$5:$P$55,$U$58+2-1)="","—",INDEX(Dados!$P$5:$P$55,$U$58+2-1)))</f>
        <v>56</v>
      </c>
      <c r="O90" s="56">
        <f>IF(2&gt;$V$58,"",INDEX(ICE!$F$21:$F$71,$U$58+2-1))</f>
        <v>1</v>
      </c>
      <c r="P90" s="57" t="str">
        <f>IF(2&gt;$V$58,"",INDEX(ICE!$I$21:$I$71,$U$58+2-1))</f>
        <v>≥100%</v>
      </c>
    </row>
    <row r="91" spans="1:16" x14ac:dyDescent="0.35">
      <c r="H91" s="120" t="str">
        <f>IF(3&gt;$V$58,"",INDEX(Dados!$D$5:$D$55,$U$58+3-1))</f>
        <v>Taxa de imunização BCG</v>
      </c>
      <c r="I91" s="120"/>
      <c r="J91" s="120"/>
      <c r="K91" s="120"/>
      <c r="L91" s="43" t="str">
        <f>IF(3&gt;$V$58,"",INDEX(Dados!$E$5:$E$55,$U$58+3-1))</f>
        <v>%</v>
      </c>
      <c r="M91" s="52">
        <f>IF(3&gt;$V$58,"",IF(INDEX(Dados!$K$5:$K$55,$U$58+3-1)="","—",INDEX(Dados!$K$5:$K$55,$U$58+3-1)))</f>
        <v>78</v>
      </c>
      <c r="N91" s="52">
        <f>IF(3&gt;$V$58,"",IF(INDEX(Dados!$P$5:$P$55,$U$58+3-1)="","—",INDEX(Dados!$P$5:$P$55,$U$58+3-1)))</f>
        <v>86</v>
      </c>
      <c r="O91" s="45">
        <f>IF(3&gt;$V$58,"",INDEX(ICE!$F$21:$F$71,$U$58+3-1))</f>
        <v>0.90697674418604646</v>
      </c>
      <c r="P91" s="53" t="str">
        <f>IF(3&gt;$V$58,"",INDEX(ICE!$I$21:$I$71,$U$58+3-1))</f>
        <v>75–100%</v>
      </c>
    </row>
    <row r="92" spans="1:16" x14ac:dyDescent="0.35">
      <c r="H92" s="121" t="str">
        <f>IF(4&gt;$V$58,"",INDEX(Dados!$D$5:$D$55,$U$58+4-1))</f>
        <v>Taxa de vacinação contra o sarampo</v>
      </c>
      <c r="I92" s="121"/>
      <c r="J92" s="121"/>
      <c r="K92" s="121"/>
      <c r="L92" s="54" t="str">
        <f>IF(4&gt;$V$58,"",INDEX(Dados!$E$5:$E$55,$U$58+4-1))</f>
        <v>%</v>
      </c>
      <c r="M92" s="55">
        <f>IF(4&gt;$V$58,"",IF(INDEX(Dados!$K$5:$K$55,$U$58+4-1)="","—",INDEX(Dados!$K$5:$K$55,$U$58+4-1)))</f>
        <v>76</v>
      </c>
      <c r="N92" s="55">
        <f>IF(4&gt;$V$58,"",IF(INDEX(Dados!$P$5:$P$55,$U$58+4-1)="","—",INDEX(Dados!$P$5:$P$55,$U$58+4-1)))</f>
        <v>80</v>
      </c>
      <c r="O92" s="56">
        <f>IF(4&gt;$V$58,"",INDEX(ICE!$F$21:$F$71,$U$58+4-1))</f>
        <v>0.95</v>
      </c>
      <c r="P92" s="57" t="str">
        <f>IF(4&gt;$V$58,"",INDEX(ICE!$I$21:$I$71,$U$58+4-1))</f>
        <v>75–100%</v>
      </c>
    </row>
    <row r="93" spans="1:16" ht="20" x14ac:dyDescent="0.35">
      <c r="H93" s="120" t="str">
        <f>IF(5&gt;$V$58,"",INDEX(Dados!$D$5:$D$55,$U$58+5-1))</f>
        <v>Taxa de incidência da malária</v>
      </c>
      <c r="I93" s="120"/>
      <c r="J93" s="120"/>
      <c r="K93" s="120"/>
      <c r="L93" s="43" t="str">
        <f>IF(5&gt;$V$58,"",INDEX(Dados!$E$5:$E$55,$U$58+5-1))</f>
        <v>Por 1 000 habitantes</v>
      </c>
      <c r="M93" s="52">
        <f>IF(5&gt;$V$58,"",IF(INDEX(Dados!$K$5:$K$55,$U$58+5-1)="","—",INDEX(Dados!$K$5:$K$55,$U$58+5-1)))</f>
        <v>298</v>
      </c>
      <c r="N93" s="52">
        <f>IF(5&gt;$V$58,"",IF(INDEX(Dados!$P$5:$P$55,$U$58+5-1)="","—",INDEX(Dados!$P$5:$P$55,$U$58+5-1)))</f>
        <v>215</v>
      </c>
      <c r="O93" s="45">
        <f>IF(5&gt;$V$58,"",INDEX(ICE!$F$21:$F$71,$U$58+5-1))</f>
        <v>0.72147651006711411</v>
      </c>
      <c r="P93" s="53" t="str">
        <f>IF(5&gt;$V$58,"",INDEX(ICE!$I$21:$I$71,$U$58+5-1))</f>
        <v>50–75%</v>
      </c>
    </row>
    <row r="94" spans="1:16" x14ac:dyDescent="0.35">
      <c r="H94" s="121" t="str">
        <f>IF(6&gt;$V$58,"",INDEX(Dados!$D$5:$D$55,$U$58+6-1))</f>
        <v>Taxa de sucesso do tratamento para a tuberculose</v>
      </c>
      <c r="I94" s="121"/>
      <c r="J94" s="121"/>
      <c r="K94" s="121"/>
      <c r="L94" s="54" t="str">
        <f>IF(6&gt;$V$58,"",INDEX(Dados!$E$5:$E$55,$U$58+6-1))</f>
        <v>%</v>
      </c>
      <c r="M94" s="55">
        <f>IF(6&gt;$V$58,"",IF(INDEX(Dados!$K$5:$K$55,$U$58+6-1)="","—",INDEX(Dados!$K$5:$K$55,$U$58+6-1)))</f>
        <v>91</v>
      </c>
      <c r="N94" s="55">
        <f>IF(6&gt;$V$58,"",IF(INDEX(Dados!$P$5:$P$55,$U$58+6-1)="","—",INDEX(Dados!$P$5:$P$55,$U$58+6-1)))</f>
        <v>76</v>
      </c>
      <c r="O94" s="56">
        <f>IF(6&gt;$V$58,"",INDEX(ICE!$F$21:$F$71,$U$58+6-1))</f>
        <v>1</v>
      </c>
      <c r="P94" s="57" t="str">
        <f>IF(6&gt;$V$58,"",INDEX(ICE!$I$21:$I$71,$U$58+6-1))</f>
        <v>≥100%</v>
      </c>
    </row>
    <row r="95" spans="1:16" x14ac:dyDescent="0.35">
      <c r="H95" s="120" t="str">
        <f>IF(7&gt;$V$58,"",INDEX(Dados!$D$5:$D$55,$U$58+7-1))</f>
        <v>Partos institucionais realizados por profissionais qualificados</v>
      </c>
      <c r="I95" s="120"/>
      <c r="J95" s="120"/>
      <c r="K95" s="120"/>
      <c r="L95" s="43" t="str">
        <f>IF(7&gt;$V$58,"",INDEX(Dados!$E$5:$E$55,$U$58+7-1))</f>
        <v>%</v>
      </c>
      <c r="M95" s="52">
        <f>IF(7&gt;$V$58,"",IF(INDEX(Dados!$K$5:$K$55,$U$58+7-1)="","—",INDEX(Dados!$K$5:$K$55,$U$58+7-1)))</f>
        <v>64</v>
      </c>
      <c r="N95" s="52">
        <f>IF(7&gt;$V$58,"",IF(INDEX(Dados!$P$5:$P$55,$U$58+7-1)="","—",INDEX(Dados!$P$5:$P$55,$U$58+7-1)))</f>
        <v>56</v>
      </c>
      <c r="O95" s="45">
        <f>IF(7&gt;$V$58,"",INDEX(ICE!$F$21:$F$71,$U$58+7-1))</f>
        <v>1</v>
      </c>
      <c r="P95" s="53" t="str">
        <f>IF(7&gt;$V$58,"",INDEX(ICE!$I$21:$I$71,$U$58+7-1))</f>
        <v>≥100%</v>
      </c>
    </row>
    <row r="96" spans="1:16" x14ac:dyDescent="0.35">
      <c r="H96" s="121" t="str">
        <f>IF(8&gt;$V$58,"",INDEX(Dados!$D$5:$D$55,$U$58+8-1))</f>
        <v/>
      </c>
      <c r="I96" s="121"/>
      <c r="J96" s="121"/>
      <c r="K96" s="121"/>
      <c r="L96" s="54" t="str">
        <f>IF(8&gt;$V$58,"",INDEX(Dados!$E$5:$E$55,$U$58+8-1))</f>
        <v/>
      </c>
      <c r="M96" s="55" t="str">
        <f>IF(8&gt;$V$58,"",IF(INDEX(Dados!$K$5:$K$55,$U$58+8-1)="","—",INDEX(Dados!$K$5:$K$55,$U$58+8-1)))</f>
        <v/>
      </c>
      <c r="N96" s="55" t="str">
        <f>IF(8&gt;$V$58,"",IF(INDEX(Dados!$P$5:$P$55,$U$58+8-1)="","—",INDEX(Dados!$P$5:$P$55,$U$58+8-1)))</f>
        <v/>
      </c>
      <c r="O96" s="56" t="str">
        <f>IF(8&gt;$V$58,"",INDEX(ICE!$F$21:$F$71,$U$58+8-1))</f>
        <v/>
      </c>
      <c r="P96" s="57" t="str">
        <f>IF(8&gt;$V$58,"",INDEX(ICE!$I$21:$I$71,$U$58+8-1))</f>
        <v/>
      </c>
    </row>
    <row r="97" spans="1:16" x14ac:dyDescent="0.35">
      <c r="H97" s="120" t="str">
        <f>IF(9&gt;$V$58,"",INDEX(Dados!$D$5:$D$55,$U$58+9-1))</f>
        <v/>
      </c>
      <c r="I97" s="120"/>
      <c r="J97" s="120"/>
      <c r="K97" s="120"/>
      <c r="L97" s="43" t="str">
        <f>IF(9&gt;$V$58,"",INDEX(Dados!$E$5:$E$55,$U$58+9-1))</f>
        <v/>
      </c>
      <c r="M97" s="52" t="str">
        <f>IF(9&gt;$V$58,"",IF(INDEX(Dados!$K$5:$K$55,$U$58+9-1)="","—",INDEX(Dados!$K$5:$K$55,$U$58+9-1)))</f>
        <v/>
      </c>
      <c r="N97" s="52" t="str">
        <f>IF(9&gt;$V$58,"",IF(INDEX(Dados!$P$5:$P$55,$U$58+9-1)="","—",INDEX(Dados!$P$5:$P$55,$U$58+9-1)))</f>
        <v/>
      </c>
      <c r="O97" s="45" t="str">
        <f>IF(9&gt;$V$58,"",INDEX(ICE!$F$21:$F$71,$U$58+9-1))</f>
        <v/>
      </c>
      <c r="P97" s="53" t="str">
        <f>IF(9&gt;$V$58,"",INDEX(ICE!$I$21:$I$71,$U$58+9-1))</f>
        <v/>
      </c>
    </row>
    <row r="98" spans="1:16" x14ac:dyDescent="0.35">
      <c r="H98" s="121" t="str">
        <f>IF(10&gt;$V$58,"",INDEX(Dados!$D$5:$D$55,$U$58+10-1))</f>
        <v/>
      </c>
      <c r="I98" s="121"/>
      <c r="J98" s="121"/>
      <c r="K98" s="121"/>
      <c r="L98" s="54" t="str">
        <f>IF(10&gt;$V$58,"",INDEX(Dados!$E$5:$E$55,$U$58+10-1))</f>
        <v/>
      </c>
      <c r="M98" s="55" t="str">
        <f>IF(10&gt;$V$58,"",IF(INDEX(Dados!$K$5:$K$55,$U$58+10-1)="","—",INDEX(Dados!$K$5:$K$55,$U$58+10-1)))</f>
        <v/>
      </c>
      <c r="N98" s="55" t="str">
        <f>IF(10&gt;$V$58,"",IF(INDEX(Dados!$P$5:$P$55,$U$58+10-1)="","—",INDEX(Dados!$P$5:$P$55,$U$58+10-1)))</f>
        <v/>
      </c>
      <c r="O98" s="56" t="str">
        <f>IF(10&gt;$V$58,"",INDEX(ICE!$F$21:$F$71,$U$58+10-1))</f>
        <v/>
      </c>
      <c r="P98" s="57" t="str">
        <f>IF(10&gt;$V$58,"",INDEX(ICE!$I$21:$I$71,$U$58+10-1))</f>
        <v/>
      </c>
    </row>
    <row r="99" spans="1:16" x14ac:dyDescent="0.35">
      <c r="H99" s="120" t="str">
        <f>IF(11&gt;$V$58,"",INDEX(Dados!$D$5:$D$55,$U$58+11-1))</f>
        <v/>
      </c>
      <c r="I99" s="120"/>
      <c r="J99" s="120"/>
      <c r="K99" s="120"/>
      <c r="L99" s="43" t="str">
        <f>IF(11&gt;$V$58,"",INDEX(Dados!$E$5:$E$55,$U$58+11-1))</f>
        <v/>
      </c>
      <c r="M99" s="52" t="str">
        <f>IF(11&gt;$V$58,"",IF(INDEX(Dados!$K$5:$K$55,$U$58+11-1)="","—",INDEX(Dados!$K$5:$K$55,$U$58+11-1)))</f>
        <v/>
      </c>
      <c r="N99" s="52" t="str">
        <f>IF(11&gt;$V$58,"",IF(INDEX(Dados!$P$5:$P$55,$U$58+11-1)="","—",INDEX(Dados!$P$5:$P$55,$U$58+11-1)))</f>
        <v/>
      </c>
      <c r="O99" s="45" t="str">
        <f>IF(11&gt;$V$58,"",INDEX(ICE!$F$21:$F$71,$U$58+11-1))</f>
        <v/>
      </c>
      <c r="P99" s="53" t="str">
        <f>IF(11&gt;$V$58,"",INDEX(ICE!$I$21:$I$71,$U$58+11-1))</f>
        <v/>
      </c>
    </row>
    <row r="100" spans="1:16" x14ac:dyDescent="0.35">
      <c r="H100" s="121" t="str">
        <f>IF(12&gt;$V$58,"",INDEX(Dados!$D$5:$D$55,$U$58+12-1))</f>
        <v/>
      </c>
      <c r="I100" s="121"/>
      <c r="J100" s="121"/>
      <c r="K100" s="121"/>
      <c r="L100" s="54" t="str">
        <f>IF(12&gt;$V$58,"",INDEX(Dados!$E$5:$E$55,$U$58+12-1))</f>
        <v/>
      </c>
      <c r="M100" s="55" t="str">
        <f>IF(12&gt;$V$58,"",IF(INDEX(Dados!$K$5:$K$55,$U$58+12-1)="","—",INDEX(Dados!$K$5:$K$55,$U$58+12-1)))</f>
        <v/>
      </c>
      <c r="N100" s="55" t="str">
        <f>IF(12&gt;$V$58,"",IF(INDEX(Dados!$P$5:$P$55,$U$58+12-1)="","—",INDEX(Dados!$P$5:$P$55,$U$58+12-1)))</f>
        <v/>
      </c>
      <c r="O100" s="56" t="str">
        <f>IF(12&gt;$V$58,"",INDEX(ICE!$F$21:$F$71,$U$58+12-1))</f>
        <v/>
      </c>
      <c r="P100" s="57" t="str">
        <f>IF(12&gt;$V$58,"",INDEX(ICE!$I$21:$I$71,$U$58+12-1))</f>
        <v/>
      </c>
    </row>
    <row r="101" spans="1:16" x14ac:dyDescent="0.35">
      <c r="H101" s="120" t="str">
        <f>IF(13&gt;$V$58,"",INDEX(Dados!$D$5:$D$55,$U$58+13-1))</f>
        <v/>
      </c>
      <c r="I101" s="120"/>
      <c r="J101" s="120"/>
      <c r="K101" s="120"/>
      <c r="L101" s="43" t="str">
        <f>IF(13&gt;$V$58,"",INDEX(Dados!$E$5:$E$55,$U$58+13-1))</f>
        <v/>
      </c>
      <c r="M101" s="52" t="str">
        <f>IF(13&gt;$V$58,"",IF(INDEX(Dados!$K$5:$K$55,$U$58+13-1)="","—",INDEX(Dados!$K$5:$K$55,$U$58+13-1)))</f>
        <v/>
      </c>
      <c r="N101" s="52" t="str">
        <f>IF(13&gt;$V$58,"",IF(INDEX(Dados!$P$5:$P$55,$U$58+13-1)="","—",INDEX(Dados!$P$5:$P$55,$U$58+13-1)))</f>
        <v/>
      </c>
      <c r="O101" s="45" t="str">
        <f>IF(13&gt;$V$58,"",INDEX(ICE!$F$21:$F$71,$U$58+13-1))</f>
        <v/>
      </c>
      <c r="P101" s="53" t="str">
        <f>IF(13&gt;$V$58,"",INDEX(ICE!$I$21:$I$71,$U$58+13-1))</f>
        <v/>
      </c>
    </row>
    <row r="103" spans="1:16" ht="24" customHeight="1" x14ac:dyDescent="0.35">
      <c r="A103" s="99" t="s">
        <v>108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</row>
    <row r="105" spans="1:16" x14ac:dyDescent="0.35">
      <c r="A105" s="23" t="s">
        <v>109</v>
      </c>
      <c r="I105" s="23" t="s">
        <v>110</v>
      </c>
    </row>
    <row r="106" spans="1:16" ht="15" customHeight="1" x14ac:dyDescent="0.35">
      <c r="A106" s="122" t="s">
        <v>102</v>
      </c>
      <c r="B106" s="122"/>
      <c r="C106" s="122"/>
      <c r="D106" s="122"/>
      <c r="E106" s="42" t="s">
        <v>90</v>
      </c>
      <c r="F106" s="42" t="s">
        <v>106</v>
      </c>
      <c r="I106" s="122" t="s">
        <v>102</v>
      </c>
      <c r="J106" s="122"/>
      <c r="K106" s="122"/>
      <c r="L106" s="122"/>
      <c r="M106" s="42" t="s">
        <v>90</v>
      </c>
      <c r="N106" s="42" t="s">
        <v>106</v>
      </c>
    </row>
    <row r="107" spans="1:16" ht="20" x14ac:dyDescent="0.35">
      <c r="A107" s="120" t="str">
        <f>INDEX(ICE!$B$21:$B$71,MATCH(LARGE(ICE!$J$21:$J$71,1),ICE!$J$21:$J$71,0))</f>
        <v>Unidades industriais no subsector da indústria pesqueira e de transformação de carne instaladas (cumulativo)</v>
      </c>
      <c r="B107" s="120"/>
      <c r="C107" s="120"/>
      <c r="D107" s="120"/>
      <c r="E107" s="53" t="str">
        <f>INDEX(ICE!$A$21:$A$71,MATCH(LARGE(ICE!$J$21:$J$71,1),ICE!$J$21:$J$71,0))</f>
        <v>Fomento à Produção</v>
      </c>
      <c r="F107" s="58">
        <f>INDEX(ICE!$G$21:$G$71,MATCH(LARGE(ICE!$J$21:$J$71,1),ICE!$J$21:$J$71,0))</f>
        <v>3.1</v>
      </c>
      <c r="I107" s="120" t="str">
        <f>INDEX(ICE!$B$21:$B$71,MATCH(SMALL(ICE!$J$21:$J$71,1),ICE!$J$21:$J$71,0))</f>
        <v>Equipamentos sociais construídos ou reabilitados (cumulativo)</v>
      </c>
      <c r="J107" s="120"/>
      <c r="K107" s="120"/>
      <c r="L107" s="120"/>
      <c r="M107" s="53" t="str">
        <f>INDEX(ICE!$A$21:$A$71,MATCH(SMALL(ICE!$J$21:$J$71,1),ICE!$J$21:$J$71,0))</f>
        <v>Infraestruturas</v>
      </c>
      <c r="N107" s="58">
        <f>INDEX(ICE!$G$21:$G$71,MATCH(SMALL(ICE!$J$21:$J$71,1),ICE!$J$21:$J$71,0))</f>
        <v>0.25468164794007492</v>
      </c>
    </row>
    <row r="108" spans="1:16" ht="20" x14ac:dyDescent="0.35">
      <c r="A108" s="121" t="str">
        <f>INDEX(ICE!$B$21:$B$71,MATCH(LARGE(ICE!$J$21:$J$71,2),ICE!$J$21:$J$71,0))</f>
        <v>Salas de aula do I Ciclo do Ensino Secundário (cumulativo)</v>
      </c>
      <c r="B108" s="121"/>
      <c r="C108" s="121"/>
      <c r="D108" s="121"/>
      <c r="E108" s="57" t="str">
        <f>INDEX(ICE!$A$21:$A$71,MATCH(LARGE(ICE!$J$21:$J$71,2),ICE!$J$21:$J$71,0))</f>
        <v>Educação e FP</v>
      </c>
      <c r="F108" s="59">
        <f>INDEX(ICE!$G$21:$G$71,MATCH(LARGE(ICE!$J$21:$J$71,2),ICE!$J$21:$J$71,0))</f>
        <v>3.0069998771951369</v>
      </c>
      <c r="I108" s="121" t="str">
        <f>INDEX(ICE!$B$21:$B$71,MATCH(SMALL(ICE!$J$21:$J$71,2),ICE!$J$21:$J$71,0))</f>
        <v>Pessoas integradas em actividades geradoras de renda (cumulativo)</v>
      </c>
      <c r="J108" s="121"/>
      <c r="K108" s="121"/>
      <c r="L108" s="121"/>
      <c r="M108" s="57" t="str">
        <f>INDEX(ICE!$A$21:$A$71,MATCH(SMALL(ICE!$J$21:$J$71,2),ICE!$J$21:$J$71,0))</f>
        <v>Protecção Social</v>
      </c>
      <c r="N108" s="59">
        <f>INDEX(ICE!$G$21:$G$71,MATCH(SMALL(ICE!$J$21:$J$71,2),ICE!$J$21:$J$71,0))</f>
        <v>0.39310101010101012</v>
      </c>
    </row>
    <row r="109" spans="1:16" x14ac:dyDescent="0.35">
      <c r="A109" s="120" t="str">
        <f>INDEX(ICE!$B$21:$B$71,MATCH(LARGE(ICE!$J$21:$J$71,3),ICE!$J$21:$J$71,0))</f>
        <v>Salas de aula do II Ciclo do Ensino Secundário (cumulativo)</v>
      </c>
      <c r="B109" s="120"/>
      <c r="C109" s="120"/>
      <c r="D109" s="120"/>
      <c r="E109" s="53" t="str">
        <f>INDEX(ICE!$A$21:$A$71,MATCH(LARGE(ICE!$J$21:$J$71,3),ICE!$J$21:$J$71,0))</f>
        <v>Educação e FP</v>
      </c>
      <c r="F109" s="58">
        <f>INDEX(ICE!$G$21:$G$71,MATCH(LARGE(ICE!$J$21:$J$71,3),ICE!$J$21:$J$71,0))</f>
        <v>2.1932501570774616</v>
      </c>
      <c r="I109" s="120" t="str">
        <f>INDEX(ICE!$B$21:$B$71,MATCH(SMALL(ICE!$J$21:$J$71,3),ICE!$J$21:$J$71,0))</f>
        <v>Taxa de conclusão do II Ciclo do Ensino Secundário (Ensino Geral)</v>
      </c>
      <c r="J109" s="120"/>
      <c r="K109" s="120"/>
      <c r="L109" s="120"/>
      <c r="M109" s="53" t="str">
        <f>INDEX(ICE!$A$21:$A$71,MATCH(SMALL(ICE!$J$21:$J$71,3),ICE!$J$21:$J$71,0))</f>
        <v>Educação e FP</v>
      </c>
      <c r="N109" s="58">
        <f>INDEX(ICE!$G$21:$G$71,MATCH(SMALL(ICE!$J$21:$J$71,3),ICE!$J$21:$J$71,0))</f>
        <v>0.45454545454545453</v>
      </c>
    </row>
    <row r="110" spans="1:16" ht="20" x14ac:dyDescent="0.35">
      <c r="A110" s="121" t="str">
        <f>INDEX(ICE!$B$21:$B$71,MATCH(LARGE(ICE!$J$21:$J$71,4),ICE!$J$21:$J$71,0))</f>
        <v>Número de pessoas formadas pelo SNEFP (cumulativo)</v>
      </c>
      <c r="B110" s="121"/>
      <c r="C110" s="121"/>
      <c r="D110" s="121"/>
      <c r="E110" s="57" t="str">
        <f>INDEX(ICE!$A$21:$A$71,MATCH(LARGE(ICE!$J$21:$J$71,4),ICE!$J$21:$J$71,0))</f>
        <v>Educação e FP</v>
      </c>
      <c r="F110" s="59">
        <f>INDEX(ICE!$G$21:$G$71,MATCH(LARGE(ICE!$J$21:$J$71,4),ICE!$J$21:$J$71,0))</f>
        <v>1.4844645892351276</v>
      </c>
      <c r="I110" s="121" t="str">
        <f>INDEX(ICE!$B$21:$B$71,MATCH(SMALL(ICE!$J$21:$J$71,4),ICE!$J$21:$J$71,0))</f>
        <v>Toneladas de cereais produzidas</v>
      </c>
      <c r="J110" s="121"/>
      <c r="K110" s="121"/>
      <c r="L110" s="121"/>
      <c r="M110" s="57" t="str">
        <f>INDEX(ICE!$A$21:$A$71,MATCH(SMALL(ICE!$J$21:$J$71,4),ICE!$J$21:$J$71,0))</f>
        <v>Fomento à Produção</v>
      </c>
      <c r="N110" s="59">
        <f>INDEX(ICE!$G$21:$G$71,MATCH(SMALL(ICE!$J$21:$J$71,4),ICE!$J$21:$J$71,0))</f>
        <v>0.47624866749121414</v>
      </c>
    </row>
    <row r="111" spans="1:16" ht="20" x14ac:dyDescent="0.35">
      <c r="A111" s="120" t="str">
        <f>INDEX(ICE!$B$21:$B$71,MATCH(LARGE(ICE!$J$21:$J$71,5),ICE!$J$21:$J$71,0))</f>
        <v>Famílias assistidas com cesta básica de alimentos (cumulativo)</v>
      </c>
      <c r="B111" s="120"/>
      <c r="C111" s="120"/>
      <c r="D111" s="120"/>
      <c r="E111" s="53" t="str">
        <f>INDEX(ICE!$A$21:$A$71,MATCH(LARGE(ICE!$J$21:$J$71,5),ICE!$J$21:$J$71,0))</f>
        <v>Protecção Social</v>
      </c>
      <c r="F111" s="58">
        <f>INDEX(ICE!$G$21:$G$71,MATCH(LARGE(ICE!$J$21:$J$71,5),ICE!$J$21:$J$71,0))</f>
        <v>1.2627349397590362</v>
      </c>
      <c r="I111" s="120" t="str">
        <f>INDEX(ICE!$B$21:$B$71,MATCH(SMALL(ICE!$J$21:$J$71,5),ICE!$J$21:$J$71,0))</f>
        <v>Litros de leite produzidos</v>
      </c>
      <c r="J111" s="120"/>
      <c r="K111" s="120"/>
      <c r="L111" s="120"/>
      <c r="M111" s="53" t="str">
        <f>INDEX(ICE!$A$21:$A$71,MATCH(SMALL(ICE!$J$21:$J$71,5),ICE!$J$21:$J$71,0))</f>
        <v>Fomento à Produção</v>
      </c>
      <c r="N111" s="58">
        <f>INDEX(ICE!$G$21:$G$71,MATCH(SMALL(ICE!$J$21:$J$71,5),ICE!$J$21:$J$71,0))</f>
        <v>0.5</v>
      </c>
    </row>
    <row r="113" spans="1:16" ht="15" customHeight="1" x14ac:dyDescent="0.35">
      <c r="A113" s="96" t="s">
        <v>111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</row>
    <row r="114" spans="1:16" x14ac:dyDescent="0.35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</row>
  </sheetData>
  <mergeCells count="79">
    <mergeCell ref="A111:D111"/>
    <mergeCell ref="I111:L111"/>
    <mergeCell ref="A113:P114"/>
    <mergeCell ref="A108:D108"/>
    <mergeCell ref="I108:L108"/>
    <mergeCell ref="A109:D109"/>
    <mergeCell ref="I109:L109"/>
    <mergeCell ref="A110:D110"/>
    <mergeCell ref="I110:L110"/>
    <mergeCell ref="H101:K101"/>
    <mergeCell ref="A103:P103"/>
    <mergeCell ref="A106:D106"/>
    <mergeCell ref="I106:L106"/>
    <mergeCell ref="A107:D107"/>
    <mergeCell ref="I107:L107"/>
    <mergeCell ref="H96:K96"/>
    <mergeCell ref="H97:K97"/>
    <mergeCell ref="H98:K98"/>
    <mergeCell ref="H99:K99"/>
    <mergeCell ref="H100:K100"/>
    <mergeCell ref="H91:K91"/>
    <mergeCell ref="H92:K92"/>
    <mergeCell ref="H93:K93"/>
    <mergeCell ref="H94:K94"/>
    <mergeCell ref="H95:K95"/>
    <mergeCell ref="A87:F87"/>
    <mergeCell ref="A88:F88"/>
    <mergeCell ref="H88:K88"/>
    <mergeCell ref="H89:K89"/>
    <mergeCell ref="H90:K90"/>
    <mergeCell ref="F85:G85"/>
    <mergeCell ref="H85:I85"/>
    <mergeCell ref="J85:K85"/>
    <mergeCell ref="L85:M85"/>
    <mergeCell ref="N85:O85"/>
    <mergeCell ref="A70:P70"/>
    <mergeCell ref="A82:P82"/>
    <mergeCell ref="A83:P83"/>
    <mergeCell ref="B84:D84"/>
    <mergeCell ref="F84:G84"/>
    <mergeCell ref="H84:I84"/>
    <mergeCell ref="J84:K84"/>
    <mergeCell ref="L84:M84"/>
    <mergeCell ref="N84:O84"/>
    <mergeCell ref="A51:G51"/>
    <mergeCell ref="I51:P51"/>
    <mergeCell ref="A52:G52"/>
    <mergeCell ref="I52:P52"/>
    <mergeCell ref="A69:P69"/>
    <mergeCell ref="A32:H32"/>
    <mergeCell ref="J32:P32"/>
    <mergeCell ref="A33:H33"/>
    <mergeCell ref="J33:P33"/>
    <mergeCell ref="A50:P50"/>
    <mergeCell ref="A13:H13"/>
    <mergeCell ref="J13:P13"/>
    <mergeCell ref="A14:H14"/>
    <mergeCell ref="J14:P14"/>
    <mergeCell ref="A31:P31"/>
    <mergeCell ref="A10:C10"/>
    <mergeCell ref="E10:G10"/>
    <mergeCell ref="I10:K10"/>
    <mergeCell ref="M10:O10"/>
    <mergeCell ref="A12:P12"/>
    <mergeCell ref="A7:C8"/>
    <mergeCell ref="E7:G8"/>
    <mergeCell ref="I7:K8"/>
    <mergeCell ref="M7:O8"/>
    <mergeCell ref="A9:C9"/>
    <mergeCell ref="E9:G9"/>
    <mergeCell ref="I9:K9"/>
    <mergeCell ref="M9:O9"/>
    <mergeCell ref="A1:P1"/>
    <mergeCell ref="A2:P2"/>
    <mergeCell ref="A4:P4"/>
    <mergeCell ref="A6:C6"/>
    <mergeCell ref="E6:G6"/>
    <mergeCell ref="I6:K6"/>
    <mergeCell ref="M6:O6"/>
  </mergeCells>
  <conditionalFormatting sqref="A9">
    <cfRule type="cellIs" dxfId="13" priority="4" operator="lessThan">
      <formula>0</formula>
    </cfRule>
    <cfRule type="cellIs" dxfId="12" priority="5" operator="greaterThanOrEqual">
      <formula>0</formula>
    </cfRule>
  </conditionalFormatting>
  <conditionalFormatting sqref="B73:E80">
    <cfRule type="colorScale" priority="8">
      <colorScale>
        <cfvo type="num" val="60"/>
        <cfvo type="num" val="100"/>
        <cfvo type="num" val="200"/>
        <color rgb="FFF4C6C5"/>
        <color rgb="FFF0EFEC"/>
        <color rgb="FF9EC5F4"/>
      </colorScale>
    </cfRule>
  </conditionalFormatting>
  <conditionalFormatting sqref="E7">
    <cfRule type="cellIs" dxfId="11" priority="2" operator="lessThan">
      <formula>0</formula>
    </cfRule>
    <cfRule type="cellIs" dxfId="10" priority="3" operator="greaterThanOrEqual">
      <formula>0</formula>
    </cfRule>
  </conditionalFormatting>
  <conditionalFormatting sqref="F107:F111">
    <cfRule type="dataBar" priority="15">
      <dataBar>
        <cfvo type="num" val="0"/>
        <cfvo type="num" val="3.2"/>
        <color rgb="FF2A78D6"/>
      </dataBar>
      <extLst>
        <ext xmlns:x14="http://schemas.microsoft.com/office/spreadsheetml/2009/9/main" uri="{B025F937-C7B1-47D3-B67F-A62EFF666E3E}">
          <x14:id>{4038C24F-40EF-4A8C-AD4F-90C6F82C1B1F}</x14:id>
        </ext>
      </extLst>
    </cfRule>
  </conditionalFormatting>
  <conditionalFormatting sqref="I9">
    <cfRule type="cellIs" dxfId="9" priority="6" operator="lessThan">
      <formula>0</formula>
    </cfRule>
    <cfRule type="cellIs" dxfId="8" priority="7" operator="greaterThanOrEqual">
      <formula>0</formula>
    </cfRule>
  </conditionalFormatting>
  <conditionalFormatting sqref="I73:K80">
    <cfRule type="colorScale" priority="9">
      <colorScale>
        <cfvo type="num" val="0.5"/>
        <cfvo type="num" val="0.85"/>
        <cfvo type="num" val="1"/>
        <color rgb="FFF1B0AF"/>
        <color rgb="FFF0EFEC"/>
        <color rgb="FFC9C3EF"/>
      </colorScale>
    </cfRule>
  </conditionalFormatting>
  <conditionalFormatting sqref="N107:N111">
    <cfRule type="dataBar" priority="16">
      <dataBar>
        <cfvo type="num" val="0"/>
        <cfvo type="num" val="3.2"/>
        <color rgb="FFEC835A"/>
      </dataBar>
      <extLst>
        <ext xmlns:x14="http://schemas.microsoft.com/office/spreadsheetml/2009/9/main" uri="{B025F937-C7B1-47D3-B67F-A62EFF666E3E}">
          <x14:id>{BDE029FC-8C52-45E4-8030-E8EB34B69C4E}</x14:id>
        </ext>
      </extLst>
    </cfRule>
  </conditionalFormatting>
  <conditionalFormatting sqref="O89:O101">
    <cfRule type="dataBar" priority="10">
      <dataBar>
        <cfvo type="num" val="0"/>
        <cfvo type="num" val="1"/>
        <color rgb="FF4A3AA7"/>
      </dataBar>
      <extLst>
        <ext xmlns:x14="http://schemas.microsoft.com/office/spreadsheetml/2009/9/main" uri="{B025F937-C7B1-47D3-B67F-A62EFF666E3E}">
          <x14:id>{4777314D-6162-45A8-88C4-41B953EDB7F5}</x14:id>
        </ext>
      </extLst>
    </cfRule>
  </conditionalFormatting>
  <conditionalFormatting sqref="P89:P101">
    <cfRule type="cellIs" dxfId="7" priority="11" operator="equal">
      <formula>"≥100%"</formula>
    </cfRule>
    <cfRule type="cellIs" dxfId="6" priority="12" operator="equal">
      <formula>"75–100%"</formula>
    </cfRule>
    <cfRule type="cellIs" dxfId="5" priority="13" operator="equal">
      <formula>"50–75%"</formula>
    </cfRule>
    <cfRule type="cellIs" dxfId="4" priority="14" operator="equal">
      <formula>"&lt;50%"</formula>
    </cfRule>
  </conditionalFormatting>
  <dataValidations count="1">
    <dataValidation type="list" promptTitle="Domínio" prompt="Escolha um dos 7 domínios do PDN." sqref="B84:D84" xr:uid="{00000000-0002-0000-0100-000000000000}">
      <formula1>$U$49:$U$55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38C24F-40EF-4A8C-AD4F-90C6F82C1B1F}">
            <x14:dataBar axisPosition="none">
              <x14:cfvo type="num">
                <xm:f>0</xm:f>
              </x14:cfvo>
              <x14:cfvo type="num">
                <xm:f>3.2</xm:f>
              </x14:cfvo>
              <x14:negativeFillColor rgb="FF2A78D6"/>
            </x14:dataBar>
          </x14:cfRule>
          <xm:sqref>F107:F111</xm:sqref>
        </x14:conditionalFormatting>
        <x14:conditionalFormatting xmlns:xm="http://schemas.microsoft.com/office/excel/2006/main">
          <x14:cfRule type="dataBar" id="{BDE029FC-8C52-45E4-8030-E8EB34B69C4E}">
            <x14:dataBar axisPosition="none">
              <x14:cfvo type="num">
                <xm:f>0</xm:f>
              </x14:cfvo>
              <x14:cfvo type="num">
                <xm:f>3.2</xm:f>
              </x14:cfvo>
              <x14:negativeFillColor rgb="FFEC835A"/>
            </x14:dataBar>
          </x14:cfRule>
          <xm:sqref>N107:N111</xm:sqref>
        </x14:conditionalFormatting>
        <x14:conditionalFormatting xmlns:xm="http://schemas.microsoft.com/office/excel/2006/main">
          <x14:cfRule type="dataBar" id="{4777314D-6162-45A8-88C4-41B953EDB7F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A3AA7"/>
            </x14:dataBar>
          </x14:cfRule>
          <xm:sqref>O89:O101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78D6"/>
    <pageSetUpPr fitToPage="1"/>
  </sheetPr>
  <dimension ref="A1:Y71"/>
  <sheetViews>
    <sheetView showGridLines="0" zoomScaleNormal="100" workbookViewId="0">
      <pane ySplit="5" topLeftCell="A6" activePane="bottomLeft" state="frozen"/>
      <selection pane="bottomLeft" sqref="A1:W1"/>
    </sheetView>
  </sheetViews>
  <sheetFormatPr defaultColWidth="8.6328125" defaultRowHeight="14.5" x14ac:dyDescent="0.35"/>
  <cols>
    <col min="1" max="1" width="13" customWidth="1"/>
    <col min="2" max="2" width="16" customWidth="1"/>
    <col min="3" max="3" width="44" customWidth="1"/>
    <col min="4" max="4" width="12" customWidth="1"/>
    <col min="5" max="14" width="9.54296875" customWidth="1"/>
    <col min="15" max="25" width="8" hidden="1" customWidth="1"/>
  </cols>
  <sheetData>
    <row r="1" spans="1:23" ht="30" customHeight="1" x14ac:dyDescent="0.35">
      <c r="A1" s="123" t="s">
        <v>112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</row>
    <row r="2" spans="1:23" ht="15.75" customHeight="1" x14ac:dyDescent="0.35">
      <c r="A2" s="98" t="s">
        <v>113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4" spans="1:23" ht="19.5" customHeight="1" x14ac:dyDescent="0.35">
      <c r="A4" s="60" t="s">
        <v>114</v>
      </c>
    </row>
    <row r="5" spans="1:23" ht="25.5" customHeight="1" x14ac:dyDescent="0.35">
      <c r="A5" s="61" t="s">
        <v>90</v>
      </c>
      <c r="B5" s="61" t="s">
        <v>115</v>
      </c>
      <c r="C5" s="61" t="s">
        <v>116</v>
      </c>
      <c r="D5" s="61" t="s">
        <v>117</v>
      </c>
      <c r="E5" s="61" t="s">
        <v>118</v>
      </c>
      <c r="F5" s="62"/>
      <c r="G5" s="61" t="s">
        <v>119</v>
      </c>
      <c r="H5" s="61" t="s">
        <v>116</v>
      </c>
      <c r="I5" s="61" t="s">
        <v>117</v>
      </c>
      <c r="J5" s="61" t="s">
        <v>118</v>
      </c>
      <c r="K5" s="61" t="s">
        <v>120</v>
      </c>
      <c r="L5" s="61" t="s">
        <v>121</v>
      </c>
      <c r="M5" s="62"/>
      <c r="N5" s="61" t="s">
        <v>122</v>
      </c>
    </row>
    <row r="6" spans="1:23" x14ac:dyDescent="0.35">
      <c r="A6" s="63" t="s">
        <v>74</v>
      </c>
      <c r="B6" s="64">
        <f t="shared" ref="B6:B12" si="0">EXP(SUMIFS($O$21:$O$71,$B$21:$B$71,$A6,$E$21:$E$71,"&gt;0")/COUNTIFS($B$21:$B$71,$A6,$E$21:$E$71,"&gt;0"))</f>
        <v>100.00000000000013</v>
      </c>
      <c r="C6" s="64">
        <f t="shared" ref="C6:C12" si="1">EXP(SUMIFS($P$21:$P$71,$B$21:$B$71,$A6,$F$21:$F$71,"&gt;0")/COUNTIFS($B$21:$B$71,$A6,$F$21:$F$71,"&gt;0"))</f>
        <v>117.09797540704085</v>
      </c>
      <c r="D6" s="64">
        <f t="shared" ref="D6:D12" si="2">EXP(SUMIFS($Q$21:$Q$71,$B$21:$B$71,$A6,$G$21:$G$71,"&gt;0")/COUNTIFS($B$21:$B$71,$A6,$G$21:$G$71,"&gt;0"))</f>
        <v>118.73721786599893</v>
      </c>
      <c r="E6" s="64">
        <f t="shared" ref="E6:E12" si="3">EXP(SUMIFS($R$21:$R$71,$B$21:$B$71,$A6,$H$21:$H$71,"&gt;0")/COUNTIFS($B$21:$B$71,$A6,$H$21:$H$71,"&gt;0"))</f>
        <v>124.03482749154095</v>
      </c>
      <c r="F6" s="65"/>
      <c r="G6" s="64">
        <f t="shared" ref="G6:G12" si="4">EXP(SUMIFS($S$21:$S$71,$B$21:$B$71,$A6,$I$21:$I$71,"&gt;0")/COUNTIFS($B$21:$B$71,$A6,$I$21:$I$71,"&gt;0"))</f>
        <v>100.00000000000013</v>
      </c>
      <c r="H6" s="64">
        <f t="shared" ref="H6:H12" si="5">EXP(SUMIFS($T$21:$T$71,$B$21:$B$71,$A6,$J$21:$J$71,"&gt;0")/COUNTIFS($B$21:$B$71,$A6,$J$21:$J$71,"&gt;0"))</f>
        <v>107.99741282920785</v>
      </c>
      <c r="I6" s="64">
        <f t="shared" ref="I6:I12" si="6">EXP(SUMIFS($U$21:$U$71,$B$21:$B$71,$A6,$K$21:$K$71,"&gt;0")/COUNTIFS($B$21:$B$71,$A6,$K$21:$K$71,"&gt;0"))</f>
        <v>115.82334051941419</v>
      </c>
      <c r="J6" s="64">
        <f t="shared" ref="J6:J12" si="7">EXP(SUMIFS($V$21:$V$71,$B$21:$B$71,$A6,$L$21:$L$71,"&gt;0")/COUNTIFS($B$21:$B$71,$A6,$L$21:$L$71,"&gt;0"))</f>
        <v>123.57952571671105</v>
      </c>
      <c r="K6" s="64">
        <f t="shared" ref="K6:K12" si="8">EXP(SUMIFS($W$21:$W$71,$B$21:$B$71,$A6,$M$21:$M$71,"&gt;0")/COUNTIFS($B$21:$B$71,$A6,$M$21:$M$71,"&gt;0"))</f>
        <v>131.34194603853973</v>
      </c>
      <c r="L6" s="64">
        <f t="shared" ref="L6:L12" si="9">EXP(SUMIFS($X$21:$X$71,$B$21:$B$71,$A6,$N$21:$N$71,"&gt;0")/COUNTIFS($B$21:$B$71,$A6,$N$21:$N$71,"&gt;0"))</f>
        <v>139.17450343891539</v>
      </c>
      <c r="M6" s="65"/>
      <c r="N6" s="66">
        <f t="shared" ref="N6:N13" si="10">E6-J6</f>
        <v>0.45530177482990553</v>
      </c>
    </row>
    <row r="7" spans="1:23" ht="23" x14ac:dyDescent="0.35">
      <c r="A7" s="63" t="s">
        <v>76</v>
      </c>
      <c r="B7" s="64">
        <f t="shared" si="0"/>
        <v>100.00000000000004</v>
      </c>
      <c r="C7" s="64">
        <f t="shared" si="1"/>
        <v>127.20929164529568</v>
      </c>
      <c r="D7" s="64">
        <f t="shared" si="2"/>
        <v>192.24444809039124</v>
      </c>
      <c r="E7" s="64">
        <f t="shared" si="3"/>
        <v>219.44308027157371</v>
      </c>
      <c r="F7" s="65"/>
      <c r="G7" s="64">
        <f t="shared" si="4"/>
        <v>100.00000000000004</v>
      </c>
      <c r="H7" s="64">
        <f t="shared" si="5"/>
        <v>168.63176958469288</v>
      </c>
      <c r="I7" s="64">
        <f t="shared" si="6"/>
        <v>236.86879239283621</v>
      </c>
      <c r="J7" s="64">
        <f t="shared" si="7"/>
        <v>304.98014340257356</v>
      </c>
      <c r="K7" s="64">
        <f t="shared" si="8"/>
        <v>373.03543121871121</v>
      </c>
      <c r="L7" s="64">
        <f t="shared" si="9"/>
        <v>441.06083764627476</v>
      </c>
      <c r="M7" s="65"/>
      <c r="N7" s="66">
        <f t="shared" si="10"/>
        <v>-85.537063130999854</v>
      </c>
    </row>
    <row r="8" spans="1:23" x14ac:dyDescent="0.35">
      <c r="A8" s="63" t="s">
        <v>79</v>
      </c>
      <c r="B8" s="64">
        <f t="shared" si="0"/>
        <v>100.00000000000004</v>
      </c>
      <c r="C8" s="64">
        <f t="shared" si="1"/>
        <v>107.04360482220943</v>
      </c>
      <c r="D8" s="64">
        <f t="shared" si="2"/>
        <v>111.80339887498948</v>
      </c>
      <c r="E8" s="64">
        <f t="shared" si="3"/>
        <v>134.37096247164254</v>
      </c>
      <c r="F8" s="65"/>
      <c r="G8" s="64">
        <f t="shared" si="4"/>
        <v>100.00000000000004</v>
      </c>
      <c r="H8" s="64">
        <f t="shared" si="5"/>
        <v>108.16939162235596</v>
      </c>
      <c r="I8" s="64">
        <f t="shared" si="6"/>
        <v>116.13636089092712</v>
      </c>
      <c r="J8" s="64">
        <f t="shared" si="7"/>
        <v>123.93994961718805</v>
      </c>
      <c r="K8" s="64">
        <f t="shared" si="8"/>
        <v>131.6092232874314</v>
      </c>
      <c r="L8" s="64">
        <f t="shared" si="9"/>
        <v>139.16638944305956</v>
      </c>
      <c r="M8" s="65"/>
      <c r="N8" s="66">
        <f t="shared" si="10"/>
        <v>10.431012854454494</v>
      </c>
    </row>
    <row r="9" spans="1:23" x14ac:dyDescent="0.35">
      <c r="A9" s="63" t="s">
        <v>82</v>
      </c>
      <c r="B9" s="64">
        <f t="shared" si="0"/>
        <v>100.00000000000013</v>
      </c>
      <c r="C9" s="64">
        <f t="shared" si="1"/>
        <v>106.9709249950254</v>
      </c>
      <c r="D9" s="64">
        <f t="shared" si="2"/>
        <v>116.01022289564081</v>
      </c>
      <c r="E9" s="64">
        <f t="shared" si="3"/>
        <v>126.3988651698851</v>
      </c>
      <c r="F9" s="65"/>
      <c r="G9" s="64">
        <f t="shared" si="4"/>
        <v>100.00000000000013</v>
      </c>
      <c r="H9" s="64">
        <f t="shared" si="5"/>
        <v>105.21598533687391</v>
      </c>
      <c r="I9" s="64">
        <f t="shared" si="6"/>
        <v>108.0539775348786</v>
      </c>
      <c r="J9" s="64">
        <f t="shared" si="7"/>
        <v>109.29575744132245</v>
      </c>
      <c r="K9" s="64">
        <f t="shared" si="8"/>
        <v>113.71785112077323</v>
      </c>
      <c r="L9" s="64">
        <f t="shared" si="9"/>
        <v>117.79885796703539</v>
      </c>
      <c r="M9" s="65"/>
      <c r="N9" s="66">
        <f t="shared" si="10"/>
        <v>17.103107728562648</v>
      </c>
    </row>
    <row r="10" spans="1:23" x14ac:dyDescent="0.35">
      <c r="A10" s="63" t="s">
        <v>83</v>
      </c>
      <c r="B10" s="64">
        <f t="shared" si="0"/>
        <v>100.00000000000013</v>
      </c>
      <c r="C10" s="64">
        <f t="shared" si="1"/>
        <v>102.07015214834554</v>
      </c>
      <c r="D10" s="64">
        <f t="shared" si="2"/>
        <v>107.24459792040791</v>
      </c>
      <c r="E10" s="64">
        <f t="shared" si="3"/>
        <v>101.79063304112248</v>
      </c>
      <c r="F10" s="65"/>
      <c r="G10" s="64">
        <f t="shared" si="4"/>
        <v>100.00000000000013</v>
      </c>
      <c r="H10" s="64">
        <f t="shared" si="5"/>
        <v>119.99702675405345</v>
      </c>
      <c r="I10" s="64">
        <f t="shared" si="6"/>
        <v>134.97381082847764</v>
      </c>
      <c r="J10" s="64">
        <f t="shared" si="7"/>
        <v>147.84704237801074</v>
      </c>
      <c r="K10" s="64">
        <f t="shared" si="8"/>
        <v>159.75874963574503</v>
      </c>
      <c r="L10" s="64">
        <f t="shared" si="9"/>
        <v>170.87823622566469</v>
      </c>
      <c r="M10" s="65"/>
      <c r="N10" s="66">
        <f t="shared" si="10"/>
        <v>-46.056409336888265</v>
      </c>
    </row>
    <row r="11" spans="1:23" ht="23" x14ac:dyDescent="0.35">
      <c r="A11" s="63" t="s">
        <v>84</v>
      </c>
      <c r="B11" s="64">
        <f t="shared" si="0"/>
        <v>100.00000000000013</v>
      </c>
      <c r="C11" s="64">
        <f t="shared" si="1"/>
        <v>113.04714956784322</v>
      </c>
      <c r="D11" s="64">
        <f t="shared" si="2"/>
        <v>134.20486415269028</v>
      </c>
      <c r="E11" s="64">
        <f t="shared" si="3"/>
        <v>139.70088938242088</v>
      </c>
      <c r="F11" s="65"/>
      <c r="G11" s="64">
        <f t="shared" si="4"/>
        <v>100.00000000000013</v>
      </c>
      <c r="H11" s="64">
        <f t="shared" si="5"/>
        <v>119.15029602359489</v>
      </c>
      <c r="I11" s="64">
        <f t="shared" si="6"/>
        <v>138.65580971685591</v>
      </c>
      <c r="J11" s="64">
        <f t="shared" si="7"/>
        <v>159.6211826801443</v>
      </c>
      <c r="K11" s="64">
        <f t="shared" si="8"/>
        <v>183.18246856036342</v>
      </c>
      <c r="L11" s="64">
        <f t="shared" si="9"/>
        <v>209.37192932169569</v>
      </c>
      <c r="M11" s="65"/>
      <c r="N11" s="66">
        <f t="shared" si="10"/>
        <v>-19.920293297723418</v>
      </c>
    </row>
    <row r="12" spans="1:23" x14ac:dyDescent="0.35">
      <c r="A12" s="63" t="s">
        <v>85</v>
      </c>
      <c r="B12" s="64">
        <f t="shared" si="0"/>
        <v>100.00000000000013</v>
      </c>
      <c r="C12" s="64">
        <f t="shared" si="1"/>
        <v>66.900969156263585</v>
      </c>
      <c r="D12" s="64">
        <f t="shared" si="2"/>
        <v>101.99369982162017</v>
      </c>
      <c r="E12" s="64">
        <f t="shared" si="3"/>
        <v>103.99605563656245</v>
      </c>
      <c r="F12" s="65"/>
      <c r="G12" s="64">
        <f t="shared" si="4"/>
        <v>100.00000000000004</v>
      </c>
      <c r="H12" s="64">
        <f t="shared" si="5"/>
        <v>100.83662880234692</v>
      </c>
      <c r="I12" s="64">
        <f t="shared" si="6"/>
        <v>101.22722344290379</v>
      </c>
      <c r="J12" s="64">
        <f t="shared" si="7"/>
        <v>101.22722344290389</v>
      </c>
      <c r="K12" s="64">
        <f t="shared" si="8"/>
        <v>98.136028766855603</v>
      </c>
      <c r="L12" s="64">
        <f t="shared" si="9"/>
        <v>94.72158794310397</v>
      </c>
      <c r="M12" s="65"/>
      <c r="N12" s="66">
        <f t="shared" si="10"/>
        <v>2.7688321936585538</v>
      </c>
    </row>
    <row r="13" spans="1:23" ht="39" x14ac:dyDescent="0.35">
      <c r="A13" s="67" t="s">
        <v>123</v>
      </c>
      <c r="B13" s="68">
        <f>GEOMEAN(B6:B12)</f>
        <v>100.0000000000001</v>
      </c>
      <c r="C13" s="68">
        <f>GEOMEAN(C6:C12)</f>
        <v>104.00862501333525</v>
      </c>
      <c r="D13" s="68">
        <f>GEOMEAN(D6:D12)</f>
        <v>123.3554734389252</v>
      </c>
      <c r="E13" s="68">
        <f>GEOMEAN(E6:E12)</f>
        <v>131.60202459865158</v>
      </c>
      <c r="F13" s="65"/>
      <c r="G13" s="68">
        <f t="shared" ref="G13:L13" si="11">GEOMEAN(G6:G12)</f>
        <v>100.00000000000009</v>
      </c>
      <c r="H13" s="68">
        <f t="shared" si="11"/>
        <v>116.92773624079591</v>
      </c>
      <c r="I13" s="68">
        <f t="shared" si="11"/>
        <v>130.72015202884788</v>
      </c>
      <c r="J13" s="68">
        <f t="shared" si="11"/>
        <v>142.94737055475335</v>
      </c>
      <c r="K13" s="68">
        <f t="shared" si="11"/>
        <v>154.5480923003453</v>
      </c>
      <c r="L13" s="68">
        <f t="shared" si="11"/>
        <v>165.56543906704172</v>
      </c>
      <c r="M13" s="65"/>
      <c r="N13" s="69">
        <f t="shared" si="10"/>
        <v>-11.345345956101767</v>
      </c>
    </row>
    <row r="14" spans="1:23" ht="30" x14ac:dyDescent="0.35">
      <c r="A14" s="70" t="s">
        <v>124</v>
      </c>
      <c r="B14" s="64">
        <f>GEOMEAN(B6:B8,B10:B12,B16)</f>
        <v>100.0000000000001</v>
      </c>
      <c r="C14" s="64">
        <f>GEOMEAN(C6:C8,C10:C12,C16)</f>
        <v>103.96446786858701</v>
      </c>
      <c r="D14" s="64">
        <f>GEOMEAN(D6:D8,D10:D12,D16)</f>
        <v>123.3554734389252</v>
      </c>
      <c r="E14" s="64">
        <f>GEOMEAN(E6:E8,E10:E12,E16)</f>
        <v>131.60202459865158</v>
      </c>
      <c r="F14" s="65"/>
      <c r="G14" s="65"/>
      <c r="H14" s="65"/>
      <c r="I14" s="65"/>
      <c r="J14" s="65"/>
      <c r="K14" s="65"/>
      <c r="L14" s="65"/>
      <c r="M14" s="65"/>
      <c r="N14" s="71"/>
    </row>
    <row r="15" spans="1:23" ht="15" customHeight="1" x14ac:dyDescent="0.35">
      <c r="A15" s="124" t="s">
        <v>125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</row>
    <row r="16" spans="1:23" ht="30" hidden="1" x14ac:dyDescent="0.35">
      <c r="A16" s="72" t="s">
        <v>126</v>
      </c>
      <c r="B16" s="64">
        <f>EXP(SUMIFS($O$21:$O$71,$B$21:$B$71,$A$9,$E$21:$E$71,"&gt;0",$Y$21:$Y$71,1)/COUNTIFS($B$21:$B$71,$A$9,$E$21:$E$71,"&gt;0",$Y$21:$Y$71,1))</f>
        <v>100.00000000000013</v>
      </c>
      <c r="C16" s="64">
        <f>EXP(SUMIFS($P$21:$P$71,$B$21:$B$71,$A$9,$F$21:$F$71,"&gt;0",$Y$21:$Y$71,1)/COUNTIFS($B$21:$B$71,$A$9,$F$21:$F$71,"&gt;0",$Y$21:$Y$71,1))</f>
        <v>106.6534260282755</v>
      </c>
      <c r="D16" s="64">
        <f>EXP(SUMIFS($Q$21:$Q$71,$B$21:$B$71,$A$9,$G$21:$G$71,"&gt;0",$Y$21:$Y$71,1)/COUNTIFS($B$21:$B$71,$A$9,$G$21:$G$71,"&gt;0",$Y$21:$Y$71,1))</f>
        <v>116.01022289564081</v>
      </c>
      <c r="E16" s="64">
        <f>EXP(SUMIFS($R$21:$R$71,$B$21:$B$71,$A$9,$H$21:$H$71,"&gt;0",$Y$21:$Y$71,1)/COUNTIFS($B$21:$B$71,$A$9,$H$21:$H$71,"&gt;0",$Y$21:$Y$71,1))</f>
        <v>126.3988651698851</v>
      </c>
      <c r="F16" s="65"/>
      <c r="G16" s="65"/>
      <c r="H16" s="65"/>
      <c r="I16" s="65"/>
      <c r="J16" s="65"/>
      <c r="K16" s="65"/>
      <c r="L16" s="65"/>
      <c r="M16" s="65"/>
      <c r="N16" s="71"/>
    </row>
    <row r="19" spans="1:25" x14ac:dyDescent="0.35">
      <c r="A19" s="60" t="s">
        <v>127</v>
      </c>
    </row>
    <row r="20" spans="1:25" ht="24" customHeight="1" x14ac:dyDescent="0.35">
      <c r="A20" s="42" t="s">
        <v>128</v>
      </c>
      <c r="B20" s="42" t="s">
        <v>90</v>
      </c>
      <c r="C20" s="42" t="s">
        <v>102</v>
      </c>
      <c r="D20" s="42" t="s">
        <v>129</v>
      </c>
      <c r="E20" s="42" t="s">
        <v>130</v>
      </c>
      <c r="F20" s="42" t="s">
        <v>131</v>
      </c>
      <c r="G20" s="42" t="s">
        <v>132</v>
      </c>
      <c r="H20" s="42" t="s">
        <v>104</v>
      </c>
      <c r="I20" s="42" t="s">
        <v>133</v>
      </c>
      <c r="J20" s="42" t="s">
        <v>134</v>
      </c>
      <c r="K20" s="42" t="s">
        <v>135</v>
      </c>
      <c r="L20" s="42" t="s">
        <v>105</v>
      </c>
      <c r="M20" s="42" t="s">
        <v>136</v>
      </c>
      <c r="N20" s="42" t="s">
        <v>137</v>
      </c>
      <c r="O20" s="73" t="s">
        <v>138</v>
      </c>
      <c r="P20" s="73" t="s">
        <v>139</v>
      </c>
      <c r="Q20" s="73" t="s">
        <v>140</v>
      </c>
      <c r="R20" s="73" t="s">
        <v>141</v>
      </c>
      <c r="S20" s="73" t="s">
        <v>142</v>
      </c>
      <c r="T20" s="73" t="s">
        <v>143</v>
      </c>
      <c r="U20" s="73" t="s">
        <v>144</v>
      </c>
      <c r="V20" s="73" t="s">
        <v>145</v>
      </c>
      <c r="W20" s="73" t="s">
        <v>146</v>
      </c>
      <c r="X20" s="73" t="s">
        <v>147</v>
      </c>
      <c r="Y20" s="73" t="s">
        <v>148</v>
      </c>
    </row>
    <row r="21" spans="1:25" x14ac:dyDescent="0.35">
      <c r="A21" s="74" t="s">
        <v>149</v>
      </c>
      <c r="B21" s="75" t="str">
        <f>Dados!C5</f>
        <v>Saúde</v>
      </c>
      <c r="C21" s="75" t="str">
        <f>Dados!D5</f>
        <v>Novas Camas em Hospitais (Cumulativo)</v>
      </c>
      <c r="D21" s="75" t="str">
        <f>Dados!F5</f>
        <v>Maior é melhor</v>
      </c>
      <c r="E21" s="44">
        <f>IF(OR(Dados!H5="",Dados!$H5=""),"",IF(Dados!$F5="Menor é melhor",100*Dados!$H5/Dados!H5,100*Dados!H5/Dados!$H5))</f>
        <v>100</v>
      </c>
      <c r="F21" s="44">
        <f>IF(OR(Dados!I5="",Dados!$H5=""),"",IF(Dados!$F5="Menor é melhor",100*Dados!$H5/Dados!I5,100*Dados!I5/Dados!$H5))</f>
        <v>109.77142857142857</v>
      </c>
      <c r="G21" s="44">
        <f>IF(OR(Dados!J5="",Dados!$H5=""),"",IF(Dados!$F5="Menor é melhor",100*Dados!$H5/Dados!J5,100*Dados!J5/Dados!$H5))</f>
        <v>133.6952380952381</v>
      </c>
      <c r="H21" s="44">
        <f>IF(OR(Dados!K5="",Dados!$H5=""),"",IF(Dados!$F5="Menor é melhor",100*Dados!$H5/Dados!K5,100*Dados!K5/Dados!$H5))</f>
        <v>139.12380952380951</v>
      </c>
      <c r="I21" s="44" t="str">
        <f>IF(OR(Dados!M5="",Dados!$H5=""),"",IF(Dados!$F5="Menor é melhor",100*Dados!$H5/Dados!M5,100*Dados!M5/Dados!$H5))</f>
        <v/>
      </c>
      <c r="J21" s="44" t="str">
        <f>IF(OR(Dados!N5="",Dados!$H5=""),"",IF(Dados!$F5="Menor é melhor",100*Dados!$H5/Dados!N5,100*Dados!N5/Dados!$H5))</f>
        <v/>
      </c>
      <c r="K21" s="44" t="str">
        <f>IF(OR(Dados!O5="",Dados!$H5=""),"",IF(Dados!$F5="Menor é melhor",100*Dados!$H5/Dados!O5,100*Dados!O5/Dados!$H5))</f>
        <v/>
      </c>
      <c r="L21" s="44" t="str">
        <f>IF(OR(Dados!P5="",Dados!$H5=""),"",IF(Dados!$F5="Menor é melhor",100*Dados!$H5/Dados!P5,100*Dados!P5/Dados!$H5))</f>
        <v/>
      </c>
      <c r="M21" s="44" t="str">
        <f>IF(OR(Dados!Q5="",Dados!$H5=""),"",IF(Dados!$F5="Menor é melhor",100*Dados!$H5/Dados!Q5,100*Dados!Q5/Dados!$H5))</f>
        <v/>
      </c>
      <c r="N21" s="44" t="str">
        <f>IF(OR(Dados!R5="",Dados!$H5=""),"",IF(Dados!$F5="Menor é melhor",100*Dados!$H5/Dados!R5,100*Dados!R5/Dados!$H5))</f>
        <v/>
      </c>
      <c r="O21" s="44">
        <f t="shared" ref="O21:O52" si="12">IF(ISNUMBER(E21),LN(E21),"")</f>
        <v>4.6051701859880918</v>
      </c>
      <c r="P21" s="44">
        <f t="shared" ref="P21:P52" si="13">IF(ISNUMBER(F21),LN(F21),"")</f>
        <v>4.6984002818390884</v>
      </c>
      <c r="Q21" s="44">
        <f t="shared" ref="Q21:Q52" si="14">IF(ISNUMBER(G21),LN(G21),"")</f>
        <v>4.8955628671328437</v>
      </c>
      <c r="R21" s="44">
        <f t="shared" ref="R21:R52" si="15">IF(ISNUMBER(H21),LN(H21),"")</f>
        <v>4.9353642526772266</v>
      </c>
      <c r="S21" s="44" t="str">
        <f t="shared" ref="S21:S52" si="16">IF(ISNUMBER(I21),LN(I21),"")</f>
        <v/>
      </c>
      <c r="T21" s="44" t="str">
        <f t="shared" ref="T21:T52" si="17">IF(ISNUMBER(J21),LN(J21),"")</f>
        <v/>
      </c>
      <c r="U21" s="44" t="str">
        <f t="shared" ref="U21:U52" si="18">IF(ISNUMBER(K21),LN(K21),"")</f>
        <v/>
      </c>
      <c r="V21" s="44" t="str">
        <f t="shared" ref="V21:V52" si="19">IF(ISNUMBER(L21),LN(L21),"")</f>
        <v/>
      </c>
      <c r="W21" s="44" t="str">
        <f t="shared" ref="W21:W52" si="20">IF(ISNUMBER(M21),LN(M21),"")</f>
        <v/>
      </c>
      <c r="X21" s="44" t="str">
        <f t="shared" ref="X21:X52" si="21">IF(ISNUMBER(N21),LN(N21),"")</f>
        <v/>
      </c>
      <c r="Y21" s="44">
        <f>Dados!U5</f>
        <v>1</v>
      </c>
    </row>
    <row r="22" spans="1:25" x14ac:dyDescent="0.35">
      <c r="A22" s="76" t="s">
        <v>150</v>
      </c>
      <c r="B22" s="77" t="str">
        <f>Dados!C6</f>
        <v>Saúde</v>
      </c>
      <c r="C22" s="77" t="str">
        <f>Dados!D6</f>
        <v>Taxa de cobertura da 4.ª consulta pré-natal</v>
      </c>
      <c r="D22" s="77" t="str">
        <f>Dados!F6</f>
        <v>Maior é melhor</v>
      </c>
      <c r="E22" s="78">
        <f>IF(OR(Dados!H6="",Dados!$H6=""),"",IF(Dados!$F6="Menor é melhor",100*Dados!$H6/Dados!H6,100*Dados!H6/Dados!$H6))</f>
        <v>100</v>
      </c>
      <c r="F22" s="78">
        <f>IF(OR(Dados!I6="",Dados!$H6=""),"",IF(Dados!$F6="Menor é melhor",100*Dados!$H6/Dados!I6,100*Dados!I6/Dados!$H6))</f>
        <v>159.09090909090909</v>
      </c>
      <c r="G22" s="78">
        <f>IF(OR(Dados!J6="",Dados!$H6=""),"",IF(Dados!$F6="Menor é melhor",100*Dados!$H6/Dados!J6,100*Dados!J6/Dados!$H6))</f>
        <v>170.45454545454547</v>
      </c>
      <c r="H22" s="78">
        <f>IF(OR(Dados!K6="",Dados!$H6=""),"",IF(Dados!$F6="Menor é melhor",100*Dados!$H6/Dados!K6,100*Dados!K6/Dados!$H6))</f>
        <v>136.36363636363637</v>
      </c>
      <c r="I22" s="78">
        <f>IF(OR(Dados!M6="",Dados!$H6=""),"",IF(Dados!$F6="Menor é melhor",100*Dados!$H6/Dados!M6,100*Dados!M6/Dados!$H6))</f>
        <v>100</v>
      </c>
      <c r="J22" s="78">
        <f>IF(OR(Dados!N6="",Dados!$H6=""),"",IF(Dados!$F6="Menor é melhor",100*Dados!$H6/Dados!N6,100*Dados!N6/Dados!$H6))</f>
        <v>109.09090909090909</v>
      </c>
      <c r="K22" s="78">
        <f>IF(OR(Dados!O6="",Dados!$H6=""),"",IF(Dados!$F6="Menor é melhor",100*Dados!$H6/Dados!O6,100*Dados!O6/Dados!$H6))</f>
        <v>118.18181818181819</v>
      </c>
      <c r="L22" s="78">
        <f>IF(OR(Dados!P6="",Dados!$H6=""),"",IF(Dados!$F6="Menor é melhor",100*Dados!$H6/Dados!P6,100*Dados!P6/Dados!$H6))</f>
        <v>127.27272727272727</v>
      </c>
      <c r="M22" s="78">
        <f>IF(OR(Dados!Q6="",Dados!$H6=""),"",IF(Dados!$F6="Menor é melhor",100*Dados!$H6/Dados!Q6,100*Dados!Q6/Dados!$H6))</f>
        <v>136.36363636363637</v>
      </c>
      <c r="N22" s="78">
        <f>IF(OR(Dados!R6="",Dados!$H6=""),"",IF(Dados!$F6="Menor é melhor",100*Dados!$H6/Dados!R6,100*Dados!R6/Dados!$H6))</f>
        <v>145.45454545454547</v>
      </c>
      <c r="O22" s="78">
        <f t="shared" si="12"/>
        <v>4.6051701859880918</v>
      </c>
      <c r="P22" s="78">
        <f t="shared" si="13"/>
        <v>5.0694757941191888</v>
      </c>
      <c r="Q22" s="78">
        <f t="shared" si="14"/>
        <v>5.1384686656061405</v>
      </c>
      <c r="R22" s="78">
        <f t="shared" si="15"/>
        <v>4.9153251142919308</v>
      </c>
      <c r="S22" s="78">
        <f t="shared" si="16"/>
        <v>4.6051701859880918</v>
      </c>
      <c r="T22" s="78">
        <f t="shared" si="17"/>
        <v>4.692181562977721</v>
      </c>
      <c r="U22" s="78">
        <f t="shared" si="18"/>
        <v>4.7722242706512574</v>
      </c>
      <c r="V22" s="78">
        <f t="shared" si="19"/>
        <v>4.8463322428049791</v>
      </c>
      <c r="W22" s="78">
        <f t="shared" si="20"/>
        <v>4.9153251142919308</v>
      </c>
      <c r="X22" s="78">
        <f t="shared" si="21"/>
        <v>4.9798636354295018</v>
      </c>
      <c r="Y22" s="78">
        <f>Dados!U6</f>
        <v>1</v>
      </c>
    </row>
    <row r="23" spans="1:25" x14ac:dyDescent="0.35">
      <c r="A23" s="74" t="s">
        <v>151</v>
      </c>
      <c r="B23" s="75" t="str">
        <f>Dados!C7</f>
        <v>Saúde</v>
      </c>
      <c r="C23" s="75" t="str">
        <f>Dados!D7</f>
        <v>Taxa de imunização BCG</v>
      </c>
      <c r="D23" s="75" t="str">
        <f>Dados!F7</f>
        <v>Maior é melhor</v>
      </c>
      <c r="E23" s="44">
        <f>IF(OR(Dados!H7="",Dados!$H7=""),"",IF(Dados!$F7="Menor é melhor",100*Dados!$H7/Dados!H7,100*Dados!H7/Dados!$H7))</f>
        <v>100</v>
      </c>
      <c r="F23" s="44">
        <f>IF(OR(Dados!I7="",Dados!$H7=""),"",IF(Dados!$F7="Menor é melhor",100*Dados!$H7/Dados!I7,100*Dados!I7/Dados!$H7))</f>
        <v>121.51898734177215</v>
      </c>
      <c r="G23" s="44">
        <f>IF(OR(Dados!J7="",Dados!$H7=""),"",IF(Dados!$F7="Menor é melhor",100*Dados!$H7/Dados!J7,100*Dados!J7/Dados!$H7))</f>
        <v>107.59493670886076</v>
      </c>
      <c r="H23" s="44">
        <f>IF(OR(Dados!K7="",Dados!$H7=""),"",IF(Dados!$F7="Menor é melhor",100*Dados!$H7/Dados!K7,100*Dados!K7/Dados!$H7))</f>
        <v>98.734177215189874</v>
      </c>
      <c r="I23" s="44">
        <f>IF(OR(Dados!M7="",Dados!$H7=""),"",IF(Dados!$F7="Menor é melhor",100*Dados!$H7/Dados!M7,100*Dados!M7/Dados!$H7))</f>
        <v>100</v>
      </c>
      <c r="J23" s="44">
        <f>IF(OR(Dados!N7="",Dados!$H7=""),"",IF(Dados!$F7="Menor é melhor",100*Dados!$H7/Dados!N7,100*Dados!N7/Dados!$H7))</f>
        <v>102.95358649789026</v>
      </c>
      <c r="K23" s="44">
        <f>IF(OR(Dados!O7="",Dados!$H7=""),"",IF(Dados!$F7="Menor é melhor",100*Dados!$H7/Dados!O7,100*Dados!O7/Dados!$H7))</f>
        <v>105.90717299578063</v>
      </c>
      <c r="L23" s="44">
        <f>IF(OR(Dados!P7="",Dados!$H7=""),"",IF(Dados!$F7="Menor é melhor",100*Dados!$H7/Dados!P7,100*Dados!P7/Dados!$H7))</f>
        <v>108.86075949367088</v>
      </c>
      <c r="M23" s="44">
        <f>IF(OR(Dados!Q7="",Dados!$H7=""),"",IF(Dados!$F7="Menor é melhor",100*Dados!$H7/Dados!Q7,100*Dados!Q7/Dados!$H7))</f>
        <v>111.81434599156114</v>
      </c>
      <c r="N23" s="44">
        <f>IF(OR(Dados!R7="",Dados!$H7=""),"",IF(Dados!$F7="Menor é melhor",100*Dados!$H7/Dados!R7,100*Dados!R7/Dados!$H7))</f>
        <v>114.76793248945151</v>
      </c>
      <c r="O23" s="44">
        <f t="shared" si="12"/>
        <v>4.6051701859880918</v>
      </c>
      <c r="P23" s="44">
        <f t="shared" si="13"/>
        <v>4.8000705249889064</v>
      </c>
      <c r="Q23" s="44">
        <f t="shared" si="14"/>
        <v>4.6783735900113861</v>
      </c>
      <c r="R23" s="44">
        <f t="shared" si="15"/>
        <v>4.592431160210662</v>
      </c>
      <c r="S23" s="44">
        <f t="shared" si="16"/>
        <v>4.6051701859880918</v>
      </c>
      <c r="T23" s="44">
        <f t="shared" si="17"/>
        <v>4.6342782701461616</v>
      </c>
      <c r="U23" s="44">
        <f t="shared" si="18"/>
        <v>4.6625629839847447</v>
      </c>
      <c r="V23" s="44">
        <f t="shared" si="19"/>
        <v>4.6900696297745776</v>
      </c>
      <c r="W23" s="44">
        <f t="shared" si="20"/>
        <v>4.7168398708391823</v>
      </c>
      <c r="X23" s="44">
        <f t="shared" si="21"/>
        <v>4.7429121111489581</v>
      </c>
      <c r="Y23" s="44">
        <f>Dados!U7</f>
        <v>1</v>
      </c>
    </row>
    <row r="24" spans="1:25" x14ac:dyDescent="0.35">
      <c r="A24" s="76" t="s">
        <v>152</v>
      </c>
      <c r="B24" s="77" t="str">
        <f>Dados!C8</f>
        <v>Saúde</v>
      </c>
      <c r="C24" s="77" t="str">
        <f>Dados!D8</f>
        <v>Taxa de vacinação contra o sarampo</v>
      </c>
      <c r="D24" s="77" t="str">
        <f>Dados!F8</f>
        <v>Maior é melhor</v>
      </c>
      <c r="E24" s="78">
        <f>IF(OR(Dados!H8="",Dados!$H8=""),"",IF(Dados!$F8="Menor é melhor",100*Dados!$H8/Dados!H8,100*Dados!H8/Dados!$H8))</f>
        <v>100</v>
      </c>
      <c r="F24" s="78">
        <f>IF(OR(Dados!I8="",Dados!$H8=""),"",IF(Dados!$F8="Menor é melhor",100*Dados!$H8/Dados!I8,100*Dados!I8/Dados!$H8))</f>
        <v>107.57575757575758</v>
      </c>
      <c r="G24" s="78">
        <f>IF(OR(Dados!J8="",Dados!$H8=""),"",IF(Dados!$F8="Menor é melhor",100*Dados!$H8/Dados!J8,100*Dados!J8/Dados!$H8))</f>
        <v>103.03030303030303</v>
      </c>
      <c r="H24" s="78">
        <f>IF(OR(Dados!K8="",Dados!$H8=""),"",IF(Dados!$F8="Menor é melhor",100*Dados!$H8/Dados!K8,100*Dados!K8/Dados!$H8))</f>
        <v>115.15151515151516</v>
      </c>
      <c r="I24" s="78">
        <f>IF(OR(Dados!M8="",Dados!$H8=""),"",IF(Dados!$F8="Menor é melhor",100*Dados!$H8/Dados!M8,100*Dados!M8/Dados!$H8))</f>
        <v>100</v>
      </c>
      <c r="J24" s="78">
        <f>IF(OR(Dados!N8="",Dados!$H8=""),"",IF(Dados!$F8="Menor é melhor",100*Dados!$H8/Dados!N8,100*Dados!N8/Dados!$H8))</f>
        <v>107.07070707070712</v>
      </c>
      <c r="K24" s="78">
        <f>IF(OR(Dados!O8="",Dados!$H8=""),"",IF(Dados!$F8="Menor é melhor",100*Dados!$H8/Dados!O8,100*Dados!O8/Dados!$H8))</f>
        <v>114.14141414141409</v>
      </c>
      <c r="L24" s="78">
        <f>IF(OR(Dados!P8="",Dados!$H8=""),"",IF(Dados!$F8="Menor é melhor",100*Dados!$H8/Dados!P8,100*Dados!P8/Dados!$H8))</f>
        <v>121.21212121212122</v>
      </c>
      <c r="M24" s="78">
        <f>IF(OR(Dados!Q8="",Dados!$H8=""),"",IF(Dados!$F8="Menor é melhor",100*Dados!$H8/Dados!Q8,100*Dados!Q8/Dados!$H8))</f>
        <v>128.28282828282832</v>
      </c>
      <c r="N24" s="78">
        <f>IF(OR(Dados!R8="",Dados!$H8=""),"",IF(Dados!$F8="Menor é melhor",100*Dados!$H8/Dados!R8,100*Dados!R8/Dados!$H8))</f>
        <v>135.35353535353531</v>
      </c>
      <c r="O24" s="78">
        <f t="shared" si="12"/>
        <v>4.6051701859880918</v>
      </c>
      <c r="P24" s="78">
        <f t="shared" si="13"/>
        <v>4.6781953210029812</v>
      </c>
      <c r="Q24" s="78">
        <f t="shared" si="14"/>
        <v>4.6350231491377727</v>
      </c>
      <c r="R24" s="78">
        <f t="shared" si="15"/>
        <v>4.7462487842479968</v>
      </c>
      <c r="S24" s="78">
        <f t="shared" si="16"/>
        <v>4.6051701859880918</v>
      </c>
      <c r="T24" s="78">
        <f t="shared" si="17"/>
        <v>4.6734894299655689</v>
      </c>
      <c r="U24" s="78">
        <f t="shared" si="18"/>
        <v>4.7374381545658419</v>
      </c>
      <c r="V24" s="78">
        <f t="shared" si="19"/>
        <v>4.7975420786355478</v>
      </c>
      <c r="W24" s="78">
        <f t="shared" si="20"/>
        <v>4.8542374223120932</v>
      </c>
      <c r="X24" s="78">
        <f t="shared" si="21"/>
        <v>4.9078901358044122</v>
      </c>
      <c r="Y24" s="78">
        <f>Dados!U8</f>
        <v>1</v>
      </c>
    </row>
    <row r="25" spans="1:25" x14ac:dyDescent="0.35">
      <c r="A25" s="74" t="s">
        <v>153</v>
      </c>
      <c r="B25" s="75" t="str">
        <f>Dados!C9</f>
        <v>Saúde</v>
      </c>
      <c r="C25" s="75" t="str">
        <f>Dados!D9</f>
        <v>Taxa de incidência da malária</v>
      </c>
      <c r="D25" s="75" t="str">
        <f>Dados!F9</f>
        <v>Menor é melhor</v>
      </c>
      <c r="E25" s="44">
        <f>IF(OR(Dados!H9="",Dados!$H9=""),"",IF(Dados!$F9="Menor é melhor",100*Dados!$H9/Dados!H9,100*Dados!H9/Dados!$H9))</f>
        <v>100</v>
      </c>
      <c r="F25" s="44">
        <f>IF(OR(Dados!I9="",Dados!$H9=""),"",IF(Dados!$F9="Menor é melhor",100*Dados!$H9/Dados!I9,100*Dados!I9/Dados!$H9))</f>
        <v>95.864661654135332</v>
      </c>
      <c r="G25" s="44">
        <f>IF(OR(Dados!J9="",Dados!$H9=""),"",IF(Dados!$F9="Menor é melhor",100*Dados!$H9/Dados!J9,100*Dados!J9/Dados!$H9))</f>
        <v>83.061889250814332</v>
      </c>
      <c r="H25" s="44">
        <f>IF(OR(Dados!K9="",Dados!$H9=""),"",IF(Dados!$F9="Menor é melhor",100*Dados!$H9/Dados!K9,100*Dados!K9/Dados!$H9))</f>
        <v>85.570469798657712</v>
      </c>
      <c r="I25" s="44">
        <f>IF(OR(Dados!M9="",Dados!$H9=""),"",IF(Dados!$F9="Menor é melhor",100*Dados!$H9/Dados!M9,100*Dados!M9/Dados!$H9))</f>
        <v>100</v>
      </c>
      <c r="J25" s="44">
        <f>IF(OR(Dados!N9="",Dados!$H9=""),"",IF(Dados!$F9="Menor é melhor",100*Dados!$H9/Dados!N9,100*Dados!N9/Dados!$H9))</f>
        <v>105.51724137931021</v>
      </c>
      <c r="K25" s="44">
        <f>IF(OR(Dados!O9="",Dados!$H9=""),"",IF(Dados!$F9="Menor é melhor",100*Dados!$H9/Dados!O9,100*Dados!O9/Dados!$H9))</f>
        <v>111.67883211678848</v>
      </c>
      <c r="L25" s="44">
        <f>IF(OR(Dados!P9="",Dados!$H9=""),"",IF(Dados!$F9="Menor é melhor",100*Dados!$H9/Dados!P9,100*Dados!P9/Dados!$H9))</f>
        <v>118.6046511627907</v>
      </c>
      <c r="M25" s="44">
        <f>IF(OR(Dados!Q9="",Dados!$H9=""),"",IF(Dados!$F9="Menor é melhor",100*Dados!$H9/Dados!Q9,100*Dados!Q9/Dados!$H9))</f>
        <v>126.44628099173534</v>
      </c>
      <c r="N25" s="44">
        <f>IF(OR(Dados!R9="",Dados!$H9=""),"",IF(Dados!$F9="Menor é melhor",100*Dados!$H9/Dados!R9,100*Dados!R9/Dados!$H9))</f>
        <v>135.39823008849581</v>
      </c>
      <c r="O25" s="44">
        <f t="shared" si="12"/>
        <v>4.6051701859880918</v>
      </c>
      <c r="P25" s="44">
        <f t="shared" si="13"/>
        <v>4.5629374223648185</v>
      </c>
      <c r="Q25" s="44">
        <f t="shared" si="14"/>
        <v>4.4195859835593208</v>
      </c>
      <c r="R25" s="44">
        <f t="shared" si="15"/>
        <v>4.449340244641113</v>
      </c>
      <c r="S25" s="44">
        <f t="shared" si="16"/>
        <v>4.6051701859880918</v>
      </c>
      <c r="T25" s="44">
        <f t="shared" si="17"/>
        <v>4.6588743649599511</v>
      </c>
      <c r="U25" s="44">
        <f t="shared" si="18"/>
        <v>4.7156271815524038</v>
      </c>
      <c r="V25" s="44">
        <f t="shared" si="19"/>
        <v>4.7757957030188551</v>
      </c>
      <c r="W25" s="44">
        <f t="shared" si="20"/>
        <v>4.839817561783784</v>
      </c>
      <c r="X25" s="44">
        <f t="shared" si="21"/>
        <v>4.908220288668188</v>
      </c>
      <c r="Y25" s="44">
        <f>Dados!U9</f>
        <v>1</v>
      </c>
    </row>
    <row r="26" spans="1:25" x14ac:dyDescent="0.35">
      <c r="A26" s="76" t="s">
        <v>154</v>
      </c>
      <c r="B26" s="77" t="str">
        <f>Dados!C10</f>
        <v>Saúde</v>
      </c>
      <c r="C26" s="77" t="str">
        <f>Dados!D10</f>
        <v>Taxa de sucesso do tratamento para a tuberculose</v>
      </c>
      <c r="D26" s="77" t="str">
        <f>Dados!F10</f>
        <v>Maior é melhor</v>
      </c>
      <c r="E26" s="78">
        <f>IF(OR(Dados!H10="",Dados!$H10=""),"",IF(Dados!$F10="Menor é melhor",100*Dados!$H10/Dados!H10,100*Dados!H10/Dados!$H10))</f>
        <v>100</v>
      </c>
      <c r="F26" s="78">
        <f>IF(OR(Dados!I10="",Dados!$H10=""),"",IF(Dados!$F10="Menor é melhor",100*Dados!$H10/Dados!I10,100*Dados!I10/Dados!$H10))</f>
        <v>95.714285714285708</v>
      </c>
      <c r="G26" s="78">
        <f>IF(OR(Dados!J10="",Dados!$H10=""),"",IF(Dados!$F10="Menor é melhor",100*Dados!$H10/Dados!J10,100*Dados!J10/Dados!$H10))</f>
        <v>105.71428571428571</v>
      </c>
      <c r="H26" s="78">
        <f>IF(OR(Dados!K10="",Dados!$H10=""),"",IF(Dados!$F10="Menor é melhor",100*Dados!$H10/Dados!K10,100*Dados!K10/Dados!$H10))</f>
        <v>130</v>
      </c>
      <c r="I26" s="78">
        <f>IF(OR(Dados!M10="",Dados!$H10=""),"",IF(Dados!$F10="Menor é melhor",100*Dados!$H10/Dados!M10,100*Dados!M10/Dados!$H10))</f>
        <v>100</v>
      </c>
      <c r="J26" s="78">
        <f>IF(OR(Dados!N10="",Dados!$H10=""),"",IF(Dados!$F10="Menor é melhor",100*Dados!$H10/Dados!N10,100*Dados!N10/Dados!$H10))</f>
        <v>102.85714285714286</v>
      </c>
      <c r="K26" s="78">
        <f>IF(OR(Dados!O10="",Dados!$H10=""),"",IF(Dados!$F10="Menor é melhor",100*Dados!$H10/Dados!O10,100*Dados!O10/Dados!$H10))</f>
        <v>105.71428571428571</v>
      </c>
      <c r="L26" s="78">
        <f>IF(OR(Dados!P10="",Dados!$H10=""),"",IF(Dados!$F10="Menor é melhor",100*Dados!$H10/Dados!P10,100*Dados!P10/Dados!$H10))</f>
        <v>108.57142857142857</v>
      </c>
      <c r="M26" s="78">
        <f>IF(OR(Dados!Q10="",Dados!$H10=""),"",IF(Dados!$F10="Menor é melhor",100*Dados!$H10/Dados!Q10,100*Dados!Q10/Dados!$H10))</f>
        <v>111.42857142857143</v>
      </c>
      <c r="N26" s="78">
        <f>IF(OR(Dados!R10="",Dados!$H10=""),"",IF(Dados!$F10="Menor é melhor",100*Dados!$H10/Dados!R10,100*Dados!R10/Dados!$H10))</f>
        <v>114.28571428571429</v>
      </c>
      <c r="O26" s="78">
        <f t="shared" si="12"/>
        <v>4.6051701859880918</v>
      </c>
      <c r="P26" s="78">
        <f t="shared" si="13"/>
        <v>4.5613675633296982</v>
      </c>
      <c r="Q26" s="78">
        <f t="shared" si="14"/>
        <v>4.6607400371429017</v>
      </c>
      <c r="R26" s="78">
        <f t="shared" si="15"/>
        <v>4.8675344504555822</v>
      </c>
      <c r="S26" s="78">
        <f t="shared" si="16"/>
        <v>4.6051701859880918</v>
      </c>
      <c r="T26" s="78">
        <f t="shared" si="17"/>
        <v>4.6333410629547878</v>
      </c>
      <c r="U26" s="78">
        <f t="shared" si="18"/>
        <v>4.6607400371429017</v>
      </c>
      <c r="V26" s="78">
        <f t="shared" si="19"/>
        <v>4.6874082842250635</v>
      </c>
      <c r="W26" s="78">
        <f t="shared" si="20"/>
        <v>4.7133837706283241</v>
      </c>
      <c r="X26" s="78">
        <f t="shared" si="21"/>
        <v>4.7387015786126137</v>
      </c>
      <c r="Y26" s="78">
        <f>Dados!U10</f>
        <v>1</v>
      </c>
    </row>
    <row r="27" spans="1:25" x14ac:dyDescent="0.35">
      <c r="A27" s="74" t="s">
        <v>155</v>
      </c>
      <c r="B27" s="75" t="str">
        <f>Dados!C11</f>
        <v>Saúde</v>
      </c>
      <c r="C27" s="75" t="str">
        <f>Dados!D11</f>
        <v>Partos institucionais realizados por profissionais qualificados</v>
      </c>
      <c r="D27" s="75" t="str">
        <f>Dados!F11</f>
        <v>Maior é melhor</v>
      </c>
      <c r="E27" s="44">
        <f>IF(OR(Dados!H11="",Dados!$H11=""),"",IF(Dados!$F11="Menor é melhor",100*Dados!$H11/Dados!H11,100*Dados!H11/Dados!$H11))</f>
        <v>100</v>
      </c>
      <c r="F27" s="44">
        <f>IF(OR(Dados!I11="",Dados!$H11=""),"",IF(Dados!$F11="Menor é melhor",100*Dados!$H11/Dados!I11,100*Dados!I11/Dados!$H11))</f>
        <v>144.11764705882354</v>
      </c>
      <c r="G27" s="44">
        <f>IF(OR(Dados!J11="",Dados!$H11=""),"",IF(Dados!$F11="Menor é melhor",100*Dados!$H11/Dados!J11,100*Dados!J11/Dados!$H11))</f>
        <v>150</v>
      </c>
      <c r="H27" s="44">
        <f>IF(OR(Dados!K11="",Dados!$H11=""),"",IF(Dados!$F11="Menor é melhor",100*Dados!$H11/Dados!K11,100*Dados!K11/Dados!$H11))</f>
        <v>188.23529411764707</v>
      </c>
      <c r="I27" s="44">
        <f>IF(OR(Dados!M11="",Dados!$H11=""),"",IF(Dados!$F11="Menor é melhor",100*Dados!$H11/Dados!M11,100*Dados!M11/Dados!$H11))</f>
        <v>100</v>
      </c>
      <c r="J27" s="44">
        <f>IF(OR(Dados!N11="",Dados!$H11=""),"",IF(Dados!$F11="Menor é melhor",100*Dados!$H11/Dados!N11,100*Dados!N11/Dados!$H11))</f>
        <v>121.5686274509803</v>
      </c>
      <c r="K27" s="44">
        <f>IF(OR(Dados!O11="",Dados!$H11=""),"",IF(Dados!$F11="Menor é melhor",100*Dados!$H11/Dados!O11,100*Dados!O11/Dados!$H11))</f>
        <v>143.13725490196089</v>
      </c>
      <c r="L27" s="44">
        <f>IF(OR(Dados!P11="",Dados!$H11=""),"",IF(Dados!$F11="Menor é melhor",100*Dados!$H11/Dados!P11,100*Dados!P11/Dados!$H11))</f>
        <v>164.70588235294119</v>
      </c>
      <c r="M27" s="44">
        <f>IF(OR(Dados!Q11="",Dados!$H11=""),"",IF(Dados!$F11="Menor é melhor",100*Dados!$H11/Dados!Q11,100*Dados!Q11/Dados!$H11))</f>
        <v>186.27450980392149</v>
      </c>
      <c r="N27" s="44">
        <f>IF(OR(Dados!R11="",Dados!$H11=""),"",IF(Dados!$F11="Menor é melhor",100*Dados!$H11/Dados!R11,100*Dados!R11/Dados!$H11))</f>
        <v>207.84313725490205</v>
      </c>
      <c r="O27" s="44">
        <f t="shared" si="12"/>
        <v>4.6051701859880918</v>
      </c>
      <c r="P27" s="44">
        <f t="shared" si="13"/>
        <v>4.9706299594825563</v>
      </c>
      <c r="Q27" s="44">
        <f t="shared" si="14"/>
        <v>5.0106352940962555</v>
      </c>
      <c r="R27" s="44">
        <f t="shared" si="15"/>
        <v>5.2376927447316017</v>
      </c>
      <c r="S27" s="44">
        <f t="shared" si="16"/>
        <v>4.6051701859880918</v>
      </c>
      <c r="T27" s="44">
        <f t="shared" si="17"/>
        <v>4.8004789383088564</v>
      </c>
      <c r="U27" s="44">
        <f t="shared" si="18"/>
        <v>4.9638039944121575</v>
      </c>
      <c r="V27" s="44">
        <f t="shared" si="19"/>
        <v>5.104161352107079</v>
      </c>
      <c r="W27" s="44">
        <f t="shared" si="20"/>
        <v>5.2272214448643064</v>
      </c>
      <c r="X27" s="44">
        <f t="shared" si="21"/>
        <v>5.3367836473758334</v>
      </c>
      <c r="Y27" s="44">
        <f>Dados!U11</f>
        <v>1</v>
      </c>
    </row>
    <row r="28" spans="1:25" x14ac:dyDescent="0.35">
      <c r="A28" s="76" t="s">
        <v>156</v>
      </c>
      <c r="B28" s="77" t="str">
        <f>Dados!C12</f>
        <v>Protecção Social</v>
      </c>
      <c r="C28" s="77" t="str">
        <f>Dados!D12</f>
        <v>Pessoas integradas em actividades geradoras de renda (cumulativo)</v>
      </c>
      <c r="D28" s="77" t="str">
        <f>Dados!F12</f>
        <v>Maior é melhor</v>
      </c>
      <c r="E28" s="78">
        <f>IF(OR(Dados!H12="",Dados!$H12=""),"",IF(Dados!$F12="Menor é melhor",100*Dados!$H12/Dados!H12,100*Dados!H12/Dados!$H12))</f>
        <v>100</v>
      </c>
      <c r="F28" s="78">
        <f>IF(OR(Dados!I12="",Dados!$H12=""),"",IF(Dados!$F12="Menor é melhor",100*Dados!$H12/Dados!I12,100*Dados!I12/Dados!$H12))</f>
        <v>101.47297297297297</v>
      </c>
      <c r="G28" s="78">
        <f>IF(OR(Dados!J12="",Dados!$H12=""),"",IF(Dados!$F12="Menor é melhor",100*Dados!$H12/Dados!J12,100*Dados!J12/Dados!$H12))</f>
        <v>103.48378378378378</v>
      </c>
      <c r="H28" s="78">
        <f>IF(OR(Dados!K12="",Dados!$H12=""),"",IF(Dados!$F12="Menor é melhor",100*Dados!$H12/Dados!K12,100*Dados!K12/Dados!$H12))</f>
        <v>105.18108108108108</v>
      </c>
      <c r="I28" s="78">
        <f>IF(OR(Dados!M12="",Dados!$H12=""),"",IF(Dados!$F12="Menor é melhor",100*Dados!$H12/Dados!M12,100*Dados!M12/Dados!$H12))</f>
        <v>100</v>
      </c>
      <c r="J28" s="78">
        <f>IF(OR(Dados!N12="",Dados!$H12=""),"",IF(Dados!$F12="Menor é melhor",100*Dados!$H12/Dados!N12,100*Dados!N12/Dados!$H12))</f>
        <v>155.85585585585594</v>
      </c>
      <c r="K28" s="78">
        <f>IF(OR(Dados!O12="",Dados!$H12=""),"",IF(Dados!$F12="Menor é melhor",100*Dados!$H12/Dados!O12,100*Dados!O12/Dados!$H12))</f>
        <v>211.71171171171162</v>
      </c>
      <c r="L28" s="78">
        <f>IF(OR(Dados!P12="",Dados!$H12=""),"",IF(Dados!$F12="Menor é melhor",100*Dados!$H12/Dados!P12,100*Dados!P12/Dados!$H12))</f>
        <v>267.56756756756755</v>
      </c>
      <c r="M28" s="78">
        <f>IF(OR(Dados!Q12="",Dados!$H12=""),"",IF(Dados!$F12="Menor é melhor",100*Dados!$H12/Dados!Q12,100*Dados!Q12/Dados!$H12))</f>
        <v>323.42342342342437</v>
      </c>
      <c r="N28" s="78">
        <f>IF(OR(Dados!R12="",Dados!$H12=""),"",IF(Dados!$F12="Menor é melhor",100*Dados!$H12/Dados!R12,100*Dados!R12/Dados!$H12))</f>
        <v>379.27927927927834</v>
      </c>
      <c r="O28" s="78">
        <f t="shared" si="12"/>
        <v>4.6051701859880918</v>
      </c>
      <c r="P28" s="78">
        <f t="shared" si="13"/>
        <v>4.6197924868957143</v>
      </c>
      <c r="Q28" s="78">
        <f t="shared" si="14"/>
        <v>4.6394149220125307</v>
      </c>
      <c r="R28" s="78">
        <f t="shared" si="15"/>
        <v>4.6556834464985739</v>
      </c>
      <c r="S28" s="78">
        <f t="shared" si="16"/>
        <v>4.6051701859880918</v>
      </c>
      <c r="T28" s="78">
        <f t="shared" si="17"/>
        <v>5.0489315791735363</v>
      </c>
      <c r="U28" s="78">
        <f t="shared" si="18"/>
        <v>5.3552254988199159</v>
      </c>
      <c r="V28" s="78">
        <f t="shared" si="19"/>
        <v>5.5893721234784568</v>
      </c>
      <c r="W28" s="78">
        <f t="shared" si="20"/>
        <v>5.7789623731640392</v>
      </c>
      <c r="X28" s="78">
        <f t="shared" si="21"/>
        <v>5.9382728183581364</v>
      </c>
      <c r="Y28" s="78">
        <f>Dados!U12</f>
        <v>1</v>
      </c>
    </row>
    <row r="29" spans="1:25" x14ac:dyDescent="0.35">
      <c r="A29" s="74" t="s">
        <v>157</v>
      </c>
      <c r="B29" s="75" t="str">
        <f>Dados!C13</f>
        <v>Protecção Social</v>
      </c>
      <c r="C29" s="75" t="str">
        <f>Dados!D13</f>
        <v>Beneficiários de transferências sociais monetárias (cumulativo)</v>
      </c>
      <c r="D29" s="75" t="str">
        <f>Dados!F13</f>
        <v>Maior é melhor</v>
      </c>
      <c r="E29" s="44">
        <f>IF(OR(Dados!H13="",Dados!$H13=""),"",IF(Dados!$F13="Menor é melhor",100*Dados!$H13/Dados!H13,100*Dados!H13/Dados!$H13))</f>
        <v>100</v>
      </c>
      <c r="F29" s="44">
        <f>IF(OR(Dados!I13="",Dados!$H13=""),"",IF(Dados!$F13="Menor é melhor",100*Dados!$H13/Dados!I13,100*Dados!I13/Dados!$H13))</f>
        <v>155.72252272310553</v>
      </c>
      <c r="G29" s="44">
        <f>IF(OR(Dados!J13="",Dados!$H13=""),"",IF(Dados!$F13="Menor é melhor",100*Dados!$H13/Dados!J13,100*Dados!J13/Dados!$H13))</f>
        <v>175.17697173690965</v>
      </c>
      <c r="H29" s="44">
        <f>IF(OR(Dados!K13="",Dados!$H13=""),"",IF(Dados!$F13="Menor é melhor",100*Dados!$H13/Dados!K13,100*Dados!K13/Dados!$H13))</f>
        <v>221.14918668308144</v>
      </c>
      <c r="I29" s="44">
        <f>IF(OR(Dados!M13="",Dados!$H13=""),"",IF(Dados!$F13="Menor é melhor",100*Dados!$H13/Dados!M13,100*Dados!M13/Dados!$H13))</f>
        <v>100</v>
      </c>
      <c r="J29" s="44">
        <f>IF(OR(Dados!N13="",Dados!$H13=""),"",IF(Dados!$F13="Menor é melhor",100*Dados!$H13/Dados!N13,100*Dados!N13/Dados!$H13))</f>
        <v>164.89334765260006</v>
      </c>
      <c r="K29" s="44">
        <f>IF(OR(Dados!O13="",Dados!$H13=""),"",IF(Dados!$F13="Menor é melhor",100*Dados!$H13/Dados!O13,100*Dados!O13/Dados!$H13))</f>
        <v>229.78669530520179</v>
      </c>
      <c r="L29" s="44">
        <f>IF(OR(Dados!P13="",Dados!$H13=""),"",IF(Dados!$F13="Menor é melhor",100*Dados!$H13/Dados!P13,100*Dados!P13/Dados!$H13))</f>
        <v>294.68004295780185</v>
      </c>
      <c r="M29" s="44">
        <f>IF(OR(Dados!Q13="",Dados!$H13=""),"",IF(Dados!$F13="Menor é melhor",100*Dados!$H13/Dados!Q13,100*Dados!Q13/Dados!$H13))</f>
        <v>359.57339061040193</v>
      </c>
      <c r="N29" s="44">
        <f>IF(OR(Dados!R13="",Dados!$H13=""),"",IF(Dados!$F13="Menor é melhor",100*Dados!$H13/Dados!R13,100*Dados!R13/Dados!$H13))</f>
        <v>424.46673826300355</v>
      </c>
      <c r="O29" s="44">
        <f t="shared" si="12"/>
        <v>4.6051701859880918</v>
      </c>
      <c r="P29" s="44">
        <f t="shared" si="13"/>
        <v>5.0480757229905935</v>
      </c>
      <c r="Q29" s="44">
        <f t="shared" si="14"/>
        <v>5.1657967300054946</v>
      </c>
      <c r="R29" s="44">
        <f t="shared" si="15"/>
        <v>5.3988375266366777</v>
      </c>
      <c r="S29" s="44">
        <f t="shared" si="16"/>
        <v>4.6051701859880918</v>
      </c>
      <c r="T29" s="44">
        <f t="shared" si="17"/>
        <v>5.1052988870453166</v>
      </c>
      <c r="U29" s="44">
        <f t="shared" si="18"/>
        <v>5.4371514668943641</v>
      </c>
      <c r="V29" s="44">
        <f t="shared" si="19"/>
        <v>5.685890167592401</v>
      </c>
      <c r="W29" s="44">
        <f t="shared" si="20"/>
        <v>5.8849183026693321</v>
      </c>
      <c r="X29" s="44">
        <f t="shared" si="21"/>
        <v>6.0508336475884388</v>
      </c>
      <c r="Y29" s="44">
        <f>Dados!U13</f>
        <v>1</v>
      </c>
    </row>
    <row r="30" spans="1:25" x14ac:dyDescent="0.35">
      <c r="A30" s="76" t="s">
        <v>158</v>
      </c>
      <c r="B30" s="77" t="str">
        <f>Dados!C14</f>
        <v>Protecção Social</v>
      </c>
      <c r="C30" s="77" t="str">
        <f>Dados!D14</f>
        <v>Famílias assistidas com cesta básica de alimentos (cumulativo)</v>
      </c>
      <c r="D30" s="77" t="str">
        <f>Dados!F14</f>
        <v>Maior é melhor</v>
      </c>
      <c r="E30" s="78">
        <f>IF(OR(Dados!H14="",Dados!$H14=""),"",IF(Dados!$F14="Menor é melhor",100*Dados!$H14/Dados!H14,100*Dados!H14/Dados!$H14))</f>
        <v>100</v>
      </c>
      <c r="F30" s="78">
        <f>IF(OR(Dados!I14="",Dados!$H14=""),"",IF(Dados!$F14="Menor é melhor",100*Dados!$H14/Dados!I14,100*Dados!I14/Dados!$H14))</f>
        <v>130.27308192457738</v>
      </c>
      <c r="G30" s="78">
        <f>IF(OR(Dados!J14="",Dados!$H14=""),"",IF(Dados!$F14="Menor é melhor",100*Dados!$H14/Dados!J14,100*Dados!J14/Dados!$H14))</f>
        <v>391.93324664065887</v>
      </c>
      <c r="H30" s="78">
        <f>IF(OR(Dados!K14="",Dados!$H14=""),"",IF(Dados!$F14="Menor é melhor",100*Dados!$H14/Dados!K14,100*Dados!K14/Dados!$H14))</f>
        <v>454.29995665366278</v>
      </c>
      <c r="I30" s="78">
        <f>IF(OR(Dados!M14="",Dados!$H14=""),"",IF(Dados!$F14="Menor é melhor",100*Dados!$H14/Dados!M14,100*Dados!M14/Dados!$H14))</f>
        <v>100</v>
      </c>
      <c r="J30" s="78">
        <f>IF(OR(Dados!N14="",Dados!$H14=""),"",IF(Dados!$F14="Menor é melhor",100*Dados!$H14/Dados!N14,100*Dados!N14/Dados!$H14))</f>
        <v>186.59153301546033</v>
      </c>
      <c r="K30" s="78">
        <f>IF(OR(Dados!O14="",Dados!$H14=""),"",IF(Dados!$F14="Menor é melhor",100*Dados!$H14/Dados!O14,100*Dados!O14/Dados!$H14))</f>
        <v>273.18306603092026</v>
      </c>
      <c r="L30" s="78">
        <f>IF(OR(Dados!P14="",Dados!$H14=""),"",IF(Dados!$F14="Menor é melhor",100*Dados!$H14/Dados!P14,100*Dados!P14/Dados!$H14))</f>
        <v>359.77459904638056</v>
      </c>
      <c r="M30" s="78">
        <f>IF(OR(Dados!Q14="",Dados!$H14=""),"",IF(Dados!$F14="Menor é melhor",100*Dados!$H14/Dados!Q14,100*Dados!Q14/Dados!$H14))</f>
        <v>446.36613206184228</v>
      </c>
      <c r="N30" s="78">
        <f>IF(OR(Dados!R14="",Dados!$H14=""),"",IF(Dados!$F14="Menor é melhor",100*Dados!$H14/Dados!R14,100*Dados!R14/Dados!$H14))</f>
        <v>532.95766507729945</v>
      </c>
      <c r="O30" s="78">
        <f t="shared" si="12"/>
        <v>4.6051701859880918</v>
      </c>
      <c r="P30" s="78">
        <f t="shared" si="13"/>
        <v>4.8696328774059641</v>
      </c>
      <c r="Q30" s="78">
        <f t="shared" si="14"/>
        <v>5.9710915361076209</v>
      </c>
      <c r="R30" s="78">
        <f t="shared" si="15"/>
        <v>6.1187576773518879</v>
      </c>
      <c r="S30" s="78">
        <f t="shared" si="16"/>
        <v>4.6051701859880918</v>
      </c>
      <c r="T30" s="78">
        <f t="shared" si="17"/>
        <v>5.2289219123326411</v>
      </c>
      <c r="U30" s="78">
        <f t="shared" si="18"/>
        <v>5.6101421419941566</v>
      </c>
      <c r="V30" s="78">
        <f t="shared" si="19"/>
        <v>5.8854777215990266</v>
      </c>
      <c r="W30" s="78">
        <f t="shared" si="20"/>
        <v>6.1011395391518084</v>
      </c>
      <c r="X30" s="78">
        <f t="shared" si="21"/>
        <v>6.2784419933889763</v>
      </c>
      <c r="Y30" s="78">
        <f>Dados!U14</f>
        <v>1</v>
      </c>
    </row>
    <row r="31" spans="1:25" x14ac:dyDescent="0.35">
      <c r="A31" s="74" t="s">
        <v>159</v>
      </c>
      <c r="B31" s="75" t="str">
        <f>Dados!C15</f>
        <v>Comunicação</v>
      </c>
      <c r="C31" s="75" t="str">
        <f>Dados!D15</f>
        <v>Número de assinantes de Internet</v>
      </c>
      <c r="D31" s="75" t="str">
        <f>Dados!F15</f>
        <v>Maior é melhor</v>
      </c>
      <c r="E31" s="44">
        <f>IF(OR(Dados!H15="",Dados!$H15=""),"",IF(Dados!$F15="Menor é melhor",100*Dados!$H15/Dados!H15,100*Dados!H15/Dados!$H15))</f>
        <v>100</v>
      </c>
      <c r="F31" s="44">
        <f>IF(OR(Dados!I15="",Dados!$H15=""),"",IF(Dados!$F15="Menor é melhor",100*Dados!$H15/Dados!I15,100*Dados!I15/Dados!$H15))</f>
        <v>110</v>
      </c>
      <c r="G31" s="44">
        <f>IF(OR(Dados!J15="",Dados!$H15=""),"",IF(Dados!$F15="Menor é melhor",100*Dados!$H15/Dados!J15,100*Dados!J15/Dados!$H15))</f>
        <v>120</v>
      </c>
      <c r="H31" s="44">
        <f>IF(OR(Dados!K15="",Dados!$H15=""),"",IF(Dados!$F15="Menor é melhor",100*Dados!$H15/Dados!K15,100*Dados!K15/Dados!$H15))</f>
        <v>166.66666666666666</v>
      </c>
      <c r="I31" s="44">
        <f>IF(OR(Dados!M15="",Dados!$H15=""),"",IF(Dados!$F15="Menor é melhor",100*Dados!$H15/Dados!M15,100*Dados!M15/Dados!$H15))</f>
        <v>100</v>
      </c>
      <c r="J31" s="44">
        <f>IF(OR(Dados!N15="",Dados!$H15=""),"",IF(Dados!$F15="Menor é melhor",100*Dados!$H15/Dados!N15,100*Dados!N15/Dados!$H15))</f>
        <v>113.33333333333333</v>
      </c>
      <c r="K31" s="44">
        <f>IF(OR(Dados!O15="",Dados!$H15=""),"",IF(Dados!$F15="Menor é melhor",100*Dados!$H15/Dados!O15,100*Dados!O15/Dados!$H15))</f>
        <v>126.66666666666667</v>
      </c>
      <c r="L31" s="44">
        <f>IF(OR(Dados!P15="",Dados!$H15=""),"",IF(Dados!$F15="Menor é melhor",100*Dados!$H15/Dados!P15,100*Dados!P15/Dados!$H15))</f>
        <v>140</v>
      </c>
      <c r="M31" s="44">
        <f>IF(OR(Dados!Q15="",Dados!$H15=""),"",IF(Dados!$F15="Menor é melhor",100*Dados!$H15/Dados!Q15,100*Dados!Q15/Dados!$H15))</f>
        <v>153.33333333333334</v>
      </c>
      <c r="N31" s="44">
        <f>IF(OR(Dados!R15="",Dados!$H15=""),"",IF(Dados!$F15="Menor é melhor",100*Dados!$H15/Dados!R15,100*Dados!R15/Dados!$H15))</f>
        <v>166.66666666666666</v>
      </c>
      <c r="O31" s="44">
        <f t="shared" si="12"/>
        <v>4.6051701859880918</v>
      </c>
      <c r="P31" s="44">
        <f t="shared" si="13"/>
        <v>4.7004803657924166</v>
      </c>
      <c r="Q31" s="44">
        <f t="shared" si="14"/>
        <v>4.7874917427820458</v>
      </c>
      <c r="R31" s="44">
        <f t="shared" si="15"/>
        <v>5.1159958097540823</v>
      </c>
      <c r="S31" s="44">
        <f t="shared" si="16"/>
        <v>4.6051701859880918</v>
      </c>
      <c r="T31" s="44">
        <f t="shared" si="17"/>
        <v>4.7303333289420975</v>
      </c>
      <c r="U31" s="44">
        <f t="shared" si="18"/>
        <v>4.8415589640523216</v>
      </c>
      <c r="V31" s="44">
        <f t="shared" si="19"/>
        <v>4.9416424226093039</v>
      </c>
      <c r="W31" s="44">
        <f t="shared" si="20"/>
        <v>5.032614200815031</v>
      </c>
      <c r="X31" s="44">
        <f t="shared" si="21"/>
        <v>5.1159958097540823</v>
      </c>
      <c r="Y31" s="44">
        <f>Dados!U15</f>
        <v>1</v>
      </c>
    </row>
    <row r="32" spans="1:25" x14ac:dyDescent="0.35">
      <c r="A32" s="76" t="s">
        <v>160</v>
      </c>
      <c r="B32" s="77" t="str">
        <f>Dados!C16</f>
        <v>Comunicação</v>
      </c>
      <c r="C32" s="77" t="str">
        <f>Dados!D16</f>
        <v>Número de assinantes de serviços móveis</v>
      </c>
      <c r="D32" s="77" t="str">
        <f>Dados!F16</f>
        <v>Maior é melhor</v>
      </c>
      <c r="E32" s="78">
        <f>IF(OR(Dados!H16="",Dados!$H16=""),"",IF(Dados!$F16="Menor é melhor",100*Dados!$H16/Dados!H16,100*Dados!H16/Dados!$H16))</f>
        <v>100</v>
      </c>
      <c r="F32" s="78">
        <f>IF(OR(Dados!I16="",Dados!$H16=""),"",IF(Dados!$F16="Menor é melhor",100*Dados!$H16/Dados!I16,100*Dados!I16/Dados!$H16))</f>
        <v>104.16666666666667</v>
      </c>
      <c r="G32" s="78">
        <f>IF(OR(Dados!J16="",Dados!$H16=""),"",IF(Dados!$F16="Menor é melhor",100*Dados!$H16/Dados!J16,100*Dados!J16/Dados!$H16))</f>
        <v>104.16666666666667</v>
      </c>
      <c r="H32" s="78">
        <f>IF(OR(Dados!K16="",Dados!$H16=""),"",IF(Dados!$F16="Menor é melhor",100*Dados!$H16/Dados!K16,100*Dados!K16/Dados!$H16))</f>
        <v>108.33333333333333</v>
      </c>
      <c r="I32" s="78">
        <f>IF(OR(Dados!M16="",Dados!$H16=""),"",IF(Dados!$F16="Menor é melhor",100*Dados!$H16/Dados!M16,100*Dados!M16/Dados!$H16))</f>
        <v>100</v>
      </c>
      <c r="J32" s="78">
        <f>IF(OR(Dados!N16="",Dados!$H16=""),"",IF(Dados!$F16="Menor é melhor",100*Dados!$H16/Dados!N16,100*Dados!N16/Dados!$H16))</f>
        <v>103.2407407407407</v>
      </c>
      <c r="K32" s="78">
        <f>IF(OR(Dados!O16="",Dados!$H16=""),"",IF(Dados!$F16="Menor é melhor",100*Dados!$H16/Dados!O16,100*Dados!O16/Dados!$H16))</f>
        <v>106.48148148148152</v>
      </c>
      <c r="L32" s="78">
        <f>IF(OR(Dados!P16="",Dados!$H16=""),"",IF(Dados!$F16="Menor é melhor",100*Dados!$H16/Dados!P16,100*Dados!P16/Dados!$H16))</f>
        <v>109.72222222222223</v>
      </c>
      <c r="M32" s="78">
        <f>IF(OR(Dados!Q16="",Dados!$H16=""),"",IF(Dados!$F16="Menor é melhor",100*Dados!$H16/Dados!Q16,100*Dados!Q16/Dados!$H16))</f>
        <v>112.96296296296292</v>
      </c>
      <c r="N32" s="78">
        <f>IF(OR(Dados!R16="",Dados!$H16=""),"",IF(Dados!$F16="Menor é melhor",100*Dados!$H16/Dados!R16,100*Dados!R16/Dados!$H16))</f>
        <v>116.20370370370375</v>
      </c>
      <c r="O32" s="78">
        <f t="shared" si="12"/>
        <v>4.6051701859880918</v>
      </c>
      <c r="P32" s="78">
        <f t="shared" si="13"/>
        <v>4.6459921805083466</v>
      </c>
      <c r="Q32" s="78">
        <f t="shared" si="14"/>
        <v>4.6459921805083466</v>
      </c>
      <c r="R32" s="78">
        <f t="shared" si="15"/>
        <v>4.6852128936616282</v>
      </c>
      <c r="S32" s="78">
        <f t="shared" si="16"/>
        <v>4.6051701859880918</v>
      </c>
      <c r="T32" s="78">
        <f t="shared" si="17"/>
        <v>4.6370635497640444</v>
      </c>
      <c r="U32" s="78">
        <f t="shared" si="18"/>
        <v>4.6679710872271221</v>
      </c>
      <c r="V32" s="78">
        <f t="shared" si="19"/>
        <v>4.697951919439058</v>
      </c>
      <c r="W32" s="78">
        <f t="shared" si="20"/>
        <v>4.7270600035971277</v>
      </c>
      <c r="X32" s="78">
        <f t="shared" si="21"/>
        <v>4.7553447174357109</v>
      </c>
      <c r="Y32" s="78">
        <f>Dados!U16</f>
        <v>1</v>
      </c>
    </row>
    <row r="33" spans="1:25" x14ac:dyDescent="0.35">
      <c r="A33" s="74" t="s">
        <v>161</v>
      </c>
      <c r="B33" s="75" t="str">
        <f>Dados!C17</f>
        <v>Educação e FP</v>
      </c>
      <c r="C33" s="75" t="str">
        <f>Dados!D17</f>
        <v>Salas de aula do Ensino Primário (cumulativo)</v>
      </c>
      <c r="D33" s="75" t="str">
        <f>Dados!F17</f>
        <v>Maior é melhor</v>
      </c>
      <c r="E33" s="44">
        <f>IF(OR(Dados!H17="",Dados!$H17=""),"",IF(Dados!$F17="Menor é melhor",100*Dados!$H17/Dados!H17,100*Dados!H17/Dados!$H17))</f>
        <v>100</v>
      </c>
      <c r="F33" s="44">
        <f>IF(OR(Dados!I17="",Dados!$H17=""),"",IF(Dados!$F17="Menor é melhor",100*Dados!$H17/Dados!I17,100*Dados!I17/Dados!$H17))</f>
        <v>103.98473435104326</v>
      </c>
      <c r="G33" s="44">
        <f>IF(OR(Dados!J17="",Dados!$H17=""),"",IF(Dados!$F17="Menor é melhor",100*Dados!$H17/Dados!J17,100*Dados!J17/Dados!$H17))</f>
        <v>102.51983201119926</v>
      </c>
      <c r="H33" s="44">
        <f>IF(OR(Dados!K17="",Dados!$H17=""),"",IF(Dados!$F17="Menor é melhor",100*Dados!$H17/Dados!K17,100*Dados!K17/Dados!$H17))</f>
        <v>108.97273515098993</v>
      </c>
      <c r="I33" s="44">
        <f>IF(OR(Dados!M17="",Dados!$H17=""),"",IF(Dados!$F17="Menor é melhor",100*Dados!$H17/Dados!M17,100*Dados!M17/Dados!$H17))</f>
        <v>100</v>
      </c>
      <c r="J33" s="44">
        <f>IF(OR(Dados!N17="",Dados!$H17=""),"",IF(Dados!$F17="Menor é melhor",100*Dados!$H17/Dados!N17,100*Dados!N17/Dados!$H17))</f>
        <v>100.00777725929387</v>
      </c>
      <c r="K33" s="44">
        <f>IF(OR(Dados!O17="",Dados!$H17=""),"",IF(Dados!$F17="Menor é melhor",100*Dados!$H17/Dados!O17,100*Dados!O17/Dados!$H17))</f>
        <v>100.01555451858759</v>
      </c>
      <c r="L33" s="44">
        <f>IF(OR(Dados!P17="",Dados!$H17=""),"",IF(Dados!$F17="Menor é melhor",100*Dados!$H17/Dados!P17,100*Dados!P17/Dados!$H17))</f>
        <v>100.02333177788148</v>
      </c>
      <c r="M33" s="44">
        <f>IF(OR(Dados!Q17="",Dados!$H17=""),"",IF(Dados!$F17="Menor é melhor",100*Dados!$H17/Dados!Q17,100*Dados!Q17/Dados!$H17))</f>
        <v>100.03110903717536</v>
      </c>
      <c r="N33" s="44">
        <f>IF(OR(Dados!R17="",Dados!$H17=""),"",IF(Dados!$F17="Menor é melhor",100*Dados!$H17/Dados!R17,100*Dados!R17/Dados!$H17))</f>
        <v>100.03888629646907</v>
      </c>
      <c r="O33" s="44">
        <f t="shared" si="12"/>
        <v>4.6051701859880918</v>
      </c>
      <c r="P33" s="44">
        <f t="shared" si="13"/>
        <v>4.6442441032812649</v>
      </c>
      <c r="Q33" s="44">
        <f t="shared" si="14"/>
        <v>4.6300562628991244</v>
      </c>
      <c r="R33" s="44">
        <f t="shared" si="15"/>
        <v>4.6910977147104092</v>
      </c>
      <c r="S33" s="44">
        <f t="shared" si="16"/>
        <v>4.6051701859880918</v>
      </c>
      <c r="T33" s="44">
        <f t="shared" si="17"/>
        <v>4.6052479555568988</v>
      </c>
      <c r="U33" s="44">
        <f t="shared" si="18"/>
        <v>4.6053257190780688</v>
      </c>
      <c r="V33" s="44">
        <f t="shared" si="19"/>
        <v>4.6054034765525458</v>
      </c>
      <c r="W33" s="44">
        <f t="shared" si="20"/>
        <v>4.6054812279812687</v>
      </c>
      <c r="X33" s="44">
        <f t="shared" si="21"/>
        <v>4.6055589733651745</v>
      </c>
      <c r="Y33" s="44">
        <f>Dados!U17</f>
        <v>1</v>
      </c>
    </row>
    <row r="34" spans="1:25" x14ac:dyDescent="0.35">
      <c r="A34" s="76" t="s">
        <v>162</v>
      </c>
      <c r="B34" s="77" t="str">
        <f>Dados!C18</f>
        <v>Educação e FP</v>
      </c>
      <c r="C34" s="77" t="str">
        <f>Dados!D18</f>
        <v>Salas de aula do I Ciclo do Ensino Secundário (cumulativo)</v>
      </c>
      <c r="D34" s="77" t="str">
        <f>Dados!F18</f>
        <v>Maior é melhor</v>
      </c>
      <c r="E34" s="78">
        <f>IF(OR(Dados!H18="",Dados!$H18=""),"",IF(Dados!$F18="Menor é melhor",100*Dados!$H18/Dados!H18,100*Dados!H18/Dados!$H18))</f>
        <v>100</v>
      </c>
      <c r="F34" s="78">
        <f>IF(OR(Dados!I18="",Dados!$H18=""),"",IF(Dados!$F18="Menor é melhor",100*Dados!$H18/Dados!I18,100*Dados!I18/Dados!$H18))</f>
        <v>123.64014596050882</v>
      </c>
      <c r="G34" s="78">
        <f>IF(OR(Dados!J18="",Dados!$H18=""),"",IF(Dados!$F18="Menor é melhor",100*Dados!$H18/Dados!J18,100*Dados!J18/Dados!$H18))</f>
        <v>143.887051120281</v>
      </c>
      <c r="H34" s="78">
        <f>IF(OR(Dados!K18="",Dados!$H18=""),"",IF(Dados!$F18="Menor é melhor",100*Dados!$H18/Dados!K18,100*Dados!K18/Dados!$H18))</f>
        <v>167.0088326569587</v>
      </c>
      <c r="I34" s="78">
        <f>IF(OR(Dados!M18="",Dados!$H18=""),"",IF(Dados!$F18="Menor é melhor",100*Dados!$H18/Dados!M18,100*Dados!M18/Dados!$H18))</f>
        <v>100</v>
      </c>
      <c r="J34" s="78">
        <f>IF(OR(Dados!N18="",Dados!$H18=""),"",IF(Dados!$F18="Menor é melhor",100*Dados!$H18/Dados!N18,100*Dados!N18/Dados!$H18))</f>
        <v>85.180006593231582</v>
      </c>
      <c r="K34" s="78">
        <f>IF(OR(Dados!O18="",Dados!$H18=""),"",IF(Dados!$F18="Menor é melhor",100*Dados!$H18/Dados!O18,100*Dados!O18/Dados!$H18))</f>
        <v>70.360013186463533</v>
      </c>
      <c r="L34" s="78">
        <f>IF(OR(Dados!P18="",Dados!$H18=""),"",IF(Dados!$F18="Menor é melhor",100*Dados!$H18/Dados!P18,100*Dados!P18/Dados!$H18))</f>
        <v>55.540019779695122</v>
      </c>
      <c r="M34" s="78">
        <f>IF(OR(Dados!Q18="",Dados!$H18=""),"",IF(Dados!$F18="Menor é melhor",100*Dados!$H18/Dados!Q18,100*Dados!Q18/Dados!$H18))</f>
        <v>55.540019779695122</v>
      </c>
      <c r="N34" s="78">
        <f>IF(OR(Dados!R18="",Dados!$H18=""),"",IF(Dados!$F18="Menor é melhor",100*Dados!$H18/Dados!R18,100*Dados!R18/Dados!$H18))</f>
        <v>55.540019779695122</v>
      </c>
      <c r="O34" s="78">
        <f t="shared" si="12"/>
        <v>4.6051701859880918</v>
      </c>
      <c r="P34" s="78">
        <f t="shared" si="13"/>
        <v>4.8173752977914361</v>
      </c>
      <c r="Q34" s="78">
        <f t="shared" si="14"/>
        <v>4.9690286245788107</v>
      </c>
      <c r="R34" s="78">
        <f t="shared" si="15"/>
        <v>5.1180467011795496</v>
      </c>
      <c r="S34" s="78">
        <f t="shared" si="16"/>
        <v>4.6051701859880918</v>
      </c>
      <c r="T34" s="78">
        <f t="shared" si="17"/>
        <v>4.4447667418985812</v>
      </c>
      <c r="U34" s="78">
        <f t="shared" si="18"/>
        <v>4.253625107283546</v>
      </c>
      <c r="V34" s="78">
        <f t="shared" si="19"/>
        <v>4.0171038380128197</v>
      </c>
      <c r="W34" s="78">
        <f t="shared" si="20"/>
        <v>4.0171038380128197</v>
      </c>
      <c r="X34" s="78">
        <f t="shared" si="21"/>
        <v>4.0171038380128197</v>
      </c>
      <c r="Y34" s="78">
        <f>Dados!U18</f>
        <v>1</v>
      </c>
    </row>
    <row r="35" spans="1:25" x14ac:dyDescent="0.35">
      <c r="A35" s="74" t="s">
        <v>163</v>
      </c>
      <c r="B35" s="75" t="str">
        <f>Dados!C19</f>
        <v>Educação e FP</v>
      </c>
      <c r="C35" s="75" t="str">
        <f>Dados!D19</f>
        <v>Salas de aula do II Ciclo do Ensino Secundário (cumulativo)</v>
      </c>
      <c r="D35" s="75" t="str">
        <f>Dados!F19</f>
        <v>Maior é melhor</v>
      </c>
      <c r="E35" s="44">
        <f>IF(OR(Dados!H19="",Dados!$H19=""),"",IF(Dados!$F19="Menor é melhor",100*Dados!$H19/Dados!H19,100*Dados!H19/Dados!$H19))</f>
        <v>100</v>
      </c>
      <c r="F35" s="44">
        <f>IF(OR(Dados!I19="",Dados!$H19=""),"",IF(Dados!$F19="Menor é melhor",100*Dados!$H19/Dados!I19,100*Dados!I19/Dados!$H19))</f>
        <v>97.275885184959478</v>
      </c>
      <c r="G35" s="44">
        <f>IF(OR(Dados!J19="",Dados!$H19=""),"",IF(Dados!$F19="Menor é melhor",100*Dados!$H19/Dados!J19,100*Dados!J19/Dados!$H19))</f>
        <v>116.85050886708514</v>
      </c>
      <c r="H35" s="44">
        <f>IF(OR(Dados!K19="",Dados!$H19=""),"",IF(Dados!$F19="Menor é melhor",100*Dados!$H19/Dados!K19,100*Dados!K19/Dados!$H19))</f>
        <v>148.91218233896032</v>
      </c>
      <c r="I35" s="44">
        <f>IF(OR(Dados!M19="",Dados!$H19=""),"",IF(Dados!$F19="Menor é melhor",100*Dados!$H19/Dados!M19,100*Dados!M19/Dados!$H19))</f>
        <v>100</v>
      </c>
      <c r="J35" s="44">
        <f>IF(OR(Dados!N19="",Dados!$H19=""),"",IF(Dados!$F19="Menor é melhor",100*Dados!$H19/Dados!N19,100*Dados!N19/Dados!$H19))</f>
        <v>89.298555670668534</v>
      </c>
      <c r="K35" s="44">
        <f>IF(OR(Dados!O19="",Dados!$H19=""),"",IF(Dados!$F19="Menor é melhor",100*Dados!$H19/Dados!O19,100*Dados!O19/Dados!$H19))</f>
        <v>78.597111341337069</v>
      </c>
      <c r="L35" s="44">
        <f>IF(OR(Dados!P19="",Dados!$H19=""),"",IF(Dados!$F19="Menor é melhor",100*Dados!$H19/Dados!P19,100*Dados!P19/Dados!$H19))</f>
        <v>67.895667012005603</v>
      </c>
      <c r="M35" s="44">
        <f>IF(OR(Dados!Q19="",Dados!$H19=""),"",IF(Dados!$F19="Menor é melhor",100*Dados!$H19/Dados!Q19,100*Dados!Q19/Dados!$H19))</f>
        <v>67.895667012005603</v>
      </c>
      <c r="N35" s="44">
        <f>IF(OR(Dados!R19="",Dados!$H19=""),"",IF(Dados!$F19="Menor é melhor",100*Dados!$H19/Dados!R19,100*Dados!R19/Dados!$H19))</f>
        <v>67.895667012005603</v>
      </c>
      <c r="O35" s="44">
        <f t="shared" si="12"/>
        <v>4.6051701859880918</v>
      </c>
      <c r="P35" s="44">
        <f t="shared" si="13"/>
        <v>4.5775511186488949</v>
      </c>
      <c r="Q35" s="44">
        <f t="shared" si="14"/>
        <v>4.7608954158498831</v>
      </c>
      <c r="R35" s="44">
        <f t="shared" si="15"/>
        <v>5.0033567519171962</v>
      </c>
      <c r="S35" s="44">
        <f t="shared" si="16"/>
        <v>4.6051701859880918</v>
      </c>
      <c r="T35" s="44">
        <f t="shared" si="17"/>
        <v>4.4919853138509662</v>
      </c>
      <c r="U35" s="44">
        <f t="shared" si="18"/>
        <v>4.3643349473773325</v>
      </c>
      <c r="V35" s="44">
        <f t="shared" si="19"/>
        <v>4.2179722182722577</v>
      </c>
      <c r="W35" s="44">
        <f t="shared" si="20"/>
        <v>4.2179722182722577</v>
      </c>
      <c r="X35" s="44">
        <f t="shared" si="21"/>
        <v>4.2179722182722577</v>
      </c>
      <c r="Y35" s="44">
        <f>Dados!U19</f>
        <v>1</v>
      </c>
    </row>
    <row r="36" spans="1:25" x14ac:dyDescent="0.35">
      <c r="A36" s="76" t="s">
        <v>164</v>
      </c>
      <c r="B36" s="77" t="str">
        <f>Dados!C20</f>
        <v>Educação e FP</v>
      </c>
      <c r="C36" s="77" t="str">
        <f>Dados!D20</f>
        <v>Taxa de alfabetização da população maior que 15 anos</v>
      </c>
      <c r="D36" s="77" t="str">
        <f>Dados!F20</f>
        <v>Maior é melhor</v>
      </c>
      <c r="E36" s="78">
        <f>IF(OR(Dados!H20="",Dados!$H20=""),"",IF(Dados!$F20="Menor é melhor",100*Dados!$H20/Dados!H20,100*Dados!H20/Dados!$H20))</f>
        <v>100</v>
      </c>
      <c r="F36" s="78">
        <f>IF(OR(Dados!I20="",Dados!$H20=""),"",IF(Dados!$F20="Menor é melhor",100*Dados!$H20/Dados!I20,100*Dados!I20/Dados!$H20))</f>
        <v>100</v>
      </c>
      <c r="G36" s="78">
        <f>IF(OR(Dados!J20="",Dados!$H20=""),"",IF(Dados!$F20="Menor é melhor",100*Dados!$H20/Dados!J20,100*Dados!J20/Dados!$H20))</f>
        <v>100</v>
      </c>
      <c r="H36" s="78">
        <f>IF(OR(Dados!K20="",Dados!$H20=""),"",IF(Dados!$F20="Menor é melhor",100*Dados!$H20/Dados!K20,100*Dados!K20/Dados!$H20))</f>
        <v>100</v>
      </c>
      <c r="I36" s="78">
        <f>IF(OR(Dados!M20="",Dados!$H20=""),"",IF(Dados!$F20="Menor é melhor",100*Dados!$H20/Dados!M20,100*Dados!M20/Dados!$H20))</f>
        <v>100</v>
      </c>
      <c r="J36" s="78">
        <f>IF(OR(Dados!N20="",Dados!$H20=""),"",IF(Dados!$F20="Menor é melhor",100*Dados!$H20/Dados!N20,100*Dados!N20/Dados!$H20))</f>
        <v>100.43859649122803</v>
      </c>
      <c r="K36" s="78">
        <f>IF(OR(Dados!O20="",Dados!$H20=""),"",IF(Dados!$F20="Menor é melhor",100*Dados!$H20/Dados!O20,100*Dados!O20/Dados!$H20))</f>
        <v>100.87719298245618</v>
      </c>
      <c r="L36" s="78">
        <f>IF(OR(Dados!P20="",Dados!$H20=""),"",IF(Dados!$F20="Menor é melhor",100*Dados!$H20/Dados!P20,100*Dados!P20/Dados!$H20))</f>
        <v>101.31578947368421</v>
      </c>
      <c r="M36" s="78">
        <f>IF(OR(Dados!Q20="",Dados!$H20=""),"",IF(Dados!$F20="Menor é melhor",100*Dados!$H20/Dados!Q20,100*Dados!Q20/Dados!$H20))</f>
        <v>101.97368421052632</v>
      </c>
      <c r="N36" s="78">
        <f>IF(OR(Dados!R20="",Dados!$H20=""),"",IF(Dados!$F20="Menor é melhor",100*Dados!$H20/Dados!R20,100*Dados!R20/Dados!$H20))</f>
        <v>102.63157894736842</v>
      </c>
      <c r="O36" s="78">
        <f t="shared" si="12"/>
        <v>4.6051701859880918</v>
      </c>
      <c r="P36" s="78">
        <f t="shared" si="13"/>
        <v>4.6051701859880918</v>
      </c>
      <c r="Q36" s="78">
        <f t="shared" si="14"/>
        <v>4.6051701859880918</v>
      </c>
      <c r="R36" s="78">
        <f t="shared" si="15"/>
        <v>4.6051701859880918</v>
      </c>
      <c r="S36" s="78">
        <f t="shared" si="16"/>
        <v>4.6051701859880918</v>
      </c>
      <c r="T36" s="78">
        <f t="shared" si="17"/>
        <v>4.6095465605878898</v>
      </c>
      <c r="U36" s="78">
        <f t="shared" si="18"/>
        <v>4.6139038659568463</v>
      </c>
      <c r="V36" s="78">
        <f t="shared" si="19"/>
        <v>4.618242267555444</v>
      </c>
      <c r="W36" s="78">
        <f t="shared" si="20"/>
        <v>4.6247147820610612</v>
      </c>
      <c r="X36" s="78">
        <f t="shared" si="21"/>
        <v>4.6311456723913524</v>
      </c>
      <c r="Y36" s="78">
        <f>Dados!U20</f>
        <v>1</v>
      </c>
    </row>
    <row r="37" spans="1:25" x14ac:dyDescent="0.35">
      <c r="A37" s="74" t="s">
        <v>165</v>
      </c>
      <c r="B37" s="75" t="str">
        <f>Dados!C21</f>
        <v>Educação e FP</v>
      </c>
      <c r="C37" s="75" t="str">
        <f>Dados!D21</f>
        <v>Taxa de conclusão do Ensino Primário</v>
      </c>
      <c r="D37" s="75" t="str">
        <f>Dados!F21</f>
        <v>Maior é melhor</v>
      </c>
      <c r="E37" s="44">
        <f>IF(OR(Dados!H21="",Dados!$H21=""),"",IF(Dados!$F21="Menor é melhor",100*Dados!$H21/Dados!H21,100*Dados!H21/Dados!$H21))</f>
        <v>100</v>
      </c>
      <c r="F37" s="44">
        <f>IF(OR(Dados!I21="",Dados!$H21=""),"",IF(Dados!$F21="Menor é melhor",100*Dados!$H21/Dados!I21,100*Dados!I21/Dados!$H21))</f>
        <v>95.081967213114751</v>
      </c>
      <c r="G37" s="44">
        <f>IF(OR(Dados!J21="",Dados!$H21=""),"",IF(Dados!$F21="Menor é melhor",100*Dados!$H21/Dados!J21,100*Dados!J21/Dados!$H21))</f>
        <v>95.081967213114751</v>
      </c>
      <c r="H37" s="44">
        <f>IF(OR(Dados!K21="",Dados!$H21=""),"",IF(Dados!$F21="Menor é melhor",100*Dados!$H21/Dados!K21,100*Dados!K21/Dados!$H21))</f>
        <v>95.081967213114751</v>
      </c>
      <c r="I37" s="44">
        <f>IF(OR(Dados!M21="",Dados!$H21=""),"",IF(Dados!$F21="Menor é melhor",100*Dados!$H21/Dados!M21,100*Dados!M21/Dados!$H21))</f>
        <v>100</v>
      </c>
      <c r="J37" s="44">
        <f>IF(OR(Dados!N21="",Dados!$H21=""),"",IF(Dados!$F21="Menor é melhor",100*Dados!$H21/Dados!N21,100*Dados!N21/Dados!$H21))</f>
        <v>104.37158469945361</v>
      </c>
      <c r="K37" s="44">
        <f>IF(OR(Dados!O21="",Dados!$H21=""),"",IF(Dados!$F21="Menor é melhor",100*Dados!$H21/Dados!O21,100*Dados!O21/Dados!$H21))</f>
        <v>108.74316939890706</v>
      </c>
      <c r="L37" s="44">
        <f>IF(OR(Dados!P21="",Dados!$H21=""),"",IF(Dados!$F21="Menor é melhor",100*Dados!$H21/Dados!P21,100*Dados!P21/Dados!$H21))</f>
        <v>113.11475409836065</v>
      </c>
      <c r="M37" s="44">
        <f>IF(OR(Dados!Q21="",Dados!$H21=""),"",IF(Dados!$F21="Menor é melhor",100*Dados!$H21/Dados!Q21,100*Dados!Q21/Dados!$H21))</f>
        <v>117.48633879781426</v>
      </c>
      <c r="N37" s="44">
        <f>IF(OR(Dados!R21="",Dados!$H21=""),"",IF(Dados!$F21="Menor é melhor",100*Dados!$H21/Dados!R21,100*Dados!R21/Dados!$H21))</f>
        <v>121.85792349726771</v>
      </c>
      <c r="O37" s="44">
        <f t="shared" si="12"/>
        <v>4.6051701859880918</v>
      </c>
      <c r="P37" s="44">
        <f t="shared" si="13"/>
        <v>4.5547393323611995</v>
      </c>
      <c r="Q37" s="44">
        <f t="shared" si="14"/>
        <v>4.5547393323611995</v>
      </c>
      <c r="R37" s="44">
        <f t="shared" si="15"/>
        <v>4.5547393323611995</v>
      </c>
      <c r="S37" s="44">
        <f t="shared" si="16"/>
        <v>4.6051701859880918</v>
      </c>
      <c r="T37" s="44">
        <f t="shared" si="17"/>
        <v>4.6479574611933012</v>
      </c>
      <c r="U37" s="44">
        <f t="shared" si="18"/>
        <v>4.6889888578711627</v>
      </c>
      <c r="V37" s="44">
        <f t="shared" si="19"/>
        <v>4.7284028264120392</v>
      </c>
      <c r="W37" s="44">
        <f t="shared" si="20"/>
        <v>4.7663220612743338</v>
      </c>
      <c r="X37" s="44">
        <f t="shared" si="21"/>
        <v>4.8028558046067884</v>
      </c>
      <c r="Y37" s="44">
        <f>Dados!U21</f>
        <v>1</v>
      </c>
    </row>
    <row r="38" spans="1:25" x14ac:dyDescent="0.35">
      <c r="A38" s="76" t="s">
        <v>166</v>
      </c>
      <c r="B38" s="77" t="str">
        <f>Dados!C22</f>
        <v>Educação e FP</v>
      </c>
      <c r="C38" s="77" t="str">
        <f>Dados!D22</f>
        <v>Taxa de conclusão do I Ciclo do Ensino Secundário (Ensino Geral)</v>
      </c>
      <c r="D38" s="77" t="str">
        <f>Dados!F22</f>
        <v>Maior é melhor</v>
      </c>
      <c r="E38" s="78">
        <f>IF(OR(Dados!H22="",Dados!$H22=""),"",IF(Dados!$F22="Menor é melhor",100*Dados!$H22/Dados!H22,100*Dados!H22/Dados!$H22))</f>
        <v>100</v>
      </c>
      <c r="F38" s="78">
        <f>IF(OR(Dados!I22="",Dados!$H22=""),"",IF(Dados!$F22="Menor é melhor",100*Dados!$H22/Dados!I22,100*Dados!I22/Dados!$H22))</f>
        <v>95.454545454545453</v>
      </c>
      <c r="G38" s="78">
        <f>IF(OR(Dados!J22="",Dados!$H22=""),"",IF(Dados!$F22="Menor é melhor",100*Dados!$H22/Dados!J22,100*Dados!J22/Dados!$H22))</f>
        <v>102.27272727272727</v>
      </c>
      <c r="H38" s="78">
        <f>IF(OR(Dados!K22="",Dados!$H22=""),"",IF(Dados!$F22="Menor é melhor",100*Dados!$H22/Dados!K22,100*Dados!K22/Dados!$H22))</f>
        <v>102.27272727272727</v>
      </c>
      <c r="I38" s="78">
        <f>IF(OR(Dados!M22="",Dados!$H22=""),"",IF(Dados!$F22="Menor é melhor",100*Dados!$H22/Dados!M22,100*Dados!M22/Dados!$H22))</f>
        <v>100</v>
      </c>
      <c r="J38" s="78">
        <f>IF(OR(Dados!N22="",Dados!$H22=""),"",IF(Dados!$F22="Menor é melhor",100*Dados!$H22/Dados!N22,100*Dados!N22/Dados!$H22))</f>
        <v>107.57575757575751</v>
      </c>
      <c r="K38" s="78">
        <f>IF(OR(Dados!O22="",Dados!$H22=""),"",IF(Dados!$F22="Menor é melhor",100*Dados!$H22/Dados!O22,100*Dados!O22/Dados!$H22))</f>
        <v>115.15151515151523</v>
      </c>
      <c r="L38" s="78">
        <f>IF(OR(Dados!P22="",Dados!$H22=""),"",IF(Dados!$F22="Menor é melhor",100*Dados!$H22/Dados!P22,100*Dados!P22/Dados!$H22))</f>
        <v>122.72727272727273</v>
      </c>
      <c r="M38" s="78">
        <f>IF(OR(Dados!Q22="",Dados!$H22=""),"",IF(Dados!$F22="Menor é melhor",100*Dados!$H22/Dados!Q22,100*Dados!Q22/Dados!$H22))</f>
        <v>130.30303030303023</v>
      </c>
      <c r="N38" s="78">
        <f>IF(OR(Dados!R22="",Dados!$H22=""),"",IF(Dados!$F22="Menor é melhor",100*Dados!$H22/Dados!R22,100*Dados!R22/Dados!$H22))</f>
        <v>137.87878787878796</v>
      </c>
      <c r="O38" s="78">
        <f t="shared" si="12"/>
        <v>4.6051701859880918</v>
      </c>
      <c r="P38" s="78">
        <f t="shared" si="13"/>
        <v>4.5586501703531983</v>
      </c>
      <c r="Q38" s="78">
        <f t="shared" si="14"/>
        <v>4.62764304184015</v>
      </c>
      <c r="R38" s="78">
        <f t="shared" si="15"/>
        <v>4.62764304184015</v>
      </c>
      <c r="S38" s="78">
        <f t="shared" si="16"/>
        <v>4.6051701859880918</v>
      </c>
      <c r="T38" s="78">
        <f t="shared" si="17"/>
        <v>4.6781953210029803</v>
      </c>
      <c r="U38" s="78">
        <f t="shared" si="18"/>
        <v>4.7462487842479977</v>
      </c>
      <c r="V38" s="78">
        <f t="shared" si="19"/>
        <v>4.8099645986341049</v>
      </c>
      <c r="W38" s="78">
        <f t="shared" si="20"/>
        <v>4.8698627402151731</v>
      </c>
      <c r="X38" s="78">
        <f t="shared" si="21"/>
        <v>4.9263749504785164</v>
      </c>
      <c r="Y38" s="78">
        <f>Dados!U22</f>
        <v>1</v>
      </c>
    </row>
    <row r="39" spans="1:25" x14ac:dyDescent="0.35">
      <c r="A39" s="74" t="s">
        <v>167</v>
      </c>
      <c r="B39" s="75" t="str">
        <f>Dados!C23</f>
        <v>Educação e FP</v>
      </c>
      <c r="C39" s="75" t="str">
        <f>Dados!D23</f>
        <v>Taxa de conclusão do II Ciclo do Ensino Secundário (Ensino Geral)</v>
      </c>
      <c r="D39" s="75" t="str">
        <f>Dados!F23</f>
        <v>Maior é melhor</v>
      </c>
      <c r="E39" s="44">
        <f>IF(OR(Dados!H23="",Dados!$H23=""),"",IF(Dados!$F23="Menor é melhor",100*Dados!$H23/Dados!H23,100*Dados!H23/Dados!$H23))</f>
        <v>100</v>
      </c>
      <c r="F39" s="44">
        <f>IF(OR(Dados!I23="",Dados!$H23=""),"",IF(Dados!$F23="Menor é melhor",100*Dados!$H23/Dados!I23,100*Dados!I23/Dados!$H23))</f>
        <v>80</v>
      </c>
      <c r="G39" s="44">
        <f>IF(OR(Dados!J23="",Dados!$H23=""),"",IF(Dados!$F23="Menor é melhor",100*Dados!$H23/Dados!J23,100*Dados!J23/Dados!$H23))</f>
        <v>66.666666666666671</v>
      </c>
      <c r="H39" s="44">
        <f>IF(OR(Dados!K23="",Dados!$H23=""),"",IF(Dados!$F23="Menor é melhor",100*Dados!$H23/Dados!K23,100*Dados!K23/Dados!$H23))</f>
        <v>66.666666666666671</v>
      </c>
      <c r="I39" s="44">
        <f>IF(OR(Dados!M23="",Dados!$H23=""),"",IF(Dados!$F23="Menor é melhor",100*Dados!$H23/Dados!M23,100*Dados!M23/Dados!$H23))</f>
        <v>100</v>
      </c>
      <c r="J39" s="44">
        <f>IF(OR(Dados!N23="",Dados!$H23=""),"",IF(Dados!$F23="Menor é melhor",100*Dados!$H23/Dados!N23,100*Dados!N23/Dados!$H23))</f>
        <v>115.55555555555534</v>
      </c>
      <c r="K39" s="44">
        <f>IF(OR(Dados!O23="",Dados!$H23=""),"",IF(Dados!$F23="Menor é melhor",100*Dados!$H23/Dados!O23,100*Dados!O23/Dados!$H23))</f>
        <v>131.11111111111134</v>
      </c>
      <c r="L39" s="44">
        <f>IF(OR(Dados!P23="",Dados!$H23=""),"",IF(Dados!$F23="Menor é melhor",100*Dados!$H23/Dados!P23,100*Dados!P23/Dados!$H23))</f>
        <v>146.66666666666666</v>
      </c>
      <c r="M39" s="44">
        <f>IF(OR(Dados!Q23="",Dados!$H23=""),"",IF(Dados!$F23="Menor é melhor",100*Dados!$H23/Dados!Q23,100*Dados!Q23/Dados!$H23))</f>
        <v>162.222222222222</v>
      </c>
      <c r="N39" s="44">
        <f>IF(OR(Dados!R23="",Dados!$H23=""),"",IF(Dados!$F23="Menor é melhor",100*Dados!$H23/Dados!R23,100*Dados!R23/Dados!$H23))</f>
        <v>177.777777777778</v>
      </c>
      <c r="O39" s="44">
        <f t="shared" si="12"/>
        <v>4.6051701859880918</v>
      </c>
      <c r="P39" s="44">
        <f t="shared" si="13"/>
        <v>4.3820266346738812</v>
      </c>
      <c r="Q39" s="44">
        <f t="shared" si="14"/>
        <v>4.1997050778799272</v>
      </c>
      <c r="R39" s="44">
        <f t="shared" si="15"/>
        <v>4.1997050778799272</v>
      </c>
      <c r="S39" s="44">
        <f t="shared" si="16"/>
        <v>4.6051701859880918</v>
      </c>
      <c r="T39" s="44">
        <f t="shared" si="17"/>
        <v>4.7497514147991975</v>
      </c>
      <c r="U39" s="44">
        <f t="shared" si="18"/>
        <v>4.8760451401234928</v>
      </c>
      <c r="V39" s="44">
        <f t="shared" si="19"/>
        <v>4.9881624382441974</v>
      </c>
      <c r="W39" s="44">
        <f t="shared" si="20"/>
        <v>5.0889671373661614</v>
      </c>
      <c r="X39" s="44">
        <f t="shared" si="21"/>
        <v>5.1805343308916543</v>
      </c>
      <c r="Y39" s="44">
        <f>Dados!U23</f>
        <v>1</v>
      </c>
    </row>
    <row r="40" spans="1:25" x14ac:dyDescent="0.35">
      <c r="A40" s="76" t="s">
        <v>168</v>
      </c>
      <c r="B40" s="77" t="str">
        <f>Dados!C24</f>
        <v>Educação e FP</v>
      </c>
      <c r="C40" s="77" t="str">
        <f>Dados!D24</f>
        <v>Professores de Ensino Pré-escolar com a qualificação mínima exigida (cumulativo)</v>
      </c>
      <c r="D40" s="77" t="str">
        <f>Dados!F24</f>
        <v>Maior é melhor</v>
      </c>
      <c r="E40" s="78">
        <f>IF(OR(Dados!H24="",Dados!$H24=""),"",IF(Dados!$F24="Menor é melhor",100*Dados!$H24/Dados!H24,100*Dados!H24/Dados!$H24))</f>
        <v>100</v>
      </c>
      <c r="F40" s="78">
        <f>IF(OR(Dados!I24="",Dados!$H24=""),"",IF(Dados!$F24="Menor é melhor",100*Dados!$H24/Dados!I24,100*Dados!I24/Dados!$H24))</f>
        <v>123.07692307692308</v>
      </c>
      <c r="G40" s="78" t="str">
        <f>IF(OR(Dados!J24="",Dados!$H24=""),"",IF(Dados!$F24="Menor é melhor",100*Dados!$H24/Dados!J24,100*Dados!J24/Dados!$H24))</f>
        <v/>
      </c>
      <c r="H40" s="78" t="str">
        <f>IF(OR(Dados!K24="",Dados!$H24=""),"",IF(Dados!$F24="Menor é melhor",100*Dados!$H24/Dados!K24,100*Dados!K24/Dados!$H24))</f>
        <v/>
      </c>
      <c r="I40" s="78">
        <f>IF(OR(Dados!M24="",Dados!$H24=""),"",IF(Dados!$F24="Menor é melhor",100*Dados!$H24/Dados!M24,100*Dados!M24/Dados!$H24))</f>
        <v>100</v>
      </c>
      <c r="J40" s="78">
        <f>IF(OR(Dados!N24="",Dados!$H24=""),"",IF(Dados!$F24="Menor é melhor",100*Dados!$H24/Dados!N24,100*Dados!N24/Dados!$H24))</f>
        <v>100</v>
      </c>
      <c r="K40" s="78">
        <f>IF(OR(Dados!O24="",Dados!$H24=""),"",IF(Dados!$F24="Menor é melhor",100*Dados!$H24/Dados!O24,100*Dados!O24/Dados!$H24))</f>
        <v>100</v>
      </c>
      <c r="L40" s="78">
        <f>IF(OR(Dados!P24="",Dados!$H24=""),"",IF(Dados!$F24="Menor é melhor",100*Dados!$H24/Dados!P24,100*Dados!P24/Dados!$H24))</f>
        <v>100</v>
      </c>
      <c r="M40" s="78">
        <f>IF(OR(Dados!Q24="",Dados!$H24=""),"",IF(Dados!$F24="Menor é melhor",100*Dados!$H24/Dados!Q24,100*Dados!Q24/Dados!$H24))</f>
        <v>100</v>
      </c>
      <c r="N40" s="78">
        <f>IF(OR(Dados!R24="",Dados!$H24=""),"",IF(Dados!$F24="Menor é melhor",100*Dados!$H24/Dados!R24,100*Dados!R24/Dados!$H24))</f>
        <v>100</v>
      </c>
      <c r="O40" s="78">
        <f t="shared" si="12"/>
        <v>4.6051701859880918</v>
      </c>
      <c r="P40" s="78">
        <f t="shared" si="13"/>
        <v>4.8128095507663362</v>
      </c>
      <c r="Q40" s="78" t="str">
        <f t="shared" si="14"/>
        <v/>
      </c>
      <c r="R40" s="78" t="str">
        <f t="shared" si="15"/>
        <v/>
      </c>
      <c r="S40" s="78">
        <f t="shared" si="16"/>
        <v>4.6051701859880918</v>
      </c>
      <c r="T40" s="78">
        <f t="shared" si="17"/>
        <v>4.6051701859880918</v>
      </c>
      <c r="U40" s="78">
        <f t="shared" si="18"/>
        <v>4.6051701859880918</v>
      </c>
      <c r="V40" s="78">
        <f t="shared" si="19"/>
        <v>4.6051701859880918</v>
      </c>
      <c r="W40" s="78">
        <f t="shared" si="20"/>
        <v>4.6051701859880918</v>
      </c>
      <c r="X40" s="78">
        <f t="shared" si="21"/>
        <v>4.6051701859880918</v>
      </c>
      <c r="Y40" s="78">
        <f>Dados!U24</f>
        <v>0</v>
      </c>
    </row>
    <row r="41" spans="1:25" x14ac:dyDescent="0.35">
      <c r="A41" s="74" t="s">
        <v>169</v>
      </c>
      <c r="B41" s="75" t="str">
        <f>Dados!C25</f>
        <v>Educação e FP</v>
      </c>
      <c r="C41" s="75" t="str">
        <f>Dados!D25</f>
        <v>Professores de Ensino Primário com a qualificação mínima exigida (cumulativo)</v>
      </c>
      <c r="D41" s="75" t="str">
        <f>Dados!F25</f>
        <v>Maior é melhor</v>
      </c>
      <c r="E41" s="44">
        <f>IF(OR(Dados!H25="",Dados!$H25=""),"",IF(Dados!$F25="Menor é melhor",100*Dados!$H25/Dados!H25,100*Dados!H25/Dados!$H25))</f>
        <v>100</v>
      </c>
      <c r="F41" s="44">
        <f>IF(OR(Dados!I25="",Dados!$H25=""),"",IF(Dados!$F25="Menor é melhor",100*Dados!$H25/Dados!I25,100*Dados!I25/Dados!$H25))</f>
        <v>101.23456790123457</v>
      </c>
      <c r="G41" s="44" t="str">
        <f>IF(OR(Dados!J25="",Dados!$H25=""),"",IF(Dados!$F25="Menor é melhor",100*Dados!$H25/Dados!J25,100*Dados!J25/Dados!$H25))</f>
        <v/>
      </c>
      <c r="H41" s="44" t="str">
        <f>IF(OR(Dados!K25="",Dados!$H25=""),"",IF(Dados!$F25="Menor é melhor",100*Dados!$H25/Dados!K25,100*Dados!K25/Dados!$H25))</f>
        <v/>
      </c>
      <c r="I41" s="44">
        <f>IF(OR(Dados!M25="",Dados!$H25=""),"",IF(Dados!$F25="Menor é melhor",100*Dados!$H25/Dados!M25,100*Dados!M25/Dados!$H25))</f>
        <v>100</v>
      </c>
      <c r="J41" s="44">
        <f>IF(OR(Dados!N25="",Dados!$H25=""),"",IF(Dados!$F25="Menor é melhor",100*Dados!$H25/Dados!N25,100*Dados!N25/Dados!$H25))</f>
        <v>95.473251028806544</v>
      </c>
      <c r="K41" s="44">
        <f>IF(OR(Dados!O25="",Dados!$H25=""),"",IF(Dados!$F25="Menor é melhor",100*Dados!$H25/Dados!O25,100*Dados!O25/Dados!$H25))</f>
        <v>90.946502057613202</v>
      </c>
      <c r="L41" s="44">
        <f>IF(OR(Dados!P25="",Dados!$H25=""),"",IF(Dados!$F25="Menor é melhor",100*Dados!$H25/Dados!P25,100*Dados!P25/Dados!$H25))</f>
        <v>86.419753086419746</v>
      </c>
      <c r="M41" s="44">
        <f>IF(OR(Dados!Q25="",Dados!$H25=""),"",IF(Dados!$F25="Menor é melhor",100*Dados!$H25/Dados!Q25,100*Dados!Q25/Dados!$H25))</f>
        <v>86.419753086419746</v>
      </c>
      <c r="N41" s="44">
        <f>IF(OR(Dados!R25="",Dados!$H25=""),"",IF(Dados!$F25="Menor é melhor",100*Dados!$H25/Dados!R25,100*Dados!R25/Dados!$H25))</f>
        <v>86.419753086419746</v>
      </c>
      <c r="O41" s="44">
        <f t="shared" si="12"/>
        <v>4.6051701859880918</v>
      </c>
      <c r="P41" s="44">
        <f t="shared" si="13"/>
        <v>4.617440278579906</v>
      </c>
      <c r="Q41" s="44" t="str">
        <f t="shared" si="14"/>
        <v/>
      </c>
      <c r="R41" s="44" t="str">
        <f t="shared" si="15"/>
        <v/>
      </c>
      <c r="S41" s="44">
        <f t="shared" si="16"/>
        <v>4.6051701859880918</v>
      </c>
      <c r="T41" s="44">
        <f t="shared" si="17"/>
        <v>4.5588461143138526</v>
      </c>
      <c r="U41" s="44">
        <f t="shared" si="18"/>
        <v>4.510271444165296</v>
      </c>
      <c r="V41" s="44">
        <f t="shared" si="19"/>
        <v>4.4592162733650111</v>
      </c>
      <c r="W41" s="44">
        <f t="shared" si="20"/>
        <v>4.4592162733650111</v>
      </c>
      <c r="X41" s="44">
        <f t="shared" si="21"/>
        <v>4.4592162733650111</v>
      </c>
      <c r="Y41" s="44">
        <f>Dados!U25</f>
        <v>0</v>
      </c>
    </row>
    <row r="42" spans="1:25" x14ac:dyDescent="0.35">
      <c r="A42" s="76" t="s">
        <v>170</v>
      </c>
      <c r="B42" s="77" t="str">
        <f>Dados!C26</f>
        <v>Educação e FP</v>
      </c>
      <c r="C42" s="77" t="str">
        <f>Dados!D26</f>
        <v>Professores de Ensino Secundário com a qualificação mínima exigida (cumulativo)</v>
      </c>
      <c r="D42" s="77" t="str">
        <f>Dados!F26</f>
        <v>Maior é melhor</v>
      </c>
      <c r="E42" s="78">
        <f>IF(OR(Dados!H26="",Dados!$H26=""),"",IF(Dados!$F26="Menor é melhor",100*Dados!$H26/Dados!H26,100*Dados!H26/Dados!$H26))</f>
        <v>100</v>
      </c>
      <c r="F42" s="78">
        <f>IF(OR(Dados!I26="",Dados!$H26=""),"",IF(Dados!$F26="Menor é melhor",100*Dados!$H26/Dados!I26,100*Dados!I26/Dados!$H26))</f>
        <v>101.20481927710843</v>
      </c>
      <c r="G42" s="78" t="str">
        <f>IF(OR(Dados!J26="",Dados!$H26=""),"",IF(Dados!$F26="Menor é melhor",100*Dados!$H26/Dados!J26,100*Dados!J26/Dados!$H26))</f>
        <v/>
      </c>
      <c r="H42" s="78" t="str">
        <f>IF(OR(Dados!K26="",Dados!$H26=""),"",IF(Dados!$F26="Menor é melhor",100*Dados!$H26/Dados!K26,100*Dados!K26/Dados!$H26))</f>
        <v/>
      </c>
      <c r="I42" s="78">
        <f>IF(OR(Dados!M26="",Dados!$H26=""),"",IF(Dados!$F26="Menor é melhor",100*Dados!$H26/Dados!M26,100*Dados!M26/Dados!$H26))</f>
        <v>100</v>
      </c>
      <c r="J42" s="78">
        <f>IF(OR(Dados!N26="",Dados!$H26=""),"",IF(Dados!$F26="Menor é melhor",100*Dados!$H26/Dados!N26,100*Dados!N26/Dados!$H26))</f>
        <v>98.795180722891573</v>
      </c>
      <c r="K42" s="78">
        <f>IF(OR(Dados!O26="",Dados!$H26=""),"",IF(Dados!$F26="Menor é melhor",100*Dados!$H26/Dados!O26,100*Dados!O26/Dados!$H26))</f>
        <v>97.590361445783131</v>
      </c>
      <c r="L42" s="78">
        <f>IF(OR(Dados!P26="",Dados!$H26=""),"",IF(Dados!$F26="Menor é melhor",100*Dados!$H26/Dados!P26,100*Dados!P26/Dados!$H26))</f>
        <v>96.385542168674704</v>
      </c>
      <c r="M42" s="78">
        <f>IF(OR(Dados!Q26="",Dados!$H26=""),"",IF(Dados!$F26="Menor é melhor",100*Dados!$H26/Dados!Q26,100*Dados!Q26/Dados!$H26))</f>
        <v>96.385542168674704</v>
      </c>
      <c r="N42" s="78">
        <f>IF(OR(Dados!R26="",Dados!$H26=""),"",IF(Dados!$F26="Menor é melhor",100*Dados!$H26/Dados!R26,100*Dados!R26/Dados!$H26))</f>
        <v>96.385542168674704</v>
      </c>
      <c r="O42" s="78">
        <f t="shared" si="12"/>
        <v>4.6051701859880918</v>
      </c>
      <c r="P42" s="78">
        <f t="shared" si="13"/>
        <v>4.6171463770348069</v>
      </c>
      <c r="Q42" s="78" t="str">
        <f t="shared" si="14"/>
        <v/>
      </c>
      <c r="R42" s="78" t="str">
        <f t="shared" si="15"/>
        <v/>
      </c>
      <c r="S42" s="78">
        <f t="shared" si="16"/>
        <v>4.6051701859880918</v>
      </c>
      <c r="T42" s="78">
        <f t="shared" si="17"/>
        <v>4.5930488254557469</v>
      </c>
      <c r="U42" s="78">
        <f t="shared" si="18"/>
        <v>4.5807787328639318</v>
      </c>
      <c r="V42" s="78">
        <f t="shared" si="19"/>
        <v>4.5683562128653747</v>
      </c>
      <c r="W42" s="78">
        <f t="shared" si="20"/>
        <v>4.5683562128653747</v>
      </c>
      <c r="X42" s="78">
        <f t="shared" si="21"/>
        <v>4.5683562128653747</v>
      </c>
      <c r="Y42" s="78">
        <f>Dados!U26</f>
        <v>0</v>
      </c>
    </row>
    <row r="43" spans="1:25" x14ac:dyDescent="0.35">
      <c r="A43" s="74" t="s">
        <v>171</v>
      </c>
      <c r="B43" s="75" t="str">
        <f>Dados!C27</f>
        <v>Educação e FP</v>
      </c>
      <c r="C43" s="75" t="str">
        <f>Dados!D27</f>
        <v>Número de pessoas formadas pelo SNEFP (cumulativo)</v>
      </c>
      <c r="D43" s="75" t="str">
        <f>Dados!F27</f>
        <v>Maior é melhor</v>
      </c>
      <c r="E43" s="44">
        <f>IF(OR(Dados!H27="",Dados!$H27=""),"",IF(Dados!$F27="Menor é melhor",100*Dados!$H27/Dados!H27,100*Dados!H27/Dados!$H27))</f>
        <v>100</v>
      </c>
      <c r="F43" s="44">
        <f>IF(OR(Dados!I27="",Dados!$H27=""),"",IF(Dados!$F27="Menor é melhor",100*Dados!$H27/Dados!I27,100*Dados!I27/Dados!$H27))</f>
        <v>188.49931133600813</v>
      </c>
      <c r="G43" s="44">
        <f>IF(OR(Dados!J27="",Dados!$H27=""),"",IF(Dados!$F27="Menor é melhor",100*Dados!$H27/Dados!J27,100*Dados!J27/Dados!$H27))</f>
        <v>340.82879214324208</v>
      </c>
      <c r="H43" s="44">
        <f>IF(OR(Dados!K27="",Dados!$H27=""),"",IF(Dados!$F27="Menor é melhor",100*Dados!$H27/Dados!K27,100*Dados!K27/Dados!$H27))</f>
        <v>523.00137732798373</v>
      </c>
      <c r="I43" s="44">
        <f>IF(OR(Dados!M27="",Dados!$H27=""),"",IF(Dados!$F27="Menor é melhor",100*Dados!$H27/Dados!M27,100*Dados!M27/Dados!$H27))</f>
        <v>100</v>
      </c>
      <c r="J43" s="44">
        <f>IF(OR(Dados!N27="",Dados!$H27=""),"",IF(Dados!$F27="Menor é melhor",100*Dados!$H27/Dados!N27,100*Dados!N27/Dados!$H27))</f>
        <v>184.10550199280098</v>
      </c>
      <c r="K43" s="44">
        <f>IF(OR(Dados!O27="",Dados!$H27=""),"",IF(Dados!$F27="Menor é melhor",100*Dados!$H27/Dados!O27,100*Dados!O27/Dados!$H27))</f>
        <v>268.21100398560094</v>
      </c>
      <c r="L43" s="44">
        <f>IF(OR(Dados!P27="",Dados!$H27=""),"",IF(Dados!$F27="Menor é melhor",100*Dados!$H27/Dados!P27,100*Dados!P27/Dados!$H27))</f>
        <v>352.31650597840189</v>
      </c>
      <c r="M43" s="44">
        <f>IF(OR(Dados!Q27="",Dados!$H27=""),"",IF(Dados!$F27="Menor é melhor",100*Dados!$H27/Dados!Q27,100*Dados!Q27/Dados!$H27))</f>
        <v>436.4220079712029</v>
      </c>
      <c r="N43" s="44">
        <f>IF(OR(Dados!R27="",Dados!$H27=""),"",IF(Dados!$F27="Menor é melhor",100*Dados!$H27/Dados!R27,100*Dados!R27/Dados!$H27))</f>
        <v>520.52750996400277</v>
      </c>
      <c r="O43" s="44">
        <f t="shared" si="12"/>
        <v>4.6051701859880918</v>
      </c>
      <c r="P43" s="44">
        <f t="shared" si="13"/>
        <v>5.2390943534915149</v>
      </c>
      <c r="Q43" s="44">
        <f t="shared" si="14"/>
        <v>5.8313802753749755</v>
      </c>
      <c r="R43" s="44">
        <f t="shared" si="15"/>
        <v>6.2595840975757646</v>
      </c>
      <c r="S43" s="44">
        <f t="shared" si="16"/>
        <v>4.6051701859880918</v>
      </c>
      <c r="T43" s="44">
        <f t="shared" si="17"/>
        <v>5.215508973684913</v>
      </c>
      <c r="U43" s="44">
        <f t="shared" si="18"/>
        <v>5.5917739990349968</v>
      </c>
      <c r="V43" s="44">
        <f t="shared" si="19"/>
        <v>5.8645299363030379</v>
      </c>
      <c r="W43" s="44">
        <f t="shared" si="20"/>
        <v>6.0786096834187751</v>
      </c>
      <c r="X43" s="44">
        <f t="shared" si="21"/>
        <v>6.2548427396151327</v>
      </c>
      <c r="Y43" s="44">
        <f>Dados!U27</f>
        <v>1</v>
      </c>
    </row>
    <row r="44" spans="1:25" x14ac:dyDescent="0.35">
      <c r="A44" s="76" t="s">
        <v>172</v>
      </c>
      <c r="B44" s="77" t="str">
        <f>Dados!C28</f>
        <v>Educação e FP</v>
      </c>
      <c r="C44" s="77" t="str">
        <f>Dados!D28</f>
        <v>Kits profissionais distribuídos (cumulativo)</v>
      </c>
      <c r="D44" s="77" t="str">
        <f>Dados!F28</f>
        <v>Maior é melhor</v>
      </c>
      <c r="E44" s="78">
        <f>IF(OR(Dados!H28="",Dados!$H28=""),"",IF(Dados!$F28="Menor é melhor",100*Dados!$H28/Dados!H28,100*Dados!H28/Dados!$H28))</f>
        <v>100</v>
      </c>
      <c r="F44" s="78">
        <f>IF(OR(Dados!I28="",Dados!$H28=""),"",IF(Dados!$F28="Menor é melhor",100*Dados!$H28/Dados!I28,100*Dados!I28/Dados!$H28))</f>
        <v>106.46705646901856</v>
      </c>
      <c r="G44" s="78">
        <f>IF(OR(Dados!J28="",Dados!$H28=""),"",IF(Dados!$F28="Menor é melhor",100*Dados!$H28/Dados!J28,100*Dados!J28/Dados!$H28))</f>
        <v>108.22901542204607</v>
      </c>
      <c r="H44" s="78">
        <f>IF(OR(Dados!K28="",Dados!$H28=""),"",IF(Dados!$F28="Menor é melhor",100*Dados!$H28/Dados!K28,100*Dados!K28/Dados!$H28))</f>
        <v>110.15186594984893</v>
      </c>
      <c r="I44" s="78">
        <f>IF(OR(Dados!M28="",Dados!$H28=""),"",IF(Dados!$F28="Menor é melhor",100*Dados!$H28/Dados!M28,100*Dados!M28/Dados!$H28))</f>
        <v>100</v>
      </c>
      <c r="J44" s="78">
        <f>IF(OR(Dados!N28="",Dados!$H28=""),"",IF(Dados!$F28="Menor é melhor",100*Dados!$H28/Dados!N28,100*Dados!N28/Dados!$H28))</f>
        <v>102.74300514068203</v>
      </c>
      <c r="K44" s="78">
        <f>IF(OR(Dados!O28="",Dados!$H28=""),"",IF(Dados!$F28="Menor é melhor",100*Dados!$H28/Dados!O28,100*Dados!O28/Dados!$H28))</f>
        <v>105.48601028136405</v>
      </c>
      <c r="L44" s="78">
        <f>IF(OR(Dados!P28="",Dados!$H28=""),"",IF(Dados!$F28="Menor é melhor",100*Dados!$H28/Dados!P28,100*Dados!P28/Dados!$H28))</f>
        <v>108.22901542204607</v>
      </c>
      <c r="M44" s="78">
        <f>IF(OR(Dados!Q28="",Dados!$H28=""),"",IF(Dados!$F28="Menor é melhor",100*Dados!$H28/Dados!Q28,100*Dados!Q28/Dados!$H28))</f>
        <v>110.97202056272809</v>
      </c>
      <c r="N44" s="78">
        <f>IF(OR(Dados!R28="",Dados!$H28=""),"",IF(Dados!$F28="Menor é melhor",100*Dados!$H28/Dados!R28,100*Dados!R28/Dados!$H28))</f>
        <v>113.71502570341012</v>
      </c>
      <c r="O44" s="78">
        <f t="shared" si="12"/>
        <v>4.6051701859880918</v>
      </c>
      <c r="P44" s="78">
        <f t="shared" si="13"/>
        <v>4.6678356083680148</v>
      </c>
      <c r="Q44" s="78">
        <f t="shared" si="14"/>
        <v>4.6842494951765703</v>
      </c>
      <c r="R44" s="78">
        <f t="shared" si="15"/>
        <v>4.7018600131852057</v>
      </c>
      <c r="S44" s="78">
        <f t="shared" si="16"/>
        <v>4.6051701859880918</v>
      </c>
      <c r="T44" s="78">
        <f t="shared" si="17"/>
        <v>4.6322307745693223</v>
      </c>
      <c r="U44" s="78">
        <f t="shared" si="18"/>
        <v>4.6585783401553247</v>
      </c>
      <c r="V44" s="78">
        <f t="shared" si="19"/>
        <v>4.6842494951765703</v>
      </c>
      <c r="W44" s="78">
        <f t="shared" si="20"/>
        <v>4.7092781025356576</v>
      </c>
      <c r="X44" s="78">
        <f t="shared" si="21"/>
        <v>4.7336955442099455</v>
      </c>
      <c r="Y44" s="78">
        <f>Dados!U28</f>
        <v>1</v>
      </c>
    </row>
    <row r="45" spans="1:25" x14ac:dyDescent="0.35">
      <c r="A45" s="74" t="s">
        <v>173</v>
      </c>
      <c r="B45" s="75" t="str">
        <f>Dados!C29</f>
        <v>Educação e FP</v>
      </c>
      <c r="C45" s="75" t="str">
        <f>Dados!D29</f>
        <v>Estudantes matriculados no Ensino Superior (cumulativo)</v>
      </c>
      <c r="D45" s="75" t="str">
        <f>Dados!F29</f>
        <v>Maior é melhor</v>
      </c>
      <c r="E45" s="44">
        <f>IF(OR(Dados!H29="",Dados!$H29=""),"",IF(Dados!$F29="Menor é melhor",100*Dados!$H29/Dados!H29,100*Dados!H29/Dados!$H29))</f>
        <v>100</v>
      </c>
      <c r="F45" s="44">
        <f>IF(OR(Dados!I29="",Dados!$H29=""),"",IF(Dados!$F29="Menor é melhor",100*Dados!$H29/Dados!I29,100*Dados!I29/Dados!$H29))</f>
        <v>104.49705397713088</v>
      </c>
      <c r="G45" s="44">
        <f>IF(OR(Dados!J29="",Dados!$H29=""),"",IF(Dados!$F29="Menor é melhor",100*Dados!$H29/Dados!J29,100*Dados!J29/Dados!$H29))</f>
        <v>107.11633045388726</v>
      </c>
      <c r="H45" s="44">
        <f>IF(OR(Dados!K29="",Dados!$H29=""),"",IF(Dados!$F29="Menor é melhor",100*Dados!$H29/Dados!K29,100*Dados!K29/Dados!$H29))</f>
        <v>102.84490937234733</v>
      </c>
      <c r="I45" s="44">
        <f>IF(OR(Dados!M29="",Dados!$H29=""),"",IF(Dados!$F29="Menor é melhor",100*Dados!$H29/Dados!M29,100*Dados!M29/Dados!$H29))</f>
        <v>100</v>
      </c>
      <c r="J45" s="44">
        <f>IF(OR(Dados!N29="",Dados!$H29=""),"",IF(Dados!$F29="Menor é melhor",100*Dados!$H29/Dados!N29,100*Dados!N29/Dados!$H29))</f>
        <v>109.50196401524597</v>
      </c>
      <c r="K45" s="44">
        <f>IF(OR(Dados!O29="",Dados!$H29=""),"",IF(Dados!$F29="Menor é melhor",100*Dados!$H29/Dados!O29,100*Dados!O29/Dados!$H29))</f>
        <v>119.00392803049228</v>
      </c>
      <c r="L45" s="44">
        <f>IF(OR(Dados!P29="",Dados!$H29=""),"",IF(Dados!$F29="Menor é melhor",100*Dados!$H29/Dados!P29,100*Dados!P29/Dados!$H29))</f>
        <v>128.50589204573825</v>
      </c>
      <c r="M45" s="44">
        <f>IF(OR(Dados!Q29="",Dados!$H29=""),"",IF(Dados!$F29="Menor é melhor",100*Dados!$H29/Dados!Q29,100*Dados!Q29/Dados!$H29))</f>
        <v>138.00785606098424</v>
      </c>
      <c r="N45" s="44">
        <f>IF(OR(Dados!R29="",Dados!$H29=""),"",IF(Dados!$F29="Menor é melhor",100*Dados!$H29/Dados!R29,100*Dados!R29/Dados!$H29))</f>
        <v>147.50982007623054</v>
      </c>
      <c r="O45" s="44">
        <f t="shared" si="12"/>
        <v>4.6051701859880918</v>
      </c>
      <c r="P45" s="44">
        <f t="shared" si="13"/>
        <v>4.6491588794010719</v>
      </c>
      <c r="Q45" s="44">
        <f t="shared" si="14"/>
        <v>4.673915444391068</v>
      </c>
      <c r="R45" s="44">
        <f t="shared" si="15"/>
        <v>4.6332221192235279</v>
      </c>
      <c r="S45" s="44">
        <f t="shared" si="16"/>
        <v>4.6051701859880918</v>
      </c>
      <c r="T45" s="44">
        <f t="shared" si="17"/>
        <v>4.6959424853079952</v>
      </c>
      <c r="U45" s="44">
        <f t="shared" si="18"/>
        <v>4.7791565012263542</v>
      </c>
      <c r="V45" s="44">
        <f t="shared" si="19"/>
        <v>4.8559747557800987</v>
      </c>
      <c r="W45" s="44">
        <f t="shared" si="20"/>
        <v>4.9273106115150158</v>
      </c>
      <c r="X45" s="44">
        <f t="shared" si="21"/>
        <v>4.9938947503517426</v>
      </c>
      <c r="Y45" s="44">
        <f>Dados!U29</f>
        <v>1</v>
      </c>
    </row>
    <row r="46" spans="1:25" x14ac:dyDescent="0.35">
      <c r="A46" s="76" t="s">
        <v>174</v>
      </c>
      <c r="B46" s="77" t="str">
        <f>Dados!C30</f>
        <v>Infraestruturas</v>
      </c>
      <c r="C46" s="77" t="str">
        <f>Dados!D30</f>
        <v>Estradas Nacionais reabilitadas (cumulativo)</v>
      </c>
      <c r="D46" s="77" t="str">
        <f>Dados!F30</f>
        <v>Maior é melhor</v>
      </c>
      <c r="E46" s="78">
        <f>IF(OR(Dados!H30="",Dados!$H30=""),"",IF(Dados!$F30="Menor é melhor",100*Dados!$H30/Dados!H30,100*Dados!H30/Dados!$H30))</f>
        <v>100</v>
      </c>
      <c r="F46" s="78">
        <f>IF(OR(Dados!I30="",Dados!$H30=""),"",IF(Dados!$F30="Menor é melhor",100*Dados!$H30/Dados!I30,100*Dados!I30/Dados!$H30))</f>
        <v>104.74984167194427</v>
      </c>
      <c r="G46" s="78">
        <f>IF(OR(Dados!J30="",Dados!$H30=""),"",IF(Dados!$F30="Menor é melhor",100*Dados!$H30/Dados!J30,100*Dados!J30/Dados!$H30))</f>
        <v>106.82921680388432</v>
      </c>
      <c r="H46" s="78">
        <f>IF(OR(Dados!K30="",Dados!$H30=""),"",IF(Dados!$F30="Menor é melhor",100*Dados!$H30/Dados!K30,100*Dados!K30/Dados!$H30))</f>
        <v>109.12645134051087</v>
      </c>
      <c r="I46" s="78">
        <f>IF(OR(Dados!M30="",Dados!$H30=""),"",IF(Dados!$F30="Menor é melhor",100*Dados!$H30/Dados!M30,100*Dados!M30/Dados!$H30))</f>
        <v>100</v>
      </c>
      <c r="J46" s="78">
        <f>IF(OR(Dados!N30="",Dados!$H30=""),"",IF(Dados!$F30="Menor é melhor",100*Dados!$H30/Dados!N30,100*Dados!N30/Dados!$H30))</f>
        <v>103.34248117655341</v>
      </c>
      <c r="K46" s="78">
        <f>IF(OR(Dados!O30="",Dados!$H30=""),"",IF(Dados!$F30="Menor é melhor",100*Dados!$H30/Dados!O30,100*Dados!O30/Dados!$H30))</f>
        <v>106.6849623531064</v>
      </c>
      <c r="L46" s="78">
        <f>IF(OR(Dados!P30="",Dados!$H30=""),"",IF(Dados!$F30="Menor é melhor",100*Dados!$H30/Dados!P30,100*Dados!P30/Dados!$H30))</f>
        <v>110.02744352966012</v>
      </c>
      <c r="M46" s="78">
        <f>IF(OR(Dados!Q30="",Dados!$H30=""),"",IF(Dados!$F30="Menor é melhor",100*Dados!$H30/Dados!Q30,100*Dados!Q30/Dados!$H30))</f>
        <v>113.36992470621385</v>
      </c>
      <c r="N46" s="78">
        <f>IF(OR(Dados!R30="",Dados!$H30=""),"",IF(Dados!$F30="Menor é melhor",100*Dados!$H30/Dados!R30,100*Dados!R30/Dados!$H30))</f>
        <v>116.71240588276652</v>
      </c>
      <c r="O46" s="78">
        <f t="shared" si="12"/>
        <v>4.6051701859880918</v>
      </c>
      <c r="P46" s="78">
        <f t="shared" si="13"/>
        <v>4.6515750473160855</v>
      </c>
      <c r="Q46" s="78">
        <f t="shared" si="14"/>
        <v>4.6712314546932951</v>
      </c>
      <c r="R46" s="78">
        <f t="shared" si="15"/>
        <v>4.6925073138698208</v>
      </c>
      <c r="S46" s="78">
        <f t="shared" si="16"/>
        <v>4.6051701859880918</v>
      </c>
      <c r="T46" s="78">
        <f t="shared" si="17"/>
        <v>4.6380485324077858</v>
      </c>
      <c r="U46" s="78">
        <f t="shared" si="18"/>
        <v>4.669880214477808</v>
      </c>
      <c r="V46" s="78">
        <f t="shared" si="19"/>
        <v>4.7007298213090749</v>
      </c>
      <c r="W46" s="78">
        <f t="shared" si="20"/>
        <v>4.7306561418872199</v>
      </c>
      <c r="X46" s="78">
        <f t="shared" si="21"/>
        <v>4.759712839407376</v>
      </c>
      <c r="Y46" s="78">
        <f>Dados!U30</f>
        <v>1</v>
      </c>
    </row>
    <row r="47" spans="1:25" x14ac:dyDescent="0.35">
      <c r="A47" s="74" t="s">
        <v>175</v>
      </c>
      <c r="B47" s="75" t="str">
        <f>Dados!C31</f>
        <v>Infraestruturas</v>
      </c>
      <c r="C47" s="75" t="str">
        <f>Dados!D31</f>
        <v>Equipamentos sociais construídos ou reabilitados (cumulativo)</v>
      </c>
      <c r="D47" s="75" t="str">
        <f>Dados!F31</f>
        <v>Maior é melhor</v>
      </c>
      <c r="E47" s="44">
        <f>IF(OR(Dados!H31="",Dados!$H31=""),"",IF(Dados!$F31="Menor é melhor",100*Dados!$H31/Dados!H31,100*Dados!H31/Dados!$H31))</f>
        <v>100</v>
      </c>
      <c r="F47" s="44">
        <f>IF(OR(Dados!I31="",Dados!$H31=""),"",IF(Dados!$F31="Menor é melhor",100*Dados!$H31/Dados!I31,100*Dados!I31/Dados!$H31))</f>
        <v>105.96026490066225</v>
      </c>
      <c r="G47" s="44">
        <f>IF(OR(Dados!J31="",Dados!$H31=""),"",IF(Dados!$F31="Menor é melhor",100*Dados!$H31/Dados!J31,100*Dados!J31/Dados!$H31))</f>
        <v>110.59602649006622</v>
      </c>
      <c r="H47" s="44">
        <f>IF(OR(Dados!K31="",Dados!$H31=""),"",IF(Dados!$F31="Menor é melhor",100*Dados!$H31/Dados!K31,100*Dados!K31/Dados!$H31))</f>
        <v>135.09933774834437</v>
      </c>
      <c r="I47" s="44">
        <f>IF(OR(Dados!M31="",Dados!$H31=""),"",IF(Dados!$F31="Menor é melhor",100*Dados!$H31/Dados!M31,100*Dados!M31/Dados!$H31))</f>
        <v>100</v>
      </c>
      <c r="J47" s="44">
        <f>IF(OR(Dados!N31="",Dados!$H31=""),"",IF(Dados!$F31="Menor é melhor",100*Dados!$H31/Dados!N31,100*Dados!N31/Dados!$H31))</f>
        <v>243.48785871964702</v>
      </c>
      <c r="K47" s="44">
        <f>IF(OR(Dados!O31="",Dados!$H31=""),"",IF(Dados!$F31="Menor é melhor",100*Dados!$H31/Dados!O31,100*Dados!O31/Dados!$H31))</f>
        <v>386.97571743929336</v>
      </c>
      <c r="L47" s="44">
        <f>IF(OR(Dados!P31="",Dados!$H31=""),"",IF(Dados!$F31="Menor é melhor",100*Dados!$H31/Dados!P31,100*Dados!P31/Dados!$H31))</f>
        <v>530.46357615894044</v>
      </c>
      <c r="M47" s="44">
        <f>IF(OR(Dados!Q31="",Dados!$H31=""),"",IF(Dados!$F31="Menor é melhor",100*Dados!$H31/Dados!Q31,100*Dados!Q31/Dados!$H31))</f>
        <v>673.95143487858945</v>
      </c>
      <c r="N47" s="44">
        <f>IF(OR(Dados!R31="",Dados!$H31=""),"",IF(Dados!$F31="Menor é melhor",100*Dados!$H31/Dados!R31,100*Dados!R31/Dados!$H31))</f>
        <v>817.43929359823187</v>
      </c>
      <c r="O47" s="44">
        <f t="shared" si="12"/>
        <v>4.6051701859880918</v>
      </c>
      <c r="P47" s="44">
        <f t="shared" si="13"/>
        <v>4.6630641644069941</v>
      </c>
      <c r="Q47" s="44">
        <f t="shared" si="14"/>
        <v>4.7058841615899221</v>
      </c>
      <c r="R47" s="44">
        <f t="shared" si="15"/>
        <v>4.9060103430173836</v>
      </c>
      <c r="S47" s="44">
        <f t="shared" si="16"/>
        <v>4.6051701859880918</v>
      </c>
      <c r="T47" s="44">
        <f t="shared" si="17"/>
        <v>5.4950670797585603</v>
      </c>
      <c r="U47" s="44">
        <f t="shared" si="18"/>
        <v>5.9583619454262911</v>
      </c>
      <c r="V47" s="44">
        <f t="shared" si="19"/>
        <v>6.2737512962415263</v>
      </c>
      <c r="W47" s="44">
        <f t="shared" si="20"/>
        <v>6.5131580532399385</v>
      </c>
      <c r="X47" s="44">
        <f t="shared" si="21"/>
        <v>6.7061766414186676</v>
      </c>
      <c r="Y47" s="44">
        <f>Dados!U31</f>
        <v>1</v>
      </c>
    </row>
    <row r="48" spans="1:25" x14ac:dyDescent="0.35">
      <c r="A48" s="76" t="s">
        <v>176</v>
      </c>
      <c r="B48" s="77" t="str">
        <f>Dados!C32</f>
        <v>Infraestruturas</v>
      </c>
      <c r="C48" s="77" t="str">
        <f>Dados!D32</f>
        <v>Construção e reabilitação de pontes (cumulativo)</v>
      </c>
      <c r="D48" s="77" t="str">
        <f>Dados!F32</f>
        <v>Maior é melhor</v>
      </c>
      <c r="E48" s="78">
        <f>IF(OR(Dados!H32="",Dados!$H32=""),"",IF(Dados!$F32="Menor é melhor",100*Dados!$H32/Dados!H32,100*Dados!H32/Dados!$H32))</f>
        <v>100</v>
      </c>
      <c r="F48" s="78">
        <f>IF(OR(Dados!I32="",Dados!$H32=""),"",IF(Dados!$F32="Menor é melhor",100*Dados!$H32/Dados!I32,100*Dados!I32/Dados!$H32))</f>
        <v>112.53196930946291</v>
      </c>
      <c r="G48" s="78">
        <f>IF(OR(Dados!J32="",Dados!$H32=""),"",IF(Dados!$F32="Menor é melhor",100*Dados!$H32/Dados!J32,100*Dados!J32/Dados!$H32))</f>
        <v>137.0843989769821</v>
      </c>
      <c r="H48" s="78">
        <f>IF(OR(Dados!K32="",Dados!$H32=""),"",IF(Dados!$F32="Menor é melhor",100*Dados!$H32/Dados!K32,100*Dados!K32/Dados!$H32))</f>
        <v>152.18670076726343</v>
      </c>
      <c r="I48" s="78">
        <f>IF(OR(Dados!M32="",Dados!$H32=""),"",IF(Dados!$F32="Menor é melhor",100*Dados!$H32/Dados!M32,100*Dados!M32/Dados!$H32))</f>
        <v>100</v>
      </c>
      <c r="J48" s="78">
        <f>IF(OR(Dados!N32="",Dados!$H32=""),"",IF(Dados!$F32="Menor é melhor",100*Dados!$H32/Dados!N32,100*Dados!N32/Dados!$H32))</f>
        <v>152.89002557544757</v>
      </c>
      <c r="K48" s="78">
        <f>IF(OR(Dados!O32="",Dados!$H32=""),"",IF(Dados!$F32="Menor é melhor",100*Dados!$H32/Dados!O32,100*Dados!O32/Dados!$H32))</f>
        <v>205.78005115089513</v>
      </c>
      <c r="L48" s="78">
        <f>IF(OR(Dados!P32="",Dados!$H32=""),"",IF(Dados!$F32="Menor é melhor",100*Dados!$H32/Dados!P32,100*Dados!P32/Dados!$H32))</f>
        <v>258.6700767263427</v>
      </c>
      <c r="M48" s="78">
        <f>IF(OR(Dados!Q32="",Dados!$H32=""),"",IF(Dados!$F32="Menor é melhor",100*Dados!$H32/Dados!Q32,100*Dados!Q32/Dados!$H32))</f>
        <v>311.56010230179027</v>
      </c>
      <c r="N48" s="78">
        <f>IF(OR(Dados!R32="",Dados!$H32=""),"",IF(Dados!$F32="Menor é melhor",100*Dados!$H32/Dados!R32,100*Dados!R32/Dados!$H32))</f>
        <v>364.45012787723783</v>
      </c>
      <c r="O48" s="78">
        <f t="shared" si="12"/>
        <v>4.6051701859880918</v>
      </c>
      <c r="P48" s="78">
        <f t="shared" si="13"/>
        <v>4.7232373529150324</v>
      </c>
      <c r="Q48" s="78">
        <f t="shared" si="14"/>
        <v>4.9205967870735279</v>
      </c>
      <c r="R48" s="78">
        <f t="shared" si="15"/>
        <v>5.0251080616311743</v>
      </c>
      <c r="S48" s="78">
        <f t="shared" si="16"/>
        <v>4.6051701859880918</v>
      </c>
      <c r="T48" s="78">
        <f t="shared" si="17"/>
        <v>5.0297188758525628</v>
      </c>
      <c r="U48" s="78">
        <f t="shared" si="18"/>
        <v>5.3268078855184138</v>
      </c>
      <c r="V48" s="78">
        <f t="shared" si="19"/>
        <v>5.5555534146486085</v>
      </c>
      <c r="W48" s="78">
        <f t="shared" si="20"/>
        <v>5.7415922644051101</v>
      </c>
      <c r="X48" s="78">
        <f t="shared" si="21"/>
        <v>5.8983897187054763</v>
      </c>
      <c r="Y48" s="78">
        <f>Dados!U32</f>
        <v>1</v>
      </c>
    </row>
    <row r="49" spans="1:25" x14ac:dyDescent="0.35">
      <c r="A49" s="74" t="s">
        <v>177</v>
      </c>
      <c r="B49" s="75" t="str">
        <f>Dados!C33</f>
        <v>Infraestruturas</v>
      </c>
      <c r="C49" s="75" t="str">
        <f>Dados!D33</f>
        <v>Taxa de electrificação</v>
      </c>
      <c r="D49" s="75" t="str">
        <f>Dados!F33</f>
        <v>Maior é melhor</v>
      </c>
      <c r="E49" s="44">
        <f>IF(OR(Dados!H33="",Dados!$H33=""),"",IF(Dados!$F33="Menor é melhor",100*Dados!$H33/Dados!H33,100*Dados!H33/Dados!$H33))</f>
        <v>100</v>
      </c>
      <c r="F49" s="44">
        <f>IF(OR(Dados!I33="",Dados!$H33=""),"",IF(Dados!$F33="Menor é melhor",100*Dados!$H33/Dados!I33,100*Dados!I33/Dados!$H33))</f>
        <v>100</v>
      </c>
      <c r="G49" s="44">
        <f>IF(OR(Dados!J33="",Dados!$H33=""),"",IF(Dados!$F33="Menor é melhor",100*Dados!$H33/Dados!J33,100*Dados!J33/Dados!$H33))</f>
        <v>102.32558139534883</v>
      </c>
      <c r="H49" s="44">
        <f>IF(OR(Dados!K33="",Dados!$H33=""),"",IF(Dados!$F33="Menor é melhor",100*Dados!$H33/Dados!K33,100*Dados!K33/Dados!$H33))</f>
        <v>111.62790697674419</v>
      </c>
      <c r="I49" s="44">
        <f>IF(OR(Dados!M33="",Dados!$H33=""),"",IF(Dados!$F33="Menor é melhor",100*Dados!$H33/Dados!M33,100*Dados!M33/Dados!$H33))</f>
        <v>100</v>
      </c>
      <c r="J49" s="44">
        <f>IF(OR(Dados!N33="",Dados!$H33=""),"",IF(Dados!$F33="Menor é melhor",100*Dados!$H33/Dados!N33,100*Dados!N33/Dados!$H33))</f>
        <v>103.10077519379838</v>
      </c>
      <c r="K49" s="44">
        <f>IF(OR(Dados!O33="",Dados!$H33=""),"",IF(Dados!$F33="Menor é melhor",100*Dados!$H33/Dados!O33,100*Dados!O33/Dados!$H33))</f>
        <v>106.20155038759697</v>
      </c>
      <c r="L49" s="44">
        <f>IF(OR(Dados!P33="",Dados!$H33=""),"",IF(Dados!$F33="Menor é melhor",100*Dados!$H33/Dados!P33,100*Dados!P33/Dados!$H33))</f>
        <v>109.30232558139535</v>
      </c>
      <c r="M49" s="44">
        <f>IF(OR(Dados!Q33="",Dados!$H33=""),"",IF(Dados!$F33="Menor é melhor",100*Dados!$H33/Dados!Q33,100*Dados!Q33/Dados!$H33))</f>
        <v>111.62790697674419</v>
      </c>
      <c r="N49" s="44">
        <f>IF(OR(Dados!R33="",Dados!$H33=""),"",IF(Dados!$F33="Menor é melhor",100*Dados!$H33/Dados!R33,100*Dados!R33/Dados!$H33))</f>
        <v>113.95348837209302</v>
      </c>
      <c r="O49" s="44">
        <f t="shared" si="12"/>
        <v>4.6051701859880918</v>
      </c>
      <c r="P49" s="44">
        <f t="shared" si="13"/>
        <v>4.6051701859880918</v>
      </c>
      <c r="Q49" s="44">
        <f t="shared" si="14"/>
        <v>4.6281597042127904</v>
      </c>
      <c r="R49" s="44">
        <f t="shared" si="15"/>
        <v>4.7151710812024197</v>
      </c>
      <c r="S49" s="44">
        <f t="shared" si="16"/>
        <v>4.6051701859880918</v>
      </c>
      <c r="T49" s="44">
        <f t="shared" si="17"/>
        <v>4.6357069098481727</v>
      </c>
      <c r="U49" s="44">
        <f t="shared" si="18"/>
        <v>4.6653387074545449</v>
      </c>
      <c r="V49" s="44">
        <f t="shared" si="19"/>
        <v>4.6941176720045874</v>
      </c>
      <c r="W49" s="44">
        <f t="shared" si="20"/>
        <v>4.7151710812024197</v>
      </c>
      <c r="X49" s="44">
        <f t="shared" si="21"/>
        <v>4.7357903684051559</v>
      </c>
      <c r="Y49" s="44">
        <f>Dados!U33</f>
        <v>1</v>
      </c>
    </row>
    <row r="50" spans="1:25" x14ac:dyDescent="0.35">
      <c r="A50" s="76" t="s">
        <v>178</v>
      </c>
      <c r="B50" s="77" t="str">
        <f>Dados!C34</f>
        <v>Infraestruturas</v>
      </c>
      <c r="C50" s="77" t="str">
        <f>Dados!D34</f>
        <v>Número de ligações (cumulativo)</v>
      </c>
      <c r="D50" s="77" t="str">
        <f>Dados!F34</f>
        <v>Maior é melhor</v>
      </c>
      <c r="E50" s="78">
        <f>IF(OR(Dados!H34="",Dados!$H34=""),"",IF(Dados!$F34="Menor é melhor",100*Dados!$H34/Dados!H34,100*Dados!H34/Dados!$H34))</f>
        <v>100</v>
      </c>
      <c r="F50" s="78">
        <f>IF(OR(Dados!I34="",Dados!$H34=""),"",IF(Dados!$F34="Menor é melhor",100*Dados!$H34/Dados!I34,100*Dados!I34/Dados!$H34))</f>
        <v>100</v>
      </c>
      <c r="G50" s="78">
        <f>IF(OR(Dados!J34="",Dados!$H34=""),"",IF(Dados!$F34="Menor é melhor",100*Dados!$H34/Dados!J34,100*Dados!J34/Dados!$H34))</f>
        <v>100</v>
      </c>
      <c r="H50" s="78">
        <f>IF(OR(Dados!K34="",Dados!$H34=""),"",IF(Dados!$F34="Menor é melhor",100*Dados!$H34/Dados!K34,100*Dados!K34/Dados!$H34))</f>
        <v>100</v>
      </c>
      <c r="I50" s="78">
        <f>IF(OR(Dados!M34="",Dados!$H34=""),"",IF(Dados!$F34="Menor é melhor",100*Dados!$H34/Dados!M34,100*Dados!M34/Dados!$H34))</f>
        <v>100</v>
      </c>
      <c r="J50" s="78">
        <f>IF(OR(Dados!N34="",Dados!$H34=""),"",IF(Dados!$F34="Menor é melhor",100*Dados!$H34/Dados!N34,100*Dados!N34/Dados!$H34))</f>
        <v>116.6666666666665</v>
      </c>
      <c r="K50" s="78">
        <f>IF(OR(Dados!O34="",Dados!$H34=""),"",IF(Dados!$F34="Menor é melhor",100*Dados!$H34/Dados!O34,100*Dados!O34/Dados!$H34))</f>
        <v>133.33333333333351</v>
      </c>
      <c r="L50" s="78">
        <f>IF(OR(Dados!P34="",Dados!$H34=""),"",IF(Dados!$F34="Menor é melhor",100*Dados!$H34/Dados!P34,100*Dados!P34/Dados!$H34))</f>
        <v>150</v>
      </c>
      <c r="M50" s="78">
        <f>IF(OR(Dados!Q34="",Dados!$H34=""),"",IF(Dados!$F34="Menor é melhor",100*Dados!$H34/Dados!Q34,100*Dados!Q34/Dados!$H34))</f>
        <v>166.66666666666649</v>
      </c>
      <c r="N50" s="78">
        <f>IF(OR(Dados!R34="",Dados!$H34=""),"",IF(Dados!$F34="Menor é melhor",100*Dados!$H34/Dados!R34,100*Dados!R34/Dados!$H34))</f>
        <v>183.33333333333351</v>
      </c>
      <c r="O50" s="78">
        <f t="shared" si="12"/>
        <v>4.6051701859880918</v>
      </c>
      <c r="P50" s="78">
        <f t="shared" si="13"/>
        <v>4.6051701859880918</v>
      </c>
      <c r="Q50" s="78">
        <f t="shared" si="14"/>
        <v>4.6051701859880918</v>
      </c>
      <c r="R50" s="78">
        <f t="shared" si="15"/>
        <v>4.6051701859880918</v>
      </c>
      <c r="S50" s="78">
        <f t="shared" si="16"/>
        <v>4.6051701859880918</v>
      </c>
      <c r="T50" s="78">
        <f t="shared" si="17"/>
        <v>4.7593208658153481</v>
      </c>
      <c r="U50" s="78">
        <f t="shared" si="18"/>
        <v>4.8928522584398735</v>
      </c>
      <c r="V50" s="78">
        <f t="shared" si="19"/>
        <v>5.0106352940962555</v>
      </c>
      <c r="W50" s="78">
        <f t="shared" si="20"/>
        <v>5.1159958097540814</v>
      </c>
      <c r="X50" s="78">
        <f t="shared" si="21"/>
        <v>5.211305989558408</v>
      </c>
      <c r="Y50" s="78">
        <f>Dados!U34</f>
        <v>1</v>
      </c>
    </row>
    <row r="51" spans="1:25" x14ac:dyDescent="0.35">
      <c r="A51" s="74" t="s">
        <v>179</v>
      </c>
      <c r="B51" s="75" t="str">
        <f>Dados!C35</f>
        <v>Infraestruturas</v>
      </c>
      <c r="C51" s="75" t="str">
        <f>Dados!D35</f>
        <v>Número de sedes municipais com distribuição de energia pela ENDE</v>
      </c>
      <c r="D51" s="75" t="str">
        <f>Dados!F35</f>
        <v>Maior é melhor</v>
      </c>
      <c r="E51" s="44">
        <f>IF(OR(Dados!H35="",Dados!$H35=""),"",IF(Dados!$F35="Menor é melhor",100*Dados!$H35/Dados!H35,100*Dados!H35/Dados!$H35))</f>
        <v>100</v>
      </c>
      <c r="F51" s="44">
        <f>IF(OR(Dados!I35="",Dados!$H35=""),"",IF(Dados!$F35="Menor é melhor",100*Dados!$H35/Dados!I35,100*Dados!I35/Dados!$H35))</f>
        <v>100</v>
      </c>
      <c r="G51" s="44">
        <f>IF(OR(Dados!J35="",Dados!$H35=""),"",IF(Dados!$F35="Menor é melhor",100*Dados!$H35/Dados!J35,100*Dados!J35/Dados!$H35))</f>
        <v>102.22222222222223</v>
      </c>
      <c r="H51" s="44">
        <f>IF(OR(Dados!K35="",Dados!$H35=""),"",IF(Dados!$F35="Menor é melhor",100*Dados!$H35/Dados!K35,100*Dados!K35/Dados!$H35))</f>
        <v>106.66666666666667</v>
      </c>
      <c r="I51" s="44">
        <f>IF(OR(Dados!M35="",Dados!$H35=""),"",IF(Dados!$F35="Menor é melhor",100*Dados!$H35/Dados!M35,100*Dados!M35/Dados!$H35))</f>
        <v>100</v>
      </c>
      <c r="J51" s="44">
        <f>IF(OR(Dados!N35="",Dados!$H35=""),"",IF(Dados!$F35="Menor é melhor",100*Dados!$H35/Dados!N35,100*Dados!N35/Dados!$H35))</f>
        <v>101.81857907149343</v>
      </c>
      <c r="K51" s="44">
        <f>IF(OR(Dados!O35="",Dados!$H35=""),"",IF(Dados!$F35="Menor é melhor",100*Dados!$H35/Dados!O35,100*Dados!O35/Dados!$H35))</f>
        <v>103.67023044137969</v>
      </c>
      <c r="L51" s="44">
        <f>IF(OR(Dados!P35="",Dados!$H35=""),"",IF(Dados!$F35="Menor é melhor",100*Dados!$H35/Dados!P35,100*Dados!P35/Dados!$H35))</f>
        <v>105.55555555555556</v>
      </c>
      <c r="M51" s="44">
        <f>IF(OR(Dados!Q35="",Dados!$H35=""),"",IF(Dados!$F35="Menor é melhor",100*Dados!$H35/Dados!Q35,100*Dados!Q35/Dados!$H35))</f>
        <v>107.47516679768756</v>
      </c>
      <c r="N51" s="44">
        <f>IF(OR(Dados!R35="",Dados!$H35=""),"",IF(Dados!$F35="Menor é melhor",100*Dados!$H35/Dados!R35,100*Dados!R35/Dados!$H35))</f>
        <v>109.4296876881229</v>
      </c>
      <c r="O51" s="44">
        <f t="shared" si="12"/>
        <v>4.6051701859880918</v>
      </c>
      <c r="P51" s="44">
        <f t="shared" si="13"/>
        <v>4.6051701859880918</v>
      </c>
      <c r="Q51" s="44">
        <f t="shared" si="14"/>
        <v>4.6271490927068664</v>
      </c>
      <c r="R51" s="44">
        <f t="shared" si="15"/>
        <v>4.6697087071256629</v>
      </c>
      <c r="S51" s="44">
        <f t="shared" si="16"/>
        <v>4.6051701859880918</v>
      </c>
      <c r="T51" s="44">
        <f t="shared" si="17"/>
        <v>4.6231925930781834</v>
      </c>
      <c r="U51" s="44">
        <f t="shared" si="18"/>
        <v>4.6412150001682759</v>
      </c>
      <c r="V51" s="44">
        <f t="shared" si="19"/>
        <v>4.6592374072583675</v>
      </c>
      <c r="W51" s="44">
        <f t="shared" si="20"/>
        <v>4.6772598143484592</v>
      </c>
      <c r="X51" s="44">
        <f t="shared" si="21"/>
        <v>4.6952822214385508</v>
      </c>
      <c r="Y51" s="44">
        <f>Dados!U35</f>
        <v>1</v>
      </c>
    </row>
    <row r="52" spans="1:25" x14ac:dyDescent="0.35">
      <c r="A52" s="76" t="s">
        <v>180</v>
      </c>
      <c r="B52" s="77" t="str">
        <f>Dados!C36</f>
        <v>Infraestruturas</v>
      </c>
      <c r="C52" s="77" t="str">
        <f>Dados!D36</f>
        <v>% de produção total de energia de fontes renováveis</v>
      </c>
      <c r="D52" s="77" t="str">
        <f>Dados!F36</f>
        <v>Maior é melhor</v>
      </c>
      <c r="E52" s="78">
        <f>IF(OR(Dados!H36="",Dados!$H36=""),"",IF(Dados!$F36="Menor é melhor",100*Dados!$H36/Dados!H36,100*Dados!H36/Dados!$H36))</f>
        <v>100</v>
      </c>
      <c r="F52" s="78">
        <f>IF(OR(Dados!I36="",Dados!$H36=""),"",IF(Dados!$F36="Menor é melhor",100*Dados!$H36/Dados!I36,100*Dados!I36/Dados!$H36))</f>
        <v>100</v>
      </c>
      <c r="G52" s="78">
        <f>IF(OR(Dados!J36="",Dados!$H36=""),"",IF(Dados!$F36="Menor é melhor",100*Dados!$H36/Dados!J36,100*Dados!J36/Dados!$H36))</f>
        <v>101.53846153846153</v>
      </c>
      <c r="H52" s="78">
        <f>IF(OR(Dados!K36="",Dados!$H36=""),"",IF(Dados!$F36="Menor é melhor",100*Dados!$H36/Dados!K36,100*Dados!K36/Dados!$H36))</f>
        <v>101.53846153846153</v>
      </c>
      <c r="I52" s="78">
        <f>IF(OR(Dados!M36="",Dados!$H36=""),"",IF(Dados!$F36="Menor é melhor",100*Dados!$H36/Dados!M36,100*Dados!M36/Dados!$H36))</f>
        <v>100</v>
      </c>
      <c r="J52" s="78">
        <f>IF(OR(Dados!N36="",Dados!$H36=""),"",IF(Dados!$F36="Menor é melhor",100*Dados!$H36/Dados!N36,100*Dados!N36/Dados!$H36))</f>
        <v>101.53846153846153</v>
      </c>
      <c r="K52" s="78">
        <f>IF(OR(Dados!O36="",Dados!$H36=""),"",IF(Dados!$F36="Menor é melhor",100*Dados!$H36/Dados!O36,100*Dados!O36/Dados!$H36))</f>
        <v>103.07692307692308</v>
      </c>
      <c r="L52" s="78">
        <f>IF(OR(Dados!P36="",Dados!$H36=""),"",IF(Dados!$F36="Menor é melhor",100*Dados!$H36/Dados!P36,100*Dados!P36/Dados!$H36))</f>
        <v>104.61538461538461</v>
      </c>
      <c r="M52" s="78">
        <f>IF(OR(Dados!Q36="",Dados!$H36=""),"",IF(Dados!$F36="Menor é melhor",100*Dados!$H36/Dados!Q36,100*Dados!Q36/Dados!$H36))</f>
        <v>108.46153846153847</v>
      </c>
      <c r="N52" s="78">
        <f>IF(OR(Dados!R36="",Dados!$H36=""),"",IF(Dados!$F36="Menor é melhor",100*Dados!$H36/Dados!R36,100*Dados!R36/Dados!$H36))</f>
        <v>112.30769230769231</v>
      </c>
      <c r="O52" s="78">
        <f t="shared" si="12"/>
        <v>4.6051701859880918</v>
      </c>
      <c r="P52" s="78">
        <f t="shared" si="13"/>
        <v>4.6051701859880918</v>
      </c>
      <c r="Q52" s="78">
        <f t="shared" si="14"/>
        <v>4.6204376581188802</v>
      </c>
      <c r="R52" s="78">
        <f t="shared" si="15"/>
        <v>4.6204376581188802</v>
      </c>
      <c r="S52" s="78">
        <f t="shared" si="16"/>
        <v>4.6051701859880918</v>
      </c>
      <c r="T52" s="78">
        <f t="shared" si="17"/>
        <v>4.6204376581188802</v>
      </c>
      <c r="U52" s="78">
        <f t="shared" si="18"/>
        <v>4.6354755354834207</v>
      </c>
      <c r="V52" s="78">
        <f t="shared" si="19"/>
        <v>4.6502906212685611</v>
      </c>
      <c r="W52" s="78">
        <f t="shared" si="20"/>
        <v>4.6863956259106772</v>
      </c>
      <c r="X52" s="78">
        <f t="shared" si="21"/>
        <v>4.7212423572408451</v>
      </c>
      <c r="Y52" s="78">
        <f>Dados!U36</f>
        <v>1</v>
      </c>
    </row>
    <row r="53" spans="1:25" x14ac:dyDescent="0.35">
      <c r="A53" s="74" t="s">
        <v>181</v>
      </c>
      <c r="B53" s="75" t="str">
        <f>Dados!C37</f>
        <v>Infraestruturas</v>
      </c>
      <c r="C53" s="75" t="str">
        <f>Dados!D37</f>
        <v>Potência instalada proveniente de fontes renováveis</v>
      </c>
      <c r="D53" s="75" t="str">
        <f>Dados!F37</f>
        <v>Maior é melhor</v>
      </c>
      <c r="E53" s="44">
        <f>IF(OR(Dados!H37="",Dados!$H37=""),"",IF(Dados!$F37="Menor é melhor",100*Dados!$H37/Dados!H37,100*Dados!H37/Dados!$H37))</f>
        <v>100</v>
      </c>
      <c r="F53" s="44">
        <f>IF(OR(Dados!I37="",Dados!$H37=""),"",IF(Dados!$F37="Menor é melhor",100*Dados!$H37/Dados!I37,100*Dados!I37/Dados!$H37))</f>
        <v>100</v>
      </c>
      <c r="G53" s="44">
        <f>IF(OR(Dados!J37="",Dados!$H37=""),"",IF(Dados!$F37="Menor é melhor",100*Dados!$H37/Dados!J37,100*Dados!J37/Dados!$H37))</f>
        <v>125</v>
      </c>
      <c r="H53" s="44">
        <f>IF(OR(Dados!K37="",Dados!$H37=""),"",IF(Dados!$F37="Menor é melhor",100*Dados!$H37/Dados!K37,100*Dados!K37/Dados!$H37))</f>
        <v>100</v>
      </c>
      <c r="I53" s="44">
        <f>IF(OR(Dados!M37="",Dados!$H37=""),"",IF(Dados!$F37="Menor é melhor",100*Dados!$H37/Dados!M37,100*Dados!M37/Dados!$H37))</f>
        <v>100</v>
      </c>
      <c r="J53" s="44">
        <f>IF(OR(Dados!N37="",Dados!$H37=""),"",IF(Dados!$F37="Menor é melhor",100*Dados!$H37/Dados!N37,100*Dados!N37/Dados!$H37))</f>
        <v>100</v>
      </c>
      <c r="K53" s="44">
        <f>IF(OR(Dados!O37="",Dados!$H37=""),"",IF(Dados!$F37="Menor é melhor",100*Dados!$H37/Dados!O37,100*Dados!O37/Dados!$H37))</f>
        <v>100</v>
      </c>
      <c r="L53" s="44">
        <f>IF(OR(Dados!P37="",Dados!$H37=""),"",IF(Dados!$F37="Menor é melhor",100*Dados!$H37/Dados!P37,100*Dados!P37/Dados!$H37))</f>
        <v>100</v>
      </c>
      <c r="M53" s="44">
        <f>IF(OR(Dados!Q37="",Dados!$H37=""),"",IF(Dados!$F37="Menor é melhor",100*Dados!$H37/Dados!Q37,100*Dados!Q37/Dados!$H37))</f>
        <v>100</v>
      </c>
      <c r="N53" s="44">
        <f>IF(OR(Dados!R37="",Dados!$H37=""),"",IF(Dados!$F37="Menor é melhor",100*Dados!$H37/Dados!R37,100*Dados!R37/Dados!$H37))</f>
        <v>100</v>
      </c>
      <c r="O53" s="44">
        <f t="shared" ref="O53:O71" si="22">IF(ISNUMBER(E53),LN(E53),"")</f>
        <v>4.6051701859880918</v>
      </c>
      <c r="P53" s="44">
        <f t="shared" ref="P53:P71" si="23">IF(ISNUMBER(F53),LN(F53),"")</f>
        <v>4.6051701859880918</v>
      </c>
      <c r="Q53" s="44">
        <f t="shared" ref="Q53:Q71" si="24">IF(ISNUMBER(G53),LN(G53),"")</f>
        <v>4.8283137373023015</v>
      </c>
      <c r="R53" s="44">
        <f t="shared" ref="R53:R71" si="25">IF(ISNUMBER(H53),LN(H53),"")</f>
        <v>4.6051701859880918</v>
      </c>
      <c r="S53" s="44">
        <f t="shared" ref="S53:S71" si="26">IF(ISNUMBER(I53),LN(I53),"")</f>
        <v>4.6051701859880918</v>
      </c>
      <c r="T53" s="44">
        <f t="shared" ref="T53:T71" si="27">IF(ISNUMBER(J53),LN(J53),"")</f>
        <v>4.6051701859880918</v>
      </c>
      <c r="U53" s="44">
        <f t="shared" ref="U53:U71" si="28">IF(ISNUMBER(K53),LN(K53),"")</f>
        <v>4.6051701859880918</v>
      </c>
      <c r="V53" s="44">
        <f t="shared" ref="V53:V71" si="29">IF(ISNUMBER(L53),LN(L53),"")</f>
        <v>4.6051701859880918</v>
      </c>
      <c r="W53" s="44">
        <f t="shared" ref="W53:W71" si="30">IF(ISNUMBER(M53),LN(M53),"")</f>
        <v>4.6051701859880918</v>
      </c>
      <c r="X53" s="44">
        <f t="shared" ref="X53:X71" si="31">IF(ISNUMBER(N53),LN(N53),"")</f>
        <v>4.6051701859880918</v>
      </c>
      <c r="Y53" s="44">
        <f>Dados!U37</f>
        <v>1</v>
      </c>
    </row>
    <row r="54" spans="1:25" x14ac:dyDescent="0.35">
      <c r="A54" s="76" t="s">
        <v>182</v>
      </c>
      <c r="B54" s="77" t="str">
        <f>Dados!C38</f>
        <v>Infraestruturas</v>
      </c>
      <c r="C54" s="77" t="str">
        <f>Dados!D38</f>
        <v>Quantidade de água tratada (cumulativo)</v>
      </c>
      <c r="D54" s="77" t="str">
        <f>Dados!F38</f>
        <v>Maior é melhor</v>
      </c>
      <c r="E54" s="78">
        <f>IF(OR(Dados!H38="",Dados!$H38=""),"",IF(Dados!$F38="Menor é melhor",100*Dados!$H38/Dados!H38,100*Dados!H38/Dados!$H38))</f>
        <v>100</v>
      </c>
      <c r="F54" s="78">
        <f>IF(OR(Dados!I38="",Dados!$H38=""),"",IF(Dados!$F38="Menor é melhor",100*Dados!$H38/Dados!I38,100*Dados!I38/Dados!$H38))</f>
        <v>100.3030303030303</v>
      </c>
      <c r="G54" s="78">
        <f>IF(OR(Dados!J38="",Dados!$H38=""),"",IF(Dados!$F38="Menor é melhor",100*Dados!$H38/Dados!J38,100*Dados!J38/Dados!$H38))</f>
        <v>100.37878787878788</v>
      </c>
      <c r="H54" s="78">
        <f>IF(OR(Dados!K38="",Dados!$H38=""),"",IF(Dados!$F38="Menor é melhor",100*Dados!$H38/Dados!K38,100*Dados!K38/Dados!$H38))</f>
        <v>100.37878787878788</v>
      </c>
      <c r="I54" s="78">
        <f>IF(OR(Dados!M38="",Dados!$H38=""),"",IF(Dados!$F38="Menor é melhor",100*Dados!$H38/Dados!M38,100*Dados!M38/Dados!$H38))</f>
        <v>100</v>
      </c>
      <c r="J54" s="78">
        <f>IF(OR(Dados!N38="",Dados!$H38=""),"",IF(Dados!$F38="Menor é melhor",100*Dados!$H38/Dados!N38,100*Dados!N38/Dados!$H38))</f>
        <v>107.82828282828257</v>
      </c>
      <c r="K54" s="78">
        <f>IF(OR(Dados!O38="",Dados!$H38=""),"",IF(Dados!$F38="Menor é melhor",100*Dados!$H38/Dados!O38,100*Dados!O38/Dados!$H38))</f>
        <v>115.65656565656592</v>
      </c>
      <c r="L54" s="78">
        <f>IF(OR(Dados!P38="",Dados!$H38=""),"",IF(Dados!$F38="Menor é melhor",100*Dados!$H38/Dados!P38,100*Dados!P38/Dados!$H38))</f>
        <v>123.48484848484848</v>
      </c>
      <c r="M54" s="78">
        <f>IF(OR(Dados!Q38="",Dados!$H38=""),"",IF(Dados!$F38="Menor é melhor",100*Dados!$H38/Dados!Q38,100*Dados!Q38/Dados!$H38))</f>
        <v>131.31313131313107</v>
      </c>
      <c r="N54" s="78">
        <f>IF(OR(Dados!R38="",Dados!$H38=""),"",IF(Dados!$F38="Menor é melhor",100*Dados!$H38/Dados!R38,100*Dados!R38/Dados!$H38))</f>
        <v>139.1414141414144</v>
      </c>
      <c r="O54" s="78">
        <f t="shared" si="22"/>
        <v>4.6051701859880918</v>
      </c>
      <c r="P54" s="78">
        <f t="shared" si="23"/>
        <v>4.6081959069046281</v>
      </c>
      <c r="Q54" s="78">
        <f t="shared" si="24"/>
        <v>4.608950908827997</v>
      </c>
      <c r="R54" s="78">
        <f t="shared" si="25"/>
        <v>4.608950908827997</v>
      </c>
      <c r="S54" s="78">
        <f t="shared" si="26"/>
        <v>4.6051701859880918</v>
      </c>
      <c r="T54" s="78">
        <f t="shared" si="27"/>
        <v>4.6805399879622334</v>
      </c>
      <c r="U54" s="78">
        <f t="shared" si="28"/>
        <v>4.7506251588477983</v>
      </c>
      <c r="V54" s="78">
        <f t="shared" si="29"/>
        <v>4.8161184642084827</v>
      </c>
      <c r="W54" s="78">
        <f t="shared" si="30"/>
        <v>4.8775847863090815</v>
      </c>
      <c r="X54" s="78">
        <f t="shared" si="31"/>
        <v>4.935490783886527</v>
      </c>
      <c r="Y54" s="78">
        <f>Dados!U38</f>
        <v>1</v>
      </c>
    </row>
    <row r="55" spans="1:25" x14ac:dyDescent="0.35">
      <c r="A55" s="74" t="s">
        <v>183</v>
      </c>
      <c r="B55" s="75" t="str">
        <f>Dados!C39</f>
        <v>Infraestruturas</v>
      </c>
      <c r="C55" s="75" t="str">
        <f>Dados!D39</f>
        <v>Taxa de cobertura de águas nas áreas urbanas</v>
      </c>
      <c r="D55" s="75" t="str">
        <f>Dados!F39</f>
        <v>Maior é melhor</v>
      </c>
      <c r="E55" s="44">
        <f>IF(OR(Dados!H39="",Dados!$H39=""),"",IF(Dados!$F39="Menor é melhor",100*Dados!$H39/Dados!H39,100*Dados!H39/Dados!$H39))</f>
        <v>100</v>
      </c>
      <c r="F55" s="44">
        <f>IF(OR(Dados!I39="",Dados!$H39=""),"",IF(Dados!$F39="Menor é melhor",100*Dados!$H39/Dados!I39,100*Dados!I39/Dados!$H39))</f>
        <v>100</v>
      </c>
      <c r="G55" s="44">
        <f>IF(OR(Dados!J39="",Dados!$H39=""),"",IF(Dados!$F39="Menor é melhor",100*Dados!$H39/Dados!J39,100*Dados!J39/Dados!$H39))</f>
        <v>100</v>
      </c>
      <c r="H55" s="44">
        <f>IF(OR(Dados!K39="",Dados!$H39=""),"",IF(Dados!$F39="Menor é melhor",100*Dados!$H39/Dados!K39,100*Dados!K39/Dados!$H39))</f>
        <v>104.16666666666667</v>
      </c>
      <c r="I55" s="44" t="str">
        <f>IF(OR(Dados!M39="",Dados!$H39=""),"",IF(Dados!$F39="Menor é melhor",100*Dados!$H39/Dados!M39,100*Dados!M39/Dados!$H39))</f>
        <v/>
      </c>
      <c r="J55" s="44" t="str">
        <f>IF(OR(Dados!N39="",Dados!$H39=""),"",IF(Dados!$F39="Menor é melhor",100*Dados!$H39/Dados!N39,100*Dados!N39/Dados!$H39))</f>
        <v/>
      </c>
      <c r="K55" s="44" t="str">
        <f>IF(OR(Dados!O39="",Dados!$H39=""),"",IF(Dados!$F39="Menor é melhor",100*Dados!$H39/Dados!O39,100*Dados!O39/Dados!$H39))</f>
        <v/>
      </c>
      <c r="L55" s="44" t="str">
        <f>IF(OR(Dados!P39="",Dados!$H39=""),"",IF(Dados!$F39="Menor é melhor",100*Dados!$H39/Dados!P39,100*Dados!P39/Dados!$H39))</f>
        <v/>
      </c>
      <c r="M55" s="44" t="str">
        <f>IF(OR(Dados!Q39="",Dados!$H39=""),"",IF(Dados!$F39="Menor é melhor",100*Dados!$H39/Dados!Q39,100*Dados!Q39/Dados!$H39))</f>
        <v/>
      </c>
      <c r="N55" s="44" t="str">
        <f>IF(OR(Dados!R39="",Dados!$H39=""),"",IF(Dados!$F39="Menor é melhor",100*Dados!$H39/Dados!R39,100*Dados!R39/Dados!$H39))</f>
        <v/>
      </c>
      <c r="O55" s="44">
        <f t="shared" si="22"/>
        <v>4.6051701859880918</v>
      </c>
      <c r="P55" s="44">
        <f t="shared" si="23"/>
        <v>4.6051701859880918</v>
      </c>
      <c r="Q55" s="44">
        <f t="shared" si="24"/>
        <v>4.6051701859880918</v>
      </c>
      <c r="R55" s="44">
        <f t="shared" si="25"/>
        <v>4.6459921805083466</v>
      </c>
      <c r="S55" s="44" t="str">
        <f t="shared" si="26"/>
        <v/>
      </c>
      <c r="T55" s="44" t="str">
        <f t="shared" si="27"/>
        <v/>
      </c>
      <c r="U55" s="44" t="str">
        <f t="shared" si="28"/>
        <v/>
      </c>
      <c r="V55" s="44" t="str">
        <f t="shared" si="29"/>
        <v/>
      </c>
      <c r="W55" s="44" t="str">
        <f t="shared" si="30"/>
        <v/>
      </c>
      <c r="X55" s="44" t="str">
        <f t="shared" si="31"/>
        <v/>
      </c>
      <c r="Y55" s="44">
        <f>Dados!U39</f>
        <v>1</v>
      </c>
    </row>
    <row r="56" spans="1:25" x14ac:dyDescent="0.35">
      <c r="A56" s="76" t="s">
        <v>184</v>
      </c>
      <c r="B56" s="77" t="str">
        <f>Dados!C40</f>
        <v>Infraestruturas</v>
      </c>
      <c r="C56" s="77" t="str">
        <f>Dados!D40</f>
        <v>Taxa de cobertura de águas nas áreas rurais</v>
      </c>
      <c r="D56" s="77" t="str">
        <f>Dados!F40</f>
        <v>Maior é melhor</v>
      </c>
      <c r="E56" s="78">
        <f>IF(OR(Dados!H40="",Dados!$H40=""),"",IF(Dados!$F40="Menor é melhor",100*Dados!$H40/Dados!H40,100*Dados!H40/Dados!$H40))</f>
        <v>100</v>
      </c>
      <c r="F56" s="78">
        <f>IF(OR(Dados!I40="",Dados!$H40=""),"",IF(Dados!$F40="Menor é melhor",100*Dados!$H40/Dados!I40,100*Dados!I40/Dados!$H40))</f>
        <v>100</v>
      </c>
      <c r="G56" s="78">
        <f>IF(OR(Dados!J40="",Dados!$H40=""),"",IF(Dados!$F40="Menor é melhor",100*Dados!$H40/Dados!J40,100*Dados!J40/Dados!$H40))</f>
        <v>100</v>
      </c>
      <c r="H56" s="78">
        <f>IF(OR(Dados!K40="",Dados!$H40=""),"",IF(Dados!$F40="Menor é melhor",100*Dados!$H40/Dados!K40,100*Dados!K40/Dados!$H40))</f>
        <v>42.857142857142854</v>
      </c>
      <c r="I56" s="78" t="str">
        <f>IF(OR(Dados!M40="",Dados!$H40=""),"",IF(Dados!$F40="Menor é melhor",100*Dados!$H40/Dados!M40,100*Dados!M40/Dados!$H40))</f>
        <v/>
      </c>
      <c r="J56" s="78" t="str">
        <f>IF(OR(Dados!N40="",Dados!$H40=""),"",IF(Dados!$F40="Menor é melhor",100*Dados!$H40/Dados!N40,100*Dados!N40/Dados!$H40))</f>
        <v/>
      </c>
      <c r="K56" s="78" t="str">
        <f>IF(OR(Dados!O40="",Dados!$H40=""),"",IF(Dados!$F40="Menor é melhor",100*Dados!$H40/Dados!O40,100*Dados!O40/Dados!$H40))</f>
        <v/>
      </c>
      <c r="L56" s="78" t="str">
        <f>IF(OR(Dados!P40="",Dados!$H40=""),"",IF(Dados!$F40="Menor é melhor",100*Dados!$H40/Dados!P40,100*Dados!P40/Dados!$H40))</f>
        <v/>
      </c>
      <c r="M56" s="78" t="str">
        <f>IF(OR(Dados!Q40="",Dados!$H40=""),"",IF(Dados!$F40="Menor é melhor",100*Dados!$H40/Dados!Q40,100*Dados!Q40/Dados!$H40))</f>
        <v/>
      </c>
      <c r="N56" s="78" t="str">
        <f>IF(OR(Dados!R40="",Dados!$H40=""),"",IF(Dados!$F40="Menor é melhor",100*Dados!$H40/Dados!R40,100*Dados!R40/Dados!$H40))</f>
        <v/>
      </c>
      <c r="O56" s="78">
        <f t="shared" si="22"/>
        <v>4.6051701859880918</v>
      </c>
      <c r="P56" s="78">
        <f t="shared" si="23"/>
        <v>4.6051701859880918</v>
      </c>
      <c r="Q56" s="78">
        <f t="shared" si="24"/>
        <v>4.6051701859880918</v>
      </c>
      <c r="R56" s="78">
        <f t="shared" si="25"/>
        <v>3.7578723256008875</v>
      </c>
      <c r="S56" s="78" t="str">
        <f t="shared" si="26"/>
        <v/>
      </c>
      <c r="T56" s="78" t="str">
        <f t="shared" si="27"/>
        <v/>
      </c>
      <c r="U56" s="78" t="str">
        <f t="shared" si="28"/>
        <v/>
      </c>
      <c r="V56" s="78" t="str">
        <f t="shared" si="29"/>
        <v/>
      </c>
      <c r="W56" s="78" t="str">
        <f t="shared" si="30"/>
        <v/>
      </c>
      <c r="X56" s="78" t="str">
        <f t="shared" si="31"/>
        <v/>
      </c>
      <c r="Y56" s="78">
        <f>Dados!U40</f>
        <v>1</v>
      </c>
    </row>
    <row r="57" spans="1:25" x14ac:dyDescent="0.35">
      <c r="A57" s="74" t="s">
        <v>185</v>
      </c>
      <c r="B57" s="75" t="str">
        <f>Dados!C41</f>
        <v>Fomento à Produção</v>
      </c>
      <c r="C57" s="75" t="str">
        <f>Dados!D41</f>
        <v>Toneladas de carne produzidas</v>
      </c>
      <c r="D57" s="75" t="str">
        <f>Dados!F41</f>
        <v>Maior é melhor</v>
      </c>
      <c r="E57" s="44">
        <f>IF(OR(Dados!H41="",Dados!$H41=""),"",IF(Dados!$F41="Menor é melhor",100*Dados!$H41/Dados!H41,100*Dados!H41/Dados!$H41))</f>
        <v>100</v>
      </c>
      <c r="F57" s="44">
        <f>IF(OR(Dados!I41="",Dados!$H41=""),"",IF(Dados!$F41="Menor é melhor",100*Dados!$H41/Dados!I41,100*Dados!I41/Dados!$H41))</f>
        <v>106.86987829804789</v>
      </c>
      <c r="G57" s="44">
        <f>IF(OR(Dados!J41="",Dados!$H41=""),"",IF(Dados!$F41="Menor é melhor",100*Dados!$H41/Dados!J41,100*Dados!J41/Dados!$H41))</f>
        <v>104.14924272257331</v>
      </c>
      <c r="H57" s="44">
        <f>IF(OR(Dados!K41="",Dados!$H41=""),"",IF(Dados!$F41="Menor é melhor",100*Dados!$H41/Dados!K41,100*Dados!K41/Dados!$H41))</f>
        <v>111.78452441227395</v>
      </c>
      <c r="I57" s="44">
        <f>IF(OR(Dados!M41="",Dados!$H41=""),"",IF(Dados!$F41="Menor é melhor",100*Dados!$H41/Dados!M41,100*Dados!M41/Dados!$H41))</f>
        <v>100</v>
      </c>
      <c r="J57" s="44">
        <f>IF(OR(Dados!N41="",Dados!$H41=""),"",IF(Dados!$F41="Menor é melhor",100*Dados!$H41/Dados!N41,100*Dados!N41/Dados!$H41))</f>
        <v>118.42762917633</v>
      </c>
      <c r="K57" s="44">
        <f>IF(OR(Dados!O41="",Dados!$H41=""),"",IF(Dados!$F41="Menor é melhor",100*Dados!$H41/Dados!O41,100*Dados!O41/Dados!$H41))</f>
        <v>140.25103352326306</v>
      </c>
      <c r="L57" s="44">
        <f>IF(OR(Dados!P41="",Dados!$H41=""),"",IF(Dados!$F41="Menor é melhor",100*Dados!$H41/Dados!P41,100*Dados!P41/Dados!$H41))</f>
        <v>166.09597389690026</v>
      </c>
      <c r="M57" s="44">
        <f>IF(OR(Dados!Q41="",Dados!$H41=""),"",IF(Dados!$F41="Menor é melhor",100*Dados!$H41/Dados!Q41,100*Dados!Q41/Dados!$H41))</f>
        <v>202.25229580541659</v>
      </c>
      <c r="N57" s="44">
        <f>IF(OR(Dados!R41="",Dados!$H41=""),"",IF(Dados!$F41="Menor é melhor",100*Dados!$H41/Dados!R41,100*Dados!R41/Dados!$H41))</f>
        <v>246.27924566042216</v>
      </c>
      <c r="O57" s="44">
        <f t="shared" si="22"/>
        <v>4.6051701859880918</v>
      </c>
      <c r="P57" s="44">
        <f t="shared" si="23"/>
        <v>4.6716120037511653</v>
      </c>
      <c r="Q57" s="44">
        <f t="shared" si="24"/>
        <v>4.6458248966538864</v>
      </c>
      <c r="R57" s="44">
        <f t="shared" si="25"/>
        <v>4.716573129067096</v>
      </c>
      <c r="S57" s="44">
        <f t="shared" si="26"/>
        <v>4.6051701859880918</v>
      </c>
      <c r="T57" s="44">
        <f t="shared" si="27"/>
        <v>4.7743020497567858</v>
      </c>
      <c r="U57" s="44">
        <f t="shared" si="28"/>
        <v>4.943433913525479</v>
      </c>
      <c r="V57" s="44">
        <f t="shared" si="29"/>
        <v>5.1125657772941739</v>
      </c>
      <c r="W57" s="44">
        <f t="shared" si="30"/>
        <v>5.3095159071988558</v>
      </c>
      <c r="X57" s="44">
        <f t="shared" si="31"/>
        <v>5.5064660371035377</v>
      </c>
      <c r="Y57" s="44">
        <f>Dados!U41</f>
        <v>1</v>
      </c>
    </row>
    <row r="58" spans="1:25" x14ac:dyDescent="0.35">
      <c r="A58" s="76" t="s">
        <v>186</v>
      </c>
      <c r="B58" s="77" t="str">
        <f>Dados!C42</f>
        <v>Fomento à Produção</v>
      </c>
      <c r="C58" s="77" t="str">
        <f>Dados!D42</f>
        <v>Toneladas de raízes e tubérculos produzidas</v>
      </c>
      <c r="D58" s="77" t="str">
        <f>Dados!F42</f>
        <v>Maior é melhor</v>
      </c>
      <c r="E58" s="78">
        <f>IF(OR(Dados!H42="",Dados!$H42=""),"",IF(Dados!$F42="Menor é melhor",100*Dados!$H42/Dados!H42,100*Dados!H42/Dados!$H42))</f>
        <v>100</v>
      </c>
      <c r="F58" s="78">
        <f>IF(OR(Dados!I42="",Dados!$H42=""),"",IF(Dados!$F42="Menor é melhor",100*Dados!$H42/Dados!I42,100*Dados!I42/Dados!$H42))</f>
        <v>106.35518352147626</v>
      </c>
      <c r="G58" s="78">
        <f>IF(OR(Dados!J42="",Dados!$H42=""),"",IF(Dados!$F42="Menor é melhor",100*Dados!$H42/Dados!J42,100*Dados!J42/Dados!$H42))</f>
        <v>112.84284698466135</v>
      </c>
      <c r="H58" s="78">
        <f>IF(OR(Dados!K42="",Dados!$H42=""),"",IF(Dados!$F42="Menor é melhor",100*Dados!$H42/Dados!K42,100*Dados!K42/Dados!$H42))</f>
        <v>124.8331484005175</v>
      </c>
      <c r="I58" s="78">
        <f>IF(OR(Dados!M42="",Dados!$H42=""),"",IF(Dados!$F42="Menor é melhor",100*Dados!$H42/Dados!M42,100*Dados!M42/Dados!$H42))</f>
        <v>100</v>
      </c>
      <c r="J58" s="78">
        <f>IF(OR(Dados!N42="",Dados!$H42=""),"",IF(Dados!$F42="Menor é melhor",100*Dados!$H42/Dados!N42,100*Dados!N42/Dados!$H42))</f>
        <v>110.23619038698071</v>
      </c>
      <c r="K58" s="78">
        <f>IF(OR(Dados!O42="",Dados!$H42=""),"",IF(Dados!$F42="Menor é melhor",100*Dados!$H42/Dados!O42,100*Dados!O42/Dados!$H42))</f>
        <v>121.52017671034584</v>
      </c>
      <c r="L58" s="78">
        <f>IF(OR(Dados!P42="",Dados!$H42=""),"",IF(Dados!$F42="Menor é melhor",100*Dados!$H42/Dados!P42,100*Dados!P42/Dados!$H42))</f>
        <v>133.95921335701155</v>
      </c>
      <c r="M58" s="78">
        <f>IF(OR(Dados!Q42="",Dados!$H42=""),"",IF(Dados!$F42="Menor é melhor",100*Dados!$H42/Dados!Q42,100*Dados!Q42/Dados!$H42))</f>
        <v>147.67153347713651</v>
      </c>
      <c r="N58" s="78">
        <f>IF(OR(Dados!R42="",Dados!$H42=""),"",IF(Dados!$F42="Menor é melhor",100*Dados!$H42/Dados!R42,100*Dados!R42/Dados!$H42))</f>
        <v>162.78747279122936</v>
      </c>
      <c r="O58" s="78">
        <f t="shared" si="22"/>
        <v>4.6051701859880918</v>
      </c>
      <c r="P58" s="78">
        <f t="shared" si="23"/>
        <v>4.6667842806698232</v>
      </c>
      <c r="Q58" s="78">
        <f t="shared" si="24"/>
        <v>4.7259961160943309</v>
      </c>
      <c r="R58" s="78">
        <f t="shared" si="25"/>
        <v>4.82697803285029</v>
      </c>
      <c r="S58" s="78">
        <f t="shared" si="26"/>
        <v>4.6051701859880918</v>
      </c>
      <c r="T58" s="78">
        <f t="shared" si="27"/>
        <v>4.7026252492206639</v>
      </c>
      <c r="U58" s="78">
        <f t="shared" si="28"/>
        <v>4.8000803124532299</v>
      </c>
      <c r="V58" s="78">
        <f t="shared" si="29"/>
        <v>4.8975353756857967</v>
      </c>
      <c r="W58" s="78">
        <f t="shared" si="30"/>
        <v>4.9949904389183661</v>
      </c>
      <c r="X58" s="78">
        <f t="shared" si="31"/>
        <v>5.0924455021509338</v>
      </c>
      <c r="Y58" s="78">
        <f>Dados!U42</f>
        <v>1</v>
      </c>
    </row>
    <row r="59" spans="1:25" x14ac:dyDescent="0.35">
      <c r="A59" s="74" t="s">
        <v>187</v>
      </c>
      <c r="B59" s="75" t="str">
        <f>Dados!C43</f>
        <v>Fomento à Produção</v>
      </c>
      <c r="C59" s="75" t="str">
        <f>Dados!D43</f>
        <v>Toneladas de fruta produzidas</v>
      </c>
      <c r="D59" s="75" t="str">
        <f>Dados!F43</f>
        <v>Maior é melhor</v>
      </c>
      <c r="E59" s="44">
        <f>IF(OR(Dados!H43="",Dados!$H43=""),"",IF(Dados!$F43="Menor é melhor",100*Dados!$H43/Dados!H43,100*Dados!H43/Dados!$H43))</f>
        <v>100</v>
      </c>
      <c r="F59" s="44">
        <f>IF(OR(Dados!I43="",Dados!$H43=""),"",IF(Dados!$F43="Menor é melhor",100*Dados!$H43/Dados!I43,100*Dados!I43/Dados!$H43))</f>
        <v>106.71046755765212</v>
      </c>
      <c r="G59" s="44">
        <f>IF(OR(Dados!J43="",Dados!$H43=""),"",IF(Dados!$F43="Menor é melhor",100*Dados!$H43/Dados!J43,100*Dados!J43/Dados!$H43))</f>
        <v>113.43323818194229</v>
      </c>
      <c r="H59" s="44">
        <f>IF(OR(Dados!K43="",Dados!$H43=""),"",IF(Dados!$F43="Menor é melhor",100*Dados!$H43/Dados!K43,100*Dados!K43/Dados!$H43))</f>
        <v>119.71181546715879</v>
      </c>
      <c r="I59" s="44">
        <f>IF(OR(Dados!M43="",Dados!$H43=""),"",IF(Dados!$F43="Menor é melhor",100*Dados!$H43/Dados!M43,100*Dados!M43/Dados!$H43))</f>
        <v>100</v>
      </c>
      <c r="J59" s="44">
        <f>IF(OR(Dados!N43="",Dados!$H43=""),"",IF(Dados!$F43="Menor é melhor",100*Dados!$H43/Dados!N43,100*Dados!N43/Dados!$H43))</f>
        <v>108.89851787408386</v>
      </c>
      <c r="K59" s="44">
        <f>IF(OR(Dados!O43="",Dados!$H43=""),"",IF(Dados!$F43="Menor é melhor",100*Dados!$H43/Dados!O43,100*Dados!O43/Dados!$H43))</f>
        <v>118.58887195172164</v>
      </c>
      <c r="L59" s="44">
        <f>IF(OR(Dados!P43="",Dados!$H43=""),"",IF(Dados!$F43="Menor é melhor",100*Dados!$H43/Dados!P43,100*Dados!P43/Dados!$H43))</f>
        <v>129.14152391902016</v>
      </c>
      <c r="M59" s="44">
        <f>IF(OR(Dados!Q43="",Dados!$H43=""),"",IF(Dados!$F43="Menor é melhor",100*Dados!$H43/Dados!Q43,100*Dados!Q43/Dados!$H43))</f>
        <v>140.63320550781845</v>
      </c>
      <c r="N59" s="44">
        <f>IF(OR(Dados!R43="",Dados!$H43=""),"",IF(Dados!$F43="Menor é melhor",100*Dados!$H43/Dados!R43,100*Dados!R43/Dados!$H43))</f>
        <v>153.14747643682892</v>
      </c>
      <c r="O59" s="44">
        <f t="shared" si="22"/>
        <v>4.6051701859880918</v>
      </c>
      <c r="P59" s="44">
        <f t="shared" si="23"/>
        <v>4.6701192561918488</v>
      </c>
      <c r="Q59" s="44">
        <f t="shared" si="24"/>
        <v>4.7312144540074463</v>
      </c>
      <c r="R59" s="44">
        <f t="shared" si="25"/>
        <v>4.7850873166913352</v>
      </c>
      <c r="S59" s="44">
        <f t="shared" si="26"/>
        <v>4.6051701859880918</v>
      </c>
      <c r="T59" s="44">
        <f t="shared" si="27"/>
        <v>4.6904164198746168</v>
      </c>
      <c r="U59" s="44">
        <f t="shared" si="28"/>
        <v>4.7756626537611417</v>
      </c>
      <c r="V59" s="44">
        <f t="shared" si="29"/>
        <v>4.8609088876476685</v>
      </c>
      <c r="W59" s="44">
        <f t="shared" si="30"/>
        <v>4.9461551215341935</v>
      </c>
      <c r="X59" s="44">
        <f t="shared" si="31"/>
        <v>5.0314013554207193</v>
      </c>
      <c r="Y59" s="44">
        <f>Dados!U43</f>
        <v>1</v>
      </c>
    </row>
    <row r="60" spans="1:25" x14ac:dyDescent="0.35">
      <c r="A60" s="76" t="s">
        <v>188</v>
      </c>
      <c r="B60" s="77" t="str">
        <f>Dados!C44</f>
        <v>Fomento à Produção</v>
      </c>
      <c r="C60" s="77" t="str">
        <f>Dados!D44</f>
        <v>Toneladas de cereais produzidas</v>
      </c>
      <c r="D60" s="77" t="str">
        <f>Dados!F44</f>
        <v>Maior é melhor</v>
      </c>
      <c r="E60" s="78">
        <f>IF(OR(Dados!H44="",Dados!$H44=""),"",IF(Dados!$F44="Menor é melhor",100*Dados!$H44/Dados!H44,100*Dados!H44/Dados!$H44))</f>
        <v>100</v>
      </c>
      <c r="F60" s="78">
        <f>IF(OR(Dados!I44="",Dados!$H44=""),"",IF(Dados!$F44="Menor é melhor",100*Dados!$H44/Dados!I44,100*Dados!I44/Dados!$H44))</f>
        <v>105.30701381545701</v>
      </c>
      <c r="G60" s="78">
        <f>IF(OR(Dados!J44="",Dados!$H44=""),"",IF(Dados!$F44="Menor é melhor",100*Dados!$H44/Dados!J44,100*Dados!J44/Dados!$H44))</f>
        <v>110.46706803209962</v>
      </c>
      <c r="H60" s="78">
        <f>IF(OR(Dados!K44="",Dados!$H44=""),"",IF(Dados!$F44="Menor é melhor",100*Dados!$H44/Dados!K44,100*Dados!K44/Dados!$H44))</f>
        <v>118.06793768160176</v>
      </c>
      <c r="I60" s="78">
        <f>IF(OR(Dados!M44="",Dados!$H44=""),"",IF(Dados!$F44="Menor é melhor",100*Dados!$H44/Dados!M44,100*Dados!M44/Dados!$H44))</f>
        <v>100</v>
      </c>
      <c r="J60" s="78">
        <f>IF(OR(Dados!N44="",Dados!$H44=""),"",IF(Dados!$F44="Menor é melhor",100*Dados!$H44/Dados!N44,100*Dados!N44/Dados!$H44))</f>
        <v>135.34204508772908</v>
      </c>
      <c r="K60" s="78">
        <f>IF(OR(Dados!O44="",Dados!$H44=""),"",IF(Dados!$F44="Menor é melhor",100*Dados!$H44/Dados!O44,100*Dados!O44/Dados!$H44))</f>
        <v>183.17469168528845</v>
      </c>
      <c r="L60" s="78">
        <f>IF(OR(Dados!P44="",Dados!$H44=""),"",IF(Dados!$F44="Menor é melhor",100*Dados!$H44/Dados!P44,100*Dados!P44/Dados!$H44))</f>
        <v>247.9123738100115</v>
      </c>
      <c r="M60" s="78">
        <f>IF(OR(Dados!Q44="",Dados!$H44=""),"",IF(Dados!$F44="Menor é melhor",100*Dados!$H44/Dados!Q44,100*Dados!Q44/Dados!$H44))</f>
        <v>335.52967674000632</v>
      </c>
      <c r="N60" s="78">
        <f>IF(OR(Dados!R44="",Dados!$H44=""),"",IF(Dados!$F44="Menor é melhor",100*Dados!$H44/Dados!R44,100*Dados!R44/Dados!$H44))</f>
        <v>454.11272637616764</v>
      </c>
      <c r="O60" s="78">
        <f t="shared" si="22"/>
        <v>4.6051701859880918</v>
      </c>
      <c r="P60" s="78">
        <f t="shared" si="23"/>
        <v>4.6568800248557842</v>
      </c>
      <c r="Q60" s="78">
        <f t="shared" si="24"/>
        <v>4.7047174496801505</v>
      </c>
      <c r="R60" s="78">
        <f t="shared" si="25"/>
        <v>4.7712602018536368</v>
      </c>
      <c r="S60" s="78">
        <f t="shared" si="26"/>
        <v>4.6051701859880918</v>
      </c>
      <c r="T60" s="78">
        <f t="shared" si="27"/>
        <v>4.907805241431225</v>
      </c>
      <c r="U60" s="78">
        <f t="shared" si="28"/>
        <v>5.2104402968743555</v>
      </c>
      <c r="V60" s="78">
        <f t="shared" si="29"/>
        <v>5.5130753523174878</v>
      </c>
      <c r="W60" s="78">
        <f t="shared" si="30"/>
        <v>5.8157104077606245</v>
      </c>
      <c r="X60" s="78">
        <f t="shared" si="31"/>
        <v>6.1183454632037506</v>
      </c>
      <c r="Y60" s="78">
        <f>Dados!U44</f>
        <v>1</v>
      </c>
    </row>
    <row r="61" spans="1:25" x14ac:dyDescent="0.35">
      <c r="A61" s="74" t="s">
        <v>189</v>
      </c>
      <c r="B61" s="75" t="str">
        <f>Dados!C45</f>
        <v>Fomento à Produção</v>
      </c>
      <c r="C61" s="75" t="str">
        <f>Dados!D45</f>
        <v>Toneladas de hortícolas produzidas</v>
      </c>
      <c r="D61" s="75" t="str">
        <f>Dados!F45</f>
        <v>Maior é melhor</v>
      </c>
      <c r="E61" s="44">
        <f>IF(OR(Dados!H45="",Dados!$H45=""),"",IF(Dados!$F45="Menor é melhor",100*Dados!$H45/Dados!H45,100*Dados!H45/Dados!$H45))</f>
        <v>100</v>
      </c>
      <c r="F61" s="44">
        <f>IF(OR(Dados!I45="",Dados!$H45=""),"",IF(Dados!$F45="Menor é melhor",100*Dados!$H45/Dados!I45,100*Dados!I45/Dados!$H45))</f>
        <v>111.51367981751808</v>
      </c>
      <c r="G61" s="44">
        <f>IF(OR(Dados!J45="",Dados!$H45=""),"",IF(Dados!$F45="Menor é melhor",100*Dados!$H45/Dados!J45,100*Dados!J45/Dados!$H45))</f>
        <v>119.43116616654866</v>
      </c>
      <c r="H61" s="44">
        <f>IF(OR(Dados!K45="",Dados!$H45=""),"",IF(Dados!$F45="Menor é melhor",100*Dados!$H45/Dados!K45,100*Dados!K45/Dados!$H45))</f>
        <v>129.17053627597403</v>
      </c>
      <c r="I61" s="44">
        <f>IF(OR(Dados!M45="",Dados!$H45=""),"",IF(Dados!$F45="Menor é melhor",100*Dados!$H45/Dados!M45,100*Dados!M45/Dados!$H45))</f>
        <v>100</v>
      </c>
      <c r="J61" s="44">
        <f>IF(OR(Dados!N45="",Dados!$H45=""),"",IF(Dados!$F45="Menor é melhor",100*Dados!$H45/Dados!N45,100*Dados!N45/Dados!$H45))</f>
        <v>106.30184274076696</v>
      </c>
      <c r="K61" s="44">
        <f>IF(OR(Dados!O45="",Dados!$H45=""),"",IF(Dados!$F45="Menor é melhor",100*Dados!$H45/Dados!O45,100*Dados!O45/Dados!$H45))</f>
        <v>113.00081770082703</v>
      </c>
      <c r="L61" s="44">
        <f>IF(OR(Dados!P45="",Dados!$H45=""),"",IF(Dados!$F45="Menor é melhor",100*Dados!$H45/Dados!P45,100*Dados!P45/Dados!$H45))</f>
        <v>120.12195152811398</v>
      </c>
      <c r="M61" s="44">
        <f>IF(OR(Dados!Q45="",Dados!$H45=""),"",IF(Dados!$F45="Menor é melhor",100*Dados!$H45/Dados!Q45,100*Dados!Q45/Dados!$H45))</f>
        <v>127.69184801055587</v>
      </c>
      <c r="N61" s="44">
        <f>IF(OR(Dados!R45="",Dados!$H45=""),"",IF(Dados!$F45="Menor é melhor",100*Dados!$H45/Dados!R45,100*Dados!R45/Dados!$H45))</f>
        <v>135.73878746495993</v>
      </c>
      <c r="O61" s="44">
        <f t="shared" si="22"/>
        <v>4.6051701859880918</v>
      </c>
      <c r="P61" s="44">
        <f t="shared" si="23"/>
        <v>4.7141472723208508</v>
      </c>
      <c r="Q61" s="44">
        <f t="shared" si="24"/>
        <v>4.7827401900683055</v>
      </c>
      <c r="R61" s="44">
        <f t="shared" si="25"/>
        <v>4.8611335179421573</v>
      </c>
      <c r="S61" s="44">
        <f t="shared" si="26"/>
        <v>4.6051701859880918</v>
      </c>
      <c r="T61" s="44">
        <f t="shared" si="27"/>
        <v>4.6662826204823791</v>
      </c>
      <c r="U61" s="44">
        <f t="shared" si="28"/>
        <v>4.7273950549766637</v>
      </c>
      <c r="V61" s="44">
        <f t="shared" si="29"/>
        <v>4.7885074894709518</v>
      </c>
      <c r="W61" s="44">
        <f t="shared" si="30"/>
        <v>4.8496199239652391</v>
      </c>
      <c r="X61" s="44">
        <f t="shared" si="31"/>
        <v>4.9107323584595246</v>
      </c>
      <c r="Y61" s="44">
        <f>Dados!U45</f>
        <v>1</v>
      </c>
    </row>
    <row r="62" spans="1:25" x14ac:dyDescent="0.35">
      <c r="A62" s="76" t="s">
        <v>190</v>
      </c>
      <c r="B62" s="77" t="str">
        <f>Dados!C46</f>
        <v>Fomento à Produção</v>
      </c>
      <c r="C62" s="77" t="str">
        <f>Dados!D46</f>
        <v>Ovos produzidos</v>
      </c>
      <c r="D62" s="77" t="str">
        <f>Dados!F46</f>
        <v>Maior é melhor</v>
      </c>
      <c r="E62" s="78">
        <f>IF(OR(Dados!H46="",Dados!$H46=""),"",IF(Dados!$F46="Menor é melhor",100*Dados!$H46/Dados!H46,100*Dados!H46/Dados!$H46))</f>
        <v>100</v>
      </c>
      <c r="F62" s="78">
        <f>IF(OR(Dados!I46="",Dados!$H46=""),"",IF(Dados!$F46="Menor é melhor",100*Dados!$H46/Dados!I46,100*Dados!I46/Dados!$H46))</f>
        <v>102.48700816629547</v>
      </c>
      <c r="G62" s="78">
        <f>IF(OR(Dados!J46="",Dados!$H46=""),"",IF(Dados!$F46="Menor é melhor",100*Dados!$H46/Dados!J46,100*Dados!J46/Dados!$H46))</f>
        <v>89.903489235337787</v>
      </c>
      <c r="H62" s="78">
        <f>IF(OR(Dados!K46="",Dados!$H46=""),"",IF(Dados!$F46="Menor é melhor",100*Dados!$H46/Dados!K46,100*Dados!K46/Dados!$H46))</f>
        <v>94.469190794357829</v>
      </c>
      <c r="I62" s="78">
        <f>IF(OR(Dados!M46="",Dados!$H46=""),"",IF(Dados!$F46="Menor é melhor",100*Dados!$H46/Dados!M46,100*Dados!M46/Dados!$H46))</f>
        <v>100</v>
      </c>
      <c r="J62" s="78">
        <f>IF(OR(Dados!N46="",Dados!$H46=""),"",IF(Dados!$F46="Menor é melhor",100*Dados!$H46/Dados!N46,100*Dados!N46/Dados!$H46))</f>
        <v>103.43196961910505</v>
      </c>
      <c r="K62" s="78">
        <f>IF(OR(Dados!O46="",Dados!$H46=""),"",IF(Dados!$F46="Menor é melhor",100*Dados!$H46/Dados!O46,100*Dados!O46/Dados!$H46))</f>
        <v>106.98172339287491</v>
      </c>
      <c r="L62" s="78">
        <f>IF(OR(Dados!P46="",Dados!$H46=""),"",IF(Dados!$F46="Menor é melhor",100*Dados!$H46/Dados!P46,100*Dados!P46/Dados!$H46))</f>
        <v>110.65330363771344</v>
      </c>
      <c r="M62" s="78">
        <f>IF(OR(Dados!Q46="",Dados!$H46=""),"",IF(Dados!$F46="Menor é melhor",100*Dados!$H46/Dados!Q46,100*Dados!Q46/Dados!$H46))</f>
        <v>114.45089140109577</v>
      </c>
      <c r="N62" s="78">
        <f>IF(OR(Dados!R46="",Dados!$H46=""),"",IF(Dados!$F46="Menor é melhor",100*Dados!$H46/Dados!R46,100*Dados!R46/Dados!$H46))</f>
        <v>118.37881122277653</v>
      </c>
      <c r="O62" s="78">
        <f t="shared" si="22"/>
        <v>4.6051701859880918</v>
      </c>
      <c r="P62" s="78">
        <f t="shared" si="23"/>
        <v>4.6297360409479369</v>
      </c>
      <c r="Q62" s="78">
        <f t="shared" si="24"/>
        <v>4.49873675313082</v>
      </c>
      <c r="R62" s="78">
        <f t="shared" si="25"/>
        <v>4.5482737580024049</v>
      </c>
      <c r="S62" s="78">
        <f t="shared" si="26"/>
        <v>4.6051701859880918</v>
      </c>
      <c r="T62" s="78">
        <f t="shared" si="27"/>
        <v>4.6389140982240109</v>
      </c>
      <c r="U62" s="78">
        <f t="shared" si="28"/>
        <v>4.6726580104599327</v>
      </c>
      <c r="V62" s="78">
        <f t="shared" si="29"/>
        <v>4.7064019226958536</v>
      </c>
      <c r="W62" s="78">
        <f t="shared" si="30"/>
        <v>4.7401458349317727</v>
      </c>
      <c r="X62" s="78">
        <f t="shared" si="31"/>
        <v>4.7738897471676944</v>
      </c>
      <c r="Y62" s="78">
        <f>Dados!U46</f>
        <v>1</v>
      </c>
    </row>
    <row r="63" spans="1:25" x14ac:dyDescent="0.35">
      <c r="A63" s="74" t="s">
        <v>191</v>
      </c>
      <c r="B63" s="75" t="str">
        <f>Dados!C47</f>
        <v>Fomento à Produção</v>
      </c>
      <c r="C63" s="75" t="str">
        <f>Dados!D47</f>
        <v>Litros de leite produzidos</v>
      </c>
      <c r="D63" s="75" t="str">
        <f>Dados!F47</f>
        <v>Maior é melhor</v>
      </c>
      <c r="E63" s="44">
        <f>IF(OR(Dados!H47="",Dados!$H47=""),"",IF(Dados!$F47="Menor é melhor",100*Dados!$H47/Dados!H47,100*Dados!H47/Dados!$H47))</f>
        <v>100</v>
      </c>
      <c r="F63" s="44">
        <f>IF(OR(Dados!I47="",Dados!$H47=""),"",IF(Dados!$F47="Menor é melhor",100*Dados!$H47/Dados!I47,100*Dados!I47/Dados!$H47))</f>
        <v>100</v>
      </c>
      <c r="G63" s="44">
        <f>IF(OR(Dados!J47="",Dados!$H47=""),"",IF(Dados!$F47="Menor é melhor",100*Dados!$H47/Dados!J47,100*Dados!J47/Dados!$H47))</f>
        <v>100</v>
      </c>
      <c r="H63" s="44">
        <f>IF(OR(Dados!K47="",Dados!$H47=""),"",IF(Dados!$F47="Menor é melhor",100*Dados!$H47/Dados!K47,100*Dados!K47/Dados!$H47))</f>
        <v>100</v>
      </c>
      <c r="I63" s="44">
        <f>IF(OR(Dados!M47="",Dados!$H47=""),"",IF(Dados!$F47="Menor é melhor",100*Dados!$H47/Dados!M47,100*Dados!M47/Dados!$H47))</f>
        <v>100</v>
      </c>
      <c r="J63" s="44">
        <f>IF(OR(Dados!N47="",Dados!$H47=""),"",IF(Dados!$F47="Menor é melhor",100*Dados!$H47/Dados!N47,100*Dados!N47/Dados!$H47))</f>
        <v>125.99210498948732</v>
      </c>
      <c r="K63" s="44">
        <f>IF(OR(Dados!O47="",Dados!$H47=""),"",IF(Dados!$F47="Menor é melhor",100*Dados!$H47/Dados!O47,100*Dados!O47/Dados!$H47))</f>
        <v>158.74010519682</v>
      </c>
      <c r="L63" s="44">
        <f>IF(OR(Dados!P47="",Dados!$H47=""),"",IF(Dados!$F47="Menor é melhor",100*Dados!$H47/Dados!P47,100*Dados!P47/Dados!$H47))</f>
        <v>200</v>
      </c>
      <c r="M63" s="44">
        <f>IF(OR(Dados!Q47="",Dados!$H47=""),"",IF(Dados!$F47="Menor é melhor",100*Dados!$H47/Dados!Q47,100*Dados!Q47/Dados!$H47))</f>
        <v>251.98420997897503</v>
      </c>
      <c r="N63" s="44">
        <f>IF(OR(Dados!R47="",Dados!$H47=""),"",IF(Dados!$F47="Menor é melhor",100*Dados!$H47/Dados!R47,100*Dados!R47/Dados!$H47))</f>
        <v>317.48021039363999</v>
      </c>
      <c r="O63" s="44">
        <f t="shared" si="22"/>
        <v>4.6051701859880918</v>
      </c>
      <c r="P63" s="44">
        <f t="shared" si="23"/>
        <v>4.6051701859880918</v>
      </c>
      <c r="Q63" s="44">
        <f t="shared" si="24"/>
        <v>4.6051701859880918</v>
      </c>
      <c r="R63" s="44">
        <f t="shared" si="25"/>
        <v>4.6051701859880918</v>
      </c>
      <c r="S63" s="44">
        <f t="shared" si="26"/>
        <v>4.6051701859880918</v>
      </c>
      <c r="T63" s="44">
        <f t="shared" si="27"/>
        <v>4.83621924617474</v>
      </c>
      <c r="U63" s="44">
        <f t="shared" si="28"/>
        <v>5.0672683063613881</v>
      </c>
      <c r="V63" s="44">
        <f t="shared" si="29"/>
        <v>5.2983173665480363</v>
      </c>
      <c r="W63" s="44">
        <f t="shared" si="30"/>
        <v>5.5293664267346863</v>
      </c>
      <c r="X63" s="44">
        <f t="shared" si="31"/>
        <v>5.7604154869213335</v>
      </c>
      <c r="Y63" s="44">
        <f>Dados!U47</f>
        <v>1</v>
      </c>
    </row>
    <row r="64" spans="1:25" x14ac:dyDescent="0.35">
      <c r="A64" s="76" t="s">
        <v>192</v>
      </c>
      <c r="B64" s="77" t="str">
        <f>Dados!C48</f>
        <v>Fomento à Produção</v>
      </c>
      <c r="C64" s="77" t="str">
        <f>Dados!D48</f>
        <v>Unidades industriais no subsector da indústria pesqueira e de transformação de carne instaladas (cumulativo)</v>
      </c>
      <c r="D64" s="77" t="str">
        <f>Dados!F48</f>
        <v>Maior é melhor</v>
      </c>
      <c r="E64" s="78">
        <f>IF(OR(Dados!H48="",Dados!$H48=""),"",IF(Dados!$F48="Menor é melhor",100*Dados!$H48/Dados!H48,100*Dados!H48/Dados!$H48))</f>
        <v>100</v>
      </c>
      <c r="F64" s="78">
        <f>IF(OR(Dados!I48="",Dados!$H48=""),"",IF(Dados!$F48="Menor é melhor",100*Dados!$H48/Dados!I48,100*Dados!I48/Dados!$H48))</f>
        <v>200</v>
      </c>
      <c r="G64" s="78">
        <f>IF(OR(Dados!J48="",Dados!$H48=""),"",IF(Dados!$F48="Menor é melhor",100*Dados!$H48/Dados!J48,100*Dados!J48/Dados!$H48))</f>
        <v>800</v>
      </c>
      <c r="H64" s="78">
        <f>IF(OR(Dados!K48="",Dados!$H48=""),"",IF(Dados!$F48="Menor é melhor",100*Dados!$H48/Dados!K48,100*Dados!K48/Dados!$H48))</f>
        <v>1033.3333333333333</v>
      </c>
      <c r="I64" s="78">
        <f>IF(OR(Dados!M48="",Dados!$H48=""),"",IF(Dados!$F48="Menor é melhor",100*Dados!$H48/Dados!M48,100*Dados!M48/Dados!$H48))</f>
        <v>100</v>
      </c>
      <c r="J64" s="78">
        <f>IF(OR(Dados!N48="",Dados!$H48=""),"",IF(Dados!$F48="Menor é melhor",100*Dados!$H48/Dados!N48,100*Dados!N48/Dados!$H48))</f>
        <v>177.77777777777777</v>
      </c>
      <c r="K64" s="78">
        <f>IF(OR(Dados!O48="",Dados!$H48=""),"",IF(Dados!$F48="Menor é melhor",100*Dados!$H48/Dados!O48,100*Dados!O48/Dados!$H48))</f>
        <v>255.55555555555554</v>
      </c>
      <c r="L64" s="78">
        <f>IF(OR(Dados!P48="",Dados!$H48=""),"",IF(Dados!$F48="Menor é melhor",100*Dados!$H48/Dados!P48,100*Dados!P48/Dados!$H48))</f>
        <v>333.33333333333331</v>
      </c>
      <c r="M64" s="78">
        <f>IF(OR(Dados!Q48="",Dados!$H48=""),"",IF(Dados!$F48="Menor é melhor",100*Dados!$H48/Dados!Q48,100*Dados!Q48/Dados!$H48))</f>
        <v>411.11111111111109</v>
      </c>
      <c r="N64" s="78">
        <f>IF(OR(Dados!R48="",Dados!$H48=""),"",IF(Dados!$F48="Menor é melhor",100*Dados!$H48/Dados!R48,100*Dados!R48/Dados!$H48))</f>
        <v>488.88888888888891</v>
      </c>
      <c r="O64" s="78">
        <f t="shared" si="22"/>
        <v>4.6051701859880918</v>
      </c>
      <c r="P64" s="78">
        <f t="shared" si="23"/>
        <v>5.2983173665480363</v>
      </c>
      <c r="Q64" s="78">
        <f t="shared" si="24"/>
        <v>6.6846117276679271</v>
      </c>
      <c r="R64" s="78">
        <f t="shared" si="25"/>
        <v>6.9405451018051281</v>
      </c>
      <c r="S64" s="78">
        <f t="shared" si="26"/>
        <v>4.6051701859880918</v>
      </c>
      <c r="T64" s="78">
        <f t="shared" si="27"/>
        <v>5.1805343308916534</v>
      </c>
      <c r="U64" s="78">
        <f t="shared" si="28"/>
        <v>5.5434398245810215</v>
      </c>
      <c r="V64" s="78">
        <f t="shared" si="29"/>
        <v>5.8091429903140277</v>
      </c>
      <c r="W64" s="78">
        <f t="shared" si="30"/>
        <v>6.0188635212960966</v>
      </c>
      <c r="X64" s="78">
        <f t="shared" si="31"/>
        <v>6.1921352425701333</v>
      </c>
      <c r="Y64" s="78">
        <f>Dados!U48</f>
        <v>1</v>
      </c>
    </row>
    <row r="65" spans="1:25" x14ac:dyDescent="0.35">
      <c r="A65" s="74" t="s">
        <v>193</v>
      </c>
      <c r="B65" s="75" t="str">
        <f>Dados!C49</f>
        <v>Fomento à Produção</v>
      </c>
      <c r="C65" s="75" t="str">
        <f>Dados!D49</f>
        <v>Toneladas de peixe de captura industrial e semi-industrial produzidas</v>
      </c>
      <c r="D65" s="75" t="str">
        <f>Dados!F49</f>
        <v>Maior é melhor</v>
      </c>
      <c r="E65" s="44">
        <f>IF(OR(Dados!H49="",Dados!$H49=""),"",IF(Dados!$F49="Menor é melhor",100*Dados!$H49/Dados!H49,100*Dados!H49/Dados!$H49))</f>
        <v>100</v>
      </c>
      <c r="F65" s="44">
        <f>IF(OR(Dados!I49="",Dados!$H49=""),"",IF(Dados!$F49="Menor é melhor",100*Dados!$H49/Dados!I49,100*Dados!I49/Dados!$H49))</f>
        <v>103.28358208955224</v>
      </c>
      <c r="G65" s="44">
        <f>IF(OR(Dados!J49="",Dados!$H49=""),"",IF(Dados!$F49="Menor é melhor",100*Dados!$H49/Dados!J49,100*Dados!J49/Dados!$H49))</f>
        <v>111.64179104477611</v>
      </c>
      <c r="H65" s="44">
        <f>IF(OR(Dados!K49="",Dados!$H49=""),"",IF(Dados!$F49="Menor é melhor",100*Dados!$H49/Dados!K49,100*Dados!K49/Dados!$H49))</f>
        <v>81.492537313432834</v>
      </c>
      <c r="I65" s="44">
        <f>IF(OR(Dados!M49="",Dados!$H49=""),"",IF(Dados!$F49="Menor é melhor",100*Dados!$H49/Dados!M49,100*Dados!M49/Dados!$H49))</f>
        <v>100</v>
      </c>
      <c r="J65" s="44">
        <f>IF(OR(Dados!N49="",Dados!$H49=""),"",IF(Dados!$F49="Menor é melhor",100*Dados!$H49/Dados!N49,100*Dados!N49/Dados!$H49))</f>
        <v>102.1428103955809</v>
      </c>
      <c r="K65" s="44">
        <f>IF(OR(Dados!O49="",Dados!$H49=""),"",IF(Dados!$F49="Menor é melhor",100*Dados!$H49/Dados!O49,100*Dados!O49/Dados!$H49))</f>
        <v>104.33153715507612</v>
      </c>
      <c r="L65" s="44">
        <f>IF(OR(Dados!P49="",Dados!$H49=""),"",IF(Dados!$F49="Menor é melhor",100*Dados!$H49/Dados!P49,100*Dados!P49/Dados!$H49))</f>
        <v>106.56716417910448</v>
      </c>
      <c r="M65" s="44">
        <f>IF(OR(Dados!Q49="",Dados!$H49=""),"",IF(Dados!$F49="Menor é melhor",100*Dados!$H49/Dados!Q49,100*Dados!Q49/Dados!$H49))</f>
        <v>108.85069645141014</v>
      </c>
      <c r="N65" s="44">
        <f>IF(OR(Dados!R49="",Dados!$H49=""),"",IF(Dados!$F49="Menor é melhor",100*Dados!$H49/Dados!R49,100*Dados!R49/Dados!$H49))</f>
        <v>111.18316049063344</v>
      </c>
      <c r="O65" s="44">
        <f t="shared" si="22"/>
        <v>4.6051701859880918</v>
      </c>
      <c r="P65" s="44">
        <f t="shared" si="23"/>
        <v>4.6374784292207494</v>
      </c>
      <c r="Q65" s="44">
        <f t="shared" si="24"/>
        <v>4.7152954515775569</v>
      </c>
      <c r="R65" s="44">
        <f t="shared" si="25"/>
        <v>4.4005114493479844</v>
      </c>
      <c r="S65" s="44">
        <f t="shared" si="26"/>
        <v>4.6051701859880918</v>
      </c>
      <c r="T65" s="44">
        <f t="shared" si="27"/>
        <v>4.6263719359729478</v>
      </c>
      <c r="U65" s="44">
        <f t="shared" si="28"/>
        <v>4.6475736859578065</v>
      </c>
      <c r="V65" s="44">
        <f t="shared" si="29"/>
        <v>4.6687754359426643</v>
      </c>
      <c r="W65" s="44">
        <f t="shared" si="30"/>
        <v>4.6899771859275212</v>
      </c>
      <c r="X65" s="44">
        <f t="shared" si="31"/>
        <v>4.7111789359123799</v>
      </c>
      <c r="Y65" s="44">
        <f>Dados!U49</f>
        <v>1</v>
      </c>
    </row>
    <row r="66" spans="1:25" x14ac:dyDescent="0.35">
      <c r="A66" s="76" t="s">
        <v>194</v>
      </c>
      <c r="B66" s="77" t="str">
        <f>Dados!C50</f>
        <v>Económico</v>
      </c>
      <c r="C66" s="77" t="str">
        <f>Dados!D50</f>
        <v>Taxa de crescimento do PIB</v>
      </c>
      <c r="D66" s="77" t="str">
        <f>Dados!F50</f>
        <v>Maior é melhor</v>
      </c>
      <c r="E66" s="78">
        <f>IF(OR(Dados!H50="",Dados!$H50=""),"",IF(Dados!$F50="Menor é melhor",100*Dados!$H50/Dados!H50,100*Dados!H50/Dados!$H50))</f>
        <v>100</v>
      </c>
      <c r="F66" s="78">
        <f>IF(OR(Dados!I50="",Dados!$H50=""),"",IF(Dados!$F50="Menor é melhor",100*Dados!$H50/Dados!I50,100*Dados!I50/Dados!$H50))</f>
        <v>25</v>
      </c>
      <c r="G66" s="78">
        <f>IF(OR(Dados!J50="",Dados!$H50=""),"",IF(Dados!$F50="Menor é melhor",100*Dados!$H50/Dados!J50,100*Dados!J50/Dados!$H50))</f>
        <v>125</v>
      </c>
      <c r="H66" s="78">
        <f>IF(OR(Dados!K50="",Dados!$H50=""),"",IF(Dados!$F50="Menor é melhor",100*Dados!$H50/Dados!K50,100*Dados!K50/Dados!$H50))</f>
        <v>75</v>
      </c>
      <c r="I66" s="78">
        <f>IF(OR(Dados!M50="",Dados!$H50=""),"",IF(Dados!$F50="Menor é melhor",100*Dados!$H50/Dados!M50,100*Dados!M50/Dados!$H50))</f>
        <v>100</v>
      </c>
      <c r="J66" s="78">
        <f>IF(OR(Dados!N50="",Dados!$H50=""),"",IF(Dados!$F50="Menor é melhor",100*Dados!$H50/Dados!N50,100*Dados!N50/Dados!$H50))</f>
        <v>91.666666666666757</v>
      </c>
      <c r="K66" s="78">
        <f>IF(OR(Dados!O50="",Dados!$H50=""),"",IF(Dados!$F50="Menor é melhor",100*Dados!$H50/Dados!O50,100*Dados!O50/Dados!$H50))</f>
        <v>83.333333333333243</v>
      </c>
      <c r="L66" s="78">
        <f>IF(OR(Dados!P50="",Dados!$H50=""),"",IF(Dados!$F50="Menor é melhor",100*Dados!$H50/Dados!P50,100*Dados!P50/Dados!$H50))</f>
        <v>75</v>
      </c>
      <c r="M66" s="78">
        <f>IF(OR(Dados!Q50="",Dados!$H50=""),"",IF(Dados!$F50="Menor é melhor",100*Dados!$H50/Dados!Q50,100*Dados!Q50/Dados!$H50))</f>
        <v>75</v>
      </c>
      <c r="N66" s="78">
        <f>IF(OR(Dados!R50="",Dados!$H50=""),"",IF(Dados!$F50="Menor é melhor",100*Dados!$H50/Dados!R50,100*Dados!R50/Dados!$H50))</f>
        <v>75</v>
      </c>
      <c r="O66" s="78">
        <f t="shared" si="22"/>
        <v>4.6051701859880918</v>
      </c>
      <c r="P66" s="78">
        <f t="shared" si="23"/>
        <v>3.2188758248682006</v>
      </c>
      <c r="Q66" s="78">
        <f t="shared" si="24"/>
        <v>4.8283137373023015</v>
      </c>
      <c r="R66" s="78">
        <f t="shared" si="25"/>
        <v>4.3174881135363101</v>
      </c>
      <c r="S66" s="78">
        <f t="shared" si="26"/>
        <v>4.6051701859880918</v>
      </c>
      <c r="T66" s="78">
        <f t="shared" si="27"/>
        <v>4.5181588089984626</v>
      </c>
      <c r="U66" s="78">
        <f t="shared" si="28"/>
        <v>4.422848629194136</v>
      </c>
      <c r="V66" s="78">
        <f t="shared" si="29"/>
        <v>4.3174881135363101</v>
      </c>
      <c r="W66" s="78">
        <f t="shared" si="30"/>
        <v>4.3174881135363101</v>
      </c>
      <c r="X66" s="78">
        <f t="shared" si="31"/>
        <v>4.3174881135363101</v>
      </c>
      <c r="Y66" s="78">
        <f>Dados!U50</f>
        <v>1</v>
      </c>
    </row>
    <row r="67" spans="1:25" x14ac:dyDescent="0.35">
      <c r="A67" s="74" t="s">
        <v>195</v>
      </c>
      <c r="B67" s="75" t="str">
        <f>Dados!C51</f>
        <v>Económico</v>
      </c>
      <c r="C67" s="75" t="str">
        <f>Dados!D51</f>
        <v>Taxa de crescimento do PIB não petrolífero</v>
      </c>
      <c r="D67" s="75" t="str">
        <f>Dados!F51</f>
        <v>Maior é melhor</v>
      </c>
      <c r="E67" s="44">
        <f>IF(OR(Dados!H51="",Dados!$H51=""),"",IF(Dados!$F51="Menor é melhor",100*Dados!$H51/Dados!H51,100*Dados!H51/Dados!$H51))</f>
        <v>100</v>
      </c>
      <c r="F67" s="44">
        <f>IF(OR(Dados!I51="",Dados!$H51=""),"",IF(Dados!$F51="Menor é melhor",100*Dados!$H51/Dados!I51,100*Dados!I51/Dados!$H51))</f>
        <v>50</v>
      </c>
      <c r="G67" s="44">
        <f>IF(OR(Dados!J51="",Dados!$H51=""),"",IF(Dados!$F51="Menor é melhor",100*Dados!$H51/Dados!J51,100*Dados!J51/Dados!$H51))</f>
        <v>125</v>
      </c>
      <c r="H67" s="44">
        <f>IF(OR(Dados!K51="",Dados!$H51=""),"",IF(Dados!$F51="Menor é melhor",100*Dados!$H51/Dados!K51,100*Dados!K51/Dados!$H51))</f>
        <v>125</v>
      </c>
      <c r="I67" s="44">
        <f>IF(OR(Dados!M51="",Dados!$H51=""),"",IF(Dados!$F51="Menor é melhor",100*Dados!$H51/Dados!M51,100*Dados!M51/Dados!$H51))</f>
        <v>100</v>
      </c>
      <c r="J67" s="44">
        <f>IF(OR(Dados!N51="",Dados!$H51=""),"",IF(Dados!$F51="Menor é melhor",100*Dados!$H51/Dados!N51,100*Dados!N51/Dados!$H51))</f>
        <v>116.66666666666674</v>
      </c>
      <c r="K67" s="44">
        <f>IF(OR(Dados!O51="",Dados!$H51=""),"",IF(Dados!$F51="Menor é melhor",100*Dados!$H51/Dados!O51,100*Dados!O51/Dados!$H51))</f>
        <v>133.33333333333326</v>
      </c>
      <c r="L67" s="44">
        <f>IF(OR(Dados!P51="",Dados!$H51=""),"",IF(Dados!$F51="Menor é melhor",100*Dados!$H51/Dados!P51,100*Dados!P51/Dados!$H51))</f>
        <v>150</v>
      </c>
      <c r="M67" s="44">
        <f>IF(OR(Dados!Q51="",Dados!$H51=""),"",IF(Dados!$F51="Menor é melhor",100*Dados!$H51/Dados!Q51,100*Dados!Q51/Dados!$H51))</f>
        <v>132.5</v>
      </c>
      <c r="N67" s="44">
        <f>IF(OR(Dados!R51="",Dados!$H51=""),"",IF(Dados!$F51="Menor é melhor",100*Dados!$H51/Dados!R51,100*Dados!R51/Dados!$H51))</f>
        <v>114.99999999999999</v>
      </c>
      <c r="O67" s="44">
        <f t="shared" si="22"/>
        <v>4.6051701859880918</v>
      </c>
      <c r="P67" s="44">
        <f t="shared" si="23"/>
        <v>3.912023005428146</v>
      </c>
      <c r="Q67" s="44">
        <f t="shared" si="24"/>
        <v>4.8283137373023015</v>
      </c>
      <c r="R67" s="44">
        <f t="shared" si="25"/>
        <v>4.8283137373023015</v>
      </c>
      <c r="S67" s="44">
        <f t="shared" si="26"/>
        <v>4.6051701859880918</v>
      </c>
      <c r="T67" s="44">
        <f t="shared" si="27"/>
        <v>4.7593208658153507</v>
      </c>
      <c r="U67" s="44">
        <f t="shared" si="28"/>
        <v>4.8928522584398717</v>
      </c>
      <c r="V67" s="44">
        <f t="shared" si="29"/>
        <v>5.0106352940962555</v>
      </c>
      <c r="W67" s="44">
        <f t="shared" si="30"/>
        <v>4.8865826454262766</v>
      </c>
      <c r="X67" s="44">
        <f t="shared" si="31"/>
        <v>4.7449321283632502</v>
      </c>
      <c r="Y67" s="44">
        <f>Dados!U51</f>
        <v>1</v>
      </c>
    </row>
    <row r="68" spans="1:25" x14ac:dyDescent="0.35">
      <c r="A68" s="76" t="s">
        <v>196</v>
      </c>
      <c r="B68" s="77" t="str">
        <f>Dados!C52</f>
        <v>Económico</v>
      </c>
      <c r="C68" s="77" t="str">
        <f>Dados!D52</f>
        <v>Taxa de inflação</v>
      </c>
      <c r="D68" s="77" t="str">
        <f>Dados!F52</f>
        <v>Menor é melhor</v>
      </c>
      <c r="E68" s="78">
        <f>IF(OR(Dados!H52="",Dados!$H52=""),"",IF(Dados!$F52="Menor é melhor",100*Dados!$H52/Dados!H52,100*Dados!H52/Dados!$H52))</f>
        <v>100</v>
      </c>
      <c r="F68" s="78">
        <f>IF(OR(Dados!I52="",Dados!$H52=""),"",IF(Dados!$F52="Menor é melhor",100*Dados!$H52/Dados!I52,100*Dados!I52/Dados!$H52))</f>
        <v>70</v>
      </c>
      <c r="G68" s="78">
        <f>IF(OR(Dados!J52="",Dados!$H52=""),"",IF(Dados!$F52="Menor é melhor",100*Dados!$H52/Dados!J52,100*Dados!J52/Dados!$H52))</f>
        <v>50</v>
      </c>
      <c r="H68" s="78">
        <f>IF(OR(Dados!K52="",Dados!$H52=""),"",IF(Dados!$F52="Menor é melhor",100*Dados!$H52/Dados!K52,100*Dados!K52/Dados!$H52))</f>
        <v>87.5</v>
      </c>
      <c r="I68" s="78">
        <f>IF(OR(Dados!M52="",Dados!$H52=""),"",IF(Dados!$F52="Menor é melhor",100*Dados!$H52/Dados!M52,100*Dados!M52/Dados!$H52))</f>
        <v>100</v>
      </c>
      <c r="J68" s="78">
        <f>IF(OR(Dados!N52="",Dados!$H52=""),"",IF(Dados!$F52="Menor é melhor",100*Dados!$H52/Dados!N52,100*Dados!N52/Dados!$H52))</f>
        <v>91.304347826087152</v>
      </c>
      <c r="K68" s="78">
        <f>IF(OR(Dados!O52="",Dados!$H52=""),"",IF(Dados!$F52="Menor é melhor",100*Dados!$H52/Dados!O52,100*Dados!O52/Dados!$H52))</f>
        <v>83.999999999999829</v>
      </c>
      <c r="L68" s="78">
        <f>IF(OR(Dados!P52="",Dados!$H52=""),"",IF(Dados!$F52="Menor é melhor",100*Dados!$H52/Dados!P52,100*Dados!P52/Dados!$H52))</f>
        <v>77.777777777777771</v>
      </c>
      <c r="M68" s="78">
        <f>IF(OR(Dados!Q52="",Dados!$H52=""),"",IF(Dados!$F52="Menor é melhor",100*Dados!$H52/Dados!Q52,100*Dados!Q52/Dados!$H52))</f>
        <v>77.777777777777771</v>
      </c>
      <c r="N68" s="78">
        <f>IF(OR(Dados!R52="",Dados!$H52=""),"",IF(Dados!$F52="Menor é melhor",100*Dados!$H52/Dados!R52,100*Dados!R52/Dados!$H52))</f>
        <v>77.777777777777771</v>
      </c>
      <c r="O68" s="78">
        <f t="shared" si="22"/>
        <v>4.6051701859880918</v>
      </c>
      <c r="P68" s="78">
        <f t="shared" si="23"/>
        <v>4.2484952420493594</v>
      </c>
      <c r="Q68" s="78">
        <f t="shared" si="24"/>
        <v>3.912023005428146</v>
      </c>
      <c r="R68" s="78">
        <f t="shared" si="25"/>
        <v>4.4716387933635691</v>
      </c>
      <c r="S68" s="78">
        <f t="shared" si="26"/>
        <v>4.6051701859880918</v>
      </c>
      <c r="T68" s="78">
        <f t="shared" si="27"/>
        <v>4.5141984077823665</v>
      </c>
      <c r="U68" s="78">
        <f t="shared" si="28"/>
        <v>4.4308167988433116</v>
      </c>
      <c r="V68" s="78">
        <f t="shared" si="29"/>
        <v>4.3538557577071852</v>
      </c>
      <c r="W68" s="78">
        <f t="shared" si="30"/>
        <v>4.3538557577071852</v>
      </c>
      <c r="X68" s="78">
        <f t="shared" si="31"/>
        <v>4.3538557577071852</v>
      </c>
      <c r="Y68" s="78">
        <f>Dados!U52</f>
        <v>1</v>
      </c>
    </row>
    <row r="69" spans="1:25" x14ac:dyDescent="0.35">
      <c r="A69" s="74" t="s">
        <v>197</v>
      </c>
      <c r="B69" s="75" t="str">
        <f>Dados!C53</f>
        <v>Económico</v>
      </c>
      <c r="C69" s="75" t="str">
        <f>Dados!D53</f>
        <v>Empregos Formais Bruto Gerados</v>
      </c>
      <c r="D69" s="75" t="str">
        <f>Dados!F53</f>
        <v>Maior é melhor</v>
      </c>
      <c r="E69" s="44">
        <f>IF(OR(Dados!H53="",Dados!$H53=""),"",IF(Dados!$F53="Menor é melhor",100*Dados!$H53/Dados!H53,100*Dados!H53/Dados!$H53))</f>
        <v>100</v>
      </c>
      <c r="F69" s="44">
        <f>IF(OR(Dados!I53="",Dados!$H53=""),"",IF(Dados!$F53="Menor é melhor",100*Dados!$H53/Dados!I53,100*Dados!I53/Dados!$H53))</f>
        <v>99.338091341323192</v>
      </c>
      <c r="G69" s="44">
        <f>IF(OR(Dados!J53="",Dados!$H53=""),"",IF(Dados!$F53="Menor é melhor",100*Dados!$H53/Dados!J53,100*Dados!J53/Dados!$H53))</f>
        <v>116.61452884326542</v>
      </c>
      <c r="H69" s="44">
        <f>IF(OR(Dados!K53="",Dados!$H53=""),"",IF(Dados!$F53="Menor é melhor",100*Dados!$H53/Dados!K53,100*Dados!K53/Dados!$H53))</f>
        <v>114.20721159324211</v>
      </c>
      <c r="I69" s="44" t="str">
        <f>IF(OR(Dados!M53="",Dados!$H53=""),"",IF(Dados!$F53="Menor é melhor",100*Dados!$H53/Dados!M53,100*Dados!M53/Dados!$H53))</f>
        <v/>
      </c>
      <c r="J69" s="44" t="str">
        <f>IF(OR(Dados!N53="",Dados!$H53=""),"",IF(Dados!$F53="Menor é melhor",100*Dados!$H53/Dados!N53,100*Dados!N53/Dados!$H53))</f>
        <v/>
      </c>
      <c r="K69" s="44" t="str">
        <f>IF(OR(Dados!O53="",Dados!$H53=""),"",IF(Dados!$F53="Menor é melhor",100*Dados!$H53/Dados!O53,100*Dados!O53/Dados!$H53))</f>
        <v/>
      </c>
      <c r="L69" s="44" t="str">
        <f>IF(OR(Dados!P53="",Dados!$H53=""),"",IF(Dados!$F53="Menor é melhor",100*Dados!$H53/Dados!P53,100*Dados!P53/Dados!$H53))</f>
        <v/>
      </c>
      <c r="M69" s="44" t="str">
        <f>IF(OR(Dados!Q53="",Dados!$H53=""),"",IF(Dados!$F53="Menor é melhor",100*Dados!$H53/Dados!Q53,100*Dados!Q53/Dados!$H53))</f>
        <v/>
      </c>
      <c r="N69" s="44" t="str">
        <f>IF(OR(Dados!R53="",Dados!$H53=""),"",IF(Dados!$F53="Menor é melhor",100*Dados!$H53/Dados!R53,100*Dados!R53/Dados!$H53))</f>
        <v/>
      </c>
      <c r="O69" s="44">
        <f t="shared" si="22"/>
        <v>4.6051701859880918</v>
      </c>
      <c r="P69" s="44">
        <f t="shared" si="23"/>
        <v>4.5985290960994485</v>
      </c>
      <c r="Q69" s="44">
        <f t="shared" si="24"/>
        <v>4.7588738702985838</v>
      </c>
      <c r="R69" s="44">
        <f t="shared" si="25"/>
        <v>4.7380144440305783</v>
      </c>
      <c r="S69" s="44" t="str">
        <f t="shared" si="26"/>
        <v/>
      </c>
      <c r="T69" s="44" t="str">
        <f t="shared" si="27"/>
        <v/>
      </c>
      <c r="U69" s="44" t="str">
        <f t="shared" si="28"/>
        <v/>
      </c>
      <c r="V69" s="44" t="str">
        <f t="shared" si="29"/>
        <v/>
      </c>
      <c r="W69" s="44" t="str">
        <f t="shared" si="30"/>
        <v/>
      </c>
      <c r="X69" s="44" t="str">
        <f t="shared" si="31"/>
        <v/>
      </c>
      <c r="Y69" s="44">
        <f>Dados!U53</f>
        <v>1</v>
      </c>
    </row>
    <row r="70" spans="1:25" x14ac:dyDescent="0.35">
      <c r="A70" s="76" t="s">
        <v>198</v>
      </c>
      <c r="B70" s="77" t="str">
        <f>Dados!C54</f>
        <v>Económico</v>
      </c>
      <c r="C70" s="77" t="str">
        <f>Dados!D54</f>
        <v>Empregos Formais Líquidos Gerados</v>
      </c>
      <c r="D70" s="77" t="str">
        <f>Dados!F54</f>
        <v>Maior é melhor</v>
      </c>
      <c r="E70" s="78">
        <f>IF(OR(Dados!H54="",Dados!$H54=""),"",IF(Dados!$F54="Menor é melhor",100*Dados!$H54/Dados!H54,100*Dados!H54/Dados!$H54))</f>
        <v>100</v>
      </c>
      <c r="F70" s="78">
        <f>IF(OR(Dados!I54="",Dados!$H54=""),"",IF(Dados!$F54="Menor é melhor",100*Dados!$H54/Dados!I54,100*Dados!I54/Dados!$H54))</f>
        <v>103.15032266085011</v>
      </c>
      <c r="G70" s="78">
        <f>IF(OR(Dados!J54="",Dados!$H54=""),"",IF(Dados!$F54="Menor é melhor",100*Dados!$H54/Dados!J54,100*Dados!J54/Dados!$H54))</f>
        <v>123.56554366375462</v>
      </c>
      <c r="H70" s="78">
        <f>IF(OR(Dados!K54="",Dados!$H54=""),"",IF(Dados!$F54="Menor é melhor",100*Dados!$H54/Dados!K54,100*Dados!K54/Dados!$H54))</f>
        <v>121.0763649514596</v>
      </c>
      <c r="I70" s="78" t="str">
        <f>IF(OR(Dados!M54="",Dados!$H54=""),"",IF(Dados!$F54="Menor é melhor",100*Dados!$H54/Dados!M54,100*Dados!M54/Dados!$H54))</f>
        <v/>
      </c>
      <c r="J70" s="78" t="str">
        <f>IF(OR(Dados!N54="",Dados!$H54=""),"",IF(Dados!$F54="Menor é melhor",100*Dados!$H54/Dados!N54,100*Dados!N54/Dados!$H54))</f>
        <v/>
      </c>
      <c r="K70" s="78" t="str">
        <f>IF(OR(Dados!O54="",Dados!$H54=""),"",IF(Dados!$F54="Menor é melhor",100*Dados!$H54/Dados!O54,100*Dados!O54/Dados!$H54))</f>
        <v/>
      </c>
      <c r="L70" s="78" t="str">
        <f>IF(OR(Dados!P54="",Dados!$H54=""),"",IF(Dados!$F54="Menor é melhor",100*Dados!$H54/Dados!P54,100*Dados!P54/Dados!$H54))</f>
        <v/>
      </c>
      <c r="M70" s="78" t="str">
        <f>IF(OR(Dados!Q54="",Dados!$H54=""),"",IF(Dados!$F54="Menor é melhor",100*Dados!$H54/Dados!Q54,100*Dados!Q54/Dados!$H54))</f>
        <v/>
      </c>
      <c r="N70" s="78" t="str">
        <f>IF(OR(Dados!R54="",Dados!$H54=""),"",IF(Dados!$F54="Menor é melhor",100*Dados!$H54/Dados!R54,100*Dados!R54/Dados!$H54))</f>
        <v/>
      </c>
      <c r="O70" s="78">
        <f t="shared" si="22"/>
        <v>4.6051701859880918</v>
      </c>
      <c r="P70" s="78">
        <f t="shared" si="23"/>
        <v>4.6361873675865333</v>
      </c>
      <c r="Q70" s="78">
        <f t="shared" si="24"/>
        <v>4.81677173321222</v>
      </c>
      <c r="R70" s="78">
        <f t="shared" si="25"/>
        <v>4.796421461828551</v>
      </c>
      <c r="S70" s="78" t="str">
        <f t="shared" si="26"/>
        <v/>
      </c>
      <c r="T70" s="78" t="str">
        <f t="shared" si="27"/>
        <v/>
      </c>
      <c r="U70" s="78" t="str">
        <f t="shared" si="28"/>
        <v/>
      </c>
      <c r="V70" s="78" t="str">
        <f t="shared" si="29"/>
        <v/>
      </c>
      <c r="W70" s="78" t="str">
        <f t="shared" si="30"/>
        <v/>
      </c>
      <c r="X70" s="78" t="str">
        <f t="shared" si="31"/>
        <v/>
      </c>
      <c r="Y70" s="78">
        <f>Dados!U54</f>
        <v>1</v>
      </c>
    </row>
    <row r="71" spans="1:25" x14ac:dyDescent="0.35">
      <c r="A71" s="74" t="s">
        <v>199</v>
      </c>
      <c r="B71" s="75" t="str">
        <f>Dados!C55</f>
        <v>Económico</v>
      </c>
      <c r="C71" s="75" t="str">
        <f>Dados!D55</f>
        <v>Taxa de Desemprego</v>
      </c>
      <c r="D71" s="75" t="str">
        <f>Dados!F55</f>
        <v>Menor é melhor</v>
      </c>
      <c r="E71" s="44">
        <f>IF(OR(Dados!H55="",Dados!$H55=""),"",IF(Dados!$F55="Menor é melhor",100*Dados!$H55/Dados!H55,100*Dados!H55/Dados!$H55))</f>
        <v>100</v>
      </c>
      <c r="F71" s="44">
        <f>IF(OR(Dados!I55="",Dados!$H55=""),"",IF(Dados!$F55="Menor é melhor",100*Dados!$H55/Dados!I55,100*Dados!I55/Dados!$H55))</f>
        <v>100</v>
      </c>
      <c r="G71" s="44">
        <f>IF(OR(Dados!J55="",Dados!$H55=""),"",IF(Dados!$F55="Menor é melhor",100*Dados!$H55/Dados!J55,100*Dados!J55/Dados!$H55))</f>
        <v>100</v>
      </c>
      <c r="H71" s="44">
        <f>IF(OR(Dados!K55="",Dados!$H55=""),"",IF(Dados!$F55="Menor é melhor",100*Dados!$H55/Dados!K55,100*Dados!K55/Dados!$H55))</f>
        <v>111.52416356877325</v>
      </c>
      <c r="I71" s="44">
        <f>IF(OR(Dados!M55="",Dados!$H55=""),"",IF(Dados!$F55="Menor é melhor",100*Dados!$H55/Dados!M55,100*Dados!M55/Dados!$H55))</f>
        <v>100</v>
      </c>
      <c r="J71" s="44">
        <f>IF(OR(Dados!N55="",Dados!$H55=""),"",IF(Dados!$F55="Menor é melhor",100*Dados!$H55/Dados!N55,100*Dados!N55/Dados!$H55))</f>
        <v>105.88235294117659</v>
      </c>
      <c r="K71" s="44">
        <f>IF(OR(Dados!O55="",Dados!$H55=""),"",IF(Dados!$F55="Menor é melhor",100*Dados!$H55/Dados!O55,100*Dados!O55/Dados!$H55))</f>
        <v>112.49999999999986</v>
      </c>
      <c r="L71" s="44">
        <f>IF(OR(Dados!P55="",Dados!$H55=""),"",IF(Dados!$F55="Menor é melhor",100*Dados!$H55/Dados!P55,100*Dados!P55/Dados!$H55))</f>
        <v>120</v>
      </c>
      <c r="M71" s="44">
        <f>IF(OR(Dados!Q55="",Dados!$H55=""),"",IF(Dados!$F55="Menor é melhor",100*Dados!$H55/Dados!Q55,100*Dados!Q55/Dados!$H55))</f>
        <v>120</v>
      </c>
      <c r="N71" s="44">
        <f>IF(OR(Dados!R55="",Dados!$H55=""),"",IF(Dados!$F55="Menor é melhor",100*Dados!$H55/Dados!R55,100*Dados!R55/Dados!$H55))</f>
        <v>120</v>
      </c>
      <c r="O71" s="44">
        <f t="shared" si="22"/>
        <v>4.6051701859880918</v>
      </c>
      <c r="P71" s="44">
        <f t="shared" si="23"/>
        <v>4.6051701859880918</v>
      </c>
      <c r="Q71" s="44">
        <f t="shared" si="24"/>
        <v>4.6051701859880918</v>
      </c>
      <c r="R71" s="44">
        <f t="shared" si="25"/>
        <v>4.7142412810424537</v>
      </c>
      <c r="S71" s="44">
        <f t="shared" si="26"/>
        <v>4.6051701859880918</v>
      </c>
      <c r="T71" s="44">
        <f t="shared" si="27"/>
        <v>4.662328599828041</v>
      </c>
      <c r="U71" s="44">
        <f t="shared" si="28"/>
        <v>4.7229532216444738</v>
      </c>
      <c r="V71" s="44">
        <f t="shared" si="29"/>
        <v>4.7874917427820458</v>
      </c>
      <c r="W71" s="44">
        <f t="shared" si="30"/>
        <v>4.7874917427820458</v>
      </c>
      <c r="X71" s="44">
        <f t="shared" si="31"/>
        <v>4.7874917427820458</v>
      </c>
      <c r="Y71" s="44">
        <f>Dados!U55</f>
        <v>1</v>
      </c>
    </row>
  </sheetData>
  <mergeCells count="3">
    <mergeCell ref="A1:W1"/>
    <mergeCell ref="A2:W2"/>
    <mergeCell ref="A15:N15"/>
  </mergeCells>
  <conditionalFormatting sqref="B6:E12">
    <cfRule type="colorScale" priority="2">
      <colorScale>
        <cfvo type="num" val="60"/>
        <cfvo type="num" val="100"/>
        <cfvo type="num" val="200"/>
        <color rgb="FFF4C6C5"/>
        <color rgb="FFF0EFEC"/>
        <color rgb="FF9EC5F4"/>
      </colorScale>
    </cfRule>
  </conditionalFormatting>
  <conditionalFormatting sqref="E21:N71">
    <cfRule type="colorScale" priority="5">
      <colorScale>
        <cfvo type="num" val="50"/>
        <cfvo type="num" val="100"/>
        <cfvo type="num" val="250"/>
        <color rgb="FFF4C6C5"/>
        <color rgb="FFF0EFEC"/>
        <color rgb="FF9EC5F4"/>
      </colorScale>
    </cfRule>
  </conditionalFormatting>
  <conditionalFormatting sqref="G6:L12">
    <cfRule type="colorScale" priority="3">
      <colorScale>
        <cfvo type="num" val="60"/>
        <cfvo type="num" val="100"/>
        <cfvo type="num" val="200"/>
        <color rgb="FFF4C6C5"/>
        <color rgb="FFF0EFEC"/>
        <color rgb="FF9EC5F4"/>
      </colorScale>
    </cfRule>
  </conditionalFormatting>
  <conditionalFormatting sqref="N6:N13">
    <cfRule type="colorScale" priority="4">
      <colorScale>
        <cfvo type="num" val="-40"/>
        <cfvo type="num" val="0"/>
        <cfvo type="num" val="40"/>
        <color rgb="FFF1B0AF"/>
        <color rgb="FFF0EFEC"/>
        <color rgb="FF9EC5F4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3AA7"/>
    <pageSetUpPr fitToPage="1"/>
  </sheetPr>
  <dimension ref="A1:L71"/>
  <sheetViews>
    <sheetView showGridLines="0" zoomScaleNormal="100" workbookViewId="0">
      <pane ySplit="5" topLeftCell="A6" activePane="bottomLeft" state="frozen"/>
      <selection pane="bottomLeft" sqref="A1:L1"/>
    </sheetView>
  </sheetViews>
  <sheetFormatPr defaultColWidth="8.6328125" defaultRowHeight="14.5" x14ac:dyDescent="0.35"/>
  <cols>
    <col min="1" max="1" width="16" customWidth="1"/>
    <col min="2" max="2" width="44" customWidth="1"/>
    <col min="3" max="3" width="12" customWidth="1"/>
    <col min="4" max="6" width="9.54296875" customWidth="1"/>
    <col min="7" max="7" width="11" customWidth="1"/>
    <col min="8" max="8" width="13" customWidth="1"/>
    <col min="9" max="9" width="10" customWidth="1"/>
    <col min="10" max="10" width="9" hidden="1" customWidth="1"/>
  </cols>
  <sheetData>
    <row r="1" spans="1:12" ht="30" customHeight="1" x14ac:dyDescent="0.35">
      <c r="A1" s="123" t="s">
        <v>200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15.75" customHeight="1" x14ac:dyDescent="0.35">
      <c r="A2" s="98" t="s">
        <v>201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4" spans="1:12" ht="19.5" customHeight="1" x14ac:dyDescent="0.35">
      <c r="A4" s="60" t="s">
        <v>114</v>
      </c>
    </row>
    <row r="5" spans="1:12" ht="25.5" customHeight="1" x14ac:dyDescent="0.35">
      <c r="A5" s="61" t="s">
        <v>90</v>
      </c>
      <c r="B5" s="61" t="s">
        <v>116</v>
      </c>
      <c r="C5" s="61" t="s">
        <v>117</v>
      </c>
      <c r="D5" s="61" t="s">
        <v>118</v>
      </c>
      <c r="E5" s="61" t="s">
        <v>202</v>
      </c>
      <c r="F5" s="61" t="s">
        <v>203</v>
      </c>
      <c r="G5" s="61" t="s">
        <v>204</v>
      </c>
    </row>
    <row r="6" spans="1:12" x14ac:dyDescent="0.35">
      <c r="A6" s="63" t="s">
        <v>74</v>
      </c>
      <c r="B6" s="79">
        <f t="shared" ref="B6:B12" si="0">AVERAGEIFS($D$21:$D$71,$A$21:$A$71,$A6,$D$21:$D$71,"&gt;0")</f>
        <v>0.97317947646895042</v>
      </c>
      <c r="C6" s="79">
        <f t="shared" ref="C6:C12" si="1">AVERAGEIFS($E$21:$E$71,$A$21:$A$71,$A6,$E$21:$E$71,"&gt;0")</f>
        <v>0.9410686088931165</v>
      </c>
      <c r="D6" s="79">
        <f t="shared" ref="D6:D12" si="2">AVERAGEIFS($F$21:$F$71,$A$21:$A$71,$A6,$F$21:$F$71,"&gt;0")</f>
        <v>0.9297422090421934</v>
      </c>
      <c r="E6" s="79">
        <f t="shared" ref="E6:E12" si="3">AVERAGEIFS($G$21:$G$71,$A$21:$A$71,$A6,$G$21:$G$71,"&gt;0")</f>
        <v>0.9983512315985843</v>
      </c>
      <c r="F6" s="80">
        <f t="shared" ref="F6:F13" si="4">D6-C6</f>
        <v>-1.1326399850923097E-2</v>
      </c>
      <c r="G6" s="79">
        <f t="shared" ref="G6:G13" si="5">D6</f>
        <v>0.9297422090421934</v>
      </c>
    </row>
    <row r="7" spans="1:12" x14ac:dyDescent="0.35">
      <c r="A7" s="63" t="s">
        <v>76</v>
      </c>
      <c r="B7" s="79">
        <f t="shared" si="0"/>
        <v>0.76454172784876795</v>
      </c>
      <c r="C7" s="79">
        <f t="shared" si="1"/>
        <v>0.7503805869533583</v>
      </c>
      <c r="D7" s="79">
        <f t="shared" si="2"/>
        <v>0.71452441077441087</v>
      </c>
      <c r="E7" s="79">
        <f t="shared" si="3"/>
        <v>0.80210272402742289</v>
      </c>
      <c r="F7" s="80">
        <f t="shared" si="4"/>
        <v>-3.585617617894743E-2</v>
      </c>
      <c r="G7" s="79">
        <f t="shared" si="5"/>
        <v>0.71452441077441087</v>
      </c>
    </row>
    <row r="8" spans="1:12" x14ac:dyDescent="0.35">
      <c r="A8" s="63" t="s">
        <v>79</v>
      </c>
      <c r="B8" s="79">
        <f t="shared" si="0"/>
        <v>0.98529411764705888</v>
      </c>
      <c r="C8" s="79">
        <f t="shared" si="1"/>
        <v>0.96281464530892424</v>
      </c>
      <c r="D8" s="79">
        <f t="shared" si="2"/>
        <v>0.99367088607594933</v>
      </c>
      <c r="E8" s="79">
        <f t="shared" si="3"/>
        <v>1.0889089813140447</v>
      </c>
      <c r="F8" s="80">
        <f t="shared" si="4"/>
        <v>3.0856240767025089E-2</v>
      </c>
      <c r="G8" s="79">
        <f t="shared" si="5"/>
        <v>0.99367088607594933</v>
      </c>
    </row>
    <row r="9" spans="1:12" x14ac:dyDescent="0.35">
      <c r="A9" s="63" t="s">
        <v>82</v>
      </c>
      <c r="B9" s="79">
        <f t="shared" si="0"/>
        <v>0.95696565130367972</v>
      </c>
      <c r="C9" s="79">
        <f t="shared" si="1"/>
        <v>0.9162416197492822</v>
      </c>
      <c r="D9" s="79">
        <f t="shared" si="2"/>
        <v>0.89157842779765184</v>
      </c>
      <c r="E9" s="79">
        <f t="shared" si="3"/>
        <v>1.270773855699876</v>
      </c>
      <c r="F9" s="80">
        <f t="shared" si="4"/>
        <v>-2.4663191951630359E-2</v>
      </c>
      <c r="G9" s="79">
        <f t="shared" si="5"/>
        <v>0.89157842779765184</v>
      </c>
    </row>
    <row r="10" spans="1:12" x14ac:dyDescent="0.35">
      <c r="A10" s="63" t="s">
        <v>83</v>
      </c>
      <c r="B10" s="79">
        <f t="shared" si="0"/>
        <v>0.87727498449173058</v>
      </c>
      <c r="C10" s="79">
        <f t="shared" si="1"/>
        <v>0.83383111841616175</v>
      </c>
      <c r="D10" s="79">
        <f t="shared" si="2"/>
        <v>0.80944156460417149</v>
      </c>
      <c r="E10" s="79">
        <f t="shared" si="3"/>
        <v>0.81297522144129986</v>
      </c>
      <c r="F10" s="80">
        <f t="shared" si="4"/>
        <v>-2.4389553811990261E-2</v>
      </c>
      <c r="G10" s="79">
        <f t="shared" si="5"/>
        <v>0.80944156460417149</v>
      </c>
    </row>
    <row r="11" spans="1:12" ht="23" x14ac:dyDescent="0.35">
      <c r="A11" s="63" t="s">
        <v>84</v>
      </c>
      <c r="B11" s="79">
        <f t="shared" si="0"/>
        <v>0.9344169778962913</v>
      </c>
      <c r="C11" s="79">
        <f t="shared" si="1"/>
        <v>0.85567815115299117</v>
      </c>
      <c r="D11" s="79">
        <f t="shared" si="2"/>
        <v>0.79184027145550318</v>
      </c>
      <c r="E11" s="79">
        <f t="shared" si="3"/>
        <v>1.033543418070487</v>
      </c>
      <c r="F11" s="80">
        <f t="shared" si="4"/>
        <v>-6.3837879697487998E-2</v>
      </c>
      <c r="G11" s="79">
        <f t="shared" si="5"/>
        <v>0.79184027145550318</v>
      </c>
    </row>
    <row r="12" spans="1:12" x14ac:dyDescent="0.35">
      <c r="A12" s="63" t="s">
        <v>85</v>
      </c>
      <c r="B12" s="79">
        <f t="shared" si="0"/>
        <v>0.60310245310245225</v>
      </c>
      <c r="C12" s="79">
        <f t="shared" si="1"/>
        <v>0.85540674603174671</v>
      </c>
      <c r="D12" s="79">
        <f t="shared" si="2"/>
        <v>0.94067534076827763</v>
      </c>
      <c r="E12" s="79">
        <f t="shared" si="3"/>
        <v>0.97192534076827763</v>
      </c>
      <c r="F12" s="80">
        <f t="shared" si="4"/>
        <v>8.5268594736530923E-2</v>
      </c>
      <c r="G12" s="79">
        <f t="shared" si="5"/>
        <v>0.94067534076827763</v>
      </c>
    </row>
    <row r="13" spans="1:12" ht="26" x14ac:dyDescent="0.35">
      <c r="A13" s="81" t="s">
        <v>205</v>
      </c>
      <c r="B13" s="82">
        <f>AVERAGE(B6:B12)</f>
        <v>0.87068219839413297</v>
      </c>
      <c r="C13" s="82">
        <f>AVERAGE(C6:C12)</f>
        <v>0.87363163950079736</v>
      </c>
      <c r="D13" s="82">
        <f>AVERAGE(D6:D12)</f>
        <v>0.86735330150259393</v>
      </c>
      <c r="E13" s="82">
        <f>AVERAGE(E6:E12)</f>
        <v>0.99694011041714181</v>
      </c>
      <c r="F13" s="83">
        <f t="shared" si="4"/>
        <v>-6.2783379982034315E-3</v>
      </c>
      <c r="G13" s="82">
        <f t="shared" si="5"/>
        <v>0.86735330150259393</v>
      </c>
    </row>
    <row r="14" spans="1:12" ht="30" x14ac:dyDescent="0.35">
      <c r="A14" s="70" t="s">
        <v>206</v>
      </c>
      <c r="B14" s="79">
        <f>AVERAGEIF($D$21:$D$71,"&gt;0")</f>
        <v>0.89698872214139069</v>
      </c>
      <c r="C14" s="79">
        <f>AVERAGEIF($E$21:$E$71,"&gt;0")</f>
        <v>0.87471649564136789</v>
      </c>
      <c r="D14" s="79">
        <f>AVERAGEIF($F$21:$F$71,"&gt;0")</f>
        <v>0.85579977730965096</v>
      </c>
    </row>
    <row r="15" spans="1:12" ht="15" customHeight="1" x14ac:dyDescent="0.35">
      <c r="A15" s="124" t="s">
        <v>207</v>
      </c>
      <c r="B15" s="124"/>
      <c r="C15" s="124"/>
      <c r="D15" s="124"/>
      <c r="E15" s="124"/>
      <c r="F15" s="124"/>
      <c r="G15" s="124"/>
    </row>
    <row r="19" spans="1:10" x14ac:dyDescent="0.35">
      <c r="A19" s="60" t="s">
        <v>208</v>
      </c>
    </row>
    <row r="20" spans="1:10" ht="30" customHeight="1" x14ac:dyDescent="0.35">
      <c r="A20" s="42" t="s">
        <v>90</v>
      </c>
      <c r="B20" s="42" t="s">
        <v>102</v>
      </c>
      <c r="C20" s="42" t="s">
        <v>129</v>
      </c>
      <c r="D20" s="42" t="s">
        <v>116</v>
      </c>
      <c r="E20" s="42" t="s">
        <v>117</v>
      </c>
      <c r="F20" s="42" t="s">
        <v>118</v>
      </c>
      <c r="G20" s="42" t="s">
        <v>202</v>
      </c>
      <c r="H20" s="42" t="s">
        <v>209</v>
      </c>
      <c r="I20" s="42" t="s">
        <v>210</v>
      </c>
      <c r="J20" s="73" t="s">
        <v>211</v>
      </c>
    </row>
    <row r="21" spans="1:10" x14ac:dyDescent="0.35">
      <c r="A21" s="75" t="str">
        <f>Dados!C5</f>
        <v>Saúde</v>
      </c>
      <c r="B21" s="75" t="str">
        <f>Dados!D5</f>
        <v>Novas Camas em Hospitais (Cumulativo)</v>
      </c>
      <c r="C21" s="75" t="str">
        <f>Dados!F5</f>
        <v>Maior é melhor</v>
      </c>
      <c r="D21" s="45" t="str">
        <f>IF(OR(Dados!N5="",Dados!I5=""),"",IF(Dados!$F5="Menor é melhor",MIN(1,Dados!N5/Dados!I5),MIN(1,Dados!I5/Dados!N5)))</f>
        <v/>
      </c>
      <c r="E21" s="45" t="str">
        <f>IF(OR(Dados!O5="",Dados!J5=""),"",IF(Dados!$F5="Menor é melhor",MIN(1,Dados!O5/Dados!J5),MIN(1,Dados!J5/Dados!O5)))</f>
        <v/>
      </c>
      <c r="F21" s="45" t="str">
        <f>IF(OR(Dados!P5="",Dados!K5=""),"",IF(Dados!$F5="Menor é melhor",MIN(1,Dados!P5/Dados!K5),MIN(1,Dados!K5/Dados!P5)))</f>
        <v/>
      </c>
      <c r="G21" s="45" t="str">
        <f>IF(OR(Dados!P5="",Dados!K5=""),"",IF(Dados!$F5="Menor é melhor",Dados!P5/Dados!K5,Dados!K5/Dados!P5))</f>
        <v/>
      </c>
      <c r="H21" s="45" t="str">
        <f>IF(OR(Dados!L5="",Dados!K5=""),"",IF(Dados!$F5="Menor é melhor",Dados!L5/Dados!K5,Dados!K5/Dados!L5))</f>
        <v/>
      </c>
      <c r="I21" s="53" t="str">
        <f t="shared" ref="I21:I52" si="6">IF(G21="","Sem dados",IF(G21&gt;=1,"≥100%",IF(G21&gt;=0.75,"75–100%",IF(G21&gt;=0.5,"50–75%","&lt;50%"))))</f>
        <v>Sem dados</v>
      </c>
      <c r="J21" s="74" t="str">
        <f t="shared" ref="J21:J52" si="7">IF(G21="","",G21+ROW()/10^7)</f>
        <v/>
      </c>
    </row>
    <row r="22" spans="1:10" x14ac:dyDescent="0.35">
      <c r="A22" s="77" t="str">
        <f>Dados!C6</f>
        <v>Saúde</v>
      </c>
      <c r="B22" s="77" t="str">
        <f>Dados!D6</f>
        <v>Taxa de cobertura da 4.ª consulta pré-natal</v>
      </c>
      <c r="C22" s="77" t="str">
        <f>Dados!F6</f>
        <v>Maior é melhor</v>
      </c>
      <c r="D22" s="56">
        <f>IF(OR(Dados!N6="",Dados!I6=""),"",IF(Dados!$F6="Menor é melhor",MIN(1,Dados!N6/Dados!I6),MIN(1,Dados!I6/Dados!N6)))</f>
        <v>1</v>
      </c>
      <c r="E22" s="56">
        <f>IF(OR(Dados!O6="",Dados!J6=""),"",IF(Dados!$F6="Menor é melhor",MIN(1,Dados!O6/Dados!J6),MIN(1,Dados!J6/Dados!O6)))</f>
        <v>1</v>
      </c>
      <c r="F22" s="56">
        <f>IF(OR(Dados!P6="",Dados!K6=""),"",IF(Dados!$F6="Menor é melhor",MIN(1,Dados!P6/Dados!K6),MIN(1,Dados!K6/Dados!P6)))</f>
        <v>1</v>
      </c>
      <c r="G22" s="56">
        <f>IF(OR(Dados!P6="",Dados!K6=""),"",IF(Dados!$F6="Menor é melhor",Dados!P6/Dados!K6,Dados!K6/Dados!P6))</f>
        <v>1.0714285714285714</v>
      </c>
      <c r="H22" s="56">
        <f>IF(OR(Dados!L6="",Dados!K6=""),"",IF(Dados!$F6="Menor é melhor",Dados!L6/Dados!K6,Dados!K6/Dados!L6))</f>
        <v>1.0714285714285714</v>
      </c>
      <c r="I22" s="57" t="str">
        <f t="shared" si="6"/>
        <v>≥100%</v>
      </c>
      <c r="J22" s="84">
        <f t="shared" si="7"/>
        <v>1.0714307714285713</v>
      </c>
    </row>
    <row r="23" spans="1:10" x14ac:dyDescent="0.35">
      <c r="A23" s="75" t="str">
        <f>Dados!C7</f>
        <v>Saúde</v>
      </c>
      <c r="B23" s="75" t="str">
        <f>Dados!D7</f>
        <v>Taxa de imunização BCG</v>
      </c>
      <c r="C23" s="75" t="str">
        <f>Dados!F7</f>
        <v>Maior é melhor</v>
      </c>
      <c r="D23" s="45">
        <f>IF(OR(Dados!N7="",Dados!I7=""),"",IF(Dados!$F7="Menor é melhor",MIN(1,Dados!N7/Dados!I7),MIN(1,Dados!I7/Dados!N7)))</f>
        <v>1</v>
      </c>
      <c r="E23" s="45">
        <f>IF(OR(Dados!O7="",Dados!J7=""),"",IF(Dados!$F7="Menor é melhor",MIN(1,Dados!O7/Dados!J7),MIN(1,Dados!J7/Dados!O7)))</f>
        <v>1</v>
      </c>
      <c r="F23" s="45">
        <f>IF(OR(Dados!P7="",Dados!K7=""),"",IF(Dados!$F7="Menor é melhor",MIN(1,Dados!P7/Dados!K7),MIN(1,Dados!K7/Dados!P7)))</f>
        <v>0.90697674418604646</v>
      </c>
      <c r="G23" s="45">
        <f>IF(OR(Dados!P7="",Dados!K7=""),"",IF(Dados!$F7="Menor é melhor",Dados!P7/Dados!K7,Dados!K7/Dados!P7))</f>
        <v>0.90697674418604646</v>
      </c>
      <c r="H23" s="45">
        <f>IF(OR(Dados!L7="",Dados!K7=""),"",IF(Dados!$F7="Menor é melhor",Dados!L7/Dados!K7,Dados!K7/Dados!L7))</f>
        <v>0.90697674418604646</v>
      </c>
      <c r="I23" s="53" t="str">
        <f t="shared" si="6"/>
        <v>75–100%</v>
      </c>
      <c r="J23" s="85">
        <f t="shared" si="7"/>
        <v>0.90697904418604647</v>
      </c>
    </row>
    <row r="24" spans="1:10" x14ac:dyDescent="0.35">
      <c r="A24" s="77" t="str">
        <f>Dados!C8</f>
        <v>Saúde</v>
      </c>
      <c r="B24" s="77" t="str">
        <f>Dados!D8</f>
        <v>Taxa de vacinação contra o sarampo</v>
      </c>
      <c r="C24" s="77" t="str">
        <f>Dados!F8</f>
        <v>Maior é melhor</v>
      </c>
      <c r="D24" s="56">
        <f>IF(OR(Dados!N8="",Dados!I8=""),"",IF(Dados!$F8="Menor é melhor",MIN(1,Dados!N8/Dados!I8),MIN(1,Dados!I8/Dados!N8)))</f>
        <v>1</v>
      </c>
      <c r="E24" s="56">
        <f>IF(OR(Dados!O8="",Dados!J8=""),"",IF(Dados!$F8="Menor é melhor",MIN(1,Dados!O8/Dados!J8),MIN(1,Dados!J8/Dados!O8)))</f>
        <v>0.90265486725663757</v>
      </c>
      <c r="F24" s="56">
        <f>IF(OR(Dados!P8="",Dados!K8=""),"",IF(Dados!$F8="Menor é melhor",MIN(1,Dados!P8/Dados!K8),MIN(1,Dados!K8/Dados!P8)))</f>
        <v>0.95</v>
      </c>
      <c r="G24" s="56">
        <f>IF(OR(Dados!P8="",Dados!K8=""),"",IF(Dados!$F8="Menor é melhor",Dados!P8/Dados!K8,Dados!K8/Dados!P8))</f>
        <v>0.95</v>
      </c>
      <c r="H24" s="56">
        <f>IF(OR(Dados!L8="",Dados!K8=""),"",IF(Dados!$F8="Menor é melhor",Dados!L8/Dados!K8,Dados!K8/Dados!L8))</f>
        <v>0.95</v>
      </c>
      <c r="I24" s="57" t="str">
        <f t="shared" si="6"/>
        <v>75–100%</v>
      </c>
      <c r="J24" s="84">
        <f t="shared" si="7"/>
        <v>0.95000239999999991</v>
      </c>
    </row>
    <row r="25" spans="1:10" x14ac:dyDescent="0.35">
      <c r="A25" s="75" t="str">
        <f>Dados!C9</f>
        <v>Saúde</v>
      </c>
      <c r="B25" s="75" t="str">
        <f>Dados!D9</f>
        <v>Taxa de incidência da malária</v>
      </c>
      <c r="C25" s="75" t="str">
        <f>Dados!F9</f>
        <v>Menor é melhor</v>
      </c>
      <c r="D25" s="45">
        <f>IF(OR(Dados!N9="",Dados!I9=""),"",IF(Dados!$F9="Menor é melhor",MIN(1,Dados!N9/Dados!I9),MIN(1,Dados!I9/Dados!N9)))</f>
        <v>0.90852130325814662</v>
      </c>
      <c r="E25" s="45">
        <f>IF(OR(Dados!O9="",Dados!J9=""),"",IF(Dados!$F9="Menor é melhor",MIN(1,Dados!O9/Dados!J9),MIN(1,Dados!J9/Dados!O9)))</f>
        <v>0.74375678610206186</v>
      </c>
      <c r="F25" s="45">
        <f>IF(OR(Dados!P9="",Dados!K9=""),"",IF(Dados!$F9="Menor é melhor",MIN(1,Dados!P9/Dados!K9),MIN(1,Dados!K9/Dados!P9)))</f>
        <v>0.72147651006711411</v>
      </c>
      <c r="G25" s="45">
        <f>IF(OR(Dados!P9="",Dados!K9=""),"",IF(Dados!$F9="Menor é melhor",Dados!P9/Dados!K9,Dados!K9/Dados!P9))</f>
        <v>0.72147651006711411</v>
      </c>
      <c r="H25" s="45">
        <f>IF(OR(Dados!L9="",Dados!K9=""),"",IF(Dados!$F9="Menor é melhor",Dados!L9/Dados!K9,Dados!K9/Dados!L9))</f>
        <v>0.72147651006711411</v>
      </c>
      <c r="I25" s="53" t="str">
        <f t="shared" si="6"/>
        <v>50–75%</v>
      </c>
      <c r="J25" s="85">
        <f t="shared" si="7"/>
        <v>0.72147901006711412</v>
      </c>
    </row>
    <row r="26" spans="1:10" x14ac:dyDescent="0.35">
      <c r="A26" s="77" t="str">
        <f>Dados!C10</f>
        <v>Saúde</v>
      </c>
      <c r="B26" s="77" t="str">
        <f>Dados!D10</f>
        <v>Taxa de sucesso do tratamento para a tuberculose</v>
      </c>
      <c r="C26" s="77" t="str">
        <f>Dados!F10</f>
        <v>Maior é melhor</v>
      </c>
      <c r="D26" s="56">
        <f>IF(OR(Dados!N10="",Dados!I10=""),"",IF(Dados!$F10="Menor é melhor",MIN(1,Dados!N10/Dados!I10),MIN(1,Dados!I10/Dados!N10)))</f>
        <v>0.93055555555555558</v>
      </c>
      <c r="E26" s="56">
        <f>IF(OR(Dados!O10="",Dados!J10=""),"",IF(Dados!$F10="Menor é melhor",MIN(1,Dados!O10/Dados!J10),MIN(1,Dados!J10/Dados!O10)))</f>
        <v>1</v>
      </c>
      <c r="F26" s="56">
        <f>IF(OR(Dados!P10="",Dados!K10=""),"",IF(Dados!$F10="Menor é melhor",MIN(1,Dados!P10/Dados!K10),MIN(1,Dados!K10/Dados!P10)))</f>
        <v>1</v>
      </c>
      <c r="G26" s="56">
        <f>IF(OR(Dados!P10="",Dados!K10=""),"",IF(Dados!$F10="Menor é melhor",Dados!P10/Dados!K10,Dados!K10/Dados!P10))</f>
        <v>1.1973684210526316</v>
      </c>
      <c r="H26" s="56">
        <f>IF(OR(Dados!L10="",Dados!K10=""),"",IF(Dados!$F10="Menor é melhor",Dados!L10/Dados!K10,Dados!K10/Dados!L10))</f>
        <v>1.1973684210526316</v>
      </c>
      <c r="I26" s="57" t="str">
        <f t="shared" si="6"/>
        <v>≥100%</v>
      </c>
      <c r="J26" s="84">
        <f t="shared" si="7"/>
        <v>1.1973710210526316</v>
      </c>
    </row>
    <row r="27" spans="1:10" x14ac:dyDescent="0.35">
      <c r="A27" s="75" t="str">
        <f>Dados!C11</f>
        <v>Saúde</v>
      </c>
      <c r="B27" s="75" t="str">
        <f>Dados!D11</f>
        <v>Partos institucionais realizados por profissionais qualificados</v>
      </c>
      <c r="C27" s="75" t="str">
        <f>Dados!F11</f>
        <v>Maior é melhor</v>
      </c>
      <c r="D27" s="45">
        <f>IF(OR(Dados!N11="",Dados!I11=""),"",IF(Dados!$F11="Menor é melhor",MIN(1,Dados!N11/Dados!I11),MIN(1,Dados!I11/Dados!N11)))</f>
        <v>1</v>
      </c>
      <c r="E27" s="45">
        <f>IF(OR(Dados!O11="",Dados!J11=""),"",IF(Dados!$F11="Menor é melhor",MIN(1,Dados!O11/Dados!J11),MIN(1,Dados!J11/Dados!O11)))</f>
        <v>1</v>
      </c>
      <c r="F27" s="45">
        <f>IF(OR(Dados!P11="",Dados!K11=""),"",IF(Dados!$F11="Menor é melhor",MIN(1,Dados!P11/Dados!K11),MIN(1,Dados!K11/Dados!P11)))</f>
        <v>1</v>
      </c>
      <c r="G27" s="45">
        <f>IF(OR(Dados!P11="",Dados!K11=""),"",IF(Dados!$F11="Menor é melhor",Dados!P11/Dados!K11,Dados!K11/Dados!P11))</f>
        <v>1.1428571428571428</v>
      </c>
      <c r="H27" s="45">
        <f>IF(OR(Dados!L11="",Dados!K11=""),"",IF(Dados!$F11="Menor é melhor",Dados!L11/Dados!K11,Dados!K11/Dados!L11))</f>
        <v>1.1428571428571428</v>
      </c>
      <c r="I27" s="53" t="str">
        <f t="shared" si="6"/>
        <v>≥100%</v>
      </c>
      <c r="J27" s="85">
        <f t="shared" si="7"/>
        <v>1.1428598428571428</v>
      </c>
    </row>
    <row r="28" spans="1:10" x14ac:dyDescent="0.35">
      <c r="A28" s="77" t="str">
        <f>Dados!C12</f>
        <v>Protecção Social</v>
      </c>
      <c r="B28" s="77" t="str">
        <f>Dados!D12</f>
        <v>Pessoas integradas em actividades geradoras de renda (cumulativo)</v>
      </c>
      <c r="C28" s="77" t="str">
        <f>Dados!F12</f>
        <v>Maior é melhor</v>
      </c>
      <c r="D28" s="56">
        <f>IF(OR(Dados!N12="",Dados!I12=""),"",IF(Dados!$F12="Menor é melhor",MIN(1,Dados!N12/Dados!I12),MIN(1,Dados!I12/Dados!N12)))</f>
        <v>0.65106936416184935</v>
      </c>
      <c r="E28" s="56">
        <f>IF(OR(Dados!O12="",Dados!J12=""),"",IF(Dados!$F12="Menor é melhor",MIN(1,Dados!O12/Dados!J12),MIN(1,Dados!J12/Dados!O12)))</f>
        <v>0.4887957446808513</v>
      </c>
      <c r="F28" s="56">
        <f>IF(OR(Dados!P12="",Dados!K12=""),"",IF(Dados!$F12="Menor é melhor",MIN(1,Dados!P12/Dados!K12),MIN(1,Dados!K12/Dados!P12)))</f>
        <v>0.39310101010101012</v>
      </c>
      <c r="G28" s="56">
        <f>IF(OR(Dados!P12="",Dados!K12=""),"",IF(Dados!$F12="Menor é melhor",Dados!P12/Dados!K12,Dados!K12/Dados!P12))</f>
        <v>0.39310101010101012</v>
      </c>
      <c r="H28" s="56">
        <f>IF(OR(Dados!L12="",Dados!K12=""),"",IF(Dados!$F12="Menor é melhor",Dados!L12/Dados!K12,Dados!K12/Dados!L12))</f>
        <v>0.39310101010101012</v>
      </c>
      <c r="I28" s="57" t="str">
        <f t="shared" si="6"/>
        <v>&lt;50%</v>
      </c>
      <c r="J28" s="84">
        <f t="shared" si="7"/>
        <v>0.39310381010101014</v>
      </c>
    </row>
    <row r="29" spans="1:10" x14ac:dyDescent="0.35">
      <c r="A29" s="75" t="str">
        <f>Dados!C13</f>
        <v>Protecção Social</v>
      </c>
      <c r="B29" s="75" t="str">
        <f>Dados!D13</f>
        <v>Beneficiários de transferências sociais monetárias (cumulativo)</v>
      </c>
      <c r="C29" s="75" t="str">
        <f>Dados!F13</f>
        <v>Maior é melhor</v>
      </c>
      <c r="D29" s="45">
        <f>IF(OR(Dados!N13="",Dados!I13=""),"",IF(Dados!$F13="Menor é melhor",MIN(1,Dados!N13/Dados!I13),MIN(1,Dados!I13/Dados!N13)))</f>
        <v>0.9443832934436156</v>
      </c>
      <c r="E29" s="45">
        <f>IF(OR(Dados!O13="",Dados!J13=""),"",IF(Dados!$F13="Menor é melhor",MIN(1,Dados!O13/Dados!J13),MIN(1,Dados!J13/Dados!O13)))</f>
        <v>0.7623460161792236</v>
      </c>
      <c r="F29" s="45">
        <f>IF(OR(Dados!P13="",Dados!K13=""),"",IF(Dados!$F13="Menor é melhor",MIN(1,Dados!P13/Dados!K13),MIN(1,Dados!K13/Dados!P13)))</f>
        <v>0.75047222222222221</v>
      </c>
      <c r="G29" s="45">
        <f>IF(OR(Dados!P13="",Dados!K13=""),"",IF(Dados!$F13="Menor é melhor",Dados!P13/Dados!K13,Dados!K13/Dados!P13))</f>
        <v>0.75047222222222221</v>
      </c>
      <c r="H29" s="45">
        <f>IF(OR(Dados!L13="",Dados!K13=""),"",IF(Dados!$F13="Menor é melhor",Dados!L13/Dados!K13,Dados!K13/Dados!L13))</f>
        <v>0.75047222222222221</v>
      </c>
      <c r="I29" s="53" t="str">
        <f t="shared" si="6"/>
        <v>75–100%</v>
      </c>
      <c r="J29" s="85">
        <f t="shared" si="7"/>
        <v>0.75047512222222224</v>
      </c>
    </row>
    <row r="30" spans="1:10" x14ac:dyDescent="0.35">
      <c r="A30" s="77" t="str">
        <f>Dados!C14</f>
        <v>Protecção Social</v>
      </c>
      <c r="B30" s="77" t="str">
        <f>Dados!D14</f>
        <v>Famílias assistidas com cesta básica de alimentos (cumulativo)</v>
      </c>
      <c r="C30" s="77" t="str">
        <f>Dados!F14</f>
        <v>Maior é melhor</v>
      </c>
      <c r="D30" s="56">
        <f>IF(OR(Dados!N14="",Dados!I14=""),"",IF(Dados!$F14="Menor é melhor",MIN(1,Dados!N14/Dados!I14),MIN(1,Dados!I14/Dados!N14)))</f>
        <v>0.6981725259408389</v>
      </c>
      <c r="E30" s="56">
        <f>IF(OR(Dados!O14="",Dados!J14=""),"",IF(Dados!$F14="Menor é melhor",MIN(1,Dados!O14/Dados!J14),MIN(1,Dados!J14/Dados!O14)))</f>
        <v>1</v>
      </c>
      <c r="F30" s="56">
        <f>IF(OR(Dados!P14="",Dados!K14=""),"",IF(Dados!$F14="Menor é melhor",MIN(1,Dados!P14/Dados!K14),MIN(1,Dados!K14/Dados!P14)))</f>
        <v>1</v>
      </c>
      <c r="G30" s="56">
        <f>IF(OR(Dados!P14="",Dados!K14=""),"",IF(Dados!$F14="Menor é melhor",Dados!P14/Dados!K14,Dados!K14/Dados!P14))</f>
        <v>1.2627349397590362</v>
      </c>
      <c r="H30" s="56">
        <f>IF(OR(Dados!L14="",Dados!K14=""),"",IF(Dados!$F14="Menor é melhor",Dados!L14/Dados!K14,Dados!K14/Dados!L14))</f>
        <v>1.2627349397590362</v>
      </c>
      <c r="I30" s="57" t="str">
        <f t="shared" si="6"/>
        <v>≥100%</v>
      </c>
      <c r="J30" s="84">
        <f t="shared" si="7"/>
        <v>1.2627379397590361</v>
      </c>
    </row>
    <row r="31" spans="1:10" x14ac:dyDescent="0.35">
      <c r="A31" s="75" t="str">
        <f>Dados!C15</f>
        <v>Comunicação</v>
      </c>
      <c r="B31" s="75" t="str">
        <f>Dados!D15</f>
        <v>Número de assinantes de Internet</v>
      </c>
      <c r="C31" s="75" t="str">
        <f>Dados!F15</f>
        <v>Maior é melhor</v>
      </c>
      <c r="D31" s="45">
        <f>IF(OR(Dados!N15="",Dados!I15=""),"",IF(Dados!$F15="Menor é melhor",MIN(1,Dados!N15/Dados!I15),MIN(1,Dados!I15/Dados!N15)))</f>
        <v>0.97058823529411764</v>
      </c>
      <c r="E31" s="45">
        <f>IF(OR(Dados!O15="",Dados!J15=""),"",IF(Dados!$F15="Menor é melhor",MIN(1,Dados!O15/Dados!J15),MIN(1,Dados!J15/Dados!O15)))</f>
        <v>0.94736842105263153</v>
      </c>
      <c r="F31" s="45">
        <f>IF(OR(Dados!P15="",Dados!K15=""),"",IF(Dados!$F15="Menor é melhor",MIN(1,Dados!P15/Dados!K15),MIN(1,Dados!K15/Dados!P15)))</f>
        <v>1</v>
      </c>
      <c r="G31" s="45">
        <f>IF(OR(Dados!P15="",Dados!K15=""),"",IF(Dados!$F15="Menor é melhor",Dados!P15/Dados!K15,Dados!K15/Dados!P15))</f>
        <v>1.1904761904761905</v>
      </c>
      <c r="H31" s="45">
        <f>IF(OR(Dados!L15="",Dados!K15=""),"",IF(Dados!$F15="Menor é melhor",Dados!L15/Dados!K15,Dados!K15/Dados!L15))</f>
        <v>1.1904761904761905</v>
      </c>
      <c r="I31" s="53" t="str">
        <f t="shared" si="6"/>
        <v>≥100%</v>
      </c>
      <c r="J31" s="85">
        <f t="shared" si="7"/>
        <v>1.1904792904761905</v>
      </c>
    </row>
    <row r="32" spans="1:10" x14ac:dyDescent="0.35">
      <c r="A32" s="77" t="str">
        <f>Dados!C16</f>
        <v>Comunicação</v>
      </c>
      <c r="B32" s="77" t="str">
        <f>Dados!D16</f>
        <v>Número de assinantes de serviços móveis</v>
      </c>
      <c r="C32" s="77" t="str">
        <f>Dados!F16</f>
        <v>Maior é melhor</v>
      </c>
      <c r="D32" s="56">
        <f>IF(OR(Dados!N16="",Dados!I16=""),"",IF(Dados!$F16="Menor é melhor",MIN(1,Dados!N16/Dados!I16),MIN(1,Dados!I16/Dados!N16)))</f>
        <v>1</v>
      </c>
      <c r="E32" s="56">
        <f>IF(OR(Dados!O16="",Dados!J16=""),"",IF(Dados!$F16="Menor é melhor",MIN(1,Dados!O16/Dados!J16),MIN(1,Dados!J16/Dados!O16)))</f>
        <v>0.97826086956521696</v>
      </c>
      <c r="F32" s="56">
        <f>IF(OR(Dados!P16="",Dados!K16=""),"",IF(Dados!$F16="Menor é melhor",MIN(1,Dados!P16/Dados!K16),MIN(1,Dados!K16/Dados!P16)))</f>
        <v>0.98734177215189878</v>
      </c>
      <c r="G32" s="56">
        <f>IF(OR(Dados!P16="",Dados!K16=""),"",IF(Dados!$F16="Menor é melhor",Dados!P16/Dados!K16,Dados!K16/Dados!P16))</f>
        <v>0.98734177215189878</v>
      </c>
      <c r="H32" s="56">
        <f>IF(OR(Dados!L16="",Dados!K16=""),"",IF(Dados!$F16="Menor é melhor",Dados!L16/Dados!K16,Dados!K16/Dados!L16))</f>
        <v>0.98734177215189878</v>
      </c>
      <c r="I32" s="57" t="str">
        <f t="shared" si="6"/>
        <v>75–100%</v>
      </c>
      <c r="J32" s="84">
        <f t="shared" si="7"/>
        <v>0.98734497215189876</v>
      </c>
    </row>
    <row r="33" spans="1:10" x14ac:dyDescent="0.35">
      <c r="A33" s="75" t="str">
        <f>Dados!C17</f>
        <v>Educação e FP</v>
      </c>
      <c r="B33" s="75" t="str">
        <f>Dados!D17</f>
        <v>Salas de aula do Ensino Primário (cumulativo)</v>
      </c>
      <c r="C33" s="75" t="str">
        <f>Dados!F17</f>
        <v>Maior é melhor</v>
      </c>
      <c r="D33" s="45">
        <f>IF(OR(Dados!N17="",Dados!I17=""),"",IF(Dados!$F17="Menor é melhor",MIN(1,Dados!N17/Dados!I17),MIN(1,Dados!I17/Dados!N17)))</f>
        <v>1</v>
      </c>
      <c r="E33" s="45">
        <f>IF(OR(Dados!O17="",Dados!J17=""),"",IF(Dados!$F17="Menor é melhor",MIN(1,Dados!O17/Dados!J17),MIN(1,Dados!J17/Dados!O17)))</f>
        <v>1</v>
      </c>
      <c r="F33" s="45">
        <f>IF(OR(Dados!P17="",Dados!K17=""),"",IF(Dados!$F17="Menor é melhor",MIN(1,Dados!P17/Dados!K17),MIN(1,Dados!K17/Dados!P17)))</f>
        <v>1</v>
      </c>
      <c r="G33" s="45">
        <f>IF(OR(Dados!P17="",Dados!K17=""),"",IF(Dados!$F17="Menor é melhor",Dados!P17/Dados!K17,Dados!K17/Dados!P17))</f>
        <v>1.0894731580525843</v>
      </c>
      <c r="H33" s="45">
        <f>IF(OR(Dados!L17="",Dados!K17=""),"",IF(Dados!$F17="Menor é melhor",Dados!L17/Dados!K17,Dados!K17/Dados!L17))</f>
        <v>1.0894731580525843</v>
      </c>
      <c r="I33" s="53" t="str">
        <f t="shared" si="6"/>
        <v>≥100%</v>
      </c>
      <c r="J33" s="85">
        <f t="shared" si="7"/>
        <v>1.0894764580525842</v>
      </c>
    </row>
    <row r="34" spans="1:10" x14ac:dyDescent="0.35">
      <c r="A34" s="77" t="str">
        <f>Dados!C18</f>
        <v>Educação e FP</v>
      </c>
      <c r="B34" s="77" t="str">
        <f>Dados!D18</f>
        <v>Salas de aula do I Ciclo do Ensino Secundário (cumulativo)</v>
      </c>
      <c r="C34" s="77" t="str">
        <f>Dados!F18</f>
        <v>Maior é melhor</v>
      </c>
      <c r="D34" s="56">
        <f>IF(OR(Dados!N18="",Dados!I18=""),"",IF(Dados!$F18="Menor é melhor",MIN(1,Dados!N18/Dados!I18),MIN(1,Dados!I18/Dados!N18)))</f>
        <v>1</v>
      </c>
      <c r="E34" s="56">
        <f>IF(OR(Dados!O18="",Dados!J18=""),"",IF(Dados!$F18="Menor é melhor",MIN(1,Dados!O18/Dados!J18),MIN(1,Dados!J18/Dados!O18)))</f>
        <v>1</v>
      </c>
      <c r="F34" s="56">
        <f>IF(OR(Dados!P18="",Dados!K18=""),"",IF(Dados!$F18="Menor é melhor",MIN(1,Dados!P18/Dados!K18),MIN(1,Dados!K18/Dados!P18)))</f>
        <v>1</v>
      </c>
      <c r="G34" s="56">
        <f>IF(OR(Dados!P18="",Dados!K18=""),"",IF(Dados!$F18="Menor é melhor",Dados!P18/Dados!K18,Dados!K18/Dados!P18))</f>
        <v>3.0069998771951369</v>
      </c>
      <c r="H34" s="56">
        <f>IF(OR(Dados!L18="",Dados!K18=""),"",IF(Dados!$F18="Menor é melhor",Dados!L18/Dados!K18,Dados!K18/Dados!L18))</f>
        <v>3.0069998771951369</v>
      </c>
      <c r="I34" s="57" t="str">
        <f t="shared" si="6"/>
        <v>≥100%</v>
      </c>
      <c r="J34" s="84">
        <f t="shared" si="7"/>
        <v>3.0070032771951372</v>
      </c>
    </row>
    <row r="35" spans="1:10" x14ac:dyDescent="0.35">
      <c r="A35" s="75" t="str">
        <f>Dados!C19</f>
        <v>Educação e FP</v>
      </c>
      <c r="B35" s="75" t="str">
        <f>Dados!D19</f>
        <v>Salas de aula do II Ciclo do Ensino Secundário (cumulativo)</v>
      </c>
      <c r="C35" s="75" t="str">
        <f>Dados!F19</f>
        <v>Maior é melhor</v>
      </c>
      <c r="D35" s="45">
        <f>IF(OR(Dados!N19="",Dados!I19=""),"",IF(Dados!$F19="Menor é melhor",MIN(1,Dados!N19/Dados!I19),MIN(1,Dados!I19/Dados!N19)))</f>
        <v>1</v>
      </c>
      <c r="E35" s="45">
        <f>IF(OR(Dados!O19="",Dados!J19=""),"",IF(Dados!$F19="Menor é melhor",MIN(1,Dados!O19/Dados!J19),MIN(1,Dados!J19/Dados!O19)))</f>
        <v>1</v>
      </c>
      <c r="F35" s="45">
        <f>IF(OR(Dados!P19="",Dados!K19=""),"",IF(Dados!$F19="Menor é melhor",MIN(1,Dados!P19/Dados!K19),MIN(1,Dados!K19/Dados!P19)))</f>
        <v>1</v>
      </c>
      <c r="G35" s="45">
        <f>IF(OR(Dados!P19="",Dados!K19=""),"",IF(Dados!$F19="Menor é melhor",Dados!P19/Dados!K19,Dados!K19/Dados!P19))</f>
        <v>2.1932501570774616</v>
      </c>
      <c r="H35" s="45">
        <f>IF(OR(Dados!L19="",Dados!K19=""),"",IF(Dados!$F19="Menor é melhor",Dados!L19/Dados!K19,Dados!K19/Dados!L19))</f>
        <v>2.1932501570774616</v>
      </c>
      <c r="I35" s="53" t="str">
        <f t="shared" si="6"/>
        <v>≥100%</v>
      </c>
      <c r="J35" s="85">
        <f t="shared" si="7"/>
        <v>2.1932536570774617</v>
      </c>
    </row>
    <row r="36" spans="1:10" x14ac:dyDescent="0.35">
      <c r="A36" s="77" t="str">
        <f>Dados!C20</f>
        <v>Educação e FP</v>
      </c>
      <c r="B36" s="77" t="str">
        <f>Dados!D20</f>
        <v>Taxa de alfabetização da população maior que 15 anos</v>
      </c>
      <c r="C36" s="77" t="str">
        <f>Dados!F20</f>
        <v>Maior é melhor</v>
      </c>
      <c r="D36" s="56">
        <f>IF(OR(Dados!N20="",Dados!I20=""),"",IF(Dados!$F20="Menor é melhor",MIN(1,Dados!N20/Dados!I20),MIN(1,Dados!I20/Dados!N20)))</f>
        <v>0.9956331877729262</v>
      </c>
      <c r="E36" s="56">
        <f>IF(OR(Dados!O20="",Dados!J20=""),"",IF(Dados!$F20="Menor é melhor",MIN(1,Dados!O20/Dados!J20),MIN(1,Dados!J20/Dados!O20)))</f>
        <v>0.99130434782608656</v>
      </c>
      <c r="F36" s="56">
        <f>IF(OR(Dados!P20="",Dados!K20=""),"",IF(Dados!$F20="Menor é melhor",MIN(1,Dados!P20/Dados!K20),MIN(1,Dados!K20/Dados!P20)))</f>
        <v>0.98701298701298701</v>
      </c>
      <c r="G36" s="56">
        <f>IF(OR(Dados!P20="",Dados!K20=""),"",IF(Dados!$F20="Menor é melhor",Dados!P20/Dados!K20,Dados!K20/Dados!P20))</f>
        <v>0.98701298701298701</v>
      </c>
      <c r="H36" s="56">
        <f>IF(OR(Dados!L20="",Dados!K20=""),"",IF(Dados!$F20="Menor é melhor",Dados!L20/Dados!K20,Dados!K20/Dados!L20))</f>
        <v>0.98701298701298701</v>
      </c>
      <c r="I36" s="57" t="str">
        <f t="shared" si="6"/>
        <v>75–100%</v>
      </c>
      <c r="J36" s="84">
        <f t="shared" si="7"/>
        <v>0.987016587012987</v>
      </c>
    </row>
    <row r="37" spans="1:10" x14ac:dyDescent="0.35">
      <c r="A37" s="75" t="str">
        <f>Dados!C21</f>
        <v>Educação e FP</v>
      </c>
      <c r="B37" s="75" t="str">
        <f>Dados!D21</f>
        <v>Taxa de conclusão do Ensino Primário</v>
      </c>
      <c r="C37" s="75" t="str">
        <f>Dados!F21</f>
        <v>Maior é melhor</v>
      </c>
      <c r="D37" s="45">
        <f>IF(OR(Dados!N21="",Dados!I21=""),"",IF(Dados!$F21="Menor é melhor",MIN(1,Dados!N21/Dados!I21),MIN(1,Dados!I21/Dados!N21)))</f>
        <v>0.91099476439790528</v>
      </c>
      <c r="E37" s="45">
        <f>IF(OR(Dados!O21="",Dados!J21=""),"",IF(Dados!$F21="Menor é melhor",MIN(1,Dados!O21/Dados!J21),MIN(1,Dados!J21/Dados!O21)))</f>
        <v>0.87437185929648287</v>
      </c>
      <c r="F37" s="45">
        <f>IF(OR(Dados!P21="",Dados!K21=""),"",IF(Dados!$F21="Menor é melhor",MIN(1,Dados!P21/Dados!K21),MIN(1,Dados!K21/Dados!P21)))</f>
        <v>0.84057971014492749</v>
      </c>
      <c r="G37" s="45">
        <f>IF(OR(Dados!P21="",Dados!K21=""),"",IF(Dados!$F21="Menor é melhor",Dados!P21/Dados!K21,Dados!K21/Dados!P21))</f>
        <v>0.84057971014492749</v>
      </c>
      <c r="H37" s="45">
        <f>IF(OR(Dados!L21="",Dados!K21=""),"",IF(Dados!$F21="Menor é melhor",Dados!L21/Dados!K21,Dados!K21/Dados!L21))</f>
        <v>0.84057971014492749</v>
      </c>
      <c r="I37" s="53" t="str">
        <f t="shared" si="6"/>
        <v>75–100%</v>
      </c>
      <c r="J37" s="85">
        <f t="shared" si="7"/>
        <v>0.84058341014492755</v>
      </c>
    </row>
    <row r="38" spans="1:10" x14ac:dyDescent="0.35">
      <c r="A38" s="77" t="str">
        <f>Dados!C22</f>
        <v>Educação e FP</v>
      </c>
      <c r="B38" s="77" t="str">
        <f>Dados!D22</f>
        <v>Taxa de conclusão do I Ciclo do Ensino Secundário (Ensino Geral)</v>
      </c>
      <c r="C38" s="77" t="str">
        <f>Dados!F22</f>
        <v>Maior é melhor</v>
      </c>
      <c r="D38" s="56">
        <f>IF(OR(Dados!N22="",Dados!I22=""),"",IF(Dados!$F22="Menor é melhor",MIN(1,Dados!N22/Dados!I22),MIN(1,Dados!I22/Dados!N22)))</f>
        <v>0.88732394366197243</v>
      </c>
      <c r="E38" s="56">
        <f>IF(OR(Dados!O22="",Dados!J22=""),"",IF(Dados!$F22="Menor é melhor",MIN(1,Dados!O22/Dados!J22),MIN(1,Dados!J22/Dados!O22)))</f>
        <v>0.88815789473684148</v>
      </c>
      <c r="F38" s="56">
        <f>IF(OR(Dados!P22="",Dados!K22=""),"",IF(Dados!$F22="Menor é melhor",MIN(1,Dados!P22/Dados!K22),MIN(1,Dados!K22/Dados!P22)))</f>
        <v>0.83333333333333337</v>
      </c>
      <c r="G38" s="56">
        <f>IF(OR(Dados!P22="",Dados!K22=""),"",IF(Dados!$F22="Menor é melhor",Dados!P22/Dados!K22,Dados!K22/Dados!P22))</f>
        <v>0.83333333333333337</v>
      </c>
      <c r="H38" s="56">
        <f>IF(OR(Dados!L22="",Dados!K22=""),"",IF(Dados!$F22="Menor é melhor",Dados!L22/Dados!K22,Dados!K22/Dados!L22))</f>
        <v>0.83333333333333337</v>
      </c>
      <c r="I38" s="57" t="str">
        <f t="shared" si="6"/>
        <v>75–100%</v>
      </c>
      <c r="J38" s="84">
        <f t="shared" si="7"/>
        <v>0.83333713333333337</v>
      </c>
    </row>
    <row r="39" spans="1:10" x14ac:dyDescent="0.35">
      <c r="A39" s="75" t="str">
        <f>Dados!C23</f>
        <v>Educação e FP</v>
      </c>
      <c r="B39" s="75" t="str">
        <f>Dados!D23</f>
        <v>Taxa de conclusão do II Ciclo do Ensino Secundário (Ensino Geral)</v>
      </c>
      <c r="C39" s="75" t="str">
        <f>Dados!F23</f>
        <v>Maior é melhor</v>
      </c>
      <c r="D39" s="45">
        <f>IF(OR(Dados!N23="",Dados!I23=""),"",IF(Dados!$F23="Menor é melhor",MIN(1,Dados!N23/Dados!I23),MIN(1,Dados!I23/Dados!N23)))</f>
        <v>0.69230769230769362</v>
      </c>
      <c r="E39" s="45">
        <f>IF(OR(Dados!O23="",Dados!J23=""),"",IF(Dados!$F23="Menor é melhor",MIN(1,Dados!O23/Dados!J23),MIN(1,Dados!J23/Dados!O23)))</f>
        <v>0.50847457627118553</v>
      </c>
      <c r="F39" s="45">
        <f>IF(OR(Dados!P23="",Dados!K23=""),"",IF(Dados!$F23="Menor é melhor",MIN(1,Dados!P23/Dados!K23),MIN(1,Dados!K23/Dados!P23)))</f>
        <v>0.45454545454545453</v>
      </c>
      <c r="G39" s="45">
        <f>IF(OR(Dados!P23="",Dados!K23=""),"",IF(Dados!$F23="Menor é melhor",Dados!P23/Dados!K23,Dados!K23/Dados!P23))</f>
        <v>0.45454545454545453</v>
      </c>
      <c r="H39" s="45">
        <f>IF(OR(Dados!L23="",Dados!K23=""),"",IF(Dados!$F23="Menor é melhor",Dados!L23/Dados!K23,Dados!K23/Dados!L23))</f>
        <v>0.45454545454545453</v>
      </c>
      <c r="I39" s="53" t="str">
        <f t="shared" si="6"/>
        <v>&lt;50%</v>
      </c>
      <c r="J39" s="85">
        <f t="shared" si="7"/>
        <v>0.45454935454545453</v>
      </c>
    </row>
    <row r="40" spans="1:10" x14ac:dyDescent="0.35">
      <c r="A40" s="77" t="str">
        <f>Dados!C24</f>
        <v>Educação e FP</v>
      </c>
      <c r="B40" s="77" t="str">
        <f>Dados!D24</f>
        <v>Professores de Ensino Pré-escolar com a qualificação mínima exigida (cumulativo)</v>
      </c>
      <c r="C40" s="77" t="str">
        <f>Dados!F24</f>
        <v>Maior é melhor</v>
      </c>
      <c r="D40" s="56">
        <f>IF(OR(Dados!N24="",Dados!I24=""),"",IF(Dados!$F24="Menor é melhor",MIN(1,Dados!N24/Dados!I24),MIN(1,Dados!I24/Dados!N24)))</f>
        <v>1</v>
      </c>
      <c r="E40" s="56" t="str">
        <f>IF(OR(Dados!O24="",Dados!J24=""),"",IF(Dados!$F24="Menor é melhor",MIN(1,Dados!O24/Dados!J24),MIN(1,Dados!J24/Dados!O24)))</f>
        <v/>
      </c>
      <c r="F40" s="56" t="str">
        <f>IF(OR(Dados!P24="",Dados!K24=""),"",IF(Dados!$F24="Menor é melhor",MIN(1,Dados!P24/Dados!K24),MIN(1,Dados!K24/Dados!P24)))</f>
        <v/>
      </c>
      <c r="G40" s="56" t="str">
        <f>IF(OR(Dados!P24="",Dados!K24=""),"",IF(Dados!$F24="Menor é melhor",Dados!P24/Dados!K24,Dados!K24/Dados!P24))</f>
        <v/>
      </c>
      <c r="H40" s="56" t="str">
        <f>IF(OR(Dados!L24="",Dados!K24=""),"",IF(Dados!$F24="Menor é melhor",Dados!L24/Dados!K24,Dados!K24/Dados!L24))</f>
        <v/>
      </c>
      <c r="I40" s="57" t="str">
        <f t="shared" si="6"/>
        <v>Sem dados</v>
      </c>
      <c r="J40" s="76" t="str">
        <f t="shared" si="7"/>
        <v/>
      </c>
    </row>
    <row r="41" spans="1:10" x14ac:dyDescent="0.35">
      <c r="A41" s="75" t="str">
        <f>Dados!C25</f>
        <v>Educação e FP</v>
      </c>
      <c r="B41" s="75" t="str">
        <f>Dados!D25</f>
        <v>Professores de Ensino Primário com a qualificação mínima exigida (cumulativo)</v>
      </c>
      <c r="C41" s="75" t="str">
        <f>Dados!F25</f>
        <v>Maior é melhor</v>
      </c>
      <c r="D41" s="45">
        <f>IF(OR(Dados!N25="",Dados!I25=""),"",IF(Dados!$F25="Menor é melhor",MIN(1,Dados!N25/Dados!I25),MIN(1,Dados!I25/Dados!N25)))</f>
        <v>1</v>
      </c>
      <c r="E41" s="45" t="str">
        <f>IF(OR(Dados!O25="",Dados!J25=""),"",IF(Dados!$F25="Menor é melhor",MIN(1,Dados!O25/Dados!J25),MIN(1,Dados!J25/Dados!O25)))</f>
        <v/>
      </c>
      <c r="F41" s="45" t="str">
        <f>IF(OR(Dados!P25="",Dados!K25=""),"",IF(Dados!$F25="Menor é melhor",MIN(1,Dados!P25/Dados!K25),MIN(1,Dados!K25/Dados!P25)))</f>
        <v/>
      </c>
      <c r="G41" s="45" t="str">
        <f>IF(OR(Dados!P25="",Dados!K25=""),"",IF(Dados!$F25="Menor é melhor",Dados!P25/Dados!K25,Dados!K25/Dados!P25))</f>
        <v/>
      </c>
      <c r="H41" s="45" t="str">
        <f>IF(OR(Dados!L25="",Dados!K25=""),"",IF(Dados!$F25="Menor é melhor",Dados!L25/Dados!K25,Dados!K25/Dados!L25))</f>
        <v/>
      </c>
      <c r="I41" s="53" t="str">
        <f t="shared" si="6"/>
        <v>Sem dados</v>
      </c>
      <c r="J41" s="74" t="str">
        <f t="shared" si="7"/>
        <v/>
      </c>
    </row>
    <row r="42" spans="1:10" x14ac:dyDescent="0.35">
      <c r="A42" s="77" t="str">
        <f>Dados!C26</f>
        <v>Educação e FP</v>
      </c>
      <c r="B42" s="77" t="str">
        <f>Dados!D26</f>
        <v>Professores de Ensino Secundário com a qualificação mínima exigida (cumulativo)</v>
      </c>
      <c r="C42" s="77" t="str">
        <f>Dados!F26</f>
        <v>Maior é melhor</v>
      </c>
      <c r="D42" s="56">
        <f>IF(OR(Dados!N26="",Dados!I26=""),"",IF(Dados!$F26="Menor é melhor",MIN(1,Dados!N26/Dados!I26),MIN(1,Dados!I26/Dados!N26)))</f>
        <v>1</v>
      </c>
      <c r="E42" s="56" t="str">
        <f>IF(OR(Dados!O26="",Dados!J26=""),"",IF(Dados!$F26="Menor é melhor",MIN(1,Dados!O26/Dados!J26),MIN(1,Dados!J26/Dados!O26)))</f>
        <v/>
      </c>
      <c r="F42" s="56" t="str">
        <f>IF(OR(Dados!P26="",Dados!K26=""),"",IF(Dados!$F26="Menor é melhor",MIN(1,Dados!P26/Dados!K26),MIN(1,Dados!K26/Dados!P26)))</f>
        <v/>
      </c>
      <c r="G42" s="56" t="str">
        <f>IF(OR(Dados!P26="",Dados!K26=""),"",IF(Dados!$F26="Menor é melhor",Dados!P26/Dados!K26,Dados!K26/Dados!P26))</f>
        <v/>
      </c>
      <c r="H42" s="56" t="str">
        <f>IF(OR(Dados!L26="",Dados!K26=""),"",IF(Dados!$F26="Menor é melhor",Dados!L26/Dados!K26,Dados!K26/Dados!L26))</f>
        <v/>
      </c>
      <c r="I42" s="57" t="str">
        <f t="shared" si="6"/>
        <v>Sem dados</v>
      </c>
      <c r="J42" s="76" t="str">
        <f t="shared" si="7"/>
        <v/>
      </c>
    </row>
    <row r="43" spans="1:10" x14ac:dyDescent="0.35">
      <c r="A43" s="75" t="str">
        <f>Dados!C27</f>
        <v>Educação e FP</v>
      </c>
      <c r="B43" s="75" t="str">
        <f>Dados!D27</f>
        <v>Número de pessoas formadas pelo SNEFP (cumulativo)</v>
      </c>
      <c r="C43" s="75" t="str">
        <f>Dados!F27</f>
        <v>Maior é melhor</v>
      </c>
      <c r="D43" s="45">
        <f>IF(OR(Dados!N27="",Dados!I27=""),"",IF(Dados!$F27="Menor é melhor",MIN(1,Dados!N27/Dados!I27),MIN(1,Dados!I27/Dados!N27)))</f>
        <v>1</v>
      </c>
      <c r="E43" s="45">
        <f>IF(OR(Dados!O27="",Dados!J27=""),"",IF(Dados!$F27="Menor é melhor",MIN(1,Dados!O27/Dados!J27),MIN(1,Dados!J27/Dados!O27)))</f>
        <v>1</v>
      </c>
      <c r="F43" s="45">
        <f>IF(OR(Dados!P27="",Dados!K27=""),"",IF(Dados!$F27="Menor é melhor",MIN(1,Dados!P27/Dados!K27),MIN(1,Dados!K27/Dados!P27)))</f>
        <v>1</v>
      </c>
      <c r="G43" s="45">
        <f>IF(OR(Dados!P27="",Dados!K27=""),"",IF(Dados!$F27="Menor é melhor",Dados!P27/Dados!K27,Dados!K27/Dados!P27))</f>
        <v>1.4844645892351276</v>
      </c>
      <c r="H43" s="45">
        <f>IF(OR(Dados!L27="",Dados!K27=""),"",IF(Dados!$F27="Menor é melhor",Dados!L27/Dados!K27,Dados!K27/Dados!L27))</f>
        <v>1.4844645892351276</v>
      </c>
      <c r="I43" s="53" t="str">
        <f t="shared" si="6"/>
        <v>≥100%</v>
      </c>
      <c r="J43" s="85">
        <f t="shared" si="7"/>
        <v>1.4844688892351277</v>
      </c>
    </row>
    <row r="44" spans="1:10" x14ac:dyDescent="0.35">
      <c r="A44" s="77" t="str">
        <f>Dados!C28</f>
        <v>Educação e FP</v>
      </c>
      <c r="B44" s="77" t="str">
        <f>Dados!D28</f>
        <v>Kits profissionais distribuídos (cumulativo)</v>
      </c>
      <c r="C44" s="77" t="str">
        <f>Dados!F28</f>
        <v>Maior é melhor</v>
      </c>
      <c r="D44" s="56">
        <f>IF(OR(Dados!N28="",Dados!I28=""),"",IF(Dados!$F28="Menor é melhor",MIN(1,Dados!N28/Dados!I28),MIN(1,Dados!I28/Dados!N28)))</f>
        <v>1</v>
      </c>
      <c r="E44" s="56">
        <f>IF(OR(Dados!O28="",Dados!J28=""),"",IF(Dados!$F28="Menor é melhor",MIN(1,Dados!O28/Dados!J28),MIN(1,Dados!J28/Dados!O28)))</f>
        <v>1</v>
      </c>
      <c r="F44" s="56">
        <f>IF(OR(Dados!P28="",Dados!K28=""),"",IF(Dados!$F28="Menor é melhor",MIN(1,Dados!P28/Dados!K28),MIN(1,Dados!K28/Dados!P28)))</f>
        <v>1</v>
      </c>
      <c r="G44" s="56">
        <f>IF(OR(Dados!P28="",Dados!K28=""),"",IF(Dados!$F28="Menor é melhor",Dados!P28/Dados!K28,Dados!K28/Dados!P28))</f>
        <v>1.0177664974619289</v>
      </c>
      <c r="H44" s="56">
        <f>IF(OR(Dados!L28="",Dados!K28=""),"",IF(Dados!$F28="Menor é melhor",Dados!L28/Dados!K28,Dados!K28/Dados!L28))</f>
        <v>1.0177664974619289</v>
      </c>
      <c r="I44" s="57" t="str">
        <f t="shared" si="6"/>
        <v>≥100%</v>
      </c>
      <c r="J44" s="84">
        <f t="shared" si="7"/>
        <v>1.0177708974619288</v>
      </c>
    </row>
    <row r="45" spans="1:10" x14ac:dyDescent="0.35">
      <c r="A45" s="75" t="str">
        <f>Dados!C29</f>
        <v>Educação e FP</v>
      </c>
      <c r="B45" s="75" t="str">
        <f>Dados!D29</f>
        <v>Estudantes matriculados no Ensino Superior (cumulativo)</v>
      </c>
      <c r="C45" s="75" t="str">
        <f>Dados!F29</f>
        <v>Maior é melhor</v>
      </c>
      <c r="D45" s="45">
        <f>IF(OR(Dados!N29="",Dados!I29=""),"",IF(Dados!$F29="Menor é melhor",MIN(1,Dados!N29/Dados!I29),MIN(1,Dados!I29/Dados!N29)))</f>
        <v>0.95429387880734007</v>
      </c>
      <c r="E45" s="45">
        <f>IF(OR(Dados!O29="",Dados!J29=""),"",IF(Dados!$F29="Menor é melhor",MIN(1,Dados!O29/Dados!J29),MIN(1,Dados!J29/Dados!O29)))</f>
        <v>0.90010751936222588</v>
      </c>
      <c r="F45" s="45">
        <f>IF(OR(Dados!P29="",Dados!K29=""),"",IF(Dados!$F29="Menor é melhor",MIN(1,Dados!P29/Dados!K29),MIN(1,Dados!K29/Dados!P29)))</f>
        <v>0.8003127929398165</v>
      </c>
      <c r="G45" s="45">
        <f>IF(OR(Dados!P29="",Dados!K29=""),"",IF(Dados!$F29="Menor é melhor",Dados!P29/Dados!K29,Dados!K29/Dados!P29))</f>
        <v>0.8003127929398165</v>
      </c>
      <c r="H45" s="45">
        <f>IF(OR(Dados!L29="",Dados!K29=""),"",IF(Dados!$F29="Menor é melhor",Dados!L29/Dados!K29,Dados!K29/Dados!L29))</f>
        <v>0.8003127929398165</v>
      </c>
      <c r="I45" s="53" t="str">
        <f t="shared" si="6"/>
        <v>75–100%</v>
      </c>
      <c r="J45" s="85">
        <f t="shared" si="7"/>
        <v>0.80031729293981646</v>
      </c>
    </row>
    <row r="46" spans="1:10" x14ac:dyDescent="0.35">
      <c r="A46" s="77" t="str">
        <f>Dados!C30</f>
        <v>Infraestruturas</v>
      </c>
      <c r="B46" s="77" t="str">
        <f>Dados!D30</f>
        <v>Estradas Nacionais reabilitadas (cumulativo)</v>
      </c>
      <c r="C46" s="77" t="str">
        <f>Dados!F30</f>
        <v>Maior é melhor</v>
      </c>
      <c r="D46" s="56">
        <f>IF(OR(Dados!N30="",Dados!I30=""),"",IF(Dados!$F30="Menor é melhor",MIN(1,Dados!N30/Dados!I30),MIN(1,Dados!I30/Dados!N30)))</f>
        <v>1</v>
      </c>
      <c r="E46" s="56">
        <f>IF(OR(Dados!O30="",Dados!J30=""),"",IF(Dados!$F30="Menor é melhor",MIN(1,Dados!O30/Dados!J30),MIN(1,Dados!J30/Dados!O30)))</f>
        <v>1</v>
      </c>
      <c r="F46" s="56">
        <f>IF(OR(Dados!P30="",Dados!K30=""),"",IF(Dados!$F30="Menor é melhor",MIN(1,Dados!P30/Dados!K30),MIN(1,Dados!K30/Dados!P30)))</f>
        <v>0.99181120491174213</v>
      </c>
      <c r="G46" s="56">
        <f>IF(OR(Dados!P30="",Dados!K30=""),"",IF(Dados!$F30="Menor é melhor",Dados!P30/Dados!K30,Dados!K30/Dados!P30))</f>
        <v>0.99181120491174213</v>
      </c>
      <c r="H46" s="56">
        <f>IF(OR(Dados!L30="",Dados!K30=""),"",IF(Dados!$F30="Menor é melhor",Dados!L30/Dados!K30,Dados!K30/Dados!L30))</f>
        <v>0.99181120491174213</v>
      </c>
      <c r="I46" s="57" t="str">
        <f t="shared" si="6"/>
        <v>75–100%</v>
      </c>
      <c r="J46" s="84">
        <f t="shared" si="7"/>
        <v>0.99181580491174215</v>
      </c>
    </row>
    <row r="47" spans="1:10" x14ac:dyDescent="0.35">
      <c r="A47" s="75" t="str">
        <f>Dados!C31</f>
        <v>Infraestruturas</v>
      </c>
      <c r="B47" s="75" t="str">
        <f>Dados!D31</f>
        <v>Equipamentos sociais construídos ou reabilitados (cumulativo)</v>
      </c>
      <c r="C47" s="75" t="str">
        <f>Dados!F31</f>
        <v>Maior é melhor</v>
      </c>
      <c r="D47" s="45">
        <f>IF(OR(Dados!N31="",Dados!I31=""),"",IF(Dados!$F31="Menor é melhor",MIN(1,Dados!N31/Dados!I31),MIN(1,Dados!I31/Dados!N31)))</f>
        <v>0.43517679057116909</v>
      </c>
      <c r="E47" s="45">
        <f>IF(OR(Dados!O31="",Dados!J31=""),"",IF(Dados!$F31="Menor é melhor",MIN(1,Dados!O31/Dados!J31),MIN(1,Dados!J31/Dados!O31)))</f>
        <v>0.28579577866514561</v>
      </c>
      <c r="F47" s="45">
        <f>IF(OR(Dados!P31="",Dados!K31=""),"",IF(Dados!$F31="Menor é melhor",MIN(1,Dados!P31/Dados!K31),MIN(1,Dados!K31/Dados!P31)))</f>
        <v>0.25468164794007492</v>
      </c>
      <c r="G47" s="45">
        <f>IF(OR(Dados!P31="",Dados!K31=""),"",IF(Dados!$F31="Menor é melhor",Dados!P31/Dados!K31,Dados!K31/Dados!P31))</f>
        <v>0.25468164794007492</v>
      </c>
      <c r="H47" s="45">
        <f>IF(OR(Dados!L31="",Dados!K31=""),"",IF(Dados!$F31="Menor é melhor",Dados!L31/Dados!K31,Dados!K31/Dados!L31))</f>
        <v>0.25468164794007492</v>
      </c>
      <c r="I47" s="53" t="str">
        <f t="shared" si="6"/>
        <v>&lt;50%</v>
      </c>
      <c r="J47" s="85">
        <f t="shared" si="7"/>
        <v>0.25468634794007494</v>
      </c>
    </row>
    <row r="48" spans="1:10" x14ac:dyDescent="0.35">
      <c r="A48" s="77" t="str">
        <f>Dados!C32</f>
        <v>Infraestruturas</v>
      </c>
      <c r="B48" s="77" t="str">
        <f>Dados!D32</f>
        <v>Construção e reabilitação de pontes (cumulativo)</v>
      </c>
      <c r="C48" s="77" t="str">
        <f>Dados!F32</f>
        <v>Maior é melhor</v>
      </c>
      <c r="D48" s="56">
        <f>IF(OR(Dados!N32="",Dados!I32=""),"",IF(Dados!$F32="Menor é melhor",MIN(1,Dados!N32/Dados!I32),MIN(1,Dados!I32/Dados!N32)))</f>
        <v>0.73603211776513888</v>
      </c>
      <c r="E48" s="56">
        <f>IF(OR(Dados!O32="",Dados!J32=""),"",IF(Dados!$F32="Menor é melhor",MIN(1,Dados!O32/Dados!J32),MIN(1,Dados!J32/Dados!O32)))</f>
        <v>0.66616952522992789</v>
      </c>
      <c r="F48" s="56">
        <f>IF(OR(Dados!P32="",Dados!K32=""),"",IF(Dados!$F32="Menor é melhor",MIN(1,Dados!P32/Dados!K32),MIN(1,Dados!K32/Dados!P32)))</f>
        <v>0.58834289104211979</v>
      </c>
      <c r="G48" s="56">
        <f>IF(OR(Dados!P32="",Dados!K32=""),"",IF(Dados!$F32="Menor é melhor",Dados!P32/Dados!K32,Dados!K32/Dados!P32))</f>
        <v>0.58834289104211979</v>
      </c>
      <c r="H48" s="56">
        <f>IF(OR(Dados!L32="",Dados!K32=""),"",IF(Dados!$F32="Menor é melhor",Dados!L32/Dados!K32,Dados!K32/Dados!L32))</f>
        <v>0.58834289104211979</v>
      </c>
      <c r="I48" s="57" t="str">
        <f t="shared" si="6"/>
        <v>50–75%</v>
      </c>
      <c r="J48" s="84">
        <f t="shared" si="7"/>
        <v>0.58834769104211981</v>
      </c>
    </row>
    <row r="49" spans="1:10" x14ac:dyDescent="0.35">
      <c r="A49" s="75" t="str">
        <f>Dados!C33</f>
        <v>Infraestruturas</v>
      </c>
      <c r="B49" s="75" t="str">
        <f>Dados!D33</f>
        <v>Taxa de electrificação</v>
      </c>
      <c r="C49" s="75" t="str">
        <f>Dados!F33</f>
        <v>Maior é melhor</v>
      </c>
      <c r="D49" s="45">
        <f>IF(OR(Dados!N33="",Dados!I33=""),"",IF(Dados!$F33="Menor é melhor",MIN(1,Dados!N33/Dados!I33),MIN(1,Dados!I33/Dados!N33)))</f>
        <v>0.96992481203007597</v>
      </c>
      <c r="E49" s="45">
        <f>IF(OR(Dados!O33="",Dados!J33=""),"",IF(Dados!$F33="Menor é melhor",MIN(1,Dados!O33/Dados!J33),MIN(1,Dados!J33/Dados!O33)))</f>
        <v>0.96350364963503576</v>
      </c>
      <c r="F49" s="45">
        <f>IF(OR(Dados!P33="",Dados!K33=""),"",IF(Dados!$F33="Menor é melhor",MIN(1,Dados!P33/Dados!K33),MIN(1,Dados!K33/Dados!P33)))</f>
        <v>1</v>
      </c>
      <c r="G49" s="45">
        <f>IF(OR(Dados!P33="",Dados!K33=""),"",IF(Dados!$F33="Menor é melhor",Dados!P33/Dados!K33,Dados!K33/Dados!P33))</f>
        <v>1.0212765957446808</v>
      </c>
      <c r="H49" s="45">
        <f>IF(OR(Dados!L33="",Dados!K33=""),"",IF(Dados!$F33="Menor é melhor",Dados!L33/Dados!K33,Dados!K33/Dados!L33))</f>
        <v>1.0212765957446808</v>
      </c>
      <c r="I49" s="53" t="str">
        <f t="shared" si="6"/>
        <v>≥100%</v>
      </c>
      <c r="J49" s="85">
        <f t="shared" si="7"/>
        <v>1.0212814957446807</v>
      </c>
    </row>
    <row r="50" spans="1:10" x14ac:dyDescent="0.35">
      <c r="A50" s="77" t="str">
        <f>Dados!C34</f>
        <v>Infraestruturas</v>
      </c>
      <c r="B50" s="77" t="str">
        <f>Dados!D34</f>
        <v>Número de ligações (cumulativo)</v>
      </c>
      <c r="C50" s="77" t="str">
        <f>Dados!F34</f>
        <v>Maior é melhor</v>
      </c>
      <c r="D50" s="56">
        <f>IF(OR(Dados!N34="",Dados!I34=""),"",IF(Dados!$F34="Menor é melhor",MIN(1,Dados!N34/Dados!I34),MIN(1,Dados!I34/Dados!N34)))</f>
        <v>0.85714285714285843</v>
      </c>
      <c r="E50" s="56">
        <f>IF(OR(Dados!O34="",Dados!J34=""),"",IF(Dados!$F34="Menor é melhor",MIN(1,Dados!O34/Dados!J34),MIN(1,Dados!J34/Dados!O34)))</f>
        <v>0.749999999999999</v>
      </c>
      <c r="F50" s="56">
        <f>IF(OR(Dados!P34="",Dados!K34=""),"",IF(Dados!$F34="Menor é melhor",MIN(1,Dados!P34/Dados!K34),MIN(1,Dados!K34/Dados!P34)))</f>
        <v>0.66666666666666663</v>
      </c>
      <c r="G50" s="56">
        <f>IF(OR(Dados!P34="",Dados!K34=""),"",IF(Dados!$F34="Menor é melhor",Dados!P34/Dados!K34,Dados!K34/Dados!P34))</f>
        <v>0.66666666666666663</v>
      </c>
      <c r="H50" s="56">
        <f>IF(OR(Dados!L34="",Dados!K34=""),"",IF(Dados!$F34="Menor é melhor",Dados!L34/Dados!K34,Dados!K34/Dados!L34))</f>
        <v>0.66666666666666663</v>
      </c>
      <c r="I50" s="57" t="str">
        <f t="shared" si="6"/>
        <v>50–75%</v>
      </c>
      <c r="J50" s="84">
        <f t="shared" si="7"/>
        <v>0.66667166666666666</v>
      </c>
    </row>
    <row r="51" spans="1:10" x14ac:dyDescent="0.35">
      <c r="A51" s="75" t="str">
        <f>Dados!C35</f>
        <v>Infraestruturas</v>
      </c>
      <c r="B51" s="75" t="str">
        <f>Dados!D35</f>
        <v>Número de sedes municipais com distribuição de energia pela ENDE</v>
      </c>
      <c r="C51" s="75" t="str">
        <f>Dados!F35</f>
        <v>Maior é melhor</v>
      </c>
      <c r="D51" s="45">
        <f>IF(OR(Dados!N35="",Dados!I35=""),"",IF(Dados!$F35="Menor é melhor",MIN(1,Dados!N35/Dados!I35),MIN(1,Dados!I35/Dados!N35)))</f>
        <v>0.98213902523412255</v>
      </c>
      <c r="E51" s="45">
        <f>IF(OR(Dados!O35="",Dados!J35=""),"",IF(Dados!$F35="Menor é melhor",MIN(1,Dados!O35/Dados!J35),MIN(1,Dados!J35/Dados!O35)))</f>
        <v>0.98603255521867261</v>
      </c>
      <c r="F51" s="45">
        <f>IF(OR(Dados!P35="",Dados!K35=""),"",IF(Dados!$F35="Menor é melhor",MIN(1,Dados!P35/Dados!K35),MIN(1,Dados!K35/Dados!P35)))</f>
        <v>1</v>
      </c>
      <c r="G51" s="45">
        <f>IF(OR(Dados!P35="",Dados!K35=""),"",IF(Dados!$F35="Menor é melhor",Dados!P35/Dados!K35,Dados!K35/Dados!P35))</f>
        <v>1.0105263157894737</v>
      </c>
      <c r="H51" s="45">
        <f>IF(OR(Dados!L35="",Dados!K35=""),"",IF(Dados!$F35="Menor é melhor",Dados!L35/Dados!K35,Dados!K35/Dados!L35))</f>
        <v>1.0105263157894737</v>
      </c>
      <c r="I51" s="53" t="str">
        <f t="shared" si="6"/>
        <v>≥100%</v>
      </c>
      <c r="J51" s="85">
        <f t="shared" si="7"/>
        <v>1.0105314157894738</v>
      </c>
    </row>
    <row r="52" spans="1:10" x14ac:dyDescent="0.35">
      <c r="A52" s="77" t="str">
        <f>Dados!C36</f>
        <v>Infraestruturas</v>
      </c>
      <c r="B52" s="77" t="str">
        <f>Dados!D36</f>
        <v>% de produção total de energia de fontes renováveis</v>
      </c>
      <c r="C52" s="77" t="str">
        <f>Dados!F36</f>
        <v>Maior é melhor</v>
      </c>
      <c r="D52" s="56">
        <f>IF(OR(Dados!N36="",Dados!I36=""),"",IF(Dados!$F36="Menor é melhor",MIN(1,Dados!N36/Dados!I36),MIN(1,Dados!I36/Dados!N36)))</f>
        <v>0.98484848484848486</v>
      </c>
      <c r="E52" s="56">
        <f>IF(OR(Dados!O36="",Dados!J36=""),"",IF(Dados!$F36="Menor é melhor",MIN(1,Dados!O36/Dados!J36),MIN(1,Dados!J36/Dados!O36)))</f>
        <v>0.9850746268656716</v>
      </c>
      <c r="F52" s="56">
        <f>IF(OR(Dados!P36="",Dados!K36=""),"",IF(Dados!$F36="Menor é melhor",MIN(1,Dados!P36/Dados!K36),MIN(1,Dados!K36/Dados!P36)))</f>
        <v>0.97058823529411764</v>
      </c>
      <c r="G52" s="56">
        <f>IF(OR(Dados!P36="",Dados!K36=""),"",IF(Dados!$F36="Menor é melhor",Dados!P36/Dados!K36,Dados!K36/Dados!P36))</f>
        <v>0.97058823529411764</v>
      </c>
      <c r="H52" s="56">
        <f>IF(OR(Dados!L36="",Dados!K36=""),"",IF(Dados!$F36="Menor é melhor",Dados!L36/Dados!K36,Dados!K36/Dados!L36))</f>
        <v>0.97058823529411764</v>
      </c>
      <c r="I52" s="57" t="str">
        <f t="shared" si="6"/>
        <v>75–100%</v>
      </c>
      <c r="J52" s="84">
        <f t="shared" si="7"/>
        <v>0.97059343529411768</v>
      </c>
    </row>
    <row r="53" spans="1:10" x14ac:dyDescent="0.35">
      <c r="A53" s="75" t="str">
        <f>Dados!C37</f>
        <v>Infraestruturas</v>
      </c>
      <c r="B53" s="75" t="str">
        <f>Dados!D37</f>
        <v>Potência instalada proveniente de fontes renováveis</v>
      </c>
      <c r="C53" s="75" t="str">
        <f>Dados!F37</f>
        <v>Maior é melhor</v>
      </c>
      <c r="D53" s="45">
        <f>IF(OR(Dados!N37="",Dados!I37=""),"",IF(Dados!$F37="Menor é melhor",MIN(1,Dados!N37/Dados!I37),MIN(1,Dados!I37/Dados!N37)))</f>
        <v>1</v>
      </c>
      <c r="E53" s="45">
        <f>IF(OR(Dados!O37="",Dados!J37=""),"",IF(Dados!$F37="Menor é melhor",MIN(1,Dados!O37/Dados!J37),MIN(1,Dados!J37/Dados!O37)))</f>
        <v>1</v>
      </c>
      <c r="F53" s="45">
        <f>IF(OR(Dados!P37="",Dados!K37=""),"",IF(Dados!$F37="Menor é melhor",MIN(1,Dados!P37/Dados!K37),MIN(1,Dados!K37/Dados!P37)))</f>
        <v>1</v>
      </c>
      <c r="G53" s="45">
        <f>IF(OR(Dados!P37="",Dados!K37=""),"",IF(Dados!$F37="Menor é melhor",Dados!P37/Dados!K37,Dados!K37/Dados!P37))</f>
        <v>1</v>
      </c>
      <c r="H53" s="45">
        <f>IF(OR(Dados!L37="",Dados!K37=""),"",IF(Dados!$F37="Menor é melhor",Dados!L37/Dados!K37,Dados!K37/Dados!L37))</f>
        <v>1</v>
      </c>
      <c r="I53" s="53" t="str">
        <f t="shared" ref="I53:I71" si="8">IF(G53="","Sem dados",IF(G53&gt;=1,"≥100%",IF(G53&gt;=0.75,"75–100%",IF(G53&gt;=0.5,"50–75%","&lt;50%"))))</f>
        <v>≥100%</v>
      </c>
      <c r="J53" s="85">
        <f t="shared" ref="J53:J71" si="9">IF(G53="","",G53+ROW()/10^7)</f>
        <v>1.0000053</v>
      </c>
    </row>
    <row r="54" spans="1:10" x14ac:dyDescent="0.35">
      <c r="A54" s="77" t="str">
        <f>Dados!C38</f>
        <v>Infraestruturas</v>
      </c>
      <c r="B54" s="77" t="str">
        <f>Dados!D38</f>
        <v>Quantidade de água tratada (cumulativo)</v>
      </c>
      <c r="C54" s="77" t="str">
        <f>Dados!F38</f>
        <v>Maior é melhor</v>
      </c>
      <c r="D54" s="56">
        <f>IF(OR(Dados!N38="",Dados!I38=""),"",IF(Dados!$F38="Menor é melhor",MIN(1,Dados!N38/Dados!I38),MIN(1,Dados!I38/Dados!N38)))</f>
        <v>0.93021077283372577</v>
      </c>
      <c r="E54" s="56">
        <f>IF(OR(Dados!O38="",Dados!J38=""),"",IF(Dados!$F38="Menor é melhor",MIN(1,Dados!O38/Dados!J38),MIN(1,Dados!J38/Dados!O38)))</f>
        <v>0.86790393013100253</v>
      </c>
      <c r="F54" s="56">
        <f>IF(OR(Dados!P38="",Dados!K38=""),"",IF(Dados!$F38="Menor é melhor",MIN(1,Dados!P38/Dados!K38),MIN(1,Dados!K38/Dados!P38)))</f>
        <v>0.81288343558282206</v>
      </c>
      <c r="G54" s="56">
        <f>IF(OR(Dados!P38="",Dados!K38=""),"",IF(Dados!$F38="Menor é melhor",Dados!P38/Dados!K38,Dados!K38/Dados!P38))</f>
        <v>0.81288343558282206</v>
      </c>
      <c r="H54" s="56">
        <f>IF(OR(Dados!L38="",Dados!K38=""),"",IF(Dados!$F38="Menor é melhor",Dados!L38/Dados!K38,Dados!K38/Dados!L38))</f>
        <v>0.81288343558282206</v>
      </c>
      <c r="I54" s="57" t="str">
        <f t="shared" si="8"/>
        <v>75–100%</v>
      </c>
      <c r="J54" s="84">
        <f t="shared" si="9"/>
        <v>0.8128888355828221</v>
      </c>
    </row>
    <row r="55" spans="1:10" x14ac:dyDescent="0.35">
      <c r="A55" s="75" t="str">
        <f>Dados!C39</f>
        <v>Infraestruturas</v>
      </c>
      <c r="B55" s="75" t="str">
        <f>Dados!D39</f>
        <v>Taxa de cobertura de águas nas áreas urbanas</v>
      </c>
      <c r="C55" s="75" t="str">
        <f>Dados!F39</f>
        <v>Maior é melhor</v>
      </c>
      <c r="D55" s="45" t="str">
        <f>IF(OR(Dados!N39="",Dados!I39=""),"",IF(Dados!$F39="Menor é melhor",MIN(1,Dados!N39/Dados!I39),MIN(1,Dados!I39/Dados!N39)))</f>
        <v/>
      </c>
      <c r="E55" s="45" t="str">
        <f>IF(OR(Dados!O39="",Dados!J39=""),"",IF(Dados!$F39="Menor é melhor",MIN(1,Dados!O39/Dados!J39),MIN(1,Dados!J39/Dados!O39)))</f>
        <v/>
      </c>
      <c r="F55" s="45" t="str">
        <f>IF(OR(Dados!P39="",Dados!K39=""),"",IF(Dados!$F39="Menor é melhor",MIN(1,Dados!P39/Dados!K39),MIN(1,Dados!K39/Dados!P39)))</f>
        <v/>
      </c>
      <c r="G55" s="45" t="str">
        <f>IF(OR(Dados!P39="",Dados!K39=""),"",IF(Dados!$F39="Menor é melhor",Dados!P39/Dados!K39,Dados!K39/Dados!P39))</f>
        <v/>
      </c>
      <c r="H55" s="45" t="str">
        <f>IF(OR(Dados!L39="",Dados!K39=""),"",IF(Dados!$F39="Menor é melhor",Dados!L39/Dados!K39,Dados!K39/Dados!L39))</f>
        <v/>
      </c>
      <c r="I55" s="53" t="str">
        <f t="shared" si="8"/>
        <v>Sem dados</v>
      </c>
      <c r="J55" s="74" t="str">
        <f t="shared" si="9"/>
        <v/>
      </c>
    </row>
    <row r="56" spans="1:10" x14ac:dyDescent="0.35">
      <c r="A56" s="77" t="str">
        <f>Dados!C40</f>
        <v>Infraestruturas</v>
      </c>
      <c r="B56" s="77" t="str">
        <f>Dados!D40</f>
        <v>Taxa de cobertura de águas nas áreas rurais</v>
      </c>
      <c r="C56" s="77" t="str">
        <f>Dados!F40</f>
        <v>Maior é melhor</v>
      </c>
      <c r="D56" s="56" t="str">
        <f>IF(OR(Dados!N40="",Dados!I40=""),"",IF(Dados!$F40="Menor é melhor",MIN(1,Dados!N40/Dados!I40),MIN(1,Dados!I40/Dados!N40)))</f>
        <v/>
      </c>
      <c r="E56" s="56" t="str">
        <f>IF(OR(Dados!O40="",Dados!J40=""),"",IF(Dados!$F40="Menor é melhor",MIN(1,Dados!O40/Dados!J40),MIN(1,Dados!J40/Dados!O40)))</f>
        <v/>
      </c>
      <c r="F56" s="56" t="str">
        <f>IF(OR(Dados!P40="",Dados!K40=""),"",IF(Dados!$F40="Menor é melhor",MIN(1,Dados!P40/Dados!K40),MIN(1,Dados!K40/Dados!P40)))</f>
        <v/>
      </c>
      <c r="G56" s="56" t="str">
        <f>IF(OR(Dados!P40="",Dados!K40=""),"",IF(Dados!$F40="Menor é melhor",Dados!P40/Dados!K40,Dados!K40/Dados!P40))</f>
        <v/>
      </c>
      <c r="H56" s="56" t="str">
        <f>IF(OR(Dados!L40="",Dados!K40=""),"",IF(Dados!$F40="Menor é melhor",Dados!L40/Dados!K40,Dados!K40/Dados!L40))</f>
        <v/>
      </c>
      <c r="I56" s="57" t="str">
        <f t="shared" si="8"/>
        <v>Sem dados</v>
      </c>
      <c r="J56" s="76" t="str">
        <f t="shared" si="9"/>
        <v/>
      </c>
    </row>
    <row r="57" spans="1:10" x14ac:dyDescent="0.35">
      <c r="A57" s="75" t="str">
        <f>Dados!C41</f>
        <v>Fomento à Produção</v>
      </c>
      <c r="B57" s="75" t="str">
        <f>Dados!D41</f>
        <v>Toneladas de carne produzidas</v>
      </c>
      <c r="C57" s="75" t="str">
        <f>Dados!F41</f>
        <v>Maior é melhor</v>
      </c>
      <c r="D57" s="45">
        <f>IF(OR(Dados!N41="",Dados!I41=""),"",IF(Dados!$F41="Menor é melhor",MIN(1,Dados!N41/Dados!I41),MIN(1,Dados!I41/Dados!N41)))</f>
        <v>0.90240663467919746</v>
      </c>
      <c r="E57" s="45">
        <f>IF(OR(Dados!O41="",Dados!J41=""),"",IF(Dados!$F41="Menor é melhor",MIN(1,Dados!O41/Dados!J41),MIN(1,Dados!J41/Dados!O41)))</f>
        <v>0.74259162379219357</v>
      </c>
      <c r="F57" s="45">
        <f>IF(OR(Dados!P41="",Dados!K41=""),"",IF(Dados!$F41="Menor é melhor",MIN(1,Dados!P41/Dados!K41),MIN(1,Dados!K41/Dados!P41)))</f>
        <v>0.67301164374797717</v>
      </c>
      <c r="G57" s="45">
        <f>IF(OR(Dados!P41="",Dados!K41=""),"",IF(Dados!$F41="Menor é melhor",Dados!P41/Dados!K41,Dados!K41/Dados!P41))</f>
        <v>0.67301164374797717</v>
      </c>
      <c r="H57" s="45">
        <f>IF(OR(Dados!L41="",Dados!K41=""),"",IF(Dados!$F41="Menor é melhor",Dados!L41/Dados!K41,Dados!K41/Dados!L41))</f>
        <v>0.67301164374797717</v>
      </c>
      <c r="I57" s="53" t="str">
        <f t="shared" si="8"/>
        <v>50–75%</v>
      </c>
      <c r="J57" s="85">
        <f t="shared" si="9"/>
        <v>0.67301734374797717</v>
      </c>
    </row>
    <row r="58" spans="1:10" x14ac:dyDescent="0.35">
      <c r="A58" s="77" t="str">
        <f>Dados!C42</f>
        <v>Fomento à Produção</v>
      </c>
      <c r="B58" s="77" t="str">
        <f>Dados!D42</f>
        <v>Toneladas de raízes e tubérculos produzidas</v>
      </c>
      <c r="C58" s="77" t="str">
        <f>Dados!F42</f>
        <v>Maior é melhor</v>
      </c>
      <c r="D58" s="56">
        <f>IF(OR(Dados!N42="",Dados!I42=""),"",IF(Dados!$F42="Menor é melhor",MIN(1,Dados!N42/Dados!I42),MIN(1,Dados!I42/Dados!N42)))</f>
        <v>0.96479371382591961</v>
      </c>
      <c r="E58" s="56">
        <f>IF(OR(Dados!O42="",Dados!J42=""),"",IF(Dados!$F42="Menor é melhor",MIN(1,Dados!O42/Dados!J42),MIN(1,Dados!J42/Dados!O42)))</f>
        <v>0.92859350635765048</v>
      </c>
      <c r="F58" s="56">
        <f>IF(OR(Dados!P42="",Dados!K42=""),"",IF(Dados!$F42="Menor é melhor",MIN(1,Dados!P42/Dados!K42),MIN(1,Dados!K42/Dados!P42)))</f>
        <v>0.93187430167888208</v>
      </c>
      <c r="G58" s="56">
        <f>IF(OR(Dados!P42="",Dados!K42=""),"",IF(Dados!$F42="Menor é melhor",Dados!P42/Dados!K42,Dados!K42/Dados!P42))</f>
        <v>0.93187430167888208</v>
      </c>
      <c r="H58" s="56">
        <f>IF(OR(Dados!L42="",Dados!K42=""),"",IF(Dados!$F42="Menor é melhor",Dados!L42/Dados!K42,Dados!K42/Dados!L42))</f>
        <v>0.93187430167888208</v>
      </c>
      <c r="I58" s="57" t="str">
        <f t="shared" si="8"/>
        <v>75–100%</v>
      </c>
      <c r="J58" s="84">
        <f t="shared" si="9"/>
        <v>0.93188010167888202</v>
      </c>
    </row>
    <row r="59" spans="1:10" x14ac:dyDescent="0.35">
      <c r="A59" s="75" t="str">
        <f>Dados!C43</f>
        <v>Fomento à Produção</v>
      </c>
      <c r="B59" s="75" t="str">
        <f>Dados!D43</f>
        <v>Toneladas de fruta produzidas</v>
      </c>
      <c r="C59" s="75" t="str">
        <f>Dados!F43</f>
        <v>Maior é melhor</v>
      </c>
      <c r="D59" s="45">
        <f>IF(OR(Dados!N43="",Dados!I43=""),"",IF(Dados!$F43="Menor é melhor",MIN(1,Dados!N43/Dados!I43),MIN(1,Dados!I43/Dados!N43)))</f>
        <v>0.97990743713370165</v>
      </c>
      <c r="E59" s="45">
        <f>IF(OR(Dados!O43="",Dados!J43=""),"",IF(Dados!$F43="Menor é melhor",MIN(1,Dados!O43/Dados!J43),MIN(1,Dados!J43/Dados!O43)))</f>
        <v>0.95652514704855063</v>
      </c>
      <c r="F59" s="45">
        <f>IF(OR(Dados!P43="",Dados!K43=""),"",IF(Dados!$F43="Menor é melhor",MIN(1,Dados!P43/Dados!K43),MIN(1,Dados!K43/Dados!P43)))</f>
        <v>0.92698159224313947</v>
      </c>
      <c r="G59" s="45">
        <f>IF(OR(Dados!P43="",Dados!K43=""),"",IF(Dados!$F43="Menor é melhor",Dados!P43/Dados!K43,Dados!K43/Dados!P43))</f>
        <v>0.92698159224313947</v>
      </c>
      <c r="H59" s="45">
        <f>IF(OR(Dados!L43="",Dados!K43=""),"",IF(Dados!$F43="Menor é melhor",Dados!L43/Dados!K43,Dados!K43/Dados!L43))</f>
        <v>0.92698159224313947</v>
      </c>
      <c r="I59" s="53" t="str">
        <f t="shared" si="8"/>
        <v>75–100%</v>
      </c>
      <c r="J59" s="85">
        <f t="shared" si="9"/>
        <v>0.92698749224313948</v>
      </c>
    </row>
    <row r="60" spans="1:10" x14ac:dyDescent="0.35">
      <c r="A60" s="77" t="str">
        <f>Dados!C44</f>
        <v>Fomento à Produção</v>
      </c>
      <c r="B60" s="77" t="str">
        <f>Dados!D44</f>
        <v>Toneladas de cereais produzidas</v>
      </c>
      <c r="C60" s="77" t="str">
        <f>Dados!F44</f>
        <v>Maior é melhor</v>
      </c>
      <c r="D60" s="56">
        <f>IF(OR(Dados!N44="",Dados!I44=""),"",IF(Dados!$F44="Menor é melhor",MIN(1,Dados!N44/Dados!I44),MIN(1,Dados!I44/Dados!N44)))</f>
        <v>0.77808055691190958</v>
      </c>
      <c r="E60" s="56">
        <f>IF(OR(Dados!O44="",Dados!J44=""),"",IF(Dados!$F44="Menor é melhor",MIN(1,Dados!O44/Dados!J44),MIN(1,Dados!J44/Dados!O44)))</f>
        <v>0.60306949074543859</v>
      </c>
      <c r="F60" s="56">
        <f>IF(OR(Dados!P44="",Dados!K44=""),"",IF(Dados!$F44="Menor é melhor",MIN(1,Dados!P44/Dados!K44),MIN(1,Dados!K44/Dados!P44)))</f>
        <v>0.47624866749121414</v>
      </c>
      <c r="G60" s="56">
        <f>IF(OR(Dados!P44="",Dados!K44=""),"",IF(Dados!$F44="Menor é melhor",Dados!P44/Dados!K44,Dados!K44/Dados!P44))</f>
        <v>0.47624866749121414</v>
      </c>
      <c r="H60" s="56">
        <f>IF(OR(Dados!L44="",Dados!K44=""),"",IF(Dados!$F44="Menor é melhor",Dados!L44/Dados!K44,Dados!K44/Dados!L44))</f>
        <v>0.47624866749121414</v>
      </c>
      <c r="I60" s="57" t="str">
        <f t="shared" si="8"/>
        <v>&lt;50%</v>
      </c>
      <c r="J60" s="84">
        <f t="shared" si="9"/>
        <v>0.47625466749121415</v>
      </c>
    </row>
    <row r="61" spans="1:10" x14ac:dyDescent="0.35">
      <c r="A61" s="75" t="str">
        <f>Dados!C45</f>
        <v>Fomento à Produção</v>
      </c>
      <c r="B61" s="75" t="str">
        <f>Dados!D45</f>
        <v>Toneladas de hortícolas produzidas</v>
      </c>
      <c r="C61" s="75" t="str">
        <f>Dados!F45</f>
        <v>Maior é melhor</v>
      </c>
      <c r="D61" s="45">
        <f>IF(OR(Dados!N45="",Dados!I45=""),"",IF(Dados!$F45="Menor é melhor",MIN(1,Dados!N45/Dados!I45),MIN(1,Dados!I45/Dados!N45)))</f>
        <v>1</v>
      </c>
      <c r="E61" s="45">
        <f>IF(OR(Dados!O45="",Dados!J45=""),"",IF(Dados!$F45="Menor é melhor",MIN(1,Dados!O45/Dados!J45),MIN(1,Dados!J45/Dados!O45)))</f>
        <v>1</v>
      </c>
      <c r="F61" s="45">
        <f>IF(OR(Dados!P45="",Dados!K45=""),"",IF(Dados!$F45="Menor é melhor",MIN(1,Dados!P45/Dados!K45),MIN(1,Dados!K45/Dados!P45)))</f>
        <v>1</v>
      </c>
      <c r="G61" s="45">
        <f>IF(OR(Dados!P45="",Dados!K45=""),"",IF(Dados!$F45="Menor é melhor",Dados!P45/Dados!K45,Dados!K45/Dados!P45))</f>
        <v>1.0753283195348544</v>
      </c>
      <c r="H61" s="45">
        <f>IF(OR(Dados!L45="",Dados!K45=""),"",IF(Dados!$F45="Menor é melhor",Dados!L45/Dados!K45,Dados!K45/Dados!L45))</f>
        <v>1.0753283195348544</v>
      </c>
      <c r="I61" s="53" t="str">
        <f t="shared" si="8"/>
        <v>≥100%</v>
      </c>
      <c r="J61" s="85">
        <f t="shared" si="9"/>
        <v>1.0753344195348544</v>
      </c>
    </row>
    <row r="62" spans="1:10" x14ac:dyDescent="0.35">
      <c r="A62" s="77" t="str">
        <f>Dados!C46</f>
        <v>Fomento à Produção</v>
      </c>
      <c r="B62" s="77" t="str">
        <f>Dados!D46</f>
        <v>Ovos produzidos</v>
      </c>
      <c r="C62" s="77" t="str">
        <f>Dados!F46</f>
        <v>Maior é melhor</v>
      </c>
      <c r="D62" s="56">
        <f>IF(OR(Dados!N46="",Dados!I46=""),"",IF(Dados!$F46="Menor é melhor",MIN(1,Dados!N46/Dados!I46),MIN(1,Dados!I46/Dados!N46)))</f>
        <v>0.99086393253179395</v>
      </c>
      <c r="E62" s="56">
        <f>IF(OR(Dados!O46="",Dados!J46=""),"",IF(Dados!$F46="Menor é melhor",MIN(1,Dados!O46/Dados!J46),MIN(1,Dados!J46/Dados!O46)))</f>
        <v>0.84036306748565104</v>
      </c>
      <c r="F62" s="56">
        <f>IF(OR(Dados!P46="",Dados!K46=""),"",IF(Dados!$F46="Menor é melhor",MIN(1,Dados!P46/Dados!K46),MIN(1,Dados!K46/Dados!P46)))</f>
        <v>0.85374035558537409</v>
      </c>
      <c r="G62" s="56">
        <f>IF(OR(Dados!P46="",Dados!K46=""),"",IF(Dados!$F46="Menor é melhor",Dados!P46/Dados!K46,Dados!K46/Dados!P46))</f>
        <v>0.85374035558537409</v>
      </c>
      <c r="H62" s="56">
        <f>IF(OR(Dados!L46="",Dados!K46=""),"",IF(Dados!$F46="Menor é melhor",Dados!L46/Dados!K46,Dados!K46/Dados!L46))</f>
        <v>0.85374035558537409</v>
      </c>
      <c r="I62" s="57" t="str">
        <f t="shared" si="8"/>
        <v>75–100%</v>
      </c>
      <c r="J62" s="84">
        <f t="shared" si="9"/>
        <v>0.85374655558537405</v>
      </c>
    </row>
    <row r="63" spans="1:10" x14ac:dyDescent="0.35">
      <c r="A63" s="75" t="str">
        <f>Dados!C47</f>
        <v>Fomento à Produção</v>
      </c>
      <c r="B63" s="75" t="str">
        <f>Dados!D47</f>
        <v>Litros de leite produzidos</v>
      </c>
      <c r="C63" s="75" t="str">
        <f>Dados!F47</f>
        <v>Maior é melhor</v>
      </c>
      <c r="D63" s="45">
        <f>IF(OR(Dados!N47="",Dados!I47=""),"",IF(Dados!$F47="Menor é melhor",MIN(1,Dados!N47/Dados!I47),MIN(1,Dados!I47/Dados!N47)))</f>
        <v>0.79370052598409968</v>
      </c>
      <c r="E63" s="45">
        <f>IF(OR(Dados!O47="",Dados!J47=""),"",IF(Dados!$F47="Menor é melhor",MIN(1,Dados!O47/Dados!J47),MIN(1,Dados!J47/Dados!O47)))</f>
        <v>0.62996052494743637</v>
      </c>
      <c r="F63" s="45">
        <f>IF(OR(Dados!P47="",Dados!K47=""),"",IF(Dados!$F47="Menor é melhor",MIN(1,Dados!P47/Dados!K47),MIN(1,Dados!K47/Dados!P47)))</f>
        <v>0.5</v>
      </c>
      <c r="G63" s="45">
        <f>IF(OR(Dados!P47="",Dados!K47=""),"",IF(Dados!$F47="Menor é melhor",Dados!P47/Dados!K47,Dados!K47/Dados!P47))</f>
        <v>0.5</v>
      </c>
      <c r="H63" s="45">
        <f>IF(OR(Dados!L47="",Dados!K47=""),"",IF(Dados!$F47="Menor é melhor",Dados!L47/Dados!K47,Dados!K47/Dados!L47))</f>
        <v>0.5</v>
      </c>
      <c r="I63" s="53" t="str">
        <f t="shared" si="8"/>
        <v>50–75%</v>
      </c>
      <c r="J63" s="85">
        <f t="shared" si="9"/>
        <v>0.50000630000000001</v>
      </c>
    </row>
    <row r="64" spans="1:10" x14ac:dyDescent="0.35">
      <c r="A64" s="77" t="str">
        <f>Dados!C48</f>
        <v>Fomento à Produção</v>
      </c>
      <c r="B64" s="77" t="str">
        <f>Dados!D48</f>
        <v>Unidades industriais no subsector da indústria pesqueira e de transformação de carne instaladas (cumulativo)</v>
      </c>
      <c r="C64" s="77" t="str">
        <f>Dados!F48</f>
        <v>Maior é melhor</v>
      </c>
      <c r="D64" s="56">
        <f>IF(OR(Dados!N48="",Dados!I48=""),"",IF(Dados!$F48="Menor é melhor",MIN(1,Dados!N48/Dados!I48),MIN(1,Dados!I48/Dados!N48)))</f>
        <v>1</v>
      </c>
      <c r="E64" s="56">
        <f>IF(OR(Dados!O48="",Dados!J48=""),"",IF(Dados!$F48="Menor é melhor",MIN(1,Dados!O48/Dados!J48),MIN(1,Dados!J48/Dados!O48)))</f>
        <v>1</v>
      </c>
      <c r="F64" s="56">
        <f>IF(OR(Dados!P48="",Dados!K48=""),"",IF(Dados!$F48="Menor é melhor",MIN(1,Dados!P48/Dados!K48),MIN(1,Dados!K48/Dados!P48)))</f>
        <v>1</v>
      </c>
      <c r="G64" s="56">
        <f>IF(OR(Dados!P48="",Dados!K48=""),"",IF(Dados!$F48="Menor é melhor",Dados!P48/Dados!K48,Dados!K48/Dados!P48))</f>
        <v>3.1</v>
      </c>
      <c r="H64" s="56">
        <f>IF(OR(Dados!L48="",Dados!K48=""),"",IF(Dados!$F48="Menor é melhor",Dados!L48/Dados!K48,Dados!K48/Dados!L48))</f>
        <v>3.1</v>
      </c>
      <c r="I64" s="57" t="str">
        <f t="shared" si="8"/>
        <v>≥100%</v>
      </c>
      <c r="J64" s="84">
        <f t="shared" si="9"/>
        <v>3.1000064000000003</v>
      </c>
    </row>
    <row r="65" spans="1:10" x14ac:dyDescent="0.35">
      <c r="A65" s="75" t="str">
        <f>Dados!C49</f>
        <v>Fomento à Produção</v>
      </c>
      <c r="B65" s="75" t="str">
        <f>Dados!D49</f>
        <v>Toneladas de peixe de captura industrial e semi-industrial produzidas</v>
      </c>
      <c r="C65" s="75" t="str">
        <f>Dados!F49</f>
        <v>Maior é melhor</v>
      </c>
      <c r="D65" s="45">
        <f>IF(OR(Dados!N49="",Dados!I49=""),"",IF(Dados!$F49="Menor é melhor",MIN(1,Dados!N49/Dados!I49),MIN(1,Dados!I49/Dados!N49)))</f>
        <v>1</v>
      </c>
      <c r="E65" s="45">
        <f>IF(OR(Dados!O49="",Dados!J49=""),"",IF(Dados!$F49="Menor é melhor",MIN(1,Dados!O49/Dados!J49),MIN(1,Dados!J49/Dados!O49)))</f>
        <v>1</v>
      </c>
      <c r="F65" s="45">
        <f>IF(OR(Dados!P49="",Dados!K49=""),"",IF(Dados!$F49="Menor é melhor",MIN(1,Dados!P49/Dados!K49),MIN(1,Dados!K49/Dados!P49)))</f>
        <v>0.76470588235294112</v>
      </c>
      <c r="G65" s="45">
        <f>IF(OR(Dados!P49="",Dados!K49=""),"",IF(Dados!$F49="Menor é melhor",Dados!P49/Dados!K49,Dados!K49/Dados!P49))</f>
        <v>0.76470588235294112</v>
      </c>
      <c r="H65" s="45">
        <f>IF(OR(Dados!L49="",Dados!K49=""),"",IF(Dados!$F49="Menor é melhor",Dados!L49/Dados!K49,Dados!K49/Dados!L49))</f>
        <v>0.76470588235294112</v>
      </c>
      <c r="I65" s="53" t="str">
        <f t="shared" si="8"/>
        <v>75–100%</v>
      </c>
      <c r="J65" s="85">
        <f t="shared" si="9"/>
        <v>0.76471238235294114</v>
      </c>
    </row>
    <row r="66" spans="1:10" x14ac:dyDescent="0.35">
      <c r="A66" s="77" t="str">
        <f>Dados!C50</f>
        <v>Económico</v>
      </c>
      <c r="B66" s="77" t="str">
        <f>Dados!D50</f>
        <v>Taxa de crescimento do PIB</v>
      </c>
      <c r="C66" s="77" t="str">
        <f>Dados!F50</f>
        <v>Maior é melhor</v>
      </c>
      <c r="D66" s="56">
        <f>IF(OR(Dados!N50="",Dados!I50=""),"",IF(Dados!$F50="Menor é melhor",MIN(1,Dados!N50/Dados!I50),MIN(1,Dados!I50/Dados!N50)))</f>
        <v>0.27272727272727249</v>
      </c>
      <c r="E66" s="56">
        <f>IF(OR(Dados!O50="",Dados!J50=""),"",IF(Dados!$F50="Menor é melhor",MIN(1,Dados!O50/Dados!J50),MIN(1,Dados!J50/Dados!O50)))</f>
        <v>1</v>
      </c>
      <c r="F66" s="56">
        <f>IF(OR(Dados!P50="",Dados!K50=""),"",IF(Dados!$F50="Menor é melhor",MIN(1,Dados!P50/Dados!K50),MIN(1,Dados!K50/Dados!P50)))</f>
        <v>1</v>
      </c>
      <c r="G66" s="56">
        <f>IF(OR(Dados!P50="",Dados!K50=""),"",IF(Dados!$F50="Menor é melhor",Dados!P50/Dados!K50,Dados!K50/Dados!P50))</f>
        <v>1</v>
      </c>
      <c r="H66" s="56">
        <f>IF(OR(Dados!L50="",Dados!K50=""),"",IF(Dados!$F50="Menor é melhor",Dados!L50/Dados!K50,Dados!K50/Dados!L50))</f>
        <v>1</v>
      </c>
      <c r="I66" s="57" t="str">
        <f t="shared" si="8"/>
        <v>≥100%</v>
      </c>
      <c r="J66" s="84">
        <f t="shared" si="9"/>
        <v>1.0000066000000001</v>
      </c>
    </row>
    <row r="67" spans="1:10" x14ac:dyDescent="0.35">
      <c r="A67" s="75" t="str">
        <f>Dados!C51</f>
        <v>Económico</v>
      </c>
      <c r="B67" s="75" t="str">
        <f>Dados!D51</f>
        <v>Taxa de crescimento do PIB não petrolífero</v>
      </c>
      <c r="C67" s="75" t="str">
        <f>Dados!F51</f>
        <v>Maior é melhor</v>
      </c>
      <c r="D67" s="45">
        <f>IF(OR(Dados!N51="",Dados!I51=""),"",IF(Dados!$F51="Menor é melhor",MIN(1,Dados!N51/Dados!I51),MIN(1,Dados!I51/Dados!N51)))</f>
        <v>0.42857142857142833</v>
      </c>
      <c r="E67" s="45">
        <f>IF(OR(Dados!O51="",Dados!J51=""),"",IF(Dados!$F51="Menor é melhor",MIN(1,Dados!O51/Dados!J51),MIN(1,Dados!J51/Dados!O51)))</f>
        <v>0.93750000000000056</v>
      </c>
      <c r="F67" s="45">
        <f>IF(OR(Dados!P51="",Dados!K51=""),"",IF(Dados!$F51="Menor é melhor",MIN(1,Dados!P51/Dados!K51),MIN(1,Dados!K51/Dados!P51)))</f>
        <v>0.83333333333333337</v>
      </c>
      <c r="G67" s="45">
        <f>IF(OR(Dados!P51="",Dados!K51=""),"",IF(Dados!$F51="Menor é melhor",Dados!P51/Dados!K51,Dados!K51/Dados!P51))</f>
        <v>0.83333333333333337</v>
      </c>
      <c r="H67" s="45">
        <f>IF(OR(Dados!L51="",Dados!K51=""),"",IF(Dados!$F51="Menor é melhor",Dados!L51/Dados!K51,Dados!K51/Dados!L51))</f>
        <v>0.83333333333333337</v>
      </c>
      <c r="I67" s="53" t="str">
        <f t="shared" si="8"/>
        <v>75–100%</v>
      </c>
      <c r="J67" s="85">
        <f t="shared" si="9"/>
        <v>0.8333400333333334</v>
      </c>
    </row>
    <row r="68" spans="1:10" x14ac:dyDescent="0.35">
      <c r="A68" s="77" t="str">
        <f>Dados!C52</f>
        <v>Económico</v>
      </c>
      <c r="B68" s="77" t="str">
        <f>Dados!D52</f>
        <v>Taxa de inflação</v>
      </c>
      <c r="C68" s="77" t="str">
        <f>Dados!F52</f>
        <v>Menor é melhor</v>
      </c>
      <c r="D68" s="56">
        <f>IF(OR(Dados!N52="",Dados!I52=""),"",IF(Dados!$F52="Menor é melhor",MIN(1,Dados!N52/Dados!I52),MIN(1,Dados!I52/Dados!N52)))</f>
        <v>0.76666666666666505</v>
      </c>
      <c r="E68" s="56">
        <f>IF(OR(Dados!O52="",Dados!J52=""),"",IF(Dados!$F52="Menor é melhor",MIN(1,Dados!O52/Dados!J52),MIN(1,Dados!J52/Dados!O52)))</f>
        <v>0.59523809523809645</v>
      </c>
      <c r="F68" s="56">
        <f>IF(OR(Dados!P52="",Dados!K52=""),"",IF(Dados!$F52="Menor é melhor",MIN(1,Dados!P52/Dados!K52),MIN(1,Dados!K52/Dados!P52)))</f>
        <v>1</v>
      </c>
      <c r="G68" s="56">
        <f>IF(OR(Dados!P52="",Dados!K52=""),"",IF(Dados!$F52="Menor é melhor",Dados!P52/Dados!K52,Dados!K52/Dados!P52))</f>
        <v>1.125</v>
      </c>
      <c r="H68" s="56">
        <f>IF(OR(Dados!L52="",Dados!K52=""),"",IF(Dados!$F52="Menor é melhor",Dados!L52/Dados!K52,Dados!K52/Dados!L52))</f>
        <v>1.125</v>
      </c>
      <c r="I68" s="57" t="str">
        <f t="shared" si="8"/>
        <v>≥100%</v>
      </c>
      <c r="J68" s="84">
        <f t="shared" si="9"/>
        <v>1.1250068</v>
      </c>
    </row>
    <row r="69" spans="1:10" x14ac:dyDescent="0.35">
      <c r="A69" s="75" t="str">
        <f>Dados!C53</f>
        <v>Económico</v>
      </c>
      <c r="B69" s="75" t="str">
        <f>Dados!D53</f>
        <v>Empregos Formais Bruto Gerados</v>
      </c>
      <c r="C69" s="75" t="str">
        <f>Dados!F53</f>
        <v>Maior é melhor</v>
      </c>
      <c r="D69" s="45" t="str">
        <f>IF(OR(Dados!N53="",Dados!I53=""),"",IF(Dados!$F53="Menor é melhor",MIN(1,Dados!N53/Dados!I53),MIN(1,Dados!I53/Dados!N53)))</f>
        <v/>
      </c>
      <c r="E69" s="45" t="str">
        <f>IF(OR(Dados!O53="",Dados!J53=""),"",IF(Dados!$F53="Menor é melhor",MIN(1,Dados!O53/Dados!J53),MIN(1,Dados!J53/Dados!O53)))</f>
        <v/>
      </c>
      <c r="F69" s="45" t="str">
        <f>IF(OR(Dados!P53="",Dados!K53=""),"",IF(Dados!$F53="Menor é melhor",MIN(1,Dados!P53/Dados!K53),MIN(1,Dados!K53/Dados!P53)))</f>
        <v/>
      </c>
      <c r="G69" s="45" t="str">
        <f>IF(OR(Dados!P53="",Dados!K53=""),"",IF(Dados!$F53="Menor é melhor",Dados!P53/Dados!K53,Dados!K53/Dados!P53))</f>
        <v/>
      </c>
      <c r="H69" s="45" t="str">
        <f>IF(OR(Dados!L53="",Dados!K53=""),"",IF(Dados!$F53="Menor é melhor",Dados!L53/Dados!K53,Dados!K53/Dados!L53))</f>
        <v/>
      </c>
      <c r="I69" s="53" t="str">
        <f t="shared" si="8"/>
        <v>Sem dados</v>
      </c>
      <c r="J69" s="74" t="str">
        <f t="shared" si="9"/>
        <v/>
      </c>
    </row>
    <row r="70" spans="1:10" x14ac:dyDescent="0.35">
      <c r="A70" s="77" t="str">
        <f>Dados!C54</f>
        <v>Económico</v>
      </c>
      <c r="B70" s="77" t="str">
        <f>Dados!D54</f>
        <v>Empregos Formais Líquidos Gerados</v>
      </c>
      <c r="C70" s="77" t="str">
        <f>Dados!F54</f>
        <v>Maior é melhor</v>
      </c>
      <c r="D70" s="56" t="str">
        <f>IF(OR(Dados!N54="",Dados!I54=""),"",IF(Dados!$F54="Menor é melhor",MIN(1,Dados!N54/Dados!I54),MIN(1,Dados!I54/Dados!N54)))</f>
        <v/>
      </c>
      <c r="E70" s="56" t="str">
        <f>IF(OR(Dados!O54="",Dados!J54=""),"",IF(Dados!$F54="Menor é melhor",MIN(1,Dados!O54/Dados!J54),MIN(1,Dados!J54/Dados!O54)))</f>
        <v/>
      </c>
      <c r="F70" s="56" t="str">
        <f>IF(OR(Dados!P54="",Dados!K54=""),"",IF(Dados!$F54="Menor é melhor",MIN(1,Dados!P54/Dados!K54),MIN(1,Dados!K54/Dados!P54)))</f>
        <v/>
      </c>
      <c r="G70" s="56" t="str">
        <f>IF(OR(Dados!P54="",Dados!K54=""),"",IF(Dados!$F54="Menor é melhor",Dados!P54/Dados!K54,Dados!K54/Dados!P54))</f>
        <v/>
      </c>
      <c r="H70" s="56" t="str">
        <f>IF(OR(Dados!L54="",Dados!K54=""),"",IF(Dados!$F54="Menor é melhor",Dados!L54/Dados!K54,Dados!K54/Dados!L54))</f>
        <v/>
      </c>
      <c r="I70" s="57" t="str">
        <f t="shared" si="8"/>
        <v>Sem dados</v>
      </c>
      <c r="J70" s="76" t="str">
        <f t="shared" si="9"/>
        <v/>
      </c>
    </row>
    <row r="71" spans="1:10" x14ac:dyDescent="0.35">
      <c r="A71" s="75" t="str">
        <f>Dados!C55</f>
        <v>Económico</v>
      </c>
      <c r="B71" s="75" t="str">
        <f>Dados!D55</f>
        <v>Taxa de Desemprego</v>
      </c>
      <c r="C71" s="75" t="str">
        <f>Dados!F55</f>
        <v>Menor é melhor</v>
      </c>
      <c r="D71" s="45">
        <f>IF(OR(Dados!N55="",Dados!I55=""),"",IF(Dados!$F55="Menor é melhor",MIN(1,Dados!N55/Dados!I55),MIN(1,Dados!I55/Dados!N55)))</f>
        <v>0.94444444444444331</v>
      </c>
      <c r="E71" s="45">
        <f>IF(OR(Dados!O55="",Dados!J55=""),"",IF(Dados!$F55="Menor é melhor",MIN(1,Dados!O55/Dados!J55),MIN(1,Dados!J55/Dados!O55)))</f>
        <v>0.88888888888888995</v>
      </c>
      <c r="F71" s="45">
        <f>IF(OR(Dados!P55="",Dados!K55=""),"",IF(Dados!$F55="Menor é melhor",MIN(1,Dados!P55/Dados!K55),MIN(1,Dados!K55/Dados!P55)))</f>
        <v>0.92936802973977695</v>
      </c>
      <c r="G71" s="45">
        <f>IF(OR(Dados!P55="",Dados!K55=""),"",IF(Dados!$F55="Menor é melhor",Dados!P55/Dados!K55,Dados!K55/Dados!P55))</f>
        <v>0.92936802973977695</v>
      </c>
      <c r="H71" s="45">
        <f>IF(OR(Dados!L55="",Dados!K55=""),"",IF(Dados!$F55="Menor é melhor",Dados!L55/Dados!K55,Dados!K55/Dados!L55))</f>
        <v>0.92936802973977695</v>
      </c>
      <c r="I71" s="53" t="str">
        <f t="shared" si="8"/>
        <v>75–100%</v>
      </c>
      <c r="J71" s="85">
        <f t="shared" si="9"/>
        <v>0.92937512973977698</v>
      </c>
    </row>
  </sheetData>
  <mergeCells count="3">
    <mergeCell ref="A1:L1"/>
    <mergeCell ref="A2:L2"/>
    <mergeCell ref="A15:G15"/>
  </mergeCells>
  <conditionalFormatting sqref="B6:D12">
    <cfRule type="colorScale" priority="2">
      <colorScale>
        <cfvo type="num" val="0.5"/>
        <cfvo type="num" val="0.85"/>
        <cfvo type="num" val="1"/>
        <color rgb="FFF1B0AF"/>
        <color rgb="FFF0EFEC"/>
        <color rgb="FFC9C3EF"/>
      </colorScale>
    </cfRule>
  </conditionalFormatting>
  <conditionalFormatting sqref="F21:F71">
    <cfRule type="dataBar" priority="4">
      <dataBar>
        <cfvo type="num" val="0"/>
        <cfvo type="num" val="1"/>
        <color rgb="FF4A3AA7"/>
      </dataBar>
      <extLst>
        <ext xmlns:x14="http://schemas.microsoft.com/office/spreadsheetml/2009/9/main" uri="{B025F937-C7B1-47D3-B67F-A62EFF666E3E}">
          <x14:id>{C692D340-7165-4CF0-9674-1DBFC4AF4696}</x14:id>
        </ext>
      </extLst>
    </cfRule>
  </conditionalFormatting>
  <conditionalFormatting sqref="G6:G13">
    <cfRule type="iconSet" priority="3">
      <iconSet showValue="0">
        <cfvo type="num" val="0"/>
        <cfvo type="num" val="0.75"/>
        <cfvo type="num" val="0.9"/>
      </iconSet>
    </cfRule>
  </conditionalFormatting>
  <conditionalFormatting sqref="I21:I71">
    <cfRule type="cellIs" dxfId="3" priority="5" operator="equal">
      <formula>"≥100%"</formula>
    </cfRule>
    <cfRule type="cellIs" dxfId="2" priority="6" operator="equal">
      <formula>"75–100%"</formula>
    </cfRule>
    <cfRule type="cellIs" dxfId="1" priority="7" operator="equal">
      <formula>"50–75%"</formula>
    </cfRule>
    <cfRule type="cellIs" dxfId="0" priority="8" operator="equal">
      <formula>"&lt;50%"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92D340-7165-4CF0-9674-1DBFC4AF469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A3AA7"/>
            </x14:dataBar>
          </x14:cfRule>
          <xm:sqref>F21:F71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98781"/>
    <pageSetUpPr fitToPage="1"/>
  </sheetPr>
  <dimension ref="A1:U58"/>
  <sheetViews>
    <sheetView showGridLines="0" tabSelected="1" zoomScaleNormal="100" workbookViewId="0">
      <pane xSplit="4" ySplit="4" topLeftCell="E27" activePane="bottomRight" state="frozen"/>
      <selection pane="topRight" activeCell="E1" sqref="E1"/>
      <selection pane="bottomLeft" activeCell="A5" sqref="A5"/>
      <selection pane="bottomRight" sqref="A1:U1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15" customWidth="1"/>
    <col min="4" max="4" width="46" customWidth="1"/>
    <col min="5" max="5" width="15" customWidth="1"/>
    <col min="6" max="6" width="13" customWidth="1"/>
    <col min="7" max="18" width="11" customWidth="1"/>
    <col min="19" max="19" width="36" customWidth="1"/>
    <col min="20" max="20" width="11" customWidth="1"/>
    <col min="21" max="21" width="8" customWidth="1"/>
  </cols>
  <sheetData>
    <row r="1" spans="1:21" ht="30" customHeight="1" x14ac:dyDescent="0.35">
      <c r="A1" s="123" t="s">
        <v>212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1" ht="15.75" customHeight="1" x14ac:dyDescent="0.35">
      <c r="A2" s="98" t="s">
        <v>213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</row>
    <row r="4" spans="1:21" ht="30" customHeight="1" x14ac:dyDescent="0.35">
      <c r="A4" s="61" t="s">
        <v>128</v>
      </c>
      <c r="B4" s="61" t="s">
        <v>90</v>
      </c>
      <c r="C4" s="61" t="s">
        <v>214</v>
      </c>
      <c r="D4" s="61" t="s">
        <v>102</v>
      </c>
      <c r="E4" s="61" t="s">
        <v>103</v>
      </c>
      <c r="F4" s="61" t="s">
        <v>129</v>
      </c>
      <c r="G4" s="61" t="s">
        <v>215</v>
      </c>
      <c r="H4" s="61" t="s">
        <v>216</v>
      </c>
      <c r="I4" s="61" t="s">
        <v>131</v>
      </c>
      <c r="J4" s="61" t="s">
        <v>132</v>
      </c>
      <c r="K4" s="61" t="s">
        <v>104</v>
      </c>
      <c r="L4" s="61" t="s">
        <v>217</v>
      </c>
      <c r="M4" s="61" t="s">
        <v>218</v>
      </c>
      <c r="N4" s="61" t="s">
        <v>219</v>
      </c>
      <c r="O4" s="61" t="s">
        <v>220</v>
      </c>
      <c r="P4" s="61" t="s">
        <v>221</v>
      </c>
      <c r="Q4" s="61" t="s">
        <v>222</v>
      </c>
      <c r="R4" s="61" t="s">
        <v>223</v>
      </c>
      <c r="S4" s="61" t="s">
        <v>224</v>
      </c>
      <c r="T4" s="61" t="s">
        <v>225</v>
      </c>
      <c r="U4" s="61" t="s">
        <v>148</v>
      </c>
    </row>
    <row r="5" spans="1:21" ht="46" x14ac:dyDescent="0.35">
      <c r="A5" s="86" t="s">
        <v>149</v>
      </c>
      <c r="B5" s="86" t="s">
        <v>74</v>
      </c>
      <c r="C5" s="86" t="s">
        <v>74</v>
      </c>
      <c r="D5" s="86" t="s">
        <v>226</v>
      </c>
      <c r="E5" s="86" t="s">
        <v>227</v>
      </c>
      <c r="F5" s="86" t="s">
        <v>228</v>
      </c>
      <c r="G5" s="86" t="s">
        <v>229</v>
      </c>
      <c r="H5" s="87">
        <v>5250</v>
      </c>
      <c r="I5" s="87">
        <v>5763</v>
      </c>
      <c r="J5" s="87">
        <v>7019</v>
      </c>
      <c r="K5" s="87">
        <v>7304</v>
      </c>
      <c r="L5" s="87"/>
      <c r="M5" s="87"/>
      <c r="N5" s="87"/>
      <c r="O5" s="87"/>
      <c r="P5" s="87"/>
      <c r="Q5" s="87"/>
      <c r="R5" s="87"/>
      <c r="S5" s="86"/>
      <c r="T5" s="86"/>
      <c r="U5" s="86">
        <v>1</v>
      </c>
    </row>
    <row r="6" spans="1:21" ht="46" x14ac:dyDescent="0.35">
      <c r="A6" s="88" t="s">
        <v>150</v>
      </c>
      <c r="B6" s="88" t="s">
        <v>74</v>
      </c>
      <c r="C6" s="88" t="s">
        <v>74</v>
      </c>
      <c r="D6" s="88" t="s">
        <v>230</v>
      </c>
      <c r="E6" s="88" t="s">
        <v>231</v>
      </c>
      <c r="F6" s="88" t="s">
        <v>228</v>
      </c>
      <c r="G6" s="88" t="s">
        <v>229</v>
      </c>
      <c r="H6" s="89">
        <v>44</v>
      </c>
      <c r="I6" s="89">
        <v>70</v>
      </c>
      <c r="J6" s="89">
        <v>75</v>
      </c>
      <c r="K6" s="89">
        <v>60</v>
      </c>
      <c r="L6" s="89">
        <v>56</v>
      </c>
      <c r="M6" s="89">
        <v>44</v>
      </c>
      <c r="N6" s="89">
        <v>48</v>
      </c>
      <c r="O6" s="89">
        <v>52</v>
      </c>
      <c r="P6" s="89">
        <v>56</v>
      </c>
      <c r="Q6" s="89">
        <v>60</v>
      </c>
      <c r="R6" s="89">
        <v>64</v>
      </c>
      <c r="S6" s="88" t="s">
        <v>232</v>
      </c>
      <c r="T6" s="88" t="s">
        <v>233</v>
      </c>
      <c r="U6" s="88">
        <v>1</v>
      </c>
    </row>
    <row r="7" spans="1:21" ht="34.5" x14ac:dyDescent="0.35">
      <c r="A7" s="86" t="s">
        <v>151</v>
      </c>
      <c r="B7" s="86" t="s">
        <v>74</v>
      </c>
      <c r="C7" s="86" t="s">
        <v>74</v>
      </c>
      <c r="D7" s="86" t="s">
        <v>234</v>
      </c>
      <c r="E7" s="86" t="s">
        <v>231</v>
      </c>
      <c r="F7" s="86" t="s">
        <v>228</v>
      </c>
      <c r="G7" s="86" t="s">
        <v>229</v>
      </c>
      <c r="H7" s="87">
        <v>79</v>
      </c>
      <c r="I7" s="87">
        <v>96</v>
      </c>
      <c r="J7" s="87">
        <v>85</v>
      </c>
      <c r="K7" s="87">
        <v>78</v>
      </c>
      <c r="L7" s="87">
        <v>86</v>
      </c>
      <c r="M7" s="87">
        <v>79</v>
      </c>
      <c r="N7" s="87">
        <v>81.3333333333333</v>
      </c>
      <c r="O7" s="87">
        <v>83.6666666666667</v>
      </c>
      <c r="P7" s="87">
        <v>86</v>
      </c>
      <c r="Q7" s="87">
        <v>88.3333333333333</v>
      </c>
      <c r="R7" s="87">
        <v>90.6666666666667</v>
      </c>
      <c r="S7" s="86" t="s">
        <v>232</v>
      </c>
      <c r="T7" s="86" t="s">
        <v>233</v>
      </c>
      <c r="U7" s="86">
        <v>1</v>
      </c>
    </row>
    <row r="8" spans="1:21" ht="46" x14ac:dyDescent="0.35">
      <c r="A8" s="88" t="s">
        <v>152</v>
      </c>
      <c r="B8" s="88" t="s">
        <v>74</v>
      </c>
      <c r="C8" s="88" t="s">
        <v>74</v>
      </c>
      <c r="D8" s="88" t="s">
        <v>235</v>
      </c>
      <c r="E8" s="88" t="s">
        <v>231</v>
      </c>
      <c r="F8" s="88" t="s">
        <v>228</v>
      </c>
      <c r="G8" s="88" t="s">
        <v>229</v>
      </c>
      <c r="H8" s="89">
        <v>66</v>
      </c>
      <c r="I8" s="89">
        <v>71</v>
      </c>
      <c r="J8" s="89">
        <v>68</v>
      </c>
      <c r="K8" s="89">
        <v>76</v>
      </c>
      <c r="L8" s="89">
        <v>80</v>
      </c>
      <c r="M8" s="89">
        <v>66</v>
      </c>
      <c r="N8" s="89">
        <v>70.6666666666667</v>
      </c>
      <c r="O8" s="89">
        <v>75.3333333333333</v>
      </c>
      <c r="P8" s="89">
        <v>80</v>
      </c>
      <c r="Q8" s="89">
        <v>84.6666666666667</v>
      </c>
      <c r="R8" s="89">
        <v>89.3333333333333</v>
      </c>
      <c r="S8" s="88" t="s">
        <v>232</v>
      </c>
      <c r="T8" s="88" t="s">
        <v>233</v>
      </c>
      <c r="U8" s="88">
        <v>1</v>
      </c>
    </row>
    <row r="9" spans="1:21" ht="34.5" x14ac:dyDescent="0.35">
      <c r="A9" s="86" t="s">
        <v>153</v>
      </c>
      <c r="B9" s="86" t="s">
        <v>74</v>
      </c>
      <c r="C9" s="86" t="s">
        <v>74</v>
      </c>
      <c r="D9" s="86" t="s">
        <v>236</v>
      </c>
      <c r="E9" s="86" t="s">
        <v>237</v>
      </c>
      <c r="F9" s="90" t="s">
        <v>238</v>
      </c>
      <c r="G9" s="86" t="s">
        <v>229</v>
      </c>
      <c r="H9" s="87">
        <v>255</v>
      </c>
      <c r="I9" s="87">
        <v>266</v>
      </c>
      <c r="J9" s="87">
        <v>307</v>
      </c>
      <c r="K9" s="87">
        <v>298</v>
      </c>
      <c r="L9" s="87">
        <v>215</v>
      </c>
      <c r="M9" s="87">
        <v>255</v>
      </c>
      <c r="N9" s="87">
        <v>241.666666666667</v>
      </c>
      <c r="O9" s="87">
        <v>228.333333333333</v>
      </c>
      <c r="P9" s="87">
        <v>215</v>
      </c>
      <c r="Q9" s="87">
        <v>201.666666666667</v>
      </c>
      <c r="R9" s="87">
        <v>188.333333333333</v>
      </c>
      <c r="S9" s="86" t="s">
        <v>232</v>
      </c>
      <c r="T9" s="86" t="s">
        <v>233</v>
      </c>
      <c r="U9" s="86">
        <v>1</v>
      </c>
    </row>
    <row r="10" spans="1:21" ht="57.5" x14ac:dyDescent="0.35">
      <c r="A10" s="88" t="s">
        <v>154</v>
      </c>
      <c r="B10" s="88" t="s">
        <v>74</v>
      </c>
      <c r="C10" s="88" t="s">
        <v>74</v>
      </c>
      <c r="D10" s="88" t="s">
        <v>239</v>
      </c>
      <c r="E10" s="88" t="s">
        <v>231</v>
      </c>
      <c r="F10" s="88" t="s">
        <v>228</v>
      </c>
      <c r="G10" s="88" t="s">
        <v>229</v>
      </c>
      <c r="H10" s="89">
        <v>70</v>
      </c>
      <c r="I10" s="89">
        <v>67</v>
      </c>
      <c r="J10" s="89">
        <v>74</v>
      </c>
      <c r="K10" s="89">
        <v>91</v>
      </c>
      <c r="L10" s="89">
        <v>76</v>
      </c>
      <c r="M10" s="89">
        <v>70</v>
      </c>
      <c r="N10" s="89">
        <v>72</v>
      </c>
      <c r="O10" s="89">
        <v>74</v>
      </c>
      <c r="P10" s="89">
        <v>76</v>
      </c>
      <c r="Q10" s="89">
        <v>78</v>
      </c>
      <c r="R10" s="89">
        <v>80</v>
      </c>
      <c r="S10" s="88" t="s">
        <v>232</v>
      </c>
      <c r="T10" s="88" t="s">
        <v>233</v>
      </c>
      <c r="U10" s="88">
        <v>1</v>
      </c>
    </row>
    <row r="11" spans="1:21" ht="57.5" x14ac:dyDescent="0.35">
      <c r="A11" s="86" t="s">
        <v>155</v>
      </c>
      <c r="B11" s="86" t="s">
        <v>74</v>
      </c>
      <c r="C11" s="86" t="s">
        <v>74</v>
      </c>
      <c r="D11" s="86" t="s">
        <v>240</v>
      </c>
      <c r="E11" s="86" t="s">
        <v>231</v>
      </c>
      <c r="F11" s="86" t="s">
        <v>228</v>
      </c>
      <c r="G11" s="86" t="s">
        <v>229</v>
      </c>
      <c r="H11" s="87">
        <v>34</v>
      </c>
      <c r="I11" s="87">
        <v>49</v>
      </c>
      <c r="J11" s="87">
        <v>51</v>
      </c>
      <c r="K11" s="87">
        <v>64</v>
      </c>
      <c r="L11" s="87">
        <v>56</v>
      </c>
      <c r="M11" s="87">
        <v>34</v>
      </c>
      <c r="N11" s="87">
        <v>41.3333333333333</v>
      </c>
      <c r="O11" s="87">
        <v>48.6666666666667</v>
      </c>
      <c r="P11" s="87">
        <v>56</v>
      </c>
      <c r="Q11" s="87">
        <v>63.3333333333333</v>
      </c>
      <c r="R11" s="87">
        <v>70.6666666666667</v>
      </c>
      <c r="S11" s="86" t="s">
        <v>232</v>
      </c>
      <c r="T11" s="86" t="s">
        <v>233</v>
      </c>
      <c r="U11" s="86">
        <v>1</v>
      </c>
    </row>
    <row r="12" spans="1:21" ht="92" x14ac:dyDescent="0.35">
      <c r="A12" s="88" t="s">
        <v>156</v>
      </c>
      <c r="B12" s="88" t="s">
        <v>76</v>
      </c>
      <c r="C12" s="88" t="s">
        <v>76</v>
      </c>
      <c r="D12" s="88" t="s">
        <v>241</v>
      </c>
      <c r="E12" s="88" t="s">
        <v>227</v>
      </c>
      <c r="F12" s="88" t="s">
        <v>228</v>
      </c>
      <c r="G12" s="88" t="s">
        <v>242</v>
      </c>
      <c r="H12" s="89">
        <v>37000</v>
      </c>
      <c r="I12" s="89">
        <v>37545</v>
      </c>
      <c r="J12" s="89">
        <v>38289</v>
      </c>
      <c r="K12" s="89">
        <v>38917</v>
      </c>
      <c r="L12" s="89">
        <v>99000</v>
      </c>
      <c r="M12" s="89">
        <v>37000</v>
      </c>
      <c r="N12" s="89">
        <v>57666.666666666701</v>
      </c>
      <c r="O12" s="89">
        <v>78333.333333333299</v>
      </c>
      <c r="P12" s="89">
        <v>99000</v>
      </c>
      <c r="Q12" s="89">
        <v>119666.66666666701</v>
      </c>
      <c r="R12" s="89">
        <v>140333.33333333299</v>
      </c>
      <c r="S12" s="88" t="s">
        <v>232</v>
      </c>
      <c r="T12" s="88" t="s">
        <v>233</v>
      </c>
      <c r="U12" s="88">
        <v>1</v>
      </c>
    </row>
    <row r="13" spans="1:21" ht="80.5" x14ac:dyDescent="0.35">
      <c r="A13" s="86" t="s">
        <v>157</v>
      </c>
      <c r="B13" s="86" t="s">
        <v>76</v>
      </c>
      <c r="C13" s="86" t="s">
        <v>76</v>
      </c>
      <c r="D13" s="86" t="s">
        <v>243</v>
      </c>
      <c r="E13" s="86" t="s">
        <v>227</v>
      </c>
      <c r="F13" s="86" t="s">
        <v>228</v>
      </c>
      <c r="G13" s="86" t="s">
        <v>242</v>
      </c>
      <c r="H13" s="87">
        <v>610832</v>
      </c>
      <c r="I13" s="87">
        <v>951203</v>
      </c>
      <c r="J13" s="87">
        <v>1070037</v>
      </c>
      <c r="K13" s="87">
        <v>1350850</v>
      </c>
      <c r="L13" s="87">
        <v>1800000</v>
      </c>
      <c r="M13" s="87">
        <v>610832</v>
      </c>
      <c r="N13" s="87">
        <v>1007221.33333333</v>
      </c>
      <c r="O13" s="87">
        <v>1403610.66666667</v>
      </c>
      <c r="P13" s="87">
        <v>1800000</v>
      </c>
      <c r="Q13" s="87">
        <v>2196389.3333333302</v>
      </c>
      <c r="R13" s="87">
        <v>2592778.6666666698</v>
      </c>
      <c r="S13" s="86" t="s">
        <v>232</v>
      </c>
      <c r="T13" s="86" t="s">
        <v>233</v>
      </c>
      <c r="U13" s="86">
        <v>1</v>
      </c>
    </row>
    <row r="14" spans="1:21" ht="92" x14ac:dyDescent="0.35">
      <c r="A14" s="88" t="s">
        <v>158</v>
      </c>
      <c r="B14" s="88" t="s">
        <v>76</v>
      </c>
      <c r="C14" s="88" t="s">
        <v>76</v>
      </c>
      <c r="D14" s="88" t="s">
        <v>244</v>
      </c>
      <c r="E14" s="88" t="s">
        <v>227</v>
      </c>
      <c r="F14" s="88" t="s">
        <v>228</v>
      </c>
      <c r="G14" s="88" t="s">
        <v>242</v>
      </c>
      <c r="H14" s="89">
        <v>23070</v>
      </c>
      <c r="I14" s="89">
        <v>30054</v>
      </c>
      <c r="J14" s="89">
        <v>90419</v>
      </c>
      <c r="K14" s="89">
        <v>104807</v>
      </c>
      <c r="L14" s="89">
        <v>83000</v>
      </c>
      <c r="M14" s="89">
        <v>23070</v>
      </c>
      <c r="N14" s="89">
        <v>43046.666666666701</v>
      </c>
      <c r="O14" s="89">
        <v>63023.333333333299</v>
      </c>
      <c r="P14" s="89">
        <v>83000</v>
      </c>
      <c r="Q14" s="89">
        <v>102976.66666666701</v>
      </c>
      <c r="R14" s="89">
        <v>122953.33333333299</v>
      </c>
      <c r="S14" s="88" t="s">
        <v>232</v>
      </c>
      <c r="T14" s="88" t="s">
        <v>233</v>
      </c>
      <c r="U14" s="88">
        <v>1</v>
      </c>
    </row>
    <row r="15" spans="1:21" ht="57.5" x14ac:dyDescent="0.35">
      <c r="A15" s="86" t="s">
        <v>159</v>
      </c>
      <c r="B15" s="86" t="s">
        <v>79</v>
      </c>
      <c r="C15" s="86" t="s">
        <v>79</v>
      </c>
      <c r="D15" s="86" t="s">
        <v>245</v>
      </c>
      <c r="E15" s="86" t="s">
        <v>246</v>
      </c>
      <c r="F15" s="86" t="s">
        <v>228</v>
      </c>
      <c r="G15" s="86" t="s">
        <v>247</v>
      </c>
      <c r="H15" s="87">
        <v>30</v>
      </c>
      <c r="I15" s="87">
        <v>33</v>
      </c>
      <c r="J15" s="87">
        <v>36</v>
      </c>
      <c r="K15" s="87">
        <v>50</v>
      </c>
      <c r="L15" s="87">
        <v>42</v>
      </c>
      <c r="M15" s="87">
        <v>30</v>
      </c>
      <c r="N15" s="87">
        <v>34</v>
      </c>
      <c r="O15" s="87">
        <v>38</v>
      </c>
      <c r="P15" s="87">
        <v>42</v>
      </c>
      <c r="Q15" s="87">
        <v>46</v>
      </c>
      <c r="R15" s="87">
        <v>50</v>
      </c>
      <c r="S15" s="86" t="s">
        <v>232</v>
      </c>
      <c r="T15" s="86" t="s">
        <v>233</v>
      </c>
      <c r="U15" s="86">
        <v>1</v>
      </c>
    </row>
    <row r="16" spans="1:21" ht="57.5" x14ac:dyDescent="0.35">
      <c r="A16" s="88" t="s">
        <v>160</v>
      </c>
      <c r="B16" s="88" t="s">
        <v>79</v>
      </c>
      <c r="C16" s="88" t="s">
        <v>79</v>
      </c>
      <c r="D16" s="88" t="s">
        <v>248</v>
      </c>
      <c r="E16" s="88" t="s">
        <v>246</v>
      </c>
      <c r="F16" s="88" t="s">
        <v>228</v>
      </c>
      <c r="G16" s="88" t="s">
        <v>247</v>
      </c>
      <c r="H16" s="89">
        <v>72</v>
      </c>
      <c r="I16" s="89">
        <v>75</v>
      </c>
      <c r="J16" s="89">
        <v>75</v>
      </c>
      <c r="K16" s="89">
        <v>78</v>
      </c>
      <c r="L16" s="89">
        <v>79</v>
      </c>
      <c r="M16" s="89">
        <v>72</v>
      </c>
      <c r="N16" s="89">
        <v>74.3333333333333</v>
      </c>
      <c r="O16" s="89">
        <v>76.6666666666667</v>
      </c>
      <c r="P16" s="89">
        <v>79</v>
      </c>
      <c r="Q16" s="89">
        <v>81.3333333333333</v>
      </c>
      <c r="R16" s="89">
        <v>83.6666666666667</v>
      </c>
      <c r="S16" s="88" t="s">
        <v>232</v>
      </c>
      <c r="T16" s="88" t="s">
        <v>233</v>
      </c>
      <c r="U16" s="88">
        <v>1</v>
      </c>
    </row>
    <row r="17" spans="1:21" ht="80.5" x14ac:dyDescent="0.35">
      <c r="A17" s="86" t="s">
        <v>161</v>
      </c>
      <c r="B17" s="86" t="s">
        <v>249</v>
      </c>
      <c r="C17" s="86" t="s">
        <v>82</v>
      </c>
      <c r="D17" s="86" t="s">
        <v>250</v>
      </c>
      <c r="E17" s="86" t="s">
        <v>227</v>
      </c>
      <c r="F17" s="86" t="s">
        <v>228</v>
      </c>
      <c r="G17" s="86" t="s">
        <v>251</v>
      </c>
      <c r="H17" s="87">
        <v>60004</v>
      </c>
      <c r="I17" s="87">
        <v>62395</v>
      </c>
      <c r="J17" s="87">
        <v>61516</v>
      </c>
      <c r="K17" s="87">
        <v>65388</v>
      </c>
      <c r="L17" s="87">
        <v>60018</v>
      </c>
      <c r="M17" s="87">
        <v>60004</v>
      </c>
      <c r="N17" s="87">
        <v>60008.666666666701</v>
      </c>
      <c r="O17" s="87">
        <v>60013.333333333299</v>
      </c>
      <c r="P17" s="87">
        <v>60018</v>
      </c>
      <c r="Q17" s="87">
        <v>60022.666666666701</v>
      </c>
      <c r="R17" s="87">
        <v>60027.333333333299</v>
      </c>
      <c r="S17" s="86" t="s">
        <v>232</v>
      </c>
      <c r="T17" s="86" t="s">
        <v>233</v>
      </c>
      <c r="U17" s="86">
        <v>1</v>
      </c>
    </row>
    <row r="18" spans="1:21" ht="92" x14ac:dyDescent="0.35">
      <c r="A18" s="88" t="s">
        <v>162</v>
      </c>
      <c r="B18" s="88" t="s">
        <v>249</v>
      </c>
      <c r="C18" s="88" t="s">
        <v>82</v>
      </c>
      <c r="D18" s="88" t="s">
        <v>252</v>
      </c>
      <c r="E18" s="88" t="s">
        <v>227</v>
      </c>
      <c r="F18" s="88" t="s">
        <v>228</v>
      </c>
      <c r="G18" s="88" t="s">
        <v>251</v>
      </c>
      <c r="H18" s="89">
        <v>29323</v>
      </c>
      <c r="I18" s="89">
        <v>36255</v>
      </c>
      <c r="J18" s="89">
        <v>42192</v>
      </c>
      <c r="K18" s="89">
        <v>48972</v>
      </c>
      <c r="L18" s="89">
        <v>16286</v>
      </c>
      <c r="M18" s="89">
        <v>29323</v>
      </c>
      <c r="N18" s="89">
        <v>24977.333333333299</v>
      </c>
      <c r="O18" s="89">
        <v>20631.666666666701</v>
      </c>
      <c r="P18" s="89">
        <v>16286</v>
      </c>
      <c r="Q18" s="89">
        <v>16286</v>
      </c>
      <c r="R18" s="89">
        <v>16286</v>
      </c>
      <c r="S18" s="88" t="s">
        <v>253</v>
      </c>
      <c r="T18" s="88" t="s">
        <v>233</v>
      </c>
      <c r="U18" s="88">
        <v>1</v>
      </c>
    </row>
    <row r="19" spans="1:21" ht="92" x14ac:dyDescent="0.35">
      <c r="A19" s="86" t="s">
        <v>163</v>
      </c>
      <c r="B19" s="86" t="s">
        <v>249</v>
      </c>
      <c r="C19" s="86" t="s">
        <v>82</v>
      </c>
      <c r="D19" s="86" t="s">
        <v>254</v>
      </c>
      <c r="E19" s="86" t="s">
        <v>227</v>
      </c>
      <c r="F19" s="86" t="s">
        <v>228</v>
      </c>
      <c r="G19" s="86" t="s">
        <v>251</v>
      </c>
      <c r="H19" s="87">
        <v>16409</v>
      </c>
      <c r="I19" s="87">
        <v>15962</v>
      </c>
      <c r="J19" s="87">
        <v>19174</v>
      </c>
      <c r="K19" s="87">
        <v>24435</v>
      </c>
      <c r="L19" s="87">
        <v>11141</v>
      </c>
      <c r="M19" s="87">
        <v>16409</v>
      </c>
      <c r="N19" s="87">
        <v>14653</v>
      </c>
      <c r="O19" s="87">
        <v>12897</v>
      </c>
      <c r="P19" s="87">
        <v>11141</v>
      </c>
      <c r="Q19" s="87">
        <v>11141</v>
      </c>
      <c r="R19" s="87">
        <v>11141</v>
      </c>
      <c r="S19" s="86" t="s">
        <v>253</v>
      </c>
      <c r="T19" s="86" t="s">
        <v>233</v>
      </c>
      <c r="U19" s="86">
        <v>1</v>
      </c>
    </row>
    <row r="20" spans="1:21" ht="92" x14ac:dyDescent="0.35">
      <c r="A20" s="88" t="s">
        <v>164</v>
      </c>
      <c r="B20" s="88" t="s">
        <v>249</v>
      </c>
      <c r="C20" s="88" t="s">
        <v>82</v>
      </c>
      <c r="D20" s="88" t="s">
        <v>255</v>
      </c>
      <c r="E20" s="88" t="s">
        <v>231</v>
      </c>
      <c r="F20" s="88" t="s">
        <v>228</v>
      </c>
      <c r="G20" s="88" t="s">
        <v>256</v>
      </c>
      <c r="H20" s="89">
        <v>76</v>
      </c>
      <c r="I20" s="89">
        <v>76</v>
      </c>
      <c r="J20" s="89">
        <v>76</v>
      </c>
      <c r="K20" s="89">
        <v>76</v>
      </c>
      <c r="L20" s="89">
        <v>77</v>
      </c>
      <c r="M20" s="89">
        <v>76</v>
      </c>
      <c r="N20" s="89">
        <v>76.3333333333333</v>
      </c>
      <c r="O20" s="89">
        <v>76.6666666666667</v>
      </c>
      <c r="P20" s="89">
        <v>77</v>
      </c>
      <c r="Q20" s="89">
        <v>77.5</v>
      </c>
      <c r="R20" s="89">
        <v>78</v>
      </c>
      <c r="S20" s="88" t="s">
        <v>257</v>
      </c>
      <c r="T20" s="88" t="s">
        <v>233</v>
      </c>
      <c r="U20" s="88">
        <v>1</v>
      </c>
    </row>
    <row r="21" spans="1:21" ht="80.5" x14ac:dyDescent="0.35">
      <c r="A21" s="86" t="s">
        <v>165</v>
      </c>
      <c r="B21" s="86" t="s">
        <v>249</v>
      </c>
      <c r="C21" s="86" t="s">
        <v>82</v>
      </c>
      <c r="D21" s="86" t="s">
        <v>258</v>
      </c>
      <c r="E21" s="86" t="s">
        <v>231</v>
      </c>
      <c r="F21" s="86" t="s">
        <v>228</v>
      </c>
      <c r="G21" s="86" t="s">
        <v>251</v>
      </c>
      <c r="H21" s="87">
        <v>61</v>
      </c>
      <c r="I21" s="87">
        <v>58</v>
      </c>
      <c r="J21" s="87">
        <v>58</v>
      </c>
      <c r="K21" s="87">
        <v>58</v>
      </c>
      <c r="L21" s="87">
        <v>69</v>
      </c>
      <c r="M21" s="87">
        <v>61</v>
      </c>
      <c r="N21" s="87">
        <v>63.6666666666667</v>
      </c>
      <c r="O21" s="87">
        <v>66.3333333333333</v>
      </c>
      <c r="P21" s="87">
        <v>69</v>
      </c>
      <c r="Q21" s="87">
        <v>71.6666666666667</v>
      </c>
      <c r="R21" s="87">
        <v>74.3333333333333</v>
      </c>
      <c r="S21" s="86" t="s">
        <v>232</v>
      </c>
      <c r="T21" s="86" t="s">
        <v>233</v>
      </c>
      <c r="U21" s="86">
        <v>1</v>
      </c>
    </row>
    <row r="22" spans="1:21" ht="103.5" x14ac:dyDescent="0.35">
      <c r="A22" s="88" t="s">
        <v>166</v>
      </c>
      <c r="B22" s="88" t="s">
        <v>249</v>
      </c>
      <c r="C22" s="88" t="s">
        <v>82</v>
      </c>
      <c r="D22" s="88" t="s">
        <v>259</v>
      </c>
      <c r="E22" s="88" t="s">
        <v>231</v>
      </c>
      <c r="F22" s="88" t="s">
        <v>228</v>
      </c>
      <c r="G22" s="88" t="s">
        <v>251</v>
      </c>
      <c r="H22" s="89">
        <v>44</v>
      </c>
      <c r="I22" s="89">
        <v>42</v>
      </c>
      <c r="J22" s="89">
        <v>45</v>
      </c>
      <c r="K22" s="89">
        <v>45</v>
      </c>
      <c r="L22" s="89">
        <v>54</v>
      </c>
      <c r="M22" s="89">
        <v>44</v>
      </c>
      <c r="N22" s="89">
        <v>47.3333333333333</v>
      </c>
      <c r="O22" s="89">
        <v>50.6666666666667</v>
      </c>
      <c r="P22" s="89">
        <v>54</v>
      </c>
      <c r="Q22" s="89">
        <v>57.3333333333333</v>
      </c>
      <c r="R22" s="89">
        <v>60.6666666666667</v>
      </c>
      <c r="S22" s="88" t="s">
        <v>232</v>
      </c>
      <c r="T22" s="88" t="s">
        <v>233</v>
      </c>
      <c r="U22" s="88">
        <v>1</v>
      </c>
    </row>
    <row r="23" spans="1:21" ht="103.5" x14ac:dyDescent="0.35">
      <c r="A23" s="86" t="s">
        <v>167</v>
      </c>
      <c r="B23" s="86" t="s">
        <v>249</v>
      </c>
      <c r="C23" s="86" t="s">
        <v>82</v>
      </c>
      <c r="D23" s="86" t="s">
        <v>260</v>
      </c>
      <c r="E23" s="86" t="s">
        <v>231</v>
      </c>
      <c r="F23" s="86" t="s">
        <v>228</v>
      </c>
      <c r="G23" s="86" t="s">
        <v>251</v>
      </c>
      <c r="H23" s="87">
        <v>15</v>
      </c>
      <c r="I23" s="87">
        <v>12</v>
      </c>
      <c r="J23" s="87">
        <v>10</v>
      </c>
      <c r="K23" s="87">
        <v>10</v>
      </c>
      <c r="L23" s="87">
        <v>22</v>
      </c>
      <c r="M23" s="87">
        <v>15</v>
      </c>
      <c r="N23" s="87">
        <v>17.3333333333333</v>
      </c>
      <c r="O23" s="87">
        <v>19.6666666666667</v>
      </c>
      <c r="P23" s="87">
        <v>22</v>
      </c>
      <c r="Q23" s="87">
        <v>24.3333333333333</v>
      </c>
      <c r="R23" s="87">
        <v>26.6666666666667</v>
      </c>
      <c r="S23" s="86" t="s">
        <v>232</v>
      </c>
      <c r="T23" s="86" t="s">
        <v>233</v>
      </c>
      <c r="U23" s="86">
        <v>1</v>
      </c>
    </row>
    <row r="24" spans="1:21" ht="115" x14ac:dyDescent="0.35">
      <c r="A24" s="88" t="s">
        <v>168</v>
      </c>
      <c r="B24" s="88" t="s">
        <v>249</v>
      </c>
      <c r="C24" s="88" t="s">
        <v>82</v>
      </c>
      <c r="D24" s="88" t="s">
        <v>261</v>
      </c>
      <c r="E24" s="88" t="s">
        <v>231</v>
      </c>
      <c r="F24" s="88" t="s">
        <v>228</v>
      </c>
      <c r="G24" s="88" t="s">
        <v>251</v>
      </c>
      <c r="H24" s="89">
        <v>65</v>
      </c>
      <c r="I24" s="89">
        <v>80</v>
      </c>
      <c r="J24" s="89"/>
      <c r="K24" s="89"/>
      <c r="L24" s="89">
        <v>65</v>
      </c>
      <c r="M24" s="89">
        <v>65</v>
      </c>
      <c r="N24" s="89">
        <v>65</v>
      </c>
      <c r="O24" s="89">
        <v>65</v>
      </c>
      <c r="P24" s="89">
        <v>65</v>
      </c>
      <c r="Q24" s="89">
        <v>65</v>
      </c>
      <c r="R24" s="89">
        <v>65</v>
      </c>
      <c r="S24" s="88" t="s">
        <v>253</v>
      </c>
      <c r="T24" s="88" t="s">
        <v>233</v>
      </c>
      <c r="U24" s="88">
        <v>0</v>
      </c>
    </row>
    <row r="25" spans="1:21" ht="115" x14ac:dyDescent="0.35">
      <c r="A25" s="86" t="s">
        <v>169</v>
      </c>
      <c r="B25" s="86" t="s">
        <v>249</v>
      </c>
      <c r="C25" s="86" t="s">
        <v>82</v>
      </c>
      <c r="D25" s="86" t="s">
        <v>262</v>
      </c>
      <c r="E25" s="86" t="s">
        <v>231</v>
      </c>
      <c r="F25" s="86" t="s">
        <v>228</v>
      </c>
      <c r="G25" s="86" t="s">
        <v>251</v>
      </c>
      <c r="H25" s="87">
        <v>81</v>
      </c>
      <c r="I25" s="87">
        <v>82</v>
      </c>
      <c r="J25" s="87"/>
      <c r="K25" s="87"/>
      <c r="L25" s="87">
        <v>70</v>
      </c>
      <c r="M25" s="87">
        <v>81</v>
      </c>
      <c r="N25" s="87">
        <v>77.3333333333333</v>
      </c>
      <c r="O25" s="87">
        <v>73.6666666666667</v>
      </c>
      <c r="P25" s="87">
        <v>70</v>
      </c>
      <c r="Q25" s="87">
        <v>70</v>
      </c>
      <c r="R25" s="87">
        <v>70</v>
      </c>
      <c r="S25" s="86" t="s">
        <v>253</v>
      </c>
      <c r="T25" s="86" t="s">
        <v>233</v>
      </c>
      <c r="U25" s="86">
        <v>0</v>
      </c>
    </row>
    <row r="26" spans="1:21" ht="115" x14ac:dyDescent="0.35">
      <c r="A26" s="88" t="s">
        <v>170</v>
      </c>
      <c r="B26" s="88" t="s">
        <v>249</v>
      </c>
      <c r="C26" s="88" t="s">
        <v>82</v>
      </c>
      <c r="D26" s="88" t="s">
        <v>263</v>
      </c>
      <c r="E26" s="88" t="s">
        <v>231</v>
      </c>
      <c r="F26" s="88" t="s">
        <v>228</v>
      </c>
      <c r="G26" s="88" t="s">
        <v>251</v>
      </c>
      <c r="H26" s="89">
        <v>83</v>
      </c>
      <c r="I26" s="89">
        <v>84</v>
      </c>
      <c r="J26" s="89"/>
      <c r="K26" s="89"/>
      <c r="L26" s="89">
        <v>80</v>
      </c>
      <c r="M26" s="89">
        <v>83</v>
      </c>
      <c r="N26" s="89">
        <v>82</v>
      </c>
      <c r="O26" s="89">
        <v>81</v>
      </c>
      <c r="P26" s="89">
        <v>80</v>
      </c>
      <c r="Q26" s="89">
        <v>80</v>
      </c>
      <c r="R26" s="89">
        <v>80</v>
      </c>
      <c r="S26" s="88" t="s">
        <v>253</v>
      </c>
      <c r="T26" s="88" t="s">
        <v>233</v>
      </c>
      <c r="U26" s="88">
        <v>0</v>
      </c>
    </row>
    <row r="27" spans="1:21" ht="92" x14ac:dyDescent="0.35">
      <c r="A27" s="86" t="s">
        <v>171</v>
      </c>
      <c r="B27" s="86" t="s">
        <v>249</v>
      </c>
      <c r="C27" s="86" t="s">
        <v>82</v>
      </c>
      <c r="D27" s="86" t="s">
        <v>264</v>
      </c>
      <c r="E27" s="86" t="s">
        <v>227</v>
      </c>
      <c r="F27" s="86" t="s">
        <v>228</v>
      </c>
      <c r="G27" s="86" t="s">
        <v>265</v>
      </c>
      <c r="H27" s="87">
        <v>100194</v>
      </c>
      <c r="I27" s="87">
        <v>188865</v>
      </c>
      <c r="J27" s="87">
        <v>341490</v>
      </c>
      <c r="K27" s="87">
        <v>524016</v>
      </c>
      <c r="L27" s="87">
        <v>353000</v>
      </c>
      <c r="M27" s="87">
        <v>100194</v>
      </c>
      <c r="N27" s="87">
        <v>184462.66666666701</v>
      </c>
      <c r="O27" s="87">
        <v>268731.33333333302</v>
      </c>
      <c r="P27" s="87">
        <v>353000</v>
      </c>
      <c r="Q27" s="87">
        <v>437268.66666666698</v>
      </c>
      <c r="R27" s="87">
        <v>521537.33333333302</v>
      </c>
      <c r="S27" s="86" t="s">
        <v>232</v>
      </c>
      <c r="T27" s="86" t="s">
        <v>233</v>
      </c>
      <c r="U27" s="86">
        <v>1</v>
      </c>
    </row>
    <row r="28" spans="1:21" ht="80.5" x14ac:dyDescent="0.35">
      <c r="A28" s="88" t="s">
        <v>172</v>
      </c>
      <c r="B28" s="88" t="s">
        <v>249</v>
      </c>
      <c r="C28" s="88" t="s">
        <v>82</v>
      </c>
      <c r="D28" s="88" t="s">
        <v>266</v>
      </c>
      <c r="E28" s="88" t="s">
        <v>227</v>
      </c>
      <c r="F28" s="88" t="s">
        <v>228</v>
      </c>
      <c r="G28" s="88" t="s">
        <v>267</v>
      </c>
      <c r="H28" s="89">
        <v>25483</v>
      </c>
      <c r="I28" s="89">
        <v>27131</v>
      </c>
      <c r="J28" s="89">
        <v>27580</v>
      </c>
      <c r="K28" s="89">
        <v>28070</v>
      </c>
      <c r="L28" s="89">
        <v>27580</v>
      </c>
      <c r="M28" s="89">
        <v>25483</v>
      </c>
      <c r="N28" s="89">
        <v>26182</v>
      </c>
      <c r="O28" s="89">
        <v>26881</v>
      </c>
      <c r="P28" s="89">
        <v>27580</v>
      </c>
      <c r="Q28" s="89">
        <v>28279</v>
      </c>
      <c r="R28" s="89">
        <v>28978</v>
      </c>
      <c r="S28" s="88" t="s">
        <v>232</v>
      </c>
      <c r="T28" s="88" t="s">
        <v>233</v>
      </c>
      <c r="U28" s="88">
        <v>1</v>
      </c>
    </row>
    <row r="29" spans="1:21" ht="92" x14ac:dyDescent="0.35">
      <c r="A29" s="86" t="s">
        <v>173</v>
      </c>
      <c r="B29" s="86" t="s">
        <v>249</v>
      </c>
      <c r="C29" s="86" t="s">
        <v>82</v>
      </c>
      <c r="D29" s="86" t="s">
        <v>268</v>
      </c>
      <c r="E29" s="86" t="s">
        <v>227</v>
      </c>
      <c r="F29" s="86" t="s">
        <v>228</v>
      </c>
      <c r="G29" s="86" t="s">
        <v>269</v>
      </c>
      <c r="H29" s="87">
        <v>320432</v>
      </c>
      <c r="I29" s="87">
        <v>334842</v>
      </c>
      <c r="J29" s="87">
        <v>343235</v>
      </c>
      <c r="K29" s="87">
        <v>329548</v>
      </c>
      <c r="L29" s="87">
        <v>411774</v>
      </c>
      <c r="M29" s="87">
        <v>320432</v>
      </c>
      <c r="N29" s="87">
        <v>350879.33333333302</v>
      </c>
      <c r="O29" s="87">
        <v>381326.66666666698</v>
      </c>
      <c r="P29" s="87">
        <v>411774</v>
      </c>
      <c r="Q29" s="87">
        <v>442221.33333333302</v>
      </c>
      <c r="R29" s="87">
        <v>472668.66666666698</v>
      </c>
      <c r="S29" s="86" t="s">
        <v>232</v>
      </c>
      <c r="T29" s="86" t="s">
        <v>233</v>
      </c>
      <c r="U29" s="86">
        <v>1</v>
      </c>
    </row>
    <row r="30" spans="1:21" ht="92" x14ac:dyDescent="0.35">
      <c r="A30" s="88" t="s">
        <v>174</v>
      </c>
      <c r="B30" s="88" t="s">
        <v>270</v>
      </c>
      <c r="C30" s="88" t="s">
        <v>83</v>
      </c>
      <c r="D30" s="88" t="s">
        <v>271</v>
      </c>
      <c r="E30" s="88" t="s">
        <v>272</v>
      </c>
      <c r="F30" s="88" t="s">
        <v>228</v>
      </c>
      <c r="G30" s="88" t="s">
        <v>273</v>
      </c>
      <c r="H30" s="89">
        <v>9474</v>
      </c>
      <c r="I30" s="89">
        <v>9924</v>
      </c>
      <c r="J30" s="89">
        <v>10121</v>
      </c>
      <c r="K30" s="89">
        <v>10338.64</v>
      </c>
      <c r="L30" s="89">
        <v>10424</v>
      </c>
      <c r="M30" s="89">
        <v>9474</v>
      </c>
      <c r="N30" s="89">
        <v>9790.6666666666697</v>
      </c>
      <c r="O30" s="89">
        <v>10107.333333333299</v>
      </c>
      <c r="P30" s="89">
        <v>10424</v>
      </c>
      <c r="Q30" s="89">
        <v>10740.666666666701</v>
      </c>
      <c r="R30" s="89">
        <v>11057.333333333299</v>
      </c>
      <c r="S30" s="88" t="s">
        <v>232</v>
      </c>
      <c r="T30" s="88" t="s">
        <v>233</v>
      </c>
      <c r="U30" s="88">
        <v>1</v>
      </c>
    </row>
    <row r="31" spans="1:21" ht="103.5" x14ac:dyDescent="0.35">
      <c r="A31" s="86" t="s">
        <v>175</v>
      </c>
      <c r="B31" s="86" t="s">
        <v>270</v>
      </c>
      <c r="C31" s="86" t="s">
        <v>83</v>
      </c>
      <c r="D31" s="86" t="s">
        <v>274</v>
      </c>
      <c r="E31" s="86" t="s">
        <v>227</v>
      </c>
      <c r="F31" s="86" t="s">
        <v>228</v>
      </c>
      <c r="G31" s="86" t="s">
        <v>273</v>
      </c>
      <c r="H31" s="87">
        <v>151</v>
      </c>
      <c r="I31" s="87">
        <v>160</v>
      </c>
      <c r="J31" s="87">
        <v>167</v>
      </c>
      <c r="K31" s="87">
        <v>204</v>
      </c>
      <c r="L31" s="87">
        <v>801</v>
      </c>
      <c r="M31" s="87">
        <v>151</v>
      </c>
      <c r="N31" s="87">
        <v>367.66666666666703</v>
      </c>
      <c r="O31" s="87">
        <v>584.33333333333303</v>
      </c>
      <c r="P31" s="87">
        <v>801</v>
      </c>
      <c r="Q31" s="87">
        <v>1017.66666666667</v>
      </c>
      <c r="R31" s="87">
        <v>1234.3333333333301</v>
      </c>
      <c r="S31" s="86" t="s">
        <v>232</v>
      </c>
      <c r="T31" s="86" t="s">
        <v>233</v>
      </c>
      <c r="U31" s="86">
        <v>1</v>
      </c>
    </row>
    <row r="32" spans="1:21" ht="103.5" x14ac:dyDescent="0.35">
      <c r="A32" s="88" t="s">
        <v>176</v>
      </c>
      <c r="B32" s="88" t="s">
        <v>270</v>
      </c>
      <c r="C32" s="88" t="s">
        <v>83</v>
      </c>
      <c r="D32" s="88" t="s">
        <v>275</v>
      </c>
      <c r="E32" s="88" t="s">
        <v>276</v>
      </c>
      <c r="F32" s="88" t="s">
        <v>228</v>
      </c>
      <c r="G32" s="88" t="s">
        <v>273</v>
      </c>
      <c r="H32" s="89">
        <v>3910</v>
      </c>
      <c r="I32" s="89">
        <v>4400</v>
      </c>
      <c r="J32" s="89">
        <v>5360</v>
      </c>
      <c r="K32" s="89">
        <v>5950.5</v>
      </c>
      <c r="L32" s="89">
        <v>10114</v>
      </c>
      <c r="M32" s="89">
        <v>3910</v>
      </c>
      <c r="N32" s="89">
        <v>5978</v>
      </c>
      <c r="O32" s="89">
        <v>8046</v>
      </c>
      <c r="P32" s="89">
        <v>10114</v>
      </c>
      <c r="Q32" s="89">
        <v>12182</v>
      </c>
      <c r="R32" s="89">
        <v>14250</v>
      </c>
      <c r="S32" s="88" t="s">
        <v>232</v>
      </c>
      <c r="T32" s="88" t="s">
        <v>233</v>
      </c>
      <c r="U32" s="88">
        <v>1</v>
      </c>
    </row>
    <row r="33" spans="1:21" ht="80.5" x14ac:dyDescent="0.35">
      <c r="A33" s="86" t="s">
        <v>177</v>
      </c>
      <c r="B33" s="86" t="s">
        <v>270</v>
      </c>
      <c r="C33" s="86" t="s">
        <v>83</v>
      </c>
      <c r="D33" s="86" t="s">
        <v>277</v>
      </c>
      <c r="E33" s="86" t="s">
        <v>278</v>
      </c>
      <c r="F33" s="86" t="s">
        <v>228</v>
      </c>
      <c r="G33" s="86" t="s">
        <v>279</v>
      </c>
      <c r="H33" s="87">
        <v>43</v>
      </c>
      <c r="I33" s="87">
        <v>43</v>
      </c>
      <c r="J33" s="87">
        <v>44</v>
      </c>
      <c r="K33" s="87">
        <v>48</v>
      </c>
      <c r="L33" s="87">
        <v>47</v>
      </c>
      <c r="M33" s="87">
        <v>43</v>
      </c>
      <c r="N33" s="87">
        <v>44.3333333333333</v>
      </c>
      <c r="O33" s="87">
        <v>45.6666666666667</v>
      </c>
      <c r="P33" s="87">
        <v>47</v>
      </c>
      <c r="Q33" s="87">
        <v>48</v>
      </c>
      <c r="R33" s="87">
        <v>49</v>
      </c>
      <c r="S33" s="86" t="s">
        <v>280</v>
      </c>
      <c r="T33" s="86" t="s">
        <v>233</v>
      </c>
      <c r="U33" s="86">
        <v>1</v>
      </c>
    </row>
    <row r="34" spans="1:21" ht="80.5" x14ac:dyDescent="0.35">
      <c r="A34" s="88" t="s">
        <v>178</v>
      </c>
      <c r="B34" s="88" t="s">
        <v>270</v>
      </c>
      <c r="C34" s="88" t="s">
        <v>83</v>
      </c>
      <c r="D34" s="88" t="s">
        <v>281</v>
      </c>
      <c r="E34" s="88" t="s">
        <v>282</v>
      </c>
      <c r="F34" s="88" t="s">
        <v>228</v>
      </c>
      <c r="G34" s="88" t="s">
        <v>279</v>
      </c>
      <c r="H34" s="89">
        <v>2</v>
      </c>
      <c r="I34" s="89">
        <v>2</v>
      </c>
      <c r="J34" s="89">
        <v>2</v>
      </c>
      <c r="K34" s="89">
        <v>2</v>
      </c>
      <c r="L34" s="89">
        <v>3</v>
      </c>
      <c r="M34" s="89">
        <v>2</v>
      </c>
      <c r="N34" s="89">
        <v>2.3333333333333299</v>
      </c>
      <c r="O34" s="89">
        <v>2.6666666666666701</v>
      </c>
      <c r="P34" s="89">
        <v>3</v>
      </c>
      <c r="Q34" s="89">
        <v>3.3333333333333299</v>
      </c>
      <c r="R34" s="89">
        <v>3.6666666666666701</v>
      </c>
      <c r="S34" s="88" t="s">
        <v>232</v>
      </c>
      <c r="T34" s="88" t="s">
        <v>233</v>
      </c>
      <c r="U34" s="88">
        <v>1</v>
      </c>
    </row>
    <row r="35" spans="1:21" ht="115" x14ac:dyDescent="0.35">
      <c r="A35" s="86" t="s">
        <v>179</v>
      </c>
      <c r="B35" s="86" t="s">
        <v>270</v>
      </c>
      <c r="C35" s="86" t="s">
        <v>83</v>
      </c>
      <c r="D35" s="86" t="s">
        <v>283</v>
      </c>
      <c r="E35" s="86" t="s">
        <v>227</v>
      </c>
      <c r="F35" s="86" t="s">
        <v>228</v>
      </c>
      <c r="G35" s="86" t="s">
        <v>279</v>
      </c>
      <c r="H35" s="87">
        <v>90</v>
      </c>
      <c r="I35" s="87">
        <v>90</v>
      </c>
      <c r="J35" s="87">
        <v>92</v>
      </c>
      <c r="K35" s="87">
        <v>96</v>
      </c>
      <c r="L35" s="87">
        <v>95</v>
      </c>
      <c r="M35" s="87">
        <v>90</v>
      </c>
      <c r="N35" s="87">
        <v>91.636721164344095</v>
      </c>
      <c r="O35" s="87">
        <v>93.303207397241707</v>
      </c>
      <c r="P35" s="87">
        <v>95</v>
      </c>
      <c r="Q35" s="87">
        <v>96.727650117918799</v>
      </c>
      <c r="R35" s="87">
        <v>98.486718919310604</v>
      </c>
      <c r="S35" s="86" t="s">
        <v>284</v>
      </c>
      <c r="T35" s="86" t="s">
        <v>285</v>
      </c>
      <c r="U35" s="86">
        <v>1</v>
      </c>
    </row>
    <row r="36" spans="1:21" ht="103.5" x14ac:dyDescent="0.35">
      <c r="A36" s="88" t="s">
        <v>180</v>
      </c>
      <c r="B36" s="88" t="s">
        <v>270</v>
      </c>
      <c r="C36" s="88" t="s">
        <v>83</v>
      </c>
      <c r="D36" s="88" t="s">
        <v>286</v>
      </c>
      <c r="E36" s="88" t="s">
        <v>231</v>
      </c>
      <c r="F36" s="88" t="s">
        <v>228</v>
      </c>
      <c r="G36" s="88" t="s">
        <v>279</v>
      </c>
      <c r="H36" s="89">
        <v>65</v>
      </c>
      <c r="I36" s="89">
        <v>65</v>
      </c>
      <c r="J36" s="89">
        <v>66</v>
      </c>
      <c r="K36" s="89">
        <v>66</v>
      </c>
      <c r="L36" s="89">
        <v>68</v>
      </c>
      <c r="M36" s="89">
        <v>65</v>
      </c>
      <c r="N36" s="89">
        <v>66</v>
      </c>
      <c r="O36" s="89">
        <v>67</v>
      </c>
      <c r="P36" s="89">
        <v>68</v>
      </c>
      <c r="Q36" s="89">
        <v>70.5</v>
      </c>
      <c r="R36" s="89">
        <v>73</v>
      </c>
      <c r="S36" s="88" t="s">
        <v>280</v>
      </c>
      <c r="T36" s="88" t="s">
        <v>233</v>
      </c>
      <c r="U36" s="88">
        <v>1</v>
      </c>
    </row>
    <row r="37" spans="1:21" ht="103.5" x14ac:dyDescent="0.35">
      <c r="A37" s="86" t="s">
        <v>181</v>
      </c>
      <c r="B37" s="86" t="s">
        <v>270</v>
      </c>
      <c r="C37" s="86" t="s">
        <v>83</v>
      </c>
      <c r="D37" s="86" t="s">
        <v>287</v>
      </c>
      <c r="E37" s="86" t="s">
        <v>288</v>
      </c>
      <c r="F37" s="86" t="s">
        <v>228</v>
      </c>
      <c r="G37" s="86" t="s">
        <v>279</v>
      </c>
      <c r="H37" s="87">
        <v>4</v>
      </c>
      <c r="I37" s="87">
        <v>4</v>
      </c>
      <c r="J37" s="87">
        <v>5</v>
      </c>
      <c r="K37" s="87">
        <v>4</v>
      </c>
      <c r="L37" s="87">
        <v>4</v>
      </c>
      <c r="M37" s="87">
        <v>4</v>
      </c>
      <c r="N37" s="87">
        <v>4</v>
      </c>
      <c r="O37" s="87">
        <v>4</v>
      </c>
      <c r="P37" s="87">
        <v>4</v>
      </c>
      <c r="Q37" s="87">
        <v>4</v>
      </c>
      <c r="R37" s="87">
        <v>4</v>
      </c>
      <c r="S37" s="86" t="s">
        <v>253</v>
      </c>
      <c r="T37" s="86" t="s">
        <v>285</v>
      </c>
      <c r="U37" s="86">
        <v>1</v>
      </c>
    </row>
    <row r="38" spans="1:21" ht="92" x14ac:dyDescent="0.35">
      <c r="A38" s="88" t="s">
        <v>182</v>
      </c>
      <c r="B38" s="88" t="s">
        <v>270</v>
      </c>
      <c r="C38" s="88" t="s">
        <v>83</v>
      </c>
      <c r="D38" s="88" t="s">
        <v>289</v>
      </c>
      <c r="E38" s="88" t="s">
        <v>290</v>
      </c>
      <c r="F38" s="88" t="s">
        <v>228</v>
      </c>
      <c r="G38" s="88" t="s">
        <v>279</v>
      </c>
      <c r="H38" s="89">
        <v>1320</v>
      </c>
      <c r="I38" s="89">
        <v>1324</v>
      </c>
      <c r="J38" s="89">
        <v>1325</v>
      </c>
      <c r="K38" s="89">
        <v>1325</v>
      </c>
      <c r="L38" s="89">
        <v>1630</v>
      </c>
      <c r="M38" s="89">
        <v>1320</v>
      </c>
      <c r="N38" s="89">
        <v>1423.3333333333301</v>
      </c>
      <c r="O38" s="89">
        <v>1526.6666666666699</v>
      </c>
      <c r="P38" s="89">
        <v>1630</v>
      </c>
      <c r="Q38" s="89">
        <v>1733.3333333333301</v>
      </c>
      <c r="R38" s="89">
        <v>1836.6666666666699</v>
      </c>
      <c r="S38" s="88" t="s">
        <v>232</v>
      </c>
      <c r="T38" s="88" t="s">
        <v>233</v>
      </c>
      <c r="U38" s="88">
        <v>1</v>
      </c>
    </row>
    <row r="39" spans="1:21" ht="103.5" x14ac:dyDescent="0.35">
      <c r="A39" s="86" t="s">
        <v>183</v>
      </c>
      <c r="B39" s="86" t="s">
        <v>270</v>
      </c>
      <c r="C39" s="86" t="s">
        <v>83</v>
      </c>
      <c r="D39" s="86" t="s">
        <v>291</v>
      </c>
      <c r="E39" s="86" t="s">
        <v>231</v>
      </c>
      <c r="F39" s="86" t="s">
        <v>228</v>
      </c>
      <c r="G39" s="86" t="s">
        <v>279</v>
      </c>
      <c r="H39" s="87">
        <v>72</v>
      </c>
      <c r="I39" s="87">
        <v>72</v>
      </c>
      <c r="J39" s="87">
        <v>72</v>
      </c>
      <c r="K39" s="87">
        <v>75</v>
      </c>
      <c r="L39" s="87"/>
      <c r="M39" s="87"/>
      <c r="N39" s="87"/>
      <c r="O39" s="87"/>
      <c r="P39" s="87"/>
      <c r="Q39" s="87"/>
      <c r="R39" s="87"/>
      <c r="S39" s="86"/>
      <c r="T39" s="86"/>
      <c r="U39" s="86">
        <v>1</v>
      </c>
    </row>
    <row r="40" spans="1:21" ht="92" x14ac:dyDescent="0.35">
      <c r="A40" s="88" t="s">
        <v>184</v>
      </c>
      <c r="B40" s="88" t="s">
        <v>270</v>
      </c>
      <c r="C40" s="88" t="s">
        <v>83</v>
      </c>
      <c r="D40" s="88" t="s">
        <v>292</v>
      </c>
      <c r="E40" s="88" t="s">
        <v>231</v>
      </c>
      <c r="F40" s="88" t="s">
        <v>228</v>
      </c>
      <c r="G40" s="88" t="s">
        <v>279</v>
      </c>
      <c r="H40" s="89">
        <v>70</v>
      </c>
      <c r="I40" s="89">
        <v>70</v>
      </c>
      <c r="J40" s="89">
        <v>70</v>
      </c>
      <c r="K40" s="89">
        <v>30</v>
      </c>
      <c r="L40" s="89"/>
      <c r="M40" s="89"/>
      <c r="N40" s="89"/>
      <c r="O40" s="89"/>
      <c r="P40" s="89"/>
      <c r="Q40" s="89"/>
      <c r="R40" s="89"/>
      <c r="S40" s="88"/>
      <c r="T40" s="88"/>
      <c r="U40" s="88">
        <v>1</v>
      </c>
    </row>
    <row r="41" spans="1:21" ht="57.5" x14ac:dyDescent="0.35">
      <c r="A41" s="86" t="s">
        <v>185</v>
      </c>
      <c r="B41" s="86" t="s">
        <v>84</v>
      </c>
      <c r="C41" s="86" t="s">
        <v>84</v>
      </c>
      <c r="D41" s="86" t="s">
        <v>293</v>
      </c>
      <c r="E41" s="86" t="s">
        <v>294</v>
      </c>
      <c r="F41" s="86" t="s">
        <v>228</v>
      </c>
      <c r="G41" s="86" t="s">
        <v>295</v>
      </c>
      <c r="H41" s="87">
        <v>319962</v>
      </c>
      <c r="I41" s="87">
        <v>341943</v>
      </c>
      <c r="J41" s="87">
        <v>333238</v>
      </c>
      <c r="K41" s="87">
        <v>357668</v>
      </c>
      <c r="L41" s="87">
        <v>531444</v>
      </c>
      <c r="M41" s="87">
        <v>319962</v>
      </c>
      <c r="N41" s="87">
        <v>378923.41086516902</v>
      </c>
      <c r="O41" s="87">
        <v>448750.01188170299</v>
      </c>
      <c r="P41" s="87">
        <v>531444</v>
      </c>
      <c r="Q41" s="87">
        <v>647130.49070492701</v>
      </c>
      <c r="R41" s="87">
        <v>788000</v>
      </c>
      <c r="S41" s="86" t="s">
        <v>296</v>
      </c>
      <c r="T41" s="86" t="s">
        <v>285</v>
      </c>
      <c r="U41" s="86">
        <v>1</v>
      </c>
    </row>
    <row r="42" spans="1:21" ht="69" x14ac:dyDescent="0.35">
      <c r="A42" s="88" t="s">
        <v>186</v>
      </c>
      <c r="B42" s="88" t="s">
        <v>84</v>
      </c>
      <c r="C42" s="88" t="s">
        <v>84</v>
      </c>
      <c r="D42" s="88" t="s">
        <v>297</v>
      </c>
      <c r="E42" s="88" t="s">
        <v>294</v>
      </c>
      <c r="F42" s="88" t="s">
        <v>228</v>
      </c>
      <c r="G42" s="88" t="s">
        <v>295</v>
      </c>
      <c r="H42" s="89">
        <v>12922711</v>
      </c>
      <c r="I42" s="89">
        <v>13743973</v>
      </c>
      <c r="J42" s="89">
        <v>14582355</v>
      </c>
      <c r="K42" s="89">
        <v>16131827</v>
      </c>
      <c r="L42" s="89">
        <v>17311162</v>
      </c>
      <c r="M42" s="89">
        <v>12922711</v>
      </c>
      <c r="N42" s="89">
        <v>14245504.3011193</v>
      </c>
      <c r="O42" s="89">
        <v>15703701.2429673</v>
      </c>
      <c r="P42" s="89">
        <v>17311162</v>
      </c>
      <c r="Q42" s="89">
        <v>19083165.500518601</v>
      </c>
      <c r="R42" s="89">
        <v>21036554.653014202</v>
      </c>
      <c r="S42" s="88" t="s">
        <v>284</v>
      </c>
      <c r="T42" s="88" t="s">
        <v>285</v>
      </c>
      <c r="U42" s="88">
        <v>1</v>
      </c>
    </row>
    <row r="43" spans="1:21" ht="57.5" x14ac:dyDescent="0.35">
      <c r="A43" s="86" t="s">
        <v>187</v>
      </c>
      <c r="B43" s="86" t="s">
        <v>84</v>
      </c>
      <c r="C43" s="86" t="s">
        <v>84</v>
      </c>
      <c r="D43" s="86" t="s">
        <v>298</v>
      </c>
      <c r="E43" s="86" t="s">
        <v>294</v>
      </c>
      <c r="F43" s="86" t="s">
        <v>228</v>
      </c>
      <c r="G43" s="86" t="s">
        <v>295</v>
      </c>
      <c r="H43" s="87">
        <v>6079785</v>
      </c>
      <c r="I43" s="87">
        <v>6487767</v>
      </c>
      <c r="J43" s="87">
        <v>6896497</v>
      </c>
      <c r="K43" s="87">
        <v>7278221</v>
      </c>
      <c r="L43" s="87">
        <v>7851527</v>
      </c>
      <c r="M43" s="87">
        <v>6079785</v>
      </c>
      <c r="N43" s="87">
        <v>6620795.7549308697</v>
      </c>
      <c r="O43" s="87">
        <v>7209948.4485899797</v>
      </c>
      <c r="P43" s="87">
        <v>7851527</v>
      </c>
      <c r="Q43" s="87">
        <v>8550196.5334835202</v>
      </c>
      <c r="R43" s="87">
        <v>9311037.3002848607</v>
      </c>
      <c r="S43" s="86" t="s">
        <v>284</v>
      </c>
      <c r="T43" s="86" t="s">
        <v>285</v>
      </c>
      <c r="U43" s="86">
        <v>1</v>
      </c>
    </row>
    <row r="44" spans="1:21" ht="69" x14ac:dyDescent="0.35">
      <c r="A44" s="88" t="s">
        <v>188</v>
      </c>
      <c r="B44" s="88" t="s">
        <v>84</v>
      </c>
      <c r="C44" s="88" t="s">
        <v>84</v>
      </c>
      <c r="D44" s="88" t="s">
        <v>299</v>
      </c>
      <c r="E44" s="88" t="s">
        <v>294</v>
      </c>
      <c r="F44" s="88" t="s">
        <v>228</v>
      </c>
      <c r="G44" s="88" t="s">
        <v>295</v>
      </c>
      <c r="H44" s="89">
        <v>3187951</v>
      </c>
      <c r="I44" s="89">
        <v>3357136</v>
      </c>
      <c r="J44" s="89">
        <v>3521636</v>
      </c>
      <c r="K44" s="89">
        <v>3763948</v>
      </c>
      <c r="L44" s="89">
        <v>7903325</v>
      </c>
      <c r="M44" s="89">
        <v>3187951</v>
      </c>
      <c r="N44" s="89">
        <v>4314638.0797947096</v>
      </c>
      <c r="O44" s="89">
        <v>5839519.4153280696</v>
      </c>
      <c r="P44" s="89">
        <v>7903325</v>
      </c>
      <c r="Q44" s="89">
        <v>10696521.684929799</v>
      </c>
      <c r="R44" s="89">
        <v>14476891.201636299</v>
      </c>
      <c r="S44" s="88" t="s">
        <v>284</v>
      </c>
      <c r="T44" s="88" t="s">
        <v>285</v>
      </c>
      <c r="U44" s="88">
        <v>1</v>
      </c>
    </row>
    <row r="45" spans="1:21" ht="69" x14ac:dyDescent="0.35">
      <c r="A45" s="86" t="s">
        <v>189</v>
      </c>
      <c r="B45" s="86" t="s">
        <v>84</v>
      </c>
      <c r="C45" s="86" t="s">
        <v>84</v>
      </c>
      <c r="D45" s="86" t="s">
        <v>300</v>
      </c>
      <c r="E45" s="86" t="s">
        <v>294</v>
      </c>
      <c r="F45" s="86" t="s">
        <v>228</v>
      </c>
      <c r="G45" s="86" t="s">
        <v>295</v>
      </c>
      <c r="H45" s="87">
        <v>1975867</v>
      </c>
      <c r="I45" s="87">
        <v>2203362</v>
      </c>
      <c r="J45" s="87">
        <v>2359801</v>
      </c>
      <c r="K45" s="87">
        <v>2552238</v>
      </c>
      <c r="L45" s="87">
        <v>2373450</v>
      </c>
      <c r="M45" s="87">
        <v>1975867</v>
      </c>
      <c r="N45" s="87">
        <v>2100383.03110671</v>
      </c>
      <c r="O45" s="87">
        <v>2232745.8666808</v>
      </c>
      <c r="P45" s="87">
        <v>2373450</v>
      </c>
      <c r="Q45" s="87">
        <v>2523021.0865307301</v>
      </c>
      <c r="R45" s="87">
        <v>2682017.9077202799</v>
      </c>
      <c r="S45" s="86" t="s">
        <v>284</v>
      </c>
      <c r="T45" s="86" t="s">
        <v>285</v>
      </c>
      <c r="U45" s="86">
        <v>1</v>
      </c>
    </row>
    <row r="46" spans="1:21" ht="57.5" x14ac:dyDescent="0.35">
      <c r="A46" s="88" t="s">
        <v>190</v>
      </c>
      <c r="B46" s="88" t="s">
        <v>84</v>
      </c>
      <c r="C46" s="88" t="s">
        <v>84</v>
      </c>
      <c r="D46" s="88" t="s">
        <v>301</v>
      </c>
      <c r="E46" s="88" t="s">
        <v>282</v>
      </c>
      <c r="F46" s="88" t="s">
        <v>228</v>
      </c>
      <c r="G46" s="88" t="s">
        <v>295</v>
      </c>
      <c r="H46" s="89">
        <v>2694</v>
      </c>
      <c r="I46" s="89">
        <v>2761</v>
      </c>
      <c r="J46" s="89">
        <v>2422</v>
      </c>
      <c r="K46" s="89">
        <v>2545</v>
      </c>
      <c r="L46" s="89">
        <v>2981</v>
      </c>
      <c r="M46" s="89">
        <v>2694</v>
      </c>
      <c r="N46" s="89">
        <v>2786.4572615386901</v>
      </c>
      <c r="O46" s="89">
        <v>2882.0876282040499</v>
      </c>
      <c r="P46" s="89">
        <v>2981</v>
      </c>
      <c r="Q46" s="89">
        <v>3083.3070143455202</v>
      </c>
      <c r="R46" s="89">
        <v>3189.1251743416001</v>
      </c>
      <c r="S46" s="88" t="s">
        <v>284</v>
      </c>
      <c r="T46" s="88" t="s">
        <v>285</v>
      </c>
      <c r="U46" s="88">
        <v>1</v>
      </c>
    </row>
    <row r="47" spans="1:21" ht="57.5" x14ac:dyDescent="0.35">
      <c r="A47" s="86" t="s">
        <v>191</v>
      </c>
      <c r="B47" s="86" t="s">
        <v>84</v>
      </c>
      <c r="C47" s="86" t="s">
        <v>84</v>
      </c>
      <c r="D47" s="86" t="s">
        <v>302</v>
      </c>
      <c r="E47" s="86" t="s">
        <v>303</v>
      </c>
      <c r="F47" s="86" t="s">
        <v>228</v>
      </c>
      <c r="G47" s="86" t="s">
        <v>295</v>
      </c>
      <c r="H47" s="87">
        <v>6</v>
      </c>
      <c r="I47" s="87">
        <v>6</v>
      </c>
      <c r="J47" s="87">
        <v>6</v>
      </c>
      <c r="K47" s="87">
        <v>6</v>
      </c>
      <c r="L47" s="87">
        <v>12</v>
      </c>
      <c r="M47" s="87">
        <v>6</v>
      </c>
      <c r="N47" s="87">
        <v>7.5595262993692396</v>
      </c>
      <c r="O47" s="87">
        <v>9.5244063118091997</v>
      </c>
      <c r="P47" s="87">
        <v>12</v>
      </c>
      <c r="Q47" s="87">
        <v>15.1190525987385</v>
      </c>
      <c r="R47" s="87">
        <v>19.048812623618399</v>
      </c>
      <c r="S47" s="86" t="s">
        <v>284</v>
      </c>
      <c r="T47" s="86" t="s">
        <v>285</v>
      </c>
      <c r="U47" s="86">
        <v>1</v>
      </c>
    </row>
    <row r="48" spans="1:21" ht="126.5" x14ac:dyDescent="0.35">
      <c r="A48" s="88" t="s">
        <v>192</v>
      </c>
      <c r="B48" s="88" t="s">
        <v>84</v>
      </c>
      <c r="C48" s="88" t="s">
        <v>84</v>
      </c>
      <c r="D48" s="88" t="s">
        <v>304</v>
      </c>
      <c r="E48" s="88" t="s">
        <v>227</v>
      </c>
      <c r="F48" s="88" t="s">
        <v>228</v>
      </c>
      <c r="G48" s="88" t="s">
        <v>305</v>
      </c>
      <c r="H48" s="89">
        <v>9</v>
      </c>
      <c r="I48" s="89">
        <v>18</v>
      </c>
      <c r="J48" s="89">
        <v>72</v>
      </c>
      <c r="K48" s="89">
        <v>93</v>
      </c>
      <c r="L48" s="89">
        <v>30</v>
      </c>
      <c r="M48" s="89">
        <v>9</v>
      </c>
      <c r="N48" s="89">
        <v>16</v>
      </c>
      <c r="O48" s="89">
        <v>23</v>
      </c>
      <c r="P48" s="89">
        <v>30</v>
      </c>
      <c r="Q48" s="89">
        <v>37</v>
      </c>
      <c r="R48" s="89">
        <v>44</v>
      </c>
      <c r="S48" s="88" t="s">
        <v>232</v>
      </c>
      <c r="T48" s="88" t="s">
        <v>233</v>
      </c>
      <c r="U48" s="88">
        <v>1</v>
      </c>
    </row>
    <row r="49" spans="1:21" ht="92" x14ac:dyDescent="0.35">
      <c r="A49" s="86" t="s">
        <v>193</v>
      </c>
      <c r="B49" s="86" t="s">
        <v>84</v>
      </c>
      <c r="C49" s="86" t="s">
        <v>84</v>
      </c>
      <c r="D49" s="86" t="s">
        <v>306</v>
      </c>
      <c r="E49" s="86" t="s">
        <v>307</v>
      </c>
      <c r="F49" s="86" t="s">
        <v>228</v>
      </c>
      <c r="G49" s="86" t="s">
        <v>308</v>
      </c>
      <c r="H49" s="87">
        <v>335</v>
      </c>
      <c r="I49" s="87">
        <v>346</v>
      </c>
      <c r="J49" s="87">
        <v>374</v>
      </c>
      <c r="K49" s="87">
        <v>273</v>
      </c>
      <c r="L49" s="87">
        <v>357</v>
      </c>
      <c r="M49" s="87">
        <v>335</v>
      </c>
      <c r="N49" s="87">
        <v>342.178414825196</v>
      </c>
      <c r="O49" s="87">
        <v>349.51064946950498</v>
      </c>
      <c r="P49" s="87">
        <v>357</v>
      </c>
      <c r="Q49" s="87">
        <v>364.64983311222397</v>
      </c>
      <c r="R49" s="87">
        <v>372.46358764362202</v>
      </c>
      <c r="S49" s="86" t="s">
        <v>284</v>
      </c>
      <c r="T49" s="86" t="s">
        <v>285</v>
      </c>
      <c r="U49" s="86">
        <v>1</v>
      </c>
    </row>
    <row r="50" spans="1:21" ht="34.5" x14ac:dyDescent="0.35">
      <c r="A50" s="88" t="s">
        <v>194</v>
      </c>
      <c r="B50" s="88" t="s">
        <v>85</v>
      </c>
      <c r="C50" s="88" t="s">
        <v>85</v>
      </c>
      <c r="D50" s="88" t="s">
        <v>309</v>
      </c>
      <c r="E50" s="88" t="s">
        <v>231</v>
      </c>
      <c r="F50" s="88" t="s">
        <v>228</v>
      </c>
      <c r="G50" s="88" t="s">
        <v>310</v>
      </c>
      <c r="H50" s="89">
        <v>4</v>
      </c>
      <c r="I50" s="89">
        <v>1</v>
      </c>
      <c r="J50" s="89">
        <v>5</v>
      </c>
      <c r="K50" s="89">
        <v>3</v>
      </c>
      <c r="L50" s="89">
        <v>3</v>
      </c>
      <c r="M50" s="89">
        <v>4</v>
      </c>
      <c r="N50" s="89">
        <v>3.6666666666666701</v>
      </c>
      <c r="O50" s="89">
        <v>3.3333333333333299</v>
      </c>
      <c r="P50" s="89">
        <v>3</v>
      </c>
      <c r="Q50" s="89">
        <v>3</v>
      </c>
      <c r="R50" s="89">
        <v>3</v>
      </c>
      <c r="S50" s="88" t="s">
        <v>311</v>
      </c>
      <c r="T50" s="88" t="s">
        <v>233</v>
      </c>
      <c r="U50" s="88">
        <v>1</v>
      </c>
    </row>
    <row r="51" spans="1:21" ht="46" x14ac:dyDescent="0.35">
      <c r="A51" s="86" t="s">
        <v>195</v>
      </c>
      <c r="B51" s="86" t="s">
        <v>85</v>
      </c>
      <c r="C51" s="86" t="s">
        <v>85</v>
      </c>
      <c r="D51" s="86" t="s">
        <v>312</v>
      </c>
      <c r="E51" s="86" t="s">
        <v>231</v>
      </c>
      <c r="F51" s="86" t="s">
        <v>228</v>
      </c>
      <c r="G51" s="86" t="s">
        <v>310</v>
      </c>
      <c r="H51" s="87">
        <v>4</v>
      </c>
      <c r="I51" s="87">
        <v>2</v>
      </c>
      <c r="J51" s="87">
        <v>5</v>
      </c>
      <c r="K51" s="87">
        <v>5</v>
      </c>
      <c r="L51" s="87">
        <v>6</v>
      </c>
      <c r="M51" s="87">
        <v>4</v>
      </c>
      <c r="N51" s="87">
        <v>4.6666666666666696</v>
      </c>
      <c r="O51" s="87">
        <v>5.3333333333333304</v>
      </c>
      <c r="P51" s="87">
        <v>6</v>
      </c>
      <c r="Q51" s="87">
        <v>5.3</v>
      </c>
      <c r="R51" s="87">
        <v>4.5999999999999996</v>
      </c>
      <c r="S51" s="86" t="s">
        <v>311</v>
      </c>
      <c r="T51" s="86" t="s">
        <v>233</v>
      </c>
      <c r="U51" s="86">
        <v>1</v>
      </c>
    </row>
    <row r="52" spans="1:21" ht="34.5" x14ac:dyDescent="0.35">
      <c r="A52" s="88" t="s">
        <v>196</v>
      </c>
      <c r="B52" s="88" t="s">
        <v>85</v>
      </c>
      <c r="C52" s="88" t="s">
        <v>85</v>
      </c>
      <c r="D52" s="88" t="s">
        <v>313</v>
      </c>
      <c r="E52" s="88" t="s">
        <v>231</v>
      </c>
      <c r="F52" s="91" t="s">
        <v>238</v>
      </c>
      <c r="G52" s="88" t="s">
        <v>314</v>
      </c>
      <c r="H52" s="89">
        <v>14</v>
      </c>
      <c r="I52" s="89">
        <v>20</v>
      </c>
      <c r="J52" s="89">
        <v>28</v>
      </c>
      <c r="K52" s="89">
        <v>16</v>
      </c>
      <c r="L52" s="89">
        <v>18</v>
      </c>
      <c r="M52" s="89">
        <v>14</v>
      </c>
      <c r="N52" s="89">
        <v>15.3333333333333</v>
      </c>
      <c r="O52" s="89">
        <v>16.6666666666667</v>
      </c>
      <c r="P52" s="89">
        <v>18</v>
      </c>
      <c r="Q52" s="89">
        <v>18</v>
      </c>
      <c r="R52" s="89">
        <v>18</v>
      </c>
      <c r="S52" s="88" t="s">
        <v>253</v>
      </c>
      <c r="T52" s="88" t="s">
        <v>233</v>
      </c>
      <c r="U52" s="88">
        <v>1</v>
      </c>
    </row>
    <row r="53" spans="1:21" ht="46" x14ac:dyDescent="0.35">
      <c r="A53" s="86" t="s">
        <v>197</v>
      </c>
      <c r="B53" s="86" t="s">
        <v>85</v>
      </c>
      <c r="C53" s="86" t="s">
        <v>85</v>
      </c>
      <c r="D53" s="86" t="s">
        <v>315</v>
      </c>
      <c r="E53" s="86" t="s">
        <v>227</v>
      </c>
      <c r="F53" s="86" t="s">
        <v>228</v>
      </c>
      <c r="G53" s="86" t="s">
        <v>316</v>
      </c>
      <c r="H53" s="87">
        <v>193078</v>
      </c>
      <c r="I53" s="87">
        <v>191800</v>
      </c>
      <c r="J53" s="87">
        <v>225157</v>
      </c>
      <c r="K53" s="87">
        <v>220509</v>
      </c>
      <c r="L53" s="87"/>
      <c r="M53" s="87"/>
      <c r="N53" s="87"/>
      <c r="O53" s="87"/>
      <c r="P53" s="87"/>
      <c r="Q53" s="87"/>
      <c r="R53" s="87"/>
      <c r="S53" s="86"/>
      <c r="T53" s="86"/>
      <c r="U53" s="86">
        <v>1</v>
      </c>
    </row>
    <row r="54" spans="1:21" ht="46" x14ac:dyDescent="0.35">
      <c r="A54" s="88" t="s">
        <v>198</v>
      </c>
      <c r="B54" s="88" t="s">
        <v>85</v>
      </c>
      <c r="C54" s="88" t="s">
        <v>85</v>
      </c>
      <c r="D54" s="88" t="s">
        <v>317</v>
      </c>
      <c r="E54" s="88" t="s">
        <v>227</v>
      </c>
      <c r="F54" s="88" t="s">
        <v>228</v>
      </c>
      <c r="G54" s="88" t="s">
        <v>316</v>
      </c>
      <c r="H54" s="89">
        <v>176966</v>
      </c>
      <c r="I54" s="89">
        <v>182541</v>
      </c>
      <c r="J54" s="89">
        <v>218669</v>
      </c>
      <c r="K54" s="89">
        <v>214264</v>
      </c>
      <c r="L54" s="89"/>
      <c r="M54" s="89"/>
      <c r="N54" s="89"/>
      <c r="O54" s="89"/>
      <c r="P54" s="89"/>
      <c r="Q54" s="89"/>
      <c r="R54" s="89"/>
      <c r="S54" s="88"/>
      <c r="T54" s="88"/>
      <c r="U54" s="88">
        <v>1</v>
      </c>
    </row>
    <row r="55" spans="1:21" ht="34.5" x14ac:dyDescent="0.35">
      <c r="A55" s="86" t="s">
        <v>199</v>
      </c>
      <c r="B55" s="86" t="s">
        <v>85</v>
      </c>
      <c r="C55" s="86" t="s">
        <v>85</v>
      </c>
      <c r="D55" s="86" t="s">
        <v>318</v>
      </c>
      <c r="E55" s="86" t="s">
        <v>231</v>
      </c>
      <c r="F55" s="90" t="s">
        <v>238</v>
      </c>
      <c r="G55" s="86" t="s">
        <v>314</v>
      </c>
      <c r="H55" s="87">
        <v>30</v>
      </c>
      <c r="I55" s="87">
        <v>30</v>
      </c>
      <c r="J55" s="87">
        <v>30</v>
      </c>
      <c r="K55" s="87">
        <v>26.9</v>
      </c>
      <c r="L55" s="87">
        <v>25</v>
      </c>
      <c r="M55" s="87">
        <v>30</v>
      </c>
      <c r="N55" s="87">
        <v>28.3333333333333</v>
      </c>
      <c r="O55" s="87">
        <v>26.6666666666667</v>
      </c>
      <c r="P55" s="87">
        <v>25</v>
      </c>
      <c r="Q55" s="87">
        <v>25</v>
      </c>
      <c r="R55" s="87">
        <v>25</v>
      </c>
      <c r="S55" s="86" t="s">
        <v>319</v>
      </c>
      <c r="T55" s="86" t="s">
        <v>233</v>
      </c>
      <c r="U55" s="86">
        <v>1</v>
      </c>
    </row>
    <row r="57" spans="1:21" ht="15" customHeight="1" x14ac:dyDescent="0.35">
      <c r="D57" s="125" t="s">
        <v>320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</row>
    <row r="58" spans="1:21" x14ac:dyDescent="0.35"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</row>
  </sheetData>
  <mergeCells count="3">
    <mergeCell ref="A1:U1"/>
    <mergeCell ref="A2:U2"/>
    <mergeCell ref="D57:R5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98781"/>
  </sheetPr>
  <dimension ref="A1:H66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3" customWidth="1"/>
    <col min="2" max="2" width="30" customWidth="1"/>
    <col min="3" max="8" width="17" customWidth="1"/>
  </cols>
  <sheetData>
    <row r="1" spans="1:8" ht="30" customHeight="1" x14ac:dyDescent="0.35">
      <c r="A1" s="123" t="s">
        <v>321</v>
      </c>
      <c r="B1" s="123"/>
      <c r="C1" s="123"/>
      <c r="D1" s="123"/>
      <c r="E1" s="123"/>
      <c r="F1" s="123"/>
      <c r="G1" s="123"/>
      <c r="H1" s="123"/>
    </row>
    <row r="2" spans="1:8" ht="15.75" customHeight="1" x14ac:dyDescent="0.35">
      <c r="A2" s="98" t="s">
        <v>322</v>
      </c>
      <c r="B2" s="98"/>
      <c r="C2" s="98"/>
      <c r="D2" s="98"/>
      <c r="E2" s="98"/>
      <c r="F2" s="98"/>
      <c r="G2" s="98"/>
      <c r="H2" s="98"/>
    </row>
    <row r="6" spans="1:8" ht="21.75" customHeight="1" x14ac:dyDescent="0.35">
      <c r="B6" s="126" t="s">
        <v>323</v>
      </c>
      <c r="C6" s="126"/>
      <c r="D6" s="126"/>
      <c r="E6" s="126"/>
      <c r="F6" s="126"/>
      <c r="G6" s="126"/>
      <c r="H6" s="126"/>
    </row>
    <row r="7" spans="1:8" ht="15" customHeight="1" x14ac:dyDescent="0.35">
      <c r="B7" s="127" t="s">
        <v>324</v>
      </c>
      <c r="C7" s="127"/>
      <c r="D7" s="127"/>
      <c r="E7" s="127"/>
      <c r="F7" s="127"/>
      <c r="G7" s="127"/>
      <c r="H7" s="127"/>
    </row>
    <row r="8" spans="1:8" x14ac:dyDescent="0.35">
      <c r="B8" s="127"/>
      <c r="C8" s="127"/>
      <c r="D8" s="127"/>
      <c r="E8" s="127"/>
      <c r="F8" s="127"/>
      <c r="G8" s="127"/>
      <c r="H8" s="127"/>
    </row>
    <row r="9" spans="1:8" x14ac:dyDescent="0.35">
      <c r="B9" s="127"/>
      <c r="C9" s="127"/>
      <c r="D9" s="127"/>
      <c r="E9" s="127"/>
      <c r="F9" s="127"/>
      <c r="G9" s="127"/>
      <c r="H9" s="127"/>
    </row>
    <row r="11" spans="1:8" ht="21.75" customHeight="1" x14ac:dyDescent="0.35">
      <c r="B11" s="126" t="s">
        <v>325</v>
      </c>
      <c r="C11" s="126"/>
      <c r="D11" s="126"/>
      <c r="E11" s="126"/>
      <c r="F11" s="126"/>
      <c r="G11" s="126"/>
      <c r="H11" s="126"/>
    </row>
    <row r="12" spans="1:8" ht="15" customHeight="1" x14ac:dyDescent="0.35">
      <c r="B12" s="92" t="s">
        <v>326</v>
      </c>
      <c r="C12" s="127" t="s">
        <v>327</v>
      </c>
      <c r="D12" s="127"/>
      <c r="E12" s="127"/>
      <c r="F12" s="127"/>
      <c r="G12" s="127"/>
      <c r="H12" s="127"/>
    </row>
    <row r="13" spans="1:8" ht="15" customHeight="1" x14ac:dyDescent="0.35">
      <c r="B13" s="128" t="s">
        <v>328</v>
      </c>
      <c r="C13" s="127" t="s">
        <v>329</v>
      </c>
      <c r="D13" s="127"/>
      <c r="E13" s="127"/>
      <c r="F13" s="127"/>
      <c r="G13" s="127"/>
      <c r="H13" s="127"/>
    </row>
    <row r="14" spans="1:8" x14ac:dyDescent="0.35">
      <c r="B14" s="128"/>
      <c r="C14" s="128"/>
      <c r="D14" s="127"/>
      <c r="E14" s="127"/>
      <c r="F14" s="127"/>
      <c r="G14" s="127"/>
      <c r="H14" s="127"/>
    </row>
    <row r="15" spans="1:8" ht="15" customHeight="1" x14ac:dyDescent="0.35">
      <c r="B15" s="128" t="s">
        <v>330</v>
      </c>
      <c r="C15" s="127" t="s">
        <v>331</v>
      </c>
      <c r="D15" s="127"/>
      <c r="E15" s="127"/>
      <c r="F15" s="127"/>
      <c r="G15" s="127"/>
      <c r="H15" s="127"/>
    </row>
    <row r="16" spans="1:8" x14ac:dyDescent="0.35">
      <c r="B16" s="128"/>
      <c r="C16" s="128"/>
      <c r="D16" s="127"/>
      <c r="E16" s="127"/>
      <c r="F16" s="127"/>
      <c r="G16" s="127"/>
      <c r="H16" s="127"/>
    </row>
    <row r="17" spans="2:8" x14ac:dyDescent="0.35">
      <c r="B17" s="128"/>
      <c r="C17" s="128"/>
      <c r="D17" s="127"/>
      <c r="E17" s="127"/>
      <c r="F17" s="127"/>
      <c r="G17" s="127"/>
      <c r="H17" s="127"/>
    </row>
    <row r="18" spans="2:8" ht="15" customHeight="1" x14ac:dyDescent="0.35">
      <c r="B18" s="128" t="s">
        <v>332</v>
      </c>
      <c r="C18" s="127" t="s">
        <v>333</v>
      </c>
      <c r="D18" s="127"/>
      <c r="E18" s="127"/>
      <c r="F18" s="127"/>
      <c r="G18" s="127"/>
      <c r="H18" s="127"/>
    </row>
    <row r="19" spans="2:8" x14ac:dyDescent="0.35">
      <c r="B19" s="128"/>
      <c r="C19" s="128"/>
      <c r="D19" s="127"/>
      <c r="E19" s="127"/>
      <c r="F19" s="127"/>
      <c r="G19" s="127"/>
      <c r="H19" s="127"/>
    </row>
    <row r="21" spans="2:8" ht="21.75" customHeight="1" x14ac:dyDescent="0.35">
      <c r="B21" s="126" t="s">
        <v>334</v>
      </c>
      <c r="C21" s="126"/>
      <c r="D21" s="126"/>
      <c r="E21" s="126"/>
      <c r="F21" s="126"/>
      <c r="G21" s="126"/>
      <c r="H21" s="126"/>
    </row>
    <row r="22" spans="2:8" ht="15" customHeight="1" x14ac:dyDescent="0.35">
      <c r="B22" s="92" t="s">
        <v>326</v>
      </c>
      <c r="C22" s="127" t="s">
        <v>335</v>
      </c>
      <c r="D22" s="127"/>
      <c r="E22" s="127"/>
      <c r="F22" s="127"/>
      <c r="G22" s="127"/>
      <c r="H22" s="127"/>
    </row>
    <row r="23" spans="2:8" ht="15" customHeight="1" x14ac:dyDescent="0.35">
      <c r="B23" s="128" t="s">
        <v>336</v>
      </c>
      <c r="C23" s="127" t="s">
        <v>337</v>
      </c>
      <c r="D23" s="127"/>
      <c r="E23" s="127"/>
      <c r="F23" s="127"/>
      <c r="G23" s="127"/>
      <c r="H23" s="127"/>
    </row>
    <row r="24" spans="2:8" x14ac:dyDescent="0.35">
      <c r="B24" s="128"/>
      <c r="C24" s="128"/>
      <c r="D24" s="127"/>
      <c r="E24" s="127"/>
      <c r="F24" s="127"/>
      <c r="G24" s="127"/>
      <c r="H24" s="127"/>
    </row>
    <row r="25" spans="2:8" ht="15" customHeight="1" x14ac:dyDescent="0.35">
      <c r="B25" s="128" t="s">
        <v>330</v>
      </c>
      <c r="C25" s="127" t="s">
        <v>338</v>
      </c>
      <c r="D25" s="127"/>
      <c r="E25" s="127"/>
      <c r="F25" s="127"/>
      <c r="G25" s="127"/>
      <c r="H25" s="127"/>
    </row>
    <row r="26" spans="2:8" x14ac:dyDescent="0.35">
      <c r="B26" s="128"/>
      <c r="C26" s="128"/>
      <c r="D26" s="127"/>
      <c r="E26" s="127"/>
      <c r="F26" s="127"/>
      <c r="G26" s="127"/>
      <c r="H26" s="127"/>
    </row>
    <row r="27" spans="2:8" ht="23.9" customHeight="1" x14ac:dyDescent="0.35">
      <c r="B27" s="92" t="s">
        <v>339</v>
      </c>
      <c r="C27" s="127" t="s">
        <v>340</v>
      </c>
      <c r="D27" s="127"/>
      <c r="E27" s="127"/>
      <c r="F27" s="127"/>
      <c r="G27" s="127"/>
      <c r="H27" s="127"/>
    </row>
    <row r="29" spans="2:8" ht="21.75" customHeight="1" x14ac:dyDescent="0.35">
      <c r="B29" s="126" t="s">
        <v>341</v>
      </c>
      <c r="C29" s="126"/>
      <c r="D29" s="126"/>
      <c r="E29" s="126"/>
      <c r="F29" s="126"/>
      <c r="G29" s="126"/>
      <c r="H29" s="126"/>
    </row>
    <row r="30" spans="2:8" ht="15" customHeight="1" x14ac:dyDescent="0.35">
      <c r="B30" s="128" t="s">
        <v>225</v>
      </c>
      <c r="C30" s="127" t="s">
        <v>342</v>
      </c>
      <c r="D30" s="127"/>
      <c r="E30" s="127"/>
      <c r="F30" s="127"/>
      <c r="G30" s="127"/>
      <c r="H30" s="127"/>
    </row>
    <row r="31" spans="2:8" x14ac:dyDescent="0.35">
      <c r="B31" s="128"/>
      <c r="C31" s="128"/>
      <c r="D31" s="127"/>
      <c r="E31" s="127"/>
      <c r="F31" s="127"/>
      <c r="G31" s="127"/>
      <c r="H31" s="127"/>
    </row>
    <row r="32" spans="2:8" ht="15" customHeight="1" x14ac:dyDescent="0.35">
      <c r="B32" s="128" t="s">
        <v>137</v>
      </c>
      <c r="C32" s="127" t="s">
        <v>343</v>
      </c>
      <c r="D32" s="127"/>
      <c r="E32" s="127"/>
      <c r="F32" s="127"/>
      <c r="G32" s="127"/>
      <c r="H32" s="127"/>
    </row>
    <row r="33" spans="2:8" x14ac:dyDescent="0.35">
      <c r="B33" s="128"/>
      <c r="C33" s="128"/>
      <c r="D33" s="127"/>
      <c r="E33" s="127"/>
      <c r="F33" s="127"/>
      <c r="G33" s="127"/>
      <c r="H33" s="127"/>
    </row>
    <row r="34" spans="2:8" x14ac:dyDescent="0.35">
      <c r="B34" s="128"/>
      <c r="C34" s="128"/>
      <c r="D34" s="127"/>
      <c r="E34" s="127"/>
      <c r="F34" s="127"/>
      <c r="G34" s="127"/>
      <c r="H34" s="127"/>
    </row>
    <row r="36" spans="2:8" ht="21.75" customHeight="1" x14ac:dyDescent="0.35">
      <c r="B36" s="126" t="s">
        <v>344</v>
      </c>
      <c r="C36" s="126"/>
      <c r="D36" s="126"/>
      <c r="E36" s="126"/>
      <c r="F36" s="126"/>
      <c r="G36" s="126"/>
      <c r="H36" s="126"/>
    </row>
    <row r="37" spans="2:8" ht="23.9" customHeight="1" x14ac:dyDescent="0.35">
      <c r="B37" s="92" t="s">
        <v>345</v>
      </c>
      <c r="C37" s="127" t="s">
        <v>346</v>
      </c>
      <c r="D37" s="127"/>
      <c r="E37" s="127"/>
      <c r="F37" s="127"/>
      <c r="G37" s="127"/>
      <c r="H37" s="127"/>
    </row>
    <row r="38" spans="2:8" ht="15" customHeight="1" x14ac:dyDescent="0.35">
      <c r="B38" s="128" t="s">
        <v>347</v>
      </c>
      <c r="C38" s="127" t="s">
        <v>348</v>
      </c>
      <c r="D38" s="127"/>
      <c r="E38" s="127"/>
      <c r="F38" s="127"/>
      <c r="G38" s="127"/>
      <c r="H38" s="127"/>
    </row>
    <row r="39" spans="2:8" x14ac:dyDescent="0.35">
      <c r="B39" s="128"/>
      <c r="C39" s="128"/>
      <c r="D39" s="127"/>
      <c r="E39" s="127"/>
      <c r="F39" s="127"/>
      <c r="G39" s="127"/>
      <c r="H39" s="127"/>
    </row>
    <row r="40" spans="2:8" x14ac:dyDescent="0.35">
      <c r="B40" s="128"/>
      <c r="C40" s="128"/>
      <c r="D40" s="127"/>
      <c r="E40" s="127"/>
      <c r="F40" s="127"/>
      <c r="G40" s="127"/>
      <c r="H40" s="127"/>
    </row>
    <row r="42" spans="2:8" ht="21.75" customHeight="1" x14ac:dyDescent="0.35">
      <c r="B42" s="126" t="s">
        <v>349</v>
      </c>
      <c r="C42" s="126"/>
      <c r="D42" s="126"/>
      <c r="E42" s="126"/>
      <c r="F42" s="126"/>
      <c r="G42" s="126"/>
      <c r="H42" s="126"/>
    </row>
    <row r="43" spans="2:8" ht="15" customHeight="1" x14ac:dyDescent="0.35">
      <c r="B43" s="93" t="s">
        <v>350</v>
      </c>
      <c r="C43" s="129" t="s">
        <v>351</v>
      </c>
      <c r="D43" s="129"/>
      <c r="E43" s="129"/>
      <c r="F43" s="129"/>
      <c r="G43" s="129"/>
      <c r="H43" s="129"/>
    </row>
    <row r="44" spans="2:8" ht="15" customHeight="1" x14ac:dyDescent="0.35">
      <c r="B44" s="93" t="s">
        <v>352</v>
      </c>
      <c r="C44" s="129" t="s">
        <v>353</v>
      </c>
      <c r="D44" s="129"/>
      <c r="E44" s="129"/>
      <c r="F44" s="129"/>
      <c r="G44" s="129"/>
      <c r="H44" s="129"/>
    </row>
    <row r="45" spans="2:8" ht="15" customHeight="1" x14ac:dyDescent="0.35">
      <c r="B45" s="93" t="s">
        <v>354</v>
      </c>
      <c r="C45" s="129" t="s">
        <v>355</v>
      </c>
      <c r="D45" s="129"/>
      <c r="E45" s="129"/>
      <c r="F45" s="129"/>
      <c r="G45" s="129"/>
      <c r="H45" s="129"/>
    </row>
    <row r="46" spans="2:8" ht="15" customHeight="1" x14ac:dyDescent="0.35">
      <c r="B46" s="93" t="s">
        <v>356</v>
      </c>
      <c r="C46" s="129" t="s">
        <v>357</v>
      </c>
      <c r="D46" s="129"/>
      <c r="E46" s="129"/>
      <c r="F46" s="129"/>
      <c r="G46" s="129"/>
      <c r="H46" s="129"/>
    </row>
    <row r="47" spans="2:8" ht="15" customHeight="1" x14ac:dyDescent="0.35">
      <c r="B47" s="93" t="s">
        <v>358</v>
      </c>
      <c r="C47" s="129" t="s">
        <v>359</v>
      </c>
      <c r="D47" s="129"/>
      <c r="E47" s="129"/>
      <c r="F47" s="129"/>
      <c r="G47" s="129"/>
      <c r="H47" s="129"/>
    </row>
    <row r="48" spans="2:8" ht="15" customHeight="1" x14ac:dyDescent="0.35">
      <c r="B48" s="93" t="s">
        <v>360</v>
      </c>
      <c r="C48" s="129" t="s">
        <v>361</v>
      </c>
      <c r="D48" s="129"/>
      <c r="E48" s="129"/>
      <c r="F48" s="129"/>
      <c r="G48" s="129"/>
      <c r="H48" s="129"/>
    </row>
    <row r="49" spans="2:8" ht="15" customHeight="1" x14ac:dyDescent="0.35">
      <c r="B49" s="93" t="s">
        <v>362</v>
      </c>
      <c r="C49" s="129" t="s">
        <v>363</v>
      </c>
      <c r="D49" s="129"/>
      <c r="E49" s="129"/>
      <c r="F49" s="129"/>
      <c r="G49" s="129"/>
      <c r="H49" s="129"/>
    </row>
    <row r="50" spans="2:8" ht="15" customHeight="1" x14ac:dyDescent="0.35">
      <c r="B50" s="93" t="s">
        <v>364</v>
      </c>
      <c r="C50" s="129" t="s">
        <v>365</v>
      </c>
      <c r="D50" s="129"/>
      <c r="E50" s="129"/>
      <c r="F50" s="129"/>
      <c r="G50" s="129"/>
      <c r="H50" s="129"/>
    </row>
    <row r="51" spans="2:8" ht="15" customHeight="1" x14ac:dyDescent="0.35">
      <c r="B51" s="93" t="s">
        <v>366</v>
      </c>
      <c r="C51" s="129" t="s">
        <v>367</v>
      </c>
      <c r="D51" s="129"/>
      <c r="E51" s="129"/>
      <c r="F51" s="129"/>
      <c r="G51" s="129"/>
      <c r="H51" s="129"/>
    </row>
    <row r="52" spans="2:8" ht="15" customHeight="1" x14ac:dyDescent="0.35">
      <c r="B52" s="93" t="s">
        <v>368</v>
      </c>
      <c r="C52" s="129" t="s">
        <v>369</v>
      </c>
      <c r="D52" s="129"/>
      <c r="E52" s="129"/>
      <c r="F52" s="129"/>
      <c r="G52" s="129"/>
      <c r="H52" s="129"/>
    </row>
    <row r="54" spans="2:8" ht="21.75" customHeight="1" x14ac:dyDescent="0.35">
      <c r="B54" s="126" t="s">
        <v>370</v>
      </c>
      <c r="C54" s="126"/>
      <c r="D54" s="126"/>
      <c r="E54" s="126"/>
      <c r="F54" s="126"/>
      <c r="G54" s="126"/>
      <c r="H54" s="126"/>
    </row>
    <row r="55" spans="2:8" ht="15" customHeight="1" x14ac:dyDescent="0.35">
      <c r="B55" s="127" t="s">
        <v>371</v>
      </c>
      <c r="C55" s="127"/>
      <c r="D55" s="127"/>
      <c r="E55" s="127"/>
      <c r="F55" s="127"/>
      <c r="G55" s="127"/>
      <c r="H55" s="127"/>
    </row>
    <row r="56" spans="2:8" x14ac:dyDescent="0.35">
      <c r="B56" s="127"/>
      <c r="C56" s="127"/>
      <c r="D56" s="127"/>
      <c r="E56" s="127"/>
      <c r="F56" s="127"/>
      <c r="G56" s="127"/>
      <c r="H56" s="127"/>
    </row>
    <row r="57" spans="2:8" x14ac:dyDescent="0.35">
      <c r="B57" s="127"/>
      <c r="C57" s="127"/>
      <c r="D57" s="127"/>
      <c r="E57" s="127"/>
      <c r="F57" s="127"/>
      <c r="G57" s="127"/>
      <c r="H57" s="127"/>
    </row>
    <row r="58" spans="2:8" x14ac:dyDescent="0.35">
      <c r="B58" s="127"/>
      <c r="C58" s="127"/>
      <c r="D58" s="127"/>
      <c r="E58" s="127"/>
      <c r="F58" s="127"/>
      <c r="G58" s="127"/>
      <c r="H58" s="127"/>
    </row>
    <row r="59" spans="2:8" x14ac:dyDescent="0.35">
      <c r="B59" s="127"/>
      <c r="C59" s="127"/>
      <c r="D59" s="127"/>
      <c r="E59" s="127"/>
      <c r="F59" s="127"/>
      <c r="G59" s="127"/>
      <c r="H59" s="127"/>
    </row>
    <row r="61" spans="2:8" ht="21.75" customHeight="1" x14ac:dyDescent="0.35">
      <c r="B61" s="126" t="s">
        <v>372</v>
      </c>
      <c r="C61" s="126"/>
      <c r="D61" s="126"/>
      <c r="E61" s="126"/>
      <c r="F61" s="126"/>
      <c r="G61" s="126"/>
      <c r="H61" s="126"/>
    </row>
    <row r="62" spans="2:8" ht="15" customHeight="1" x14ac:dyDescent="0.35">
      <c r="B62" s="127" t="s">
        <v>373</v>
      </c>
      <c r="C62" s="127"/>
      <c r="D62" s="127"/>
      <c r="E62" s="127"/>
      <c r="F62" s="127"/>
      <c r="G62" s="127"/>
      <c r="H62" s="127"/>
    </row>
    <row r="63" spans="2:8" ht="15" customHeight="1" x14ac:dyDescent="0.35">
      <c r="B63" s="127" t="s">
        <v>374</v>
      </c>
      <c r="C63" s="127"/>
      <c r="D63" s="127"/>
      <c r="E63" s="127"/>
      <c r="F63" s="127"/>
      <c r="G63" s="127"/>
      <c r="H63" s="127"/>
    </row>
    <row r="64" spans="2:8" x14ac:dyDescent="0.35">
      <c r="B64" s="127"/>
      <c r="C64" s="127"/>
      <c r="D64" s="127"/>
      <c r="E64" s="127"/>
      <c r="F64" s="127"/>
      <c r="G64" s="127"/>
      <c r="H64" s="127"/>
    </row>
    <row r="65" spans="2:8" ht="15" customHeight="1" x14ac:dyDescent="0.35">
      <c r="B65" s="127" t="s">
        <v>375</v>
      </c>
      <c r="C65" s="127"/>
      <c r="D65" s="127"/>
      <c r="E65" s="127"/>
      <c r="F65" s="127"/>
      <c r="G65" s="127"/>
      <c r="H65" s="127"/>
    </row>
    <row r="66" spans="2:8" x14ac:dyDescent="0.35">
      <c r="B66" s="127"/>
      <c r="C66" s="127"/>
      <c r="D66" s="127"/>
      <c r="E66" s="127"/>
      <c r="F66" s="127"/>
      <c r="G66" s="127"/>
      <c r="H66" s="127"/>
    </row>
  </sheetData>
  <mergeCells count="45">
    <mergeCell ref="B63:H64"/>
    <mergeCell ref="B65:H66"/>
    <mergeCell ref="C52:H52"/>
    <mergeCell ref="B54:H54"/>
    <mergeCell ref="B55:H59"/>
    <mergeCell ref="B61:H61"/>
    <mergeCell ref="B62:H62"/>
    <mergeCell ref="C47:H47"/>
    <mergeCell ref="C48:H48"/>
    <mergeCell ref="C49:H49"/>
    <mergeCell ref="C50:H50"/>
    <mergeCell ref="C51:H51"/>
    <mergeCell ref="B42:H42"/>
    <mergeCell ref="C43:H43"/>
    <mergeCell ref="C44:H44"/>
    <mergeCell ref="C45:H45"/>
    <mergeCell ref="C46:H46"/>
    <mergeCell ref="B32:B34"/>
    <mergeCell ref="C32:H34"/>
    <mergeCell ref="B36:H36"/>
    <mergeCell ref="C37:H37"/>
    <mergeCell ref="B38:B40"/>
    <mergeCell ref="C38:H40"/>
    <mergeCell ref="B25:B26"/>
    <mergeCell ref="C25:H26"/>
    <mergeCell ref="C27:H27"/>
    <mergeCell ref="B29:H29"/>
    <mergeCell ref="B30:B31"/>
    <mergeCell ref="C30:H31"/>
    <mergeCell ref="B18:B19"/>
    <mergeCell ref="C18:H19"/>
    <mergeCell ref="B21:H21"/>
    <mergeCell ref="C22:H22"/>
    <mergeCell ref="B23:B24"/>
    <mergeCell ref="C23:H24"/>
    <mergeCell ref="C12:H12"/>
    <mergeCell ref="B13:B14"/>
    <mergeCell ref="C13:H14"/>
    <mergeCell ref="B15:B17"/>
    <mergeCell ref="C15:H17"/>
    <mergeCell ref="A1:H1"/>
    <mergeCell ref="A2:H2"/>
    <mergeCell ref="B6:H6"/>
    <mergeCell ref="B7:H9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2</vt:i4>
      </vt:variant>
    </vt:vector>
  </HeadingPairs>
  <TitlesOfParts>
    <vt:vector size="8" baseType="lpstr">
      <vt:lpstr>Início</vt:lpstr>
      <vt:lpstr>Painel</vt:lpstr>
      <vt:lpstr>ICD</vt:lpstr>
      <vt:lpstr>ICE</vt:lpstr>
      <vt:lpstr>Dados</vt:lpstr>
      <vt:lpstr>Metodologia</vt:lpstr>
      <vt:lpstr>Início!Área_de_Impressão</vt:lpstr>
      <vt:lpstr>Painel!Área_de_Impressão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DMS</dc:creator>
  <dc:description/>
  <cp:lastModifiedBy>DMS</cp:lastModifiedBy>
  <cp:revision>1</cp:revision>
  <dcterms:created xsi:type="dcterms:W3CDTF">2026-07-19T23:25:32Z</dcterms:created>
  <dcterms:modified xsi:type="dcterms:W3CDTF">2026-07-19T23:28:48Z</dcterms:modified>
  <dc:language>en-US</dc:language>
</cp:coreProperties>
</file>