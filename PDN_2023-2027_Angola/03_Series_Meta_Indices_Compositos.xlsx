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etodologia" sheetId="1" state="visible" r:id="rId1"/>
    <sheet xmlns:r="http://schemas.openxmlformats.org/officeDocument/2006/relationships" name="01_Series_Meta" sheetId="2" state="visible" r:id="rId2"/>
    <sheet xmlns:r="http://schemas.openxmlformats.org/officeDocument/2006/relationships" name="02_Metas_Anuais" sheetId="3" state="visible" r:id="rId3"/>
    <sheet xmlns:r="http://schemas.openxmlformats.org/officeDocument/2006/relationships" name="03_Indice_Execucao" sheetId="4" state="visible" r:id="rId4"/>
    <sheet xmlns:r="http://schemas.openxmlformats.org/officeDocument/2006/relationships" name="04_Indice_Percentual" sheetId="5" state="visible" r:id="rId5"/>
    <sheet xmlns:r="http://schemas.openxmlformats.org/officeDocument/2006/relationships" name="05_Metas_PDN_Trajectorias" sheetId="6" state="visible" r:id="rId6"/>
    <sheet xmlns:r="http://schemas.openxmlformats.org/officeDocument/2006/relationships" name="06_Resu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3" fontId="0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Índice compósito de execução do PDN (2022=100)</a:t>
            </a:r>
          </a:p>
        </rich>
      </tx>
    </title>
    <plotArea>
      <lineChart>
        <grouping val="standard"/>
        <ser>
          <idx val="0"/>
          <order val="0"/>
          <tx>
            <strRef>
              <f>'06_Resumo'!B4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'06_Resumo'!$A$5:$A$8</f>
            </numRef>
          </cat>
          <val>
            <numRef>
              <f>'06_Resumo'!$B$5:$B$8</f>
            </numRef>
          </val>
        </ser>
        <ser>
          <idx val="1"/>
          <order val="1"/>
          <tx>
            <strRef>
              <f>'06_Resumo'!C4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'06_Resumo'!$A$5:$A$8</f>
            </numRef>
          </cat>
          <val>
            <numRef>
              <f>'06_Resumo'!$C$5:$C$8</f>
            </numRef>
          </val>
        </ser>
        <ser>
          <idx val="2"/>
          <order val="2"/>
          <tx>
            <strRef>
              <f>'06_Resumo'!D4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'06_Resumo'!$A$5:$A$8</f>
            </numRef>
          </cat>
          <val>
            <numRef>
              <f>'06_Resumo'!$D$5:$D$8</f>
            </numRef>
          </val>
        </ser>
        <ser>
          <idx val="3"/>
          <order val="3"/>
          <tx>
            <strRef>
              <f>'06_Resumo'!E4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'06_Resumo'!$A$5:$A$8</f>
            </numRef>
          </cat>
          <val>
            <numRef>
              <f>'06_Resumo'!$E$5:$E$8</f>
            </numRef>
          </val>
        </ser>
        <ser>
          <idx val="4"/>
          <order val="4"/>
          <tx>
            <strRef>
              <f>'06_Resumo'!F4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'06_Resumo'!$A$5:$A$8</f>
            </numRef>
          </cat>
          <val>
            <numRef>
              <f>'06_Resumo'!$F$5:$F$8</f>
            </numRef>
          </val>
        </ser>
        <ser>
          <idx val="5"/>
          <order val="5"/>
          <tx>
            <strRef>
              <f>'06_Resumo'!G4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'06_Resumo'!$A$5:$A$8</f>
            </numRef>
          </cat>
          <val>
            <numRef>
              <f>'06_Resumo'!$G$5:$G$8</f>
            </numRef>
          </val>
        </ser>
        <ser>
          <idx val="6"/>
          <order val="6"/>
          <tx>
            <strRef>
              <f>'06_Resumo'!H4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'06_Resumo'!$A$5:$A$8</f>
            </numRef>
          </cat>
          <val>
            <numRef>
              <f>'06_Resumo'!$H$5:$H$8</f>
            </numRef>
          </val>
        </ser>
        <ser>
          <idx val="7"/>
          <order val="7"/>
          <tx>
            <strRef>
              <f>'06_Resumo'!I4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'06_Resumo'!$A$5:$A$8</f>
            </numRef>
          </cat>
          <val>
            <numRef>
              <f>'06_Resumo'!$I$5:$I$8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Índice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Índice de execução percentual do PDN (% da meta, tecto 100)</a:t>
            </a:r>
          </a:p>
        </rich>
      </tx>
    </title>
    <plotArea>
      <lineChart>
        <grouping val="standard"/>
        <ser>
          <idx val="0"/>
          <order val="0"/>
          <tx>
            <strRef>
              <f>'06_Resumo'!B12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'06_Resumo'!$A$13:$A$15</f>
            </numRef>
          </cat>
          <val>
            <numRef>
              <f>'06_Resumo'!$B$13:$B$15</f>
            </numRef>
          </val>
        </ser>
        <ser>
          <idx val="1"/>
          <order val="1"/>
          <tx>
            <strRef>
              <f>'06_Resumo'!C12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'06_Resumo'!$A$13:$A$15</f>
            </numRef>
          </cat>
          <val>
            <numRef>
              <f>'06_Resumo'!$C$13:$C$15</f>
            </numRef>
          </val>
        </ser>
        <ser>
          <idx val="2"/>
          <order val="2"/>
          <tx>
            <strRef>
              <f>'06_Resumo'!D12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'06_Resumo'!$A$13:$A$15</f>
            </numRef>
          </cat>
          <val>
            <numRef>
              <f>'06_Resumo'!$D$13:$D$15</f>
            </numRef>
          </val>
        </ser>
        <ser>
          <idx val="3"/>
          <order val="3"/>
          <tx>
            <strRef>
              <f>'06_Resumo'!E12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'06_Resumo'!$A$13:$A$15</f>
            </numRef>
          </cat>
          <val>
            <numRef>
              <f>'06_Resumo'!$E$13:$E$15</f>
            </numRef>
          </val>
        </ser>
        <ser>
          <idx val="4"/>
          <order val="4"/>
          <tx>
            <strRef>
              <f>'06_Resumo'!F12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'06_Resumo'!$A$13:$A$15</f>
            </numRef>
          </cat>
          <val>
            <numRef>
              <f>'06_Resumo'!$F$13:$F$15</f>
            </numRef>
          </val>
        </ser>
        <ser>
          <idx val="5"/>
          <order val="5"/>
          <tx>
            <strRef>
              <f>'06_Resumo'!G12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'06_Resumo'!$A$13:$A$15</f>
            </numRef>
          </cat>
          <val>
            <numRef>
              <f>'06_Resumo'!$G$13:$G$15</f>
            </numRef>
          </val>
        </ser>
        <ser>
          <idx val="6"/>
          <order val="6"/>
          <tx>
            <strRef>
              <f>'06_Resumo'!H12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'06_Resumo'!$A$13:$A$15</f>
            </numRef>
          </cat>
          <val>
            <numRef>
              <f>'06_Resumo'!$H$13:$H$15</f>
            </numRef>
          </val>
        </ser>
        <ser>
          <idx val="7"/>
          <order val="7"/>
          <tx>
            <strRef>
              <f>'06_Resumo'!I12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'06_Resumo'!$A$13:$A$15</f>
            </numRef>
          </cat>
          <val>
            <numRef>
              <f>'06_Resumo'!$I$13:$I$15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da meta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20</row>
      <rowOff>0</rowOff>
    </from>
    <ext cx="79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Séries Meta e índices compósitos do PDN 2023-2027 — metodologia</t>
        </is>
      </c>
    </row>
    <row r="2">
      <c r="A2" s="2" t="inlineStr"/>
    </row>
    <row r="3">
      <c r="A3" s="2" t="inlineStr">
        <is>
          <t>Universo: 51 indicadores de execução do painel MINPLAN (Anual 2025); 46 com meta.</t>
        </is>
      </c>
    </row>
    <row r="4">
      <c r="A4" s="2" t="inlineStr">
        <is>
          <t>Sem qualquer meta publicada (excluídos das séries meta e do índice percentual): Novas Camas em Hospitais (Cumulativo), Taxa de cobertura de águas nas áreas urbanas, Taxa de cobertura de águas nas áreas rurais, Empregos Formais Bruto Gerados, Empregos Formais Líquidos Gerados.</t>
        </is>
      </c>
    </row>
    <row r="5">
      <c r="A5" s="2" t="inlineStr"/>
    </row>
    <row r="6">
      <c r="A6" s="2" t="inlineStr">
        <is>
          <t>1. SÉRIES META (folhas 01 e 02)</t>
        </is>
      </c>
    </row>
    <row r="7">
      <c r="A7" s="2" t="inlineStr">
        <is>
          <t xml:space="preserve">   • Âncoras: último dado verificado (2025; 2023 nos três indicadores de professores) e Meta 2027.</t>
        </is>
      </c>
    </row>
    <row r="8">
      <c r="A8" s="2" t="inlineStr">
        <is>
          <t xml:space="preserve">   • Meta 2027: publicada no PDN quando existe correspondência directa (7 casos; carne convertida de milhares de toneladas para toneladas); caso contrário, derivada da trajectória planeada 2022→Meta MINPLAN 2025: prolongamento ao mesmo ritmo se o plano previa melhoria, ou manutenção da meta 2025 se o plano tolerava estagnação/deterioração.</t>
        </is>
      </c>
    </row>
    <row r="9">
      <c r="A9" s="2" t="inlineStr">
        <is>
          <t xml:space="preserve">   • Interpolação consoante a especificação da série: LINEAR para percentagens, taxas, rácios por habitante e stocks cumulativos (incrementos anuais constantes); GEOMÉTRICA (CAGR) para níveis/quantidades de produção.</t>
        </is>
      </c>
    </row>
    <row r="10">
      <c r="A10" s="2" t="inlineStr">
        <is>
          <t xml:space="preserve">   • Folha 01: série de convergência do último dado verificado até à Meta 2027.</t>
        </is>
      </c>
    </row>
    <row r="11">
      <c r="A11" s="2" t="inlineStr">
        <is>
          <t xml:space="preserve">   • Folha 02: metas anuais interpoladas da trajectória planeada (2022 → Meta 2025 publicada → Meta 2027), usadas no índice percentual.</t>
        </is>
      </c>
    </row>
    <row r="12">
      <c r="A12" s="2" t="inlineStr"/>
    </row>
    <row r="13">
      <c r="A13" s="2" t="inlineStr">
        <is>
          <t>2. ÍNDICE COMPÓSITO DE EXECUÇÃO (folha 03) — valores observados 2022-2025</t>
        </is>
      </c>
    </row>
    <row r="14">
      <c r="A14" s="2" t="inlineStr">
        <is>
          <t xml:space="preserve">   • Normalização: 2022=100; indicadores 'menor é melhor' (malária, inflação, desemprego) invertidos (base/valor).</t>
        </is>
      </c>
    </row>
    <row r="15">
      <c r="A15" s="2" t="inlineStr">
        <is>
          <t xml:space="preserve">   • Agregação: média geométrica dos indicadores dentro de cada domínio e média geométrica dos 7 domínios (pesos iguais), coerente com a metodologia IGDA.</t>
        </is>
      </c>
    </row>
    <row r="16">
      <c r="A16" s="2" t="inlineStr">
        <is>
          <t xml:space="preserve">   • Professores (3 indicadores) sem dados 2024-2025: o domínio Educação usa os indicadores disponíveis em cada ano; linha adicional com painel completo (48 indicadores) como robustez.</t>
        </is>
      </c>
    </row>
    <row r="17">
      <c r="A17" s="2" t="inlineStr"/>
    </row>
    <row r="18">
      <c r="A18" s="2" t="inlineStr">
        <is>
          <t>3. ÍNDICE DE EXECUÇÃO PERCENTUAL (folha 04) — observado vs meta</t>
        </is>
      </c>
    </row>
    <row r="19">
      <c r="A19" s="2" t="inlineStr">
        <is>
          <t xml:space="preserve">   • Atingimento anual = observado/meta interpolada (ou meta/observado quando menor é melhor), com tecto de 100% (distância-à-meta: excedentes não compensam défices).</t>
        </is>
      </c>
    </row>
    <row r="20">
      <c r="A20" s="2" t="inlineStr">
        <is>
          <t xml:space="preserve">   • Agregação: média aritmética dentro do domínio e média aritmética dos domínios.</t>
        </is>
      </c>
    </row>
    <row r="21">
      <c r="A21" s="2" t="inlineStr">
        <is>
          <t xml:space="preserve">   • Validação: coluna com atingimento 2025 face à meta MINPLAN publicada (sem tecto) reproduz o '% do alvo' do painel oficial nos casos comparáveis.</t>
        </is>
      </c>
    </row>
    <row r="22">
      <c r="A22" s="2" t="inlineStr"/>
    </row>
    <row r="23">
      <c r="A23" s="2" t="inlineStr">
        <is>
          <t>4. TRAJECTÓRIAS DAS METAS PDN (folha 05)</t>
        </is>
      </c>
    </row>
    <row r="24">
      <c r="A24" s="2" t="inlineStr">
        <is>
          <t xml:space="preserve">   • 108 das 118 metas do PDN interpoladas de 2022 até 2027; 10 ignoradas por falta de base 2022 ou meta numérica (marcos, etc.).</t>
        </is>
      </c>
    </row>
    <row r="25">
      <c r="A25" s="2" t="inlineStr"/>
    </row>
    <row r="26">
      <c r="A26" s="2" t="inlineStr">
        <is>
          <t>Limitações: metas 2027 derivadas são implícitas e não substituem metas oficiais; as metas MINPLAN 2025 de salas de aula (I/II ciclo) são inferiores à base 2022; a meta de inflação 2025 (18%) é superior à base 2022 (14%); o crescimento do PIB usa a trajectória média 2023-2027 como referência.</t>
        </is>
      </c>
    </row>
    <row r="27">
      <c r="A27" s="2" t="inlineStr">
        <is>
          <t>Fontes: painel MINPLAN (bundle JS, Anual 2025) e PDN 2023-2027 (PDF). Gerado por scripts/construir_series_meta_indices.py.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46" customWidth="1" min="3" max="3"/>
    <col width="18" customWidth="1" min="4" max="4"/>
    <col width="14" customWidth="1" min="5" max="5"/>
    <col width="16" customWidth="1" min="6" max="6"/>
    <col width="11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  <col width="52" customWidth="1" min="15" max="15"/>
    <col width="20" customWidth="1" min="16" max="16"/>
  </cols>
  <sheetData>
    <row r="1">
      <c r="A1" s="3" t="inlineStr">
        <is>
          <t>ID</t>
        </is>
      </c>
      <c r="B1" s="3" t="inlineStr">
        <is>
          <t>Domínio</t>
        </is>
      </c>
      <c r="C1" s="3" t="inlineStr">
        <is>
          <t>Indicador</t>
        </is>
      </c>
      <c r="D1" s="3" t="inlineStr">
        <is>
          <t>Unidade</t>
        </is>
      </c>
      <c r="E1" s="3" t="inlineStr">
        <is>
          <t>Direcção</t>
        </is>
      </c>
      <c r="F1" s="3" t="inlineStr">
        <is>
          <t>Método</t>
        </is>
      </c>
      <c r="G1" s="3" t="inlineStr">
        <is>
          <t>Ano partida</t>
        </is>
      </c>
      <c r="H1" s="3" t="inlineStr">
        <is>
          <t>Valor partida</t>
        </is>
      </c>
      <c r="I1" s="3" t="inlineStr">
        <is>
          <t>2023</t>
        </is>
      </c>
      <c r="J1" s="3" t="inlineStr">
        <is>
          <t>2024</t>
        </is>
      </c>
      <c r="K1" s="3" t="inlineStr">
        <is>
          <t>2025</t>
        </is>
      </c>
      <c r="L1" s="3" t="inlineStr">
        <is>
          <t>2026</t>
        </is>
      </c>
      <c r="M1" s="3" t="inlineStr">
        <is>
          <t>2027</t>
        </is>
      </c>
      <c r="N1" s="3" t="inlineStr">
        <is>
          <t>Meta 2027</t>
        </is>
      </c>
      <c r="O1" s="3" t="inlineStr">
        <is>
          <t>Origem da Meta 2027</t>
        </is>
      </c>
      <c r="P1" s="3" t="inlineStr">
        <is>
          <t>Estado</t>
        </is>
      </c>
    </row>
    <row r="2">
      <c r="A2" t="inlineStr">
        <is>
          <t>IMP-saude-taxa_de_cobertura_da_4_a_consulta_pre_natal</t>
        </is>
      </c>
      <c r="B2" t="inlineStr">
        <is>
          <t>Saúde</t>
        </is>
      </c>
      <c r="C2" t="inlineStr">
        <is>
          <t>Taxa de cobertura da 4.ª consulta pré-natal</t>
        </is>
      </c>
      <c r="D2" t="inlineStr">
        <is>
          <t>%</t>
        </is>
      </c>
      <c r="E2" t="inlineStr">
        <is>
          <t>Maior é melhor</t>
        </is>
      </c>
      <c r="F2" t="inlineStr">
        <is>
          <t>Linear</t>
        </is>
      </c>
      <c r="G2" t="n">
        <v>2025</v>
      </c>
      <c r="H2" s="4" t="n">
        <v>60</v>
      </c>
      <c r="K2" s="4" t="n">
        <v>60</v>
      </c>
      <c r="L2" s="4" t="n">
        <v>62</v>
      </c>
      <c r="M2" s="4" t="n">
        <v>64</v>
      </c>
      <c r="N2" s="4" t="n">
        <v>64</v>
      </c>
      <c r="O2" t="inlineStr">
        <is>
          <t>Derivada: extensão linear da trajectória planeada 2022-2025</t>
        </is>
      </c>
      <c r="P2" t="inlineStr">
        <is>
          <t>Em curso</t>
        </is>
      </c>
    </row>
    <row r="3">
      <c r="A3" t="inlineStr">
        <is>
          <t>IMP-saude-taxa_de_imunizacao_bcg</t>
        </is>
      </c>
      <c r="B3" t="inlineStr">
        <is>
          <t>Saúde</t>
        </is>
      </c>
      <c r="C3" t="inlineStr">
        <is>
          <t>Taxa de imunização BCG</t>
        </is>
      </c>
      <c r="D3" t="inlineStr">
        <is>
          <t>%</t>
        </is>
      </c>
      <c r="E3" t="inlineStr">
        <is>
          <t>Maior é melhor</t>
        </is>
      </c>
      <c r="F3" t="inlineStr">
        <is>
          <t>Linear</t>
        </is>
      </c>
      <c r="G3" t="n">
        <v>2025</v>
      </c>
      <c r="H3" s="4" t="n">
        <v>78</v>
      </c>
      <c r="K3" s="4" t="n">
        <v>78</v>
      </c>
      <c r="L3" s="4" t="n">
        <v>84.33333333333334</v>
      </c>
      <c r="M3" s="4" t="n">
        <v>90.66666666666667</v>
      </c>
      <c r="N3" s="4" t="n">
        <v>90.66666666666667</v>
      </c>
      <c r="O3" t="inlineStr">
        <is>
          <t>Derivada: extensão linear da trajectória planeada 2022-2025</t>
        </is>
      </c>
      <c r="P3" t="inlineStr">
        <is>
          <t>Em curso</t>
        </is>
      </c>
    </row>
    <row r="4">
      <c r="A4" t="inlineStr">
        <is>
          <t>IMP-saude-taxa_de_vacinacao_contra_o_sarampo</t>
        </is>
      </c>
      <c r="B4" t="inlineStr">
        <is>
          <t>Saúde</t>
        </is>
      </c>
      <c r="C4" t="inlineStr">
        <is>
          <t>Taxa de vacinação contra o sarampo</t>
        </is>
      </c>
      <c r="D4" t="inlineStr">
        <is>
          <t>%</t>
        </is>
      </c>
      <c r="E4" t="inlineStr">
        <is>
          <t>Maior é melhor</t>
        </is>
      </c>
      <c r="F4" t="inlineStr">
        <is>
          <t>Linear</t>
        </is>
      </c>
      <c r="G4" t="n">
        <v>2025</v>
      </c>
      <c r="H4" s="4" t="n">
        <v>76</v>
      </c>
      <c r="K4" s="4" t="n">
        <v>76</v>
      </c>
      <c r="L4" s="4" t="n">
        <v>82.66666666666666</v>
      </c>
      <c r="M4" s="4" t="n">
        <v>89.33333333333333</v>
      </c>
      <c r="N4" s="4" t="n">
        <v>89.33333333333333</v>
      </c>
      <c r="O4" t="inlineStr">
        <is>
          <t>Derivada: extensão linear da trajectória planeada 2022-2025</t>
        </is>
      </c>
      <c r="P4" t="inlineStr">
        <is>
          <t>Em curso</t>
        </is>
      </c>
    </row>
    <row r="5">
      <c r="A5" t="inlineStr">
        <is>
          <t>IMP-saude-taxa_de_incidencia_da_malaria</t>
        </is>
      </c>
      <c r="B5" t="inlineStr">
        <is>
          <t>Saúde</t>
        </is>
      </c>
      <c r="C5" t="inlineStr">
        <is>
          <t>Taxa de incidência da malária</t>
        </is>
      </c>
      <c r="D5" t="inlineStr">
        <is>
          <t>Por 1 000 habitantes</t>
        </is>
      </c>
      <c r="E5" t="inlineStr">
        <is>
          <t>Menor é melhor</t>
        </is>
      </c>
      <c r="F5" t="inlineStr">
        <is>
          <t>Linear</t>
        </is>
      </c>
      <c r="G5" t="n">
        <v>2025</v>
      </c>
      <c r="H5" s="4" t="n">
        <v>298</v>
      </c>
      <c r="K5" s="4" t="n">
        <v>298</v>
      </c>
      <c r="L5" s="4" t="n">
        <v>243.1666666666667</v>
      </c>
      <c r="M5" s="4" t="n">
        <v>188.3333333333333</v>
      </c>
      <c r="N5" s="4" t="n">
        <v>188.3333333333333</v>
      </c>
      <c r="O5" t="inlineStr">
        <is>
          <t>Derivada: extensão linear da trajectória planeada 2022-2025</t>
        </is>
      </c>
      <c r="P5" t="inlineStr">
        <is>
          <t>Em curso</t>
        </is>
      </c>
    </row>
    <row r="6">
      <c r="A6" t="inlineStr">
        <is>
          <t>IMP-saude-taxa_de_sucesso_do_tratamento_para_a_tuberculose</t>
        </is>
      </c>
      <c r="B6" t="inlineStr">
        <is>
          <t>Saúde</t>
        </is>
      </c>
      <c r="C6" t="inlineStr">
        <is>
          <t>Taxa de sucesso do tratamento para a tuberculose</t>
        </is>
      </c>
      <c r="D6" t="inlineStr">
        <is>
          <t>%</t>
        </is>
      </c>
      <c r="E6" t="inlineStr">
        <is>
          <t>Maior é melhor</t>
        </is>
      </c>
      <c r="F6" t="inlineStr">
        <is>
          <t>Linear</t>
        </is>
      </c>
      <c r="G6" t="n">
        <v>2025</v>
      </c>
      <c r="H6" s="4" t="n">
        <v>91</v>
      </c>
      <c r="K6" s="4" t="n">
        <v>91</v>
      </c>
      <c r="L6" s="4" t="n">
        <v>85.5</v>
      </c>
      <c r="M6" s="4" t="n">
        <v>80</v>
      </c>
      <c r="N6" s="4" t="n">
        <v>80</v>
      </c>
      <c r="O6" t="inlineStr">
        <is>
          <t>Derivada: extensão linear da trajectória planeada 2022-2025</t>
        </is>
      </c>
      <c r="P6" t="inlineStr">
        <is>
          <t>Meta 2027 já atingida</t>
        </is>
      </c>
    </row>
    <row r="7">
      <c r="A7" t="inlineStr">
        <is>
          <t>IMP-saude-partos_institucionais_realizados_por_profissionais_qualificados</t>
        </is>
      </c>
      <c r="B7" t="inlineStr">
        <is>
          <t>Saúde</t>
        </is>
      </c>
      <c r="C7" t="inlineStr">
        <is>
          <t>Partos institucionais realizados por profissionais qualificados</t>
        </is>
      </c>
      <c r="D7" t="inlineStr">
        <is>
          <t>%</t>
        </is>
      </c>
      <c r="E7" t="inlineStr">
        <is>
          <t>Maior é melhor</t>
        </is>
      </c>
      <c r="F7" t="inlineStr">
        <is>
          <t>Linear</t>
        </is>
      </c>
      <c r="G7" t="n">
        <v>2025</v>
      </c>
      <c r="H7" s="4" t="n">
        <v>64</v>
      </c>
      <c r="K7" s="4" t="n">
        <v>64</v>
      </c>
      <c r="L7" s="4" t="n">
        <v>67.33333333333333</v>
      </c>
      <c r="M7" s="4" t="n">
        <v>70.66666666666666</v>
      </c>
      <c r="N7" s="4" t="n">
        <v>70.66666666666666</v>
      </c>
      <c r="O7" t="inlineStr">
        <is>
          <t>Derivada: extensão linear da trajectória planeada 2022-2025</t>
        </is>
      </c>
      <c r="P7" t="inlineStr">
        <is>
          <t>Em curso</t>
        </is>
      </c>
    </row>
    <row r="8">
      <c r="A8" t="inlineStr">
        <is>
          <t>IMP-proteccao_social-pessoas_integradas_em_actividades_geradoras_de_renda_cumulativo</t>
        </is>
      </c>
      <c r="B8" t="inlineStr">
        <is>
          <t>Protecção Social</t>
        </is>
      </c>
      <c r="C8" t="inlineStr">
        <is>
          <t>Pessoas integradas em actividades geradoras de renda (cumulativo)</t>
        </is>
      </c>
      <c r="D8" t="inlineStr">
        <is>
          <t>N.º</t>
        </is>
      </c>
      <c r="E8" t="inlineStr">
        <is>
          <t>Maior é melhor</t>
        </is>
      </c>
      <c r="F8" t="inlineStr">
        <is>
          <t>Linear</t>
        </is>
      </c>
      <c r="G8" t="n">
        <v>2025</v>
      </c>
      <c r="H8" s="5" t="n">
        <v>38917</v>
      </c>
      <c r="K8" s="5" t="n">
        <v>38917</v>
      </c>
      <c r="L8" s="5" t="n">
        <v>89625.16666666666</v>
      </c>
      <c r="M8" s="5" t="n">
        <v>140333.3333333333</v>
      </c>
      <c r="N8" s="5" t="n">
        <v>140333.3333333333</v>
      </c>
      <c r="O8" t="inlineStr">
        <is>
          <t>Derivada: extensão linear da trajectória planeada 2022-2025</t>
        </is>
      </c>
      <c r="P8" t="inlineStr">
        <is>
          <t>Em curso</t>
        </is>
      </c>
    </row>
    <row r="9">
      <c r="A9" t="inlineStr">
        <is>
          <t>IMP-proteccao_social-beneficiarios_de_transferencias_sociais_monetarias_cumulativo</t>
        </is>
      </c>
      <c r="B9" t="inlineStr">
        <is>
          <t>Protecção Social</t>
        </is>
      </c>
      <c r="C9" t="inlineStr">
        <is>
          <t>Beneficiários de transferências sociais monetárias (cumulativo)</t>
        </is>
      </c>
      <c r="D9" t="inlineStr">
        <is>
          <t>N.º</t>
        </is>
      </c>
      <c r="E9" t="inlineStr">
        <is>
          <t>Maior é melhor</t>
        </is>
      </c>
      <c r="F9" t="inlineStr">
        <is>
          <t>Linear</t>
        </is>
      </c>
      <c r="G9" t="n">
        <v>2025</v>
      </c>
      <c r="H9" s="5" t="n">
        <v>1350850</v>
      </c>
      <c r="K9" s="5" t="n">
        <v>1350850</v>
      </c>
      <c r="L9" s="5" t="n">
        <v>1971814.333333333</v>
      </c>
      <c r="M9" s="5" t="n">
        <v>2592778.666666667</v>
      </c>
      <c r="N9" s="5" t="n">
        <v>2592778.666666667</v>
      </c>
      <c r="O9" t="inlineStr">
        <is>
          <t>Derivada: extensão linear da trajectória planeada 2022-2025</t>
        </is>
      </c>
      <c r="P9" t="inlineStr">
        <is>
          <t>Em curso</t>
        </is>
      </c>
    </row>
    <row r="10">
      <c r="A10" t="inlineStr">
        <is>
          <t>IMP-proteccao_social-familias_assistidas_com_cesta_basica_de_alimentos_cumulativo</t>
        </is>
      </c>
      <c r="B10" t="inlineStr">
        <is>
          <t>Protecção Social</t>
        </is>
      </c>
      <c r="C10" t="inlineStr">
        <is>
          <t>Famílias assistidas com cesta básica de alimentos (cumulativo)</t>
        </is>
      </c>
      <c r="D10" t="inlineStr">
        <is>
          <t>N.º</t>
        </is>
      </c>
      <c r="E10" t="inlineStr">
        <is>
          <t>Maior é melhor</t>
        </is>
      </c>
      <c r="F10" t="inlineStr">
        <is>
          <t>Linear</t>
        </is>
      </c>
      <c r="G10" t="n">
        <v>2025</v>
      </c>
      <c r="H10" s="5" t="n">
        <v>104807</v>
      </c>
      <c r="K10" s="5" t="n">
        <v>104807</v>
      </c>
      <c r="L10" s="5" t="n">
        <v>113880.1666666667</v>
      </c>
      <c r="M10" s="5" t="n">
        <v>122953.3333333333</v>
      </c>
      <c r="N10" s="5" t="n">
        <v>122953.3333333333</v>
      </c>
      <c r="O10" t="inlineStr">
        <is>
          <t>Derivada: extensão linear da trajectória planeada 2022-2025</t>
        </is>
      </c>
      <c r="P10" t="inlineStr">
        <is>
          <t>Em curso</t>
        </is>
      </c>
    </row>
    <row r="11">
      <c r="A11" t="inlineStr">
        <is>
          <t>IMP-comunicacao-numero_de_assinantes_de_internet</t>
        </is>
      </c>
      <c r="B11" t="inlineStr">
        <is>
          <t>Comunicação</t>
        </is>
      </c>
      <c r="C11" t="inlineStr">
        <is>
          <t>Número de assinantes de Internet</t>
        </is>
      </c>
      <c r="D11" t="inlineStr">
        <is>
          <t>N.º/100 habitantes</t>
        </is>
      </c>
      <c r="E11" t="inlineStr">
        <is>
          <t>Maior é melhor</t>
        </is>
      </c>
      <c r="F11" t="inlineStr">
        <is>
          <t>Linear</t>
        </is>
      </c>
      <c r="G11" t="n">
        <v>2025</v>
      </c>
      <c r="H11" s="4" t="n">
        <v>50</v>
      </c>
      <c r="K11" s="4" t="n">
        <v>50</v>
      </c>
      <c r="L11" s="4" t="n">
        <v>50</v>
      </c>
      <c r="M11" s="4" t="n">
        <v>50</v>
      </c>
      <c r="N11" s="4" t="n">
        <v>50</v>
      </c>
      <c r="O11" t="inlineStr">
        <is>
          <t>Derivada: extensão linear da trajectória planeada 2022-2025</t>
        </is>
      </c>
      <c r="P11" t="inlineStr">
        <is>
          <t>Meta 2027 já atingida</t>
        </is>
      </c>
    </row>
    <row r="12">
      <c r="A12" t="inlineStr">
        <is>
          <t>IMP-comunicacao-numero_de_assinantes_de_servicos_moveis</t>
        </is>
      </c>
      <c r="B12" t="inlineStr">
        <is>
          <t>Comunicação</t>
        </is>
      </c>
      <c r="C12" t="inlineStr">
        <is>
          <t>Número de assinantes de serviços móveis</t>
        </is>
      </c>
      <c r="D12" t="inlineStr">
        <is>
          <t>N.º/100 habitantes</t>
        </is>
      </c>
      <c r="E12" t="inlineStr">
        <is>
          <t>Maior é melhor</t>
        </is>
      </c>
      <c r="F12" t="inlineStr">
        <is>
          <t>Linear</t>
        </is>
      </c>
      <c r="G12" t="n">
        <v>2025</v>
      </c>
      <c r="H12" s="4" t="n">
        <v>78</v>
      </c>
      <c r="K12" s="4" t="n">
        <v>78</v>
      </c>
      <c r="L12" s="4" t="n">
        <v>80.83333333333334</v>
      </c>
      <c r="M12" s="4" t="n">
        <v>83.66666666666667</v>
      </c>
      <c r="N12" s="4" t="n">
        <v>83.66666666666667</v>
      </c>
      <c r="O12" t="inlineStr">
        <is>
          <t>Derivada: extensão linear da trajectória planeada 2022-2025</t>
        </is>
      </c>
      <c r="P12" t="inlineStr">
        <is>
          <t>Em curso</t>
        </is>
      </c>
    </row>
    <row r="13">
      <c r="A13" t="inlineStr">
        <is>
          <t>IMP-educacao_e_formacao_profissional-salas_de_aula_do_ensino_primario_cumulativo</t>
        </is>
      </c>
      <c r="B13" t="inlineStr">
        <is>
          <t>Educação e Formação Profissional</t>
        </is>
      </c>
      <c r="C13" t="inlineStr">
        <is>
          <t>Salas de aula do Ensino Primário (cumulativo)</t>
        </is>
      </c>
      <c r="D13" t="inlineStr">
        <is>
          <t>N.º</t>
        </is>
      </c>
      <c r="E13" t="inlineStr">
        <is>
          <t>Maior é melhor</t>
        </is>
      </c>
      <c r="F13" t="inlineStr">
        <is>
          <t>Linear</t>
        </is>
      </c>
      <c r="G13" t="n">
        <v>2025</v>
      </c>
      <c r="H13" s="5" t="n">
        <v>65388</v>
      </c>
      <c r="K13" s="5" t="n">
        <v>65388</v>
      </c>
      <c r="L13" s="5" t="n">
        <v>62707.66666666667</v>
      </c>
      <c r="M13" s="5" t="n">
        <v>60027.33333333334</v>
      </c>
      <c r="N13" s="5" t="n">
        <v>60027.33333333334</v>
      </c>
      <c r="O13" t="inlineStr">
        <is>
          <t>Derivada: extensão linear da trajectória planeada 2022-2025</t>
        </is>
      </c>
      <c r="P13" t="inlineStr">
        <is>
          <t>Meta 2027 já atingida</t>
        </is>
      </c>
    </row>
    <row r="14">
      <c r="A14" t="inlineStr">
        <is>
          <t>IMP-educacao_e_formacao_profissional-salas_de_aula_do_i_ciclo_do_ensino_secundario_cumulativo</t>
        </is>
      </c>
      <c r="B14" t="inlineStr">
        <is>
          <t>Educação e Formação Profissional</t>
        </is>
      </c>
      <c r="C14" t="inlineStr">
        <is>
          <t>Salas de aula do I Ciclo do Ensino Secundário (cumulativo)</t>
        </is>
      </c>
      <c r="D14" t="inlineStr">
        <is>
          <t>N.º</t>
        </is>
      </c>
      <c r="E14" t="inlineStr">
        <is>
          <t>Maior é melhor</t>
        </is>
      </c>
      <c r="F14" t="inlineStr">
        <is>
          <t>Linear</t>
        </is>
      </c>
      <c r="G14" t="n">
        <v>2025</v>
      </c>
      <c r="H14" s="5" t="n">
        <v>48972</v>
      </c>
      <c r="K14" s="5" t="n">
        <v>48972</v>
      </c>
      <c r="L14" s="5" t="n">
        <v>32629</v>
      </c>
      <c r="M14" s="5" t="n">
        <v>16286</v>
      </c>
      <c r="N14" s="5" t="n">
        <v>16286</v>
      </c>
      <c r="O14" t="inlineStr">
        <is>
          <t>Derivada: Meta MINPLAN 2025 mantida constante até 2027</t>
        </is>
      </c>
      <c r="P14" t="inlineStr">
        <is>
          <t>Meta 2027 já atingida</t>
        </is>
      </c>
    </row>
    <row r="15">
      <c r="A15" t="inlineStr">
        <is>
          <t>IMP-educacao_e_formacao_profissional-salas_de_aula_do_ii_ciclo_do_ensino_secundario_cumulativo</t>
        </is>
      </c>
      <c r="B15" t="inlineStr">
        <is>
          <t>Educação e Formação Profissional</t>
        </is>
      </c>
      <c r="C15" t="inlineStr">
        <is>
          <t>Salas de aula do II Ciclo do Ensino Secundário (cumulativo)</t>
        </is>
      </c>
      <c r="D15" t="inlineStr">
        <is>
          <t>N.º</t>
        </is>
      </c>
      <c r="E15" t="inlineStr">
        <is>
          <t>Maior é melhor</t>
        </is>
      </c>
      <c r="F15" t="inlineStr">
        <is>
          <t>Linear</t>
        </is>
      </c>
      <c r="G15" t="n">
        <v>2025</v>
      </c>
      <c r="H15" s="5" t="n">
        <v>24435</v>
      </c>
      <c r="K15" s="5" t="n">
        <v>24435</v>
      </c>
      <c r="L15" s="5" t="n">
        <v>17788</v>
      </c>
      <c r="M15" s="5" t="n">
        <v>11141</v>
      </c>
      <c r="N15" s="5" t="n">
        <v>11141</v>
      </c>
      <c r="O15" t="inlineStr">
        <is>
          <t>Derivada: Meta MINPLAN 2025 mantida constante até 2027</t>
        </is>
      </c>
      <c r="P15" t="inlineStr">
        <is>
          <t>Meta 2027 já atingida</t>
        </is>
      </c>
    </row>
    <row r="16">
      <c r="A16" t="inlineStr">
        <is>
          <t>IMP-educacao_e_formacao_profissional-taxa_de_alfabetizacao_da_populacao_maior_que_15_anos</t>
        </is>
      </c>
      <c r="B16" t="inlineStr">
        <is>
          <t>Educação e Formação Profissional</t>
        </is>
      </c>
      <c r="C16" t="inlineStr">
        <is>
          <t>Taxa de alfabetização da população maior que 15 anos</t>
        </is>
      </c>
      <c r="D16" t="inlineStr">
        <is>
          <t>%</t>
        </is>
      </c>
      <c r="E16" t="inlineStr">
        <is>
          <t>Maior é melhor</t>
        </is>
      </c>
      <c r="F16" t="inlineStr">
        <is>
          <t>Linear</t>
        </is>
      </c>
      <c r="G16" t="n">
        <v>2025</v>
      </c>
      <c r="H16" s="4" t="n">
        <v>76</v>
      </c>
      <c r="K16" s="4" t="n">
        <v>76</v>
      </c>
      <c r="L16" s="4" t="n">
        <v>77</v>
      </c>
      <c r="M16" s="4" t="n">
        <v>78</v>
      </c>
      <c r="N16" s="4" t="n">
        <v>78</v>
      </c>
      <c r="O16" t="inlineStr">
        <is>
          <t>Meta PDN 2027 publicada (p. 55)</t>
        </is>
      </c>
      <c r="P16" t="inlineStr">
        <is>
          <t>Em curso</t>
        </is>
      </c>
    </row>
    <row r="17">
      <c r="A17" t="inlineStr">
        <is>
          <t>IMP-educacao_e_formacao_profissional-taxa_de_conclusao_do_ensino_primario</t>
        </is>
      </c>
      <c r="B17" t="inlineStr">
        <is>
          <t>Educação e Formação Profissional</t>
        </is>
      </c>
      <c r="C17" t="inlineStr">
        <is>
          <t>Taxa de conclusão do Ensino Primário</t>
        </is>
      </c>
      <c r="D17" t="inlineStr">
        <is>
          <t>%</t>
        </is>
      </c>
      <c r="E17" t="inlineStr">
        <is>
          <t>Maior é melhor</t>
        </is>
      </c>
      <c r="F17" t="inlineStr">
        <is>
          <t>Linear</t>
        </is>
      </c>
      <c r="G17" t="n">
        <v>2025</v>
      </c>
      <c r="H17" s="4" t="n">
        <v>58</v>
      </c>
      <c r="K17" s="4" t="n">
        <v>58</v>
      </c>
      <c r="L17" s="4" t="n">
        <v>66.16666666666666</v>
      </c>
      <c r="M17" s="4" t="n">
        <v>74.33333333333333</v>
      </c>
      <c r="N17" s="4" t="n">
        <v>74.33333333333333</v>
      </c>
      <c r="O17" t="inlineStr">
        <is>
          <t>Derivada: extensão linear da trajectória planeada 2022-2025</t>
        </is>
      </c>
      <c r="P17" t="inlineStr">
        <is>
          <t>Em curso</t>
        </is>
      </c>
    </row>
    <row r="18">
      <c r="A18" t="inlineStr">
        <is>
          <t>IMP-educacao_e_formacao_profissional-taxa_de_conclusao_do_i_ciclo_do_ensino_secundario_ensino_geral</t>
        </is>
      </c>
      <c r="B18" t="inlineStr">
        <is>
          <t>Educação e Formação Profissional</t>
        </is>
      </c>
      <c r="C18" t="inlineStr">
        <is>
          <t>Taxa de conclusão do I Ciclo do Ensino Secundário (Ensino Geral)</t>
        </is>
      </c>
      <c r="D18" t="inlineStr">
        <is>
          <t>%</t>
        </is>
      </c>
      <c r="E18" t="inlineStr">
        <is>
          <t>Maior é melhor</t>
        </is>
      </c>
      <c r="F18" t="inlineStr">
        <is>
          <t>Linear</t>
        </is>
      </c>
      <c r="G18" t="n">
        <v>2025</v>
      </c>
      <c r="H18" s="4" t="n">
        <v>45</v>
      </c>
      <c r="K18" s="4" t="n">
        <v>45</v>
      </c>
      <c r="L18" s="4" t="n">
        <v>52.83333333333334</v>
      </c>
      <c r="M18" s="4" t="n">
        <v>60.66666666666667</v>
      </c>
      <c r="N18" s="4" t="n">
        <v>60.66666666666667</v>
      </c>
      <c r="O18" t="inlineStr">
        <is>
          <t>Derivada: extensão linear da trajectória planeada 2022-2025</t>
        </is>
      </c>
      <c r="P18" t="inlineStr">
        <is>
          <t>Em curso</t>
        </is>
      </c>
    </row>
    <row r="19">
      <c r="A19" t="inlineStr">
        <is>
          <t>IMP-educacao_e_formacao_profissional-taxa_de_conclusao_do_ii_ciclo_do_ensino_secundario_ensino_geral</t>
        </is>
      </c>
      <c r="B19" t="inlineStr">
        <is>
          <t>Educação e Formação Profissional</t>
        </is>
      </c>
      <c r="C19" t="inlineStr">
        <is>
          <t>Taxa de conclusão do II Ciclo do Ensino Secundário (Ensino Geral)</t>
        </is>
      </c>
      <c r="D19" t="inlineStr">
        <is>
          <t>%</t>
        </is>
      </c>
      <c r="E19" t="inlineStr">
        <is>
          <t>Maior é melhor</t>
        </is>
      </c>
      <c r="F19" t="inlineStr">
        <is>
          <t>Linear</t>
        </is>
      </c>
      <c r="G19" t="n">
        <v>2025</v>
      </c>
      <c r="H19" s="4" t="n">
        <v>10</v>
      </c>
      <c r="K19" s="4" t="n">
        <v>10</v>
      </c>
      <c r="L19" s="4" t="n">
        <v>18.33333333333333</v>
      </c>
      <c r="M19" s="4" t="n">
        <v>26.66666666666666</v>
      </c>
      <c r="N19" s="4" t="n">
        <v>26.66666666666666</v>
      </c>
      <c r="O19" t="inlineStr">
        <is>
          <t>Derivada: extensão linear da trajectória planeada 2022-2025</t>
        </is>
      </c>
      <c r="P19" t="inlineStr">
        <is>
          <t>Em curso</t>
        </is>
      </c>
    </row>
    <row r="20">
      <c r="A20" t="inlineStr">
        <is>
          <t>IMP-educacao_e_formacao_profissional-professores_de_ensino_pre_escolar_com_a_qualificacao_minima_exigida_cumulativo</t>
        </is>
      </c>
      <c r="B20" t="inlineStr">
        <is>
          <t>Educação e Formação Profissional</t>
        </is>
      </c>
      <c r="C20" t="inlineStr">
        <is>
          <t>Professores de Ensino Pré-escolar com a qualificação mínima exigida (cumulativo)</t>
        </is>
      </c>
      <c r="D20" t="inlineStr">
        <is>
          <t>%</t>
        </is>
      </c>
      <c r="E20" t="inlineStr">
        <is>
          <t>Maior é melhor</t>
        </is>
      </c>
      <c r="F20" t="inlineStr">
        <is>
          <t>Linear</t>
        </is>
      </c>
      <c r="G20" t="n">
        <v>2023</v>
      </c>
      <c r="H20" s="4" t="n">
        <v>80</v>
      </c>
      <c r="I20" s="4" t="n">
        <v>80</v>
      </c>
      <c r="J20" s="4" t="n">
        <v>76.25</v>
      </c>
      <c r="K20" s="4" t="n">
        <v>72.5</v>
      </c>
      <c r="L20" s="4" t="n">
        <v>68.75</v>
      </c>
      <c r="M20" s="4" t="n">
        <v>65</v>
      </c>
      <c r="N20" s="4" t="n">
        <v>65</v>
      </c>
      <c r="O20" t="inlineStr">
        <is>
          <t>Derivada: Meta MINPLAN 2025 mantida constante até 2027</t>
        </is>
      </c>
      <c r="P20" t="inlineStr">
        <is>
          <t>Meta 2027 já atingida</t>
        </is>
      </c>
    </row>
    <row r="21">
      <c r="A21" t="inlineStr">
        <is>
          <t>IMP-educacao_e_formacao_profissional-professores_de_ensino_primario_com_a_qualificacao_minima_exigida_cumulativo</t>
        </is>
      </c>
      <c r="B21" t="inlineStr">
        <is>
          <t>Educação e Formação Profissional</t>
        </is>
      </c>
      <c r="C21" t="inlineStr">
        <is>
          <t>Professores de Ensino Primário com a qualificação mínima exigida (cumulativo)</t>
        </is>
      </c>
      <c r="D21" t="inlineStr">
        <is>
          <t>%</t>
        </is>
      </c>
      <c r="E21" t="inlineStr">
        <is>
          <t>Maior é melhor</t>
        </is>
      </c>
      <c r="F21" t="inlineStr">
        <is>
          <t>Linear</t>
        </is>
      </c>
      <c r="G21" t="n">
        <v>2023</v>
      </c>
      <c r="H21" s="4" t="n">
        <v>82</v>
      </c>
      <c r="I21" s="4" t="n">
        <v>82</v>
      </c>
      <c r="J21" s="4" t="n">
        <v>79</v>
      </c>
      <c r="K21" s="4" t="n">
        <v>76</v>
      </c>
      <c r="L21" s="4" t="n">
        <v>73</v>
      </c>
      <c r="M21" s="4" t="n">
        <v>70</v>
      </c>
      <c r="N21" s="4" t="n">
        <v>70</v>
      </c>
      <c r="O21" t="inlineStr">
        <is>
          <t>Derivada: Meta MINPLAN 2025 mantida constante até 2027</t>
        </is>
      </c>
      <c r="P21" t="inlineStr">
        <is>
          <t>Meta 2027 já atingida</t>
        </is>
      </c>
    </row>
    <row r="22">
      <c r="A22" t="inlineStr">
        <is>
          <t>IMP-educacao_e_formacao_profissional-professores_de_ensino_secundario_com_a_qualificacao_minima_exigida_cumulativo</t>
        </is>
      </c>
      <c r="B22" t="inlineStr">
        <is>
          <t>Educação e Formação Profissional</t>
        </is>
      </c>
      <c r="C22" t="inlineStr">
        <is>
          <t>Professores de Ensino Secundário com a qualificação mínima exigida (cumulativo)</t>
        </is>
      </c>
      <c r="D22" t="inlineStr">
        <is>
          <t>%</t>
        </is>
      </c>
      <c r="E22" t="inlineStr">
        <is>
          <t>Maior é melhor</t>
        </is>
      </c>
      <c r="F22" t="inlineStr">
        <is>
          <t>Linear</t>
        </is>
      </c>
      <c r="G22" t="n">
        <v>2023</v>
      </c>
      <c r="H22" s="4" t="n">
        <v>84</v>
      </c>
      <c r="I22" s="4" t="n">
        <v>84</v>
      </c>
      <c r="J22" s="4" t="n">
        <v>83</v>
      </c>
      <c r="K22" s="4" t="n">
        <v>82</v>
      </c>
      <c r="L22" s="4" t="n">
        <v>81</v>
      </c>
      <c r="M22" s="4" t="n">
        <v>80</v>
      </c>
      <c r="N22" s="4" t="n">
        <v>80</v>
      </c>
      <c r="O22" t="inlineStr">
        <is>
          <t>Derivada: Meta MINPLAN 2025 mantida constante até 2027</t>
        </is>
      </c>
      <c r="P22" t="inlineStr">
        <is>
          <t>Meta 2027 já atingida</t>
        </is>
      </c>
    </row>
    <row r="23">
      <c r="A23" t="inlineStr">
        <is>
          <t>IMP-educacao_e_formacao_profissional-numero_de_pessoas_formadas_pelo_snefp_cumulativo</t>
        </is>
      </c>
      <c r="B23" t="inlineStr">
        <is>
          <t>Educação e Formação Profissional</t>
        </is>
      </c>
      <c r="C23" t="inlineStr">
        <is>
          <t>Número de pessoas formadas pelo SNEFP (cumulativo)</t>
        </is>
      </c>
      <c r="D23" t="inlineStr">
        <is>
          <t>N.º</t>
        </is>
      </c>
      <c r="E23" t="inlineStr">
        <is>
          <t>Maior é melhor</t>
        </is>
      </c>
      <c r="F23" t="inlineStr">
        <is>
          <t>Linear</t>
        </is>
      </c>
      <c r="G23" t="n">
        <v>2025</v>
      </c>
      <c r="H23" s="5" t="n">
        <v>524016</v>
      </c>
      <c r="K23" s="5" t="n">
        <v>524016</v>
      </c>
      <c r="L23" s="5" t="n">
        <v>522776.6666666666</v>
      </c>
      <c r="M23" s="5" t="n">
        <v>521537.3333333333</v>
      </c>
      <c r="N23" s="5" t="n">
        <v>521537.3333333333</v>
      </c>
      <c r="O23" t="inlineStr">
        <is>
          <t>Derivada: extensão linear da trajectória planeada 2022-2025</t>
        </is>
      </c>
      <c r="P23" t="inlineStr">
        <is>
          <t>Meta 2027 já atingida</t>
        </is>
      </c>
    </row>
    <row r="24">
      <c r="A24" t="inlineStr">
        <is>
          <t>IMP-educacao_e_formacao_profissional-kits_profissionais_distribuidos_cumulativo</t>
        </is>
      </c>
      <c r="B24" t="inlineStr">
        <is>
          <t>Educação e Formação Profissional</t>
        </is>
      </c>
      <c r="C24" t="inlineStr">
        <is>
          <t>Kits profissionais distribuídos (cumulativo)</t>
        </is>
      </c>
      <c r="D24" t="inlineStr">
        <is>
          <t>N.º</t>
        </is>
      </c>
      <c r="E24" t="inlineStr">
        <is>
          <t>Maior é melhor</t>
        </is>
      </c>
      <c r="F24" t="inlineStr">
        <is>
          <t>Linear</t>
        </is>
      </c>
      <c r="G24" t="n">
        <v>2025</v>
      </c>
      <c r="H24" s="5" t="n">
        <v>28070</v>
      </c>
      <c r="K24" s="5" t="n">
        <v>28070</v>
      </c>
      <c r="L24" s="5" t="n">
        <v>28524</v>
      </c>
      <c r="M24" s="5" t="n">
        <v>28978</v>
      </c>
      <c r="N24" s="5" t="n">
        <v>28978</v>
      </c>
      <c r="O24" t="inlineStr">
        <is>
          <t>Derivada: extensão linear da trajectória planeada 2022-2025</t>
        </is>
      </c>
      <c r="P24" t="inlineStr">
        <is>
          <t>Em curso</t>
        </is>
      </c>
    </row>
    <row r="25">
      <c r="A25" t="inlineStr">
        <is>
          <t>IMP-educacao_e_formacao_profissional-estudantes_matriculados_no_ensino_superior_cumulativo</t>
        </is>
      </c>
      <c r="B25" t="inlineStr">
        <is>
          <t>Educação e Formação Profissional</t>
        </is>
      </c>
      <c r="C25" t="inlineStr">
        <is>
          <t>Estudantes matriculados no Ensino Superior (cumulativo)</t>
        </is>
      </c>
      <c r="D25" t="inlineStr">
        <is>
          <t>N.º</t>
        </is>
      </c>
      <c r="E25" t="inlineStr">
        <is>
          <t>Maior é melhor</t>
        </is>
      </c>
      <c r="F25" t="inlineStr">
        <is>
          <t>Linear</t>
        </is>
      </c>
      <c r="G25" t="n">
        <v>2025</v>
      </c>
      <c r="H25" s="5" t="n">
        <v>329548</v>
      </c>
      <c r="K25" s="5" t="n">
        <v>329548</v>
      </c>
      <c r="L25" s="5" t="n">
        <v>401108.3333333333</v>
      </c>
      <c r="M25" s="5" t="n">
        <v>472668.6666666666</v>
      </c>
      <c r="N25" s="5" t="n">
        <v>472668.6666666666</v>
      </c>
      <c r="O25" t="inlineStr">
        <is>
          <t>Derivada: extensão linear da trajectória planeada 2022-2025</t>
        </is>
      </c>
      <c r="P25" t="inlineStr">
        <is>
          <t>Em curso</t>
        </is>
      </c>
    </row>
    <row r="26">
      <c r="A26" t="inlineStr">
        <is>
          <t>IMP-infraestruturas_habitacao_e_servicos_comunitarios-estradas_nacionais_reabilitadas_cumulativo</t>
        </is>
      </c>
      <c r="B26" t="inlineStr">
        <is>
          <t>Infraestruturas, Habitação e Serviços Comunitários</t>
        </is>
      </c>
      <c r="C26" t="inlineStr">
        <is>
          <t>Estradas Nacionais reabilitadas (cumulativo)</t>
        </is>
      </c>
      <c r="D26" t="inlineStr">
        <is>
          <t>Km</t>
        </is>
      </c>
      <c r="E26" t="inlineStr">
        <is>
          <t>Maior é melhor</t>
        </is>
      </c>
      <c r="F26" t="inlineStr">
        <is>
          <t>Linear</t>
        </is>
      </c>
      <c r="G26" t="n">
        <v>2025</v>
      </c>
      <c r="H26" s="5" t="n">
        <v>10338.64</v>
      </c>
      <c r="K26" s="5" t="n">
        <v>10338.64</v>
      </c>
      <c r="L26" s="5" t="n">
        <v>10697.98666666667</v>
      </c>
      <c r="M26" s="5" t="n">
        <v>11057.33333333333</v>
      </c>
      <c r="N26" s="5" t="n">
        <v>11057.33333333333</v>
      </c>
      <c r="O26" t="inlineStr">
        <is>
          <t>Derivada: extensão linear da trajectória planeada 2022-2025</t>
        </is>
      </c>
      <c r="P26" t="inlineStr">
        <is>
          <t>Em curso</t>
        </is>
      </c>
    </row>
    <row r="27">
      <c r="A27" t="inlineStr">
        <is>
          <t>IMP-infraestruturas_habitacao_e_servicos_comunitarios-equipamentos_sociais_construidos_ou_reabilitados_cumulativo</t>
        </is>
      </c>
      <c r="B27" t="inlineStr">
        <is>
          <t>Infraestruturas, Habitação e Serviços Comunitários</t>
        </is>
      </c>
      <c r="C27" t="inlineStr">
        <is>
          <t>Equipamentos sociais construídos ou reabilitados (cumulativo)</t>
        </is>
      </c>
      <c r="D27" t="inlineStr">
        <is>
          <t>N.º</t>
        </is>
      </c>
      <c r="E27" t="inlineStr">
        <is>
          <t>Maior é melhor</t>
        </is>
      </c>
      <c r="F27" t="inlineStr">
        <is>
          <t>Linear</t>
        </is>
      </c>
      <c r="G27" t="n">
        <v>2025</v>
      </c>
      <c r="H27" s="4" t="n">
        <v>204</v>
      </c>
      <c r="K27" s="4" t="n">
        <v>204</v>
      </c>
      <c r="L27" s="4" t="n">
        <v>719.1666666666666</v>
      </c>
      <c r="M27" s="5" t="n">
        <v>1234.333333333333</v>
      </c>
      <c r="N27" s="5" t="n">
        <v>1234.333333333333</v>
      </c>
      <c r="O27" t="inlineStr">
        <is>
          <t>Derivada: extensão linear da trajectória planeada 2022-2025</t>
        </is>
      </c>
      <c r="P27" t="inlineStr">
        <is>
          <t>Em curso</t>
        </is>
      </c>
    </row>
    <row r="28">
      <c r="A28" t="inlineStr">
        <is>
          <t>IMP-infraestruturas_habitacao_e_servicos_comunitarios-construcao_e_reabilitacao_de_pontes_cumulativo</t>
        </is>
      </c>
      <c r="B28" t="inlineStr">
        <is>
          <t>Infraestruturas, Habitação e Serviços Comunitários</t>
        </is>
      </c>
      <c r="C28" t="inlineStr">
        <is>
          <t>Construção e reabilitação de pontes (cumulativo)</t>
        </is>
      </c>
      <c r="D28" t="inlineStr">
        <is>
          <t>M</t>
        </is>
      </c>
      <c r="E28" t="inlineStr">
        <is>
          <t>Maior é melhor</t>
        </is>
      </c>
      <c r="F28" t="inlineStr">
        <is>
          <t>Linear</t>
        </is>
      </c>
      <c r="G28" t="n">
        <v>2025</v>
      </c>
      <c r="H28" s="5" t="n">
        <v>5950.5</v>
      </c>
      <c r="K28" s="5" t="n">
        <v>5950.5</v>
      </c>
      <c r="L28" s="5" t="n">
        <v>10100.25</v>
      </c>
      <c r="M28" s="5" t="n">
        <v>14250</v>
      </c>
      <c r="N28" s="5" t="n">
        <v>14250</v>
      </c>
      <c r="O28" t="inlineStr">
        <is>
          <t>Derivada: extensão linear da trajectória planeada 2022-2025</t>
        </is>
      </c>
      <c r="P28" t="inlineStr">
        <is>
          <t>Em curso</t>
        </is>
      </c>
    </row>
    <row r="29">
      <c r="A29" t="inlineStr">
        <is>
          <t>IMP-infraestruturas_habitacao_e_servicos_comunitarios-taxa_de_electrificacao</t>
        </is>
      </c>
      <c r="B29" t="inlineStr">
        <is>
          <t>Infraestruturas, Habitação e Serviços Comunitários</t>
        </is>
      </c>
      <c r="C29" t="inlineStr">
        <is>
          <t>Taxa de electrificação</t>
        </is>
      </c>
      <c r="D29" t="inlineStr">
        <is>
          <t>% da população</t>
        </is>
      </c>
      <c r="E29" t="inlineStr">
        <is>
          <t>Maior é melhor</t>
        </is>
      </c>
      <c r="F29" t="inlineStr">
        <is>
          <t>Linear</t>
        </is>
      </c>
      <c r="G29" t="n">
        <v>2025</v>
      </c>
      <c r="H29" s="4" t="n">
        <v>48</v>
      </c>
      <c r="K29" s="4" t="n">
        <v>48</v>
      </c>
      <c r="L29" s="4" t="n">
        <v>48.5</v>
      </c>
      <c r="M29" s="4" t="n">
        <v>49</v>
      </c>
      <c r="N29" s="4" t="n">
        <v>49</v>
      </c>
      <c r="O29" t="inlineStr">
        <is>
          <t>Meta PDN 2027 publicada (p. 104)</t>
        </is>
      </c>
      <c r="P29" t="inlineStr">
        <is>
          <t>Em curso</t>
        </is>
      </c>
    </row>
    <row r="30">
      <c r="A30" t="inlineStr">
        <is>
          <t>IMP-infraestruturas_habitacao_e_servicos_comunitarios-numero_de_ligacoes_cumulativo</t>
        </is>
      </c>
      <c r="B30" t="inlineStr">
        <is>
          <t>Infraestruturas, Habitação e Serviços Comunitários</t>
        </is>
      </c>
      <c r="C30" t="inlineStr">
        <is>
          <t>Número de ligações (cumulativo)</t>
        </is>
      </c>
      <c r="D30" t="inlineStr">
        <is>
          <t>Milhões</t>
        </is>
      </c>
      <c r="E30" t="inlineStr">
        <is>
          <t>Maior é melhor</t>
        </is>
      </c>
      <c r="F30" t="inlineStr">
        <is>
          <t>Linear</t>
        </is>
      </c>
      <c r="G30" t="n">
        <v>2025</v>
      </c>
      <c r="H30" s="4" t="n">
        <v>2</v>
      </c>
      <c r="K30" s="4" t="n">
        <v>2</v>
      </c>
      <c r="L30" s="4" t="n">
        <v>2.833333333333333</v>
      </c>
      <c r="M30" s="4" t="n">
        <v>3.666666666666667</v>
      </c>
      <c r="N30" s="4" t="n">
        <v>3.666666666666667</v>
      </c>
      <c r="O30" t="inlineStr">
        <is>
          <t>Derivada: extensão linear da trajectória planeada 2022-2025</t>
        </is>
      </c>
      <c r="P30" t="inlineStr">
        <is>
          <t>Em curso</t>
        </is>
      </c>
    </row>
    <row r="31">
      <c r="A31" t="inlineStr">
        <is>
          <t>IMP-infraestruturas_habitacao_e_servicos_comunitarios-numero_de_sedes_municipais_com_distribuicao_de_energia_pela_ende</t>
        </is>
      </c>
      <c r="B31" t="inlineStr">
        <is>
          <t>Infraestruturas, Habitação e Serviços Comunitários</t>
        </is>
      </c>
      <c r="C31" t="inlineStr">
        <is>
          <t>Número de sedes municipais com distribuição de energia pela ENDE</t>
        </is>
      </c>
      <c r="D31" t="inlineStr">
        <is>
          <t>N.º</t>
        </is>
      </c>
      <c r="E31" t="inlineStr">
        <is>
          <t>Maior é melhor</t>
        </is>
      </c>
      <c r="F31" t="inlineStr">
        <is>
          <t>Geométrica (CAGR)</t>
        </is>
      </c>
      <c r="G31" t="n">
        <v>2025</v>
      </c>
      <c r="H31" s="4" t="n">
        <v>96</v>
      </c>
      <c r="K31" s="4" t="n">
        <v>96</v>
      </c>
      <c r="L31" s="4" t="n">
        <v>97.23541030022869</v>
      </c>
      <c r="M31" s="4" t="n">
        <v>98.48671891931065</v>
      </c>
      <c r="N31" s="4" t="n">
        <v>98.48671891931065</v>
      </c>
      <c r="O31" t="inlineStr">
        <is>
          <t>Derivada: extensão geométrica da trajectória planeada 2022-2025</t>
        </is>
      </c>
      <c r="P31" t="inlineStr">
        <is>
          <t>Em curso</t>
        </is>
      </c>
    </row>
    <row r="32">
      <c r="A32" t="inlineStr">
        <is>
          <t>IMP-infraestruturas_habitacao_e_servicos_comunitarios-de_producao_total_de_energia_de_fontes_renovaveis</t>
        </is>
      </c>
      <c r="B32" t="inlineStr">
        <is>
          <t>Infraestruturas, Habitação e Serviços Comunitários</t>
        </is>
      </c>
      <c r="C32" t="inlineStr">
        <is>
          <t>% de produção total de energia de fontes renováveis</t>
        </is>
      </c>
      <c r="D32" t="inlineStr">
        <is>
          <t>%</t>
        </is>
      </c>
      <c r="E32" t="inlineStr">
        <is>
          <t>Maior é melhor</t>
        </is>
      </c>
      <c r="F32" t="inlineStr">
        <is>
          <t>Linear</t>
        </is>
      </c>
      <c r="G32" t="n">
        <v>2025</v>
      </c>
      <c r="H32" s="4" t="n">
        <v>66</v>
      </c>
      <c r="K32" s="4" t="n">
        <v>66</v>
      </c>
      <c r="L32" s="4" t="n">
        <v>69.5</v>
      </c>
      <c r="M32" s="4" t="n">
        <v>73</v>
      </c>
      <c r="N32" s="4" t="n">
        <v>73</v>
      </c>
      <c r="O32" t="inlineStr">
        <is>
          <t>Meta PDN 2027 publicada (p. 104)</t>
        </is>
      </c>
      <c r="P32" t="inlineStr">
        <is>
          <t>Em curso</t>
        </is>
      </c>
    </row>
    <row r="33">
      <c r="A33" t="inlineStr">
        <is>
          <t>IMP-infraestruturas_habitacao_e_servicos_comunitarios-potencia_instalada_proveniente_de_fontes_renovaveis</t>
        </is>
      </c>
      <c r="B33" t="inlineStr">
        <is>
          <t>Infraestruturas, Habitação e Serviços Comunitários</t>
        </is>
      </c>
      <c r="C33" t="inlineStr">
        <is>
          <t>Potência instalada proveniente de fontes renováveis</t>
        </is>
      </c>
      <c r="D33" t="inlineStr">
        <is>
          <t>GW</t>
        </is>
      </c>
      <c r="E33" t="inlineStr">
        <is>
          <t>Maior é melhor</t>
        </is>
      </c>
      <c r="F33" t="inlineStr">
        <is>
          <t>Geométrica (CAGR)</t>
        </is>
      </c>
      <c r="G33" t="n">
        <v>2025</v>
      </c>
      <c r="H33" s="4" t="n">
        <v>4</v>
      </c>
      <c r="K33" s="4" t="n">
        <v>4</v>
      </c>
      <c r="L33" s="4" t="n">
        <v>4</v>
      </c>
      <c r="M33" s="4" t="n">
        <v>4</v>
      </c>
      <c r="N33" s="4" t="n">
        <v>4</v>
      </c>
      <c r="O33" t="inlineStr">
        <is>
          <t>Derivada: Meta MINPLAN 2025 mantida constante até 2027</t>
        </is>
      </c>
      <c r="P33" t="inlineStr">
        <is>
          <t>Meta 2027 já atingida</t>
        </is>
      </c>
    </row>
    <row r="34">
      <c r="A34" t="inlineStr">
        <is>
          <t>IMP-infraestruturas_habitacao_e_servicos_comunitarios-quantidade_de_agua_tratada_cumulativo</t>
        </is>
      </c>
      <c r="B34" t="inlineStr">
        <is>
          <t>Infraestruturas, Habitação e Serviços Comunitários</t>
        </is>
      </c>
      <c r="C34" t="inlineStr">
        <is>
          <t>Quantidade de água tratada (cumulativo)</t>
        </is>
      </c>
      <c r="D34" t="inlineStr">
        <is>
          <t>Mm³/d</t>
        </is>
      </c>
      <c r="E34" t="inlineStr">
        <is>
          <t>Maior é melhor</t>
        </is>
      </c>
      <c r="F34" t="inlineStr">
        <is>
          <t>Linear</t>
        </is>
      </c>
      <c r="G34" t="n">
        <v>2025</v>
      </c>
      <c r="H34" s="5" t="n">
        <v>1325</v>
      </c>
      <c r="K34" s="5" t="n">
        <v>1325</v>
      </c>
      <c r="L34" s="5" t="n">
        <v>1580.833333333333</v>
      </c>
      <c r="M34" s="5" t="n">
        <v>1836.666666666667</v>
      </c>
      <c r="N34" s="5" t="n">
        <v>1836.666666666667</v>
      </c>
      <c r="O34" t="inlineStr">
        <is>
          <t>Derivada: extensão linear da trajectória planeada 2022-2025</t>
        </is>
      </c>
      <c r="P34" t="inlineStr">
        <is>
          <t>Em curso</t>
        </is>
      </c>
    </row>
    <row r="35">
      <c r="A35" t="inlineStr">
        <is>
          <t>IMP-fomento_a_producao-toneladas_de_carne_produzidas</t>
        </is>
      </c>
      <c r="B35" t="inlineStr">
        <is>
          <t>Fomento à Produção</t>
        </is>
      </c>
      <c r="C35" t="inlineStr">
        <is>
          <t>Toneladas de carne produzidas</t>
        </is>
      </c>
      <c r="D35" t="inlineStr">
        <is>
          <t>Toneladas</t>
        </is>
      </c>
      <c r="E35" t="inlineStr">
        <is>
          <t>Maior é melhor</t>
        </is>
      </c>
      <c r="F35" t="inlineStr">
        <is>
          <t>Geométrica (CAGR)</t>
        </is>
      </c>
      <c r="G35" t="n">
        <v>2025</v>
      </c>
      <c r="H35" s="5" t="n">
        <v>357668</v>
      </c>
      <c r="K35" s="5" t="n">
        <v>357668</v>
      </c>
      <c r="L35" s="5" t="n">
        <v>530888.2971021305</v>
      </c>
      <c r="M35" s="5" t="n">
        <v>788000</v>
      </c>
      <c r="N35" s="5" t="n">
        <v>788000</v>
      </c>
      <c r="O35" t="inlineStr">
        <is>
          <t>Meta PDN 2027 publicada (p. 138): 788 mil t convertidas para toneladas</t>
        </is>
      </c>
      <c r="P35" t="inlineStr">
        <is>
          <t>Em curso</t>
        </is>
      </c>
    </row>
    <row r="36">
      <c r="A36" t="inlineStr">
        <is>
          <t>IMP-fomento_a_producao-toneladas_de_raizes_e_tuberculos_produzidas</t>
        </is>
      </c>
      <c r="B36" t="inlineStr">
        <is>
          <t>Fomento à Produção</t>
        </is>
      </c>
      <c r="C36" t="inlineStr">
        <is>
          <t>Toneladas de raízes e tubérculos produzidas</t>
        </is>
      </c>
      <c r="D36" t="inlineStr">
        <is>
          <t>Toneladas</t>
        </is>
      </c>
      <c r="E36" t="inlineStr">
        <is>
          <t>Maior é melhor</t>
        </is>
      </c>
      <c r="F36" t="inlineStr">
        <is>
          <t>Geométrica (CAGR)</t>
        </is>
      </c>
      <c r="G36" t="n">
        <v>2025</v>
      </c>
      <c r="H36" s="5" t="n">
        <v>16131827</v>
      </c>
      <c r="K36" s="5" t="n">
        <v>16131827</v>
      </c>
      <c r="L36" s="5" t="n">
        <v>18421673.6573654</v>
      </c>
      <c r="M36" s="5" t="n">
        <v>21036554.65301421</v>
      </c>
      <c r="N36" s="5" t="n">
        <v>21036554.65301421</v>
      </c>
      <c r="O36" t="inlineStr">
        <is>
          <t>Derivada: extensão geométrica da trajectória planeada 2022-2025</t>
        </is>
      </c>
      <c r="P36" t="inlineStr">
        <is>
          <t>Em curso</t>
        </is>
      </c>
    </row>
    <row r="37">
      <c r="A37" t="inlineStr">
        <is>
          <t>IMP-fomento_a_producao-toneladas_de_fruta_produzidas</t>
        </is>
      </c>
      <c r="B37" t="inlineStr">
        <is>
          <t>Fomento à Produção</t>
        </is>
      </c>
      <c r="C37" t="inlineStr">
        <is>
          <t>Toneladas de fruta produzidas</t>
        </is>
      </c>
      <c r="D37" t="inlineStr">
        <is>
          <t>Toneladas</t>
        </is>
      </c>
      <c r="E37" t="inlineStr">
        <is>
          <t>Maior é melhor</t>
        </is>
      </c>
      <c r="F37" t="inlineStr">
        <is>
          <t>Geométrica (CAGR)</t>
        </is>
      </c>
      <c r="G37" t="n">
        <v>2025</v>
      </c>
      <c r="H37" s="5" t="n">
        <v>7278221</v>
      </c>
      <c r="K37" s="5" t="n">
        <v>7278221</v>
      </c>
      <c r="L37" s="5" t="n">
        <v>8232119.241769799</v>
      </c>
      <c r="M37" s="5" t="n">
        <v>9311037.300284859</v>
      </c>
      <c r="N37" s="5" t="n">
        <v>9311037.300284859</v>
      </c>
      <c r="O37" t="inlineStr">
        <is>
          <t>Derivada: extensão geométrica da trajectória planeada 2022-2025</t>
        </is>
      </c>
      <c r="P37" t="inlineStr">
        <is>
          <t>Em curso</t>
        </is>
      </c>
    </row>
    <row r="38">
      <c r="A38" t="inlineStr">
        <is>
          <t>IMP-fomento_a_producao-toneladas_de_cereais_produzidas</t>
        </is>
      </c>
      <c r="B38" t="inlineStr">
        <is>
          <t>Fomento à Produção</t>
        </is>
      </c>
      <c r="C38" t="inlineStr">
        <is>
          <t>Toneladas de cereais produzidas</t>
        </is>
      </c>
      <c r="D38" t="inlineStr">
        <is>
          <t>Toneladas</t>
        </is>
      </c>
      <c r="E38" t="inlineStr">
        <is>
          <t>Maior é melhor</t>
        </is>
      </c>
      <c r="F38" t="inlineStr">
        <is>
          <t>Geométrica (CAGR)</t>
        </is>
      </c>
      <c r="G38" t="n">
        <v>2025</v>
      </c>
      <c r="H38" s="5" t="n">
        <v>3763948</v>
      </c>
      <c r="K38" s="5" t="n">
        <v>3763948</v>
      </c>
      <c r="L38" s="5" t="n">
        <v>7381752.209646205</v>
      </c>
      <c r="M38" s="5" t="n">
        <v>14476891.20163632</v>
      </c>
      <c r="N38" s="5" t="n">
        <v>14476891.20163632</v>
      </c>
      <c r="O38" t="inlineStr">
        <is>
          <t>Derivada: extensão geométrica da trajectória planeada 2022-2025</t>
        </is>
      </c>
      <c r="P38" t="inlineStr">
        <is>
          <t>Em curso</t>
        </is>
      </c>
    </row>
    <row r="39">
      <c r="A39" t="inlineStr">
        <is>
          <t>IMP-fomento_a_producao-toneladas_de_horticolas_produzidas</t>
        </is>
      </c>
      <c r="B39" t="inlineStr">
        <is>
          <t>Fomento à Produção</t>
        </is>
      </c>
      <c r="C39" t="inlineStr">
        <is>
          <t>Toneladas de hortícolas produzidas</t>
        </is>
      </c>
      <c r="D39" t="inlineStr">
        <is>
          <t>Toneladas</t>
        </is>
      </c>
      <c r="E39" t="inlineStr">
        <is>
          <t>Maior é melhor</t>
        </is>
      </c>
      <c r="F39" t="inlineStr">
        <is>
          <t>Geométrica (CAGR)</t>
        </is>
      </c>
      <c r="G39" t="n">
        <v>2025</v>
      </c>
      <c r="H39" s="5" t="n">
        <v>2552238</v>
      </c>
      <c r="K39" s="5" t="n">
        <v>2552238</v>
      </c>
      <c r="L39" s="5" t="n">
        <v>2616323.378476789</v>
      </c>
      <c r="M39" s="5" t="n">
        <v>2682017.907720284</v>
      </c>
      <c r="N39" s="5" t="n">
        <v>2682017.907720284</v>
      </c>
      <c r="O39" t="inlineStr">
        <is>
          <t>Derivada: extensão geométrica da trajectória planeada 2022-2025</t>
        </is>
      </c>
      <c r="P39" t="inlineStr">
        <is>
          <t>Em curso</t>
        </is>
      </c>
    </row>
    <row r="40">
      <c r="A40" t="inlineStr">
        <is>
          <t>IMP-fomento_a_producao-ovos_produzidos</t>
        </is>
      </c>
      <c r="B40" t="inlineStr">
        <is>
          <t>Fomento à Produção</t>
        </is>
      </c>
      <c r="C40" t="inlineStr">
        <is>
          <t>Ovos produzidos</t>
        </is>
      </c>
      <c r="D40" t="inlineStr">
        <is>
          <t>Milhões</t>
        </is>
      </c>
      <c r="E40" t="inlineStr">
        <is>
          <t>Maior é melhor</t>
        </is>
      </c>
      <c r="F40" t="inlineStr">
        <is>
          <t>Geométrica (CAGR)</t>
        </is>
      </c>
      <c r="G40" t="n">
        <v>2025</v>
      </c>
      <c r="H40" s="5" t="n">
        <v>2545</v>
      </c>
      <c r="K40" s="5" t="n">
        <v>2545</v>
      </c>
      <c r="L40" s="5" t="n">
        <v>2848.916209490791</v>
      </c>
      <c r="M40" s="5" t="n">
        <v>3189.125174341601</v>
      </c>
      <c r="N40" s="5" t="n">
        <v>3189.125174341601</v>
      </c>
      <c r="O40" t="inlineStr">
        <is>
          <t>Derivada: extensão geométrica da trajectória planeada 2022-2025</t>
        </is>
      </c>
      <c r="P40" t="inlineStr">
        <is>
          <t>Em curso</t>
        </is>
      </c>
    </row>
    <row r="41">
      <c r="A41" t="inlineStr">
        <is>
          <t>IMP-fomento_a_producao-litros_de_leite_produzidos</t>
        </is>
      </c>
      <c r="B41" t="inlineStr">
        <is>
          <t>Fomento à Produção</t>
        </is>
      </c>
      <c r="C41" t="inlineStr">
        <is>
          <t>Litros de leite produzidos</t>
        </is>
      </c>
      <c r="D41" t="inlineStr">
        <is>
          <t>Milhões de Litros</t>
        </is>
      </c>
      <c r="E41" t="inlineStr">
        <is>
          <t>Maior é melhor</t>
        </is>
      </c>
      <c r="F41" t="inlineStr">
        <is>
          <t>Geométrica (CAGR)</t>
        </is>
      </c>
      <c r="G41" t="n">
        <v>2025</v>
      </c>
      <c r="H41" s="4" t="n">
        <v>6</v>
      </c>
      <c r="K41" s="4" t="n">
        <v>6</v>
      </c>
      <c r="L41" s="4" t="n">
        <v>10.69078461768407</v>
      </c>
      <c r="M41" s="4" t="n">
        <v>19.0488126236184</v>
      </c>
      <c r="N41" s="4" t="n">
        <v>19.0488126236184</v>
      </c>
      <c r="O41" t="inlineStr">
        <is>
          <t>Derivada: extensão geométrica da trajectória planeada 2022-2025</t>
        </is>
      </c>
      <c r="P41" t="inlineStr">
        <is>
          <t>Em curso</t>
        </is>
      </c>
    </row>
    <row r="42">
      <c r="A42" t="inlineStr">
        <is>
          <t>IMP-fomento_a_producao-unidades_industriais_no_subsector_da_industria_pesqueira_e_de_transformacao_de_carne_instaladas_cumulativo</t>
        </is>
      </c>
      <c r="B42" t="inlineStr">
        <is>
          <t>Fomento à Produção</t>
        </is>
      </c>
      <c r="C42" t="inlineStr">
        <is>
          <t>Unidades industriais no subsector da indústria pesqueira e de transformação de carne instaladas (cumulativo)</t>
        </is>
      </c>
      <c r="D42" t="inlineStr">
        <is>
          <t>N.º</t>
        </is>
      </c>
      <c r="E42" t="inlineStr">
        <is>
          <t>Maior é melhor</t>
        </is>
      </c>
      <c r="F42" t="inlineStr">
        <is>
          <t>Linear</t>
        </is>
      </c>
      <c r="G42" t="n">
        <v>2025</v>
      </c>
      <c r="H42" s="4" t="n">
        <v>93</v>
      </c>
      <c r="K42" s="4" t="n">
        <v>93</v>
      </c>
      <c r="L42" s="4" t="n">
        <v>68.5</v>
      </c>
      <c r="M42" s="4" t="n">
        <v>44</v>
      </c>
      <c r="N42" s="4" t="n">
        <v>44</v>
      </c>
      <c r="O42" t="inlineStr">
        <is>
          <t>Derivada: extensão linear da trajectória planeada 2022-2025</t>
        </is>
      </c>
      <c r="P42" t="inlineStr">
        <is>
          <t>Meta 2027 já atingida</t>
        </is>
      </c>
    </row>
    <row r="43">
      <c r="A43" t="inlineStr">
        <is>
          <t>IMP-fomento_a_producao-toneladas_de_peixe_de_captura_industrial_e_semi_industrial_produzidas</t>
        </is>
      </c>
      <c r="B43" t="inlineStr">
        <is>
          <t>Fomento à Produção</t>
        </is>
      </c>
      <c r="C43" t="inlineStr">
        <is>
          <t>Toneladas de peixe de captura industrial e semi-industrial produzidas</t>
        </is>
      </c>
      <c r="D43" t="inlineStr">
        <is>
          <t>Milhares de Toneladas</t>
        </is>
      </c>
      <c r="E43" t="inlineStr">
        <is>
          <t>Maior é melhor</t>
        </is>
      </c>
      <c r="F43" t="inlineStr">
        <is>
          <t>Geométrica (CAGR)</t>
        </is>
      </c>
      <c r="G43" t="n">
        <v>2025</v>
      </c>
      <c r="H43" s="4" t="n">
        <v>273</v>
      </c>
      <c r="K43" s="4" t="n">
        <v>273</v>
      </c>
      <c r="L43" s="4" t="n">
        <v>318.8770286908555</v>
      </c>
      <c r="M43" s="4" t="n">
        <v>372.4635876436216</v>
      </c>
      <c r="N43" s="4" t="n">
        <v>372.4635876436216</v>
      </c>
      <c r="O43" t="inlineStr">
        <is>
          <t>Derivada: extensão geométrica da trajectória planeada 2022-2025</t>
        </is>
      </c>
      <c r="P43" t="inlineStr">
        <is>
          <t>Em curso</t>
        </is>
      </c>
    </row>
    <row r="44">
      <c r="A44" t="inlineStr">
        <is>
          <t>IMP-economico-taxa_de_crescimento_do_pib</t>
        </is>
      </c>
      <c r="B44" t="inlineStr">
        <is>
          <t>Económico</t>
        </is>
      </c>
      <c r="C44" t="inlineStr">
        <is>
          <t>Taxa de crescimento do PIB</t>
        </is>
      </c>
      <c r="D44" t="inlineStr">
        <is>
          <t>%</t>
        </is>
      </c>
      <c r="E44" t="inlineStr">
        <is>
          <t>Maior é melhor</t>
        </is>
      </c>
      <c r="F44" t="inlineStr">
        <is>
          <t>Linear</t>
        </is>
      </c>
      <c r="G44" t="n">
        <v>2025</v>
      </c>
      <c r="H44" s="4" t="n">
        <v>3</v>
      </c>
      <c r="K44" s="4" t="n">
        <v>3</v>
      </c>
      <c r="L44" s="4" t="n">
        <v>3</v>
      </c>
      <c r="M44" s="4" t="n">
        <v>3</v>
      </c>
      <c r="N44" s="4" t="n">
        <v>3</v>
      </c>
      <c r="O44" t="inlineStr">
        <is>
          <t>Trajectória média PDN 2023-2027 (p. 13); não é meta anual específica</t>
        </is>
      </c>
      <c r="P44" t="inlineStr">
        <is>
          <t>Meta 2027 já atingida</t>
        </is>
      </c>
    </row>
    <row r="45">
      <c r="A45" t="inlineStr">
        <is>
          <t>IMP-economico-taxa_de_crescimento_do_pib_nao_petrolifero</t>
        </is>
      </c>
      <c r="B45" t="inlineStr">
        <is>
          <t>Económico</t>
        </is>
      </c>
      <c r="C45" t="inlineStr">
        <is>
          <t>Taxa de crescimento do PIB não petrolífero</t>
        </is>
      </c>
      <c r="D45" t="inlineStr">
        <is>
          <t>%</t>
        </is>
      </c>
      <c r="E45" t="inlineStr">
        <is>
          <t>Maior é melhor</t>
        </is>
      </c>
      <c r="F45" t="inlineStr">
        <is>
          <t>Linear</t>
        </is>
      </c>
      <c r="G45" t="n">
        <v>2025</v>
      </c>
      <c r="H45" s="4" t="n">
        <v>5</v>
      </c>
      <c r="K45" s="4" t="n">
        <v>5</v>
      </c>
      <c r="L45" s="4" t="n">
        <v>4.8</v>
      </c>
      <c r="M45" s="4" t="n">
        <v>4.6</v>
      </c>
      <c r="N45" s="4" t="n">
        <v>4.6</v>
      </c>
      <c r="O45" t="inlineStr">
        <is>
          <t>Trajectória média PDN 2023-2027 (p. 13); não é meta anual específica</t>
        </is>
      </c>
      <c r="P45" t="inlineStr">
        <is>
          <t>Meta 2027 já atingida</t>
        </is>
      </c>
    </row>
    <row r="46">
      <c r="A46" t="inlineStr">
        <is>
          <t>IMP-economico-taxa_de_inflacao</t>
        </is>
      </c>
      <c r="B46" t="inlineStr">
        <is>
          <t>Económico</t>
        </is>
      </c>
      <c r="C46" t="inlineStr">
        <is>
          <t>Taxa de inflação</t>
        </is>
      </c>
      <c r="D46" t="inlineStr">
        <is>
          <t>%</t>
        </is>
      </c>
      <c r="E46" t="inlineStr">
        <is>
          <t>Menor é melhor</t>
        </is>
      </c>
      <c r="F46" t="inlineStr">
        <is>
          <t>Linear</t>
        </is>
      </c>
      <c r="G46" t="n">
        <v>2025</v>
      </c>
      <c r="H46" s="4" t="n">
        <v>16</v>
      </c>
      <c r="K46" s="4" t="n">
        <v>16</v>
      </c>
      <c r="L46" s="4" t="n">
        <v>17</v>
      </c>
      <c r="M46" s="4" t="n">
        <v>18</v>
      </c>
      <c r="N46" s="4" t="n">
        <v>18</v>
      </c>
      <c r="O46" t="inlineStr">
        <is>
          <t>Derivada: Meta MINPLAN 2025 mantida constante até 2027</t>
        </is>
      </c>
      <c r="P46" t="inlineStr">
        <is>
          <t>Meta 2027 já atingida</t>
        </is>
      </c>
    </row>
    <row r="47">
      <c r="A47" t="inlineStr">
        <is>
          <t>IMP-economico-taxa_de_desemprego</t>
        </is>
      </c>
      <c r="B47" t="inlineStr">
        <is>
          <t>Económico</t>
        </is>
      </c>
      <c r="C47" t="inlineStr">
        <is>
          <t>Taxa de Desemprego</t>
        </is>
      </c>
      <c r="D47" t="inlineStr">
        <is>
          <t>%</t>
        </is>
      </c>
      <c r="E47" t="inlineStr">
        <is>
          <t>Menor é melhor</t>
        </is>
      </c>
      <c r="F47" t="inlineStr">
        <is>
          <t>Linear</t>
        </is>
      </c>
      <c r="G47" t="n">
        <v>2025</v>
      </c>
      <c r="H47" s="4" t="n">
        <v>26.9</v>
      </c>
      <c r="K47" s="4" t="n">
        <v>26.9</v>
      </c>
      <c r="L47" s="4" t="n">
        <v>25.95</v>
      </c>
      <c r="M47" s="4" t="n">
        <v>25</v>
      </c>
      <c r="N47" s="4" t="n">
        <v>25</v>
      </c>
      <c r="O47" t="inlineStr">
        <is>
          <t>Meta PDN 2027 publicada (p. 13)</t>
        </is>
      </c>
      <c r="P47" t="inlineStr">
        <is>
          <t>Em curso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46" customWidth="1" min="3" max="3"/>
    <col width="18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52" customWidth="1" min="12" max="12"/>
  </cols>
  <sheetData>
    <row r="1">
      <c r="A1" s="3" t="inlineStr">
        <is>
          <t>ID</t>
        </is>
      </c>
      <c r="B1" s="3" t="inlineStr">
        <is>
          <t>Domínio</t>
        </is>
      </c>
      <c r="C1" s="3" t="inlineStr">
        <is>
          <t>Indicador</t>
        </is>
      </c>
      <c r="D1" s="3" t="inlineStr">
        <is>
          <t>Unidade</t>
        </is>
      </c>
      <c r="E1" s="3" t="inlineStr">
        <is>
          <t>Método</t>
        </is>
      </c>
      <c r="F1" s="3" t="inlineStr">
        <is>
          <t>2022</t>
        </is>
      </c>
      <c r="G1" s="3" t="inlineStr">
        <is>
          <t>2023</t>
        </is>
      </c>
      <c r="H1" s="3" t="inlineStr">
        <is>
          <t>2024</t>
        </is>
      </c>
      <c r="I1" s="3" t="inlineStr">
        <is>
          <t>2025</t>
        </is>
      </c>
      <c r="J1" s="3" t="inlineStr">
        <is>
          <t>2026</t>
        </is>
      </c>
      <c r="K1" s="3" t="inlineStr">
        <is>
          <t>2027</t>
        </is>
      </c>
      <c r="L1" s="3" t="inlineStr">
        <is>
          <t>Origem da Meta 2027</t>
        </is>
      </c>
    </row>
    <row r="2">
      <c r="A2" t="inlineStr">
        <is>
          <t>IMP-saude-taxa_de_cobertura_da_4_a_consulta_pre_natal</t>
        </is>
      </c>
      <c r="B2" t="inlineStr">
        <is>
          <t>Saúde</t>
        </is>
      </c>
      <c r="C2" t="inlineStr">
        <is>
          <t>Taxa de cobertura da 4.ª consulta pré-natal</t>
        </is>
      </c>
      <c r="D2" t="inlineStr">
        <is>
          <t>%</t>
        </is>
      </c>
      <c r="E2" t="inlineStr">
        <is>
          <t>Linear</t>
        </is>
      </c>
      <c r="F2" s="4" t="n">
        <v>44</v>
      </c>
      <c r="G2" s="4" t="n">
        <v>48</v>
      </c>
      <c r="H2" s="4" t="n">
        <v>52</v>
      </c>
      <c r="I2" s="4" t="n">
        <v>56</v>
      </c>
      <c r="J2" s="4" t="n">
        <v>60</v>
      </c>
      <c r="K2" s="4" t="n">
        <v>64</v>
      </c>
      <c r="L2" t="inlineStr">
        <is>
          <t>Derivada: extensão linear da trajectória planeada 2022-2025</t>
        </is>
      </c>
    </row>
    <row r="3">
      <c r="A3" t="inlineStr">
        <is>
          <t>IMP-saude-taxa_de_imunizacao_bcg</t>
        </is>
      </c>
      <c r="B3" t="inlineStr">
        <is>
          <t>Saúde</t>
        </is>
      </c>
      <c r="C3" t="inlineStr">
        <is>
          <t>Taxa de imunização BCG</t>
        </is>
      </c>
      <c r="D3" t="inlineStr">
        <is>
          <t>%</t>
        </is>
      </c>
      <c r="E3" t="inlineStr">
        <is>
          <t>Linear</t>
        </is>
      </c>
      <c r="F3" s="4" t="n">
        <v>79</v>
      </c>
      <c r="G3" s="4" t="n">
        <v>81.33333333333333</v>
      </c>
      <c r="H3" s="4" t="n">
        <v>83.66666666666667</v>
      </c>
      <c r="I3" s="4" t="n">
        <v>86</v>
      </c>
      <c r="J3" s="4" t="n">
        <v>88.33333333333334</v>
      </c>
      <c r="K3" s="4" t="n">
        <v>90.66666666666667</v>
      </c>
      <c r="L3" t="inlineStr">
        <is>
          <t>Derivada: extensão linear da trajectória planeada 2022-2025</t>
        </is>
      </c>
    </row>
    <row r="4">
      <c r="A4" t="inlineStr">
        <is>
          <t>IMP-saude-taxa_de_vacinacao_contra_o_sarampo</t>
        </is>
      </c>
      <c r="B4" t="inlineStr">
        <is>
          <t>Saúde</t>
        </is>
      </c>
      <c r="C4" t="inlineStr">
        <is>
          <t>Taxa de vacinação contra o sarampo</t>
        </is>
      </c>
      <c r="D4" t="inlineStr">
        <is>
          <t>%</t>
        </is>
      </c>
      <c r="E4" t="inlineStr">
        <is>
          <t>Linear</t>
        </is>
      </c>
      <c r="F4" s="4" t="n">
        <v>66</v>
      </c>
      <c r="G4" s="4" t="n">
        <v>70.66666666666667</v>
      </c>
      <c r="H4" s="4" t="n">
        <v>75.33333333333333</v>
      </c>
      <c r="I4" s="4" t="n">
        <v>80</v>
      </c>
      <c r="J4" s="4" t="n">
        <v>84.66666666666666</v>
      </c>
      <c r="K4" s="4" t="n">
        <v>89.33333333333333</v>
      </c>
      <c r="L4" t="inlineStr">
        <is>
          <t>Derivada: extensão linear da trajectória planeada 2022-2025</t>
        </is>
      </c>
    </row>
    <row r="5">
      <c r="A5" t="inlineStr">
        <is>
          <t>IMP-saude-taxa_de_incidencia_da_malaria</t>
        </is>
      </c>
      <c r="B5" t="inlineStr">
        <is>
          <t>Saúde</t>
        </is>
      </c>
      <c r="C5" t="inlineStr">
        <is>
          <t>Taxa de incidência da malária</t>
        </is>
      </c>
      <c r="D5" t="inlineStr">
        <is>
          <t>Por 1 000 habitantes</t>
        </is>
      </c>
      <c r="E5" t="inlineStr">
        <is>
          <t>Linear</t>
        </is>
      </c>
      <c r="F5" s="4" t="n">
        <v>255</v>
      </c>
      <c r="G5" s="4" t="n">
        <v>241.6666666666667</v>
      </c>
      <c r="H5" s="4" t="n">
        <v>228.3333333333333</v>
      </c>
      <c r="I5" s="4" t="n">
        <v>215</v>
      </c>
      <c r="J5" s="4" t="n">
        <v>201.6666666666667</v>
      </c>
      <c r="K5" s="4" t="n">
        <v>188.3333333333333</v>
      </c>
      <c r="L5" t="inlineStr">
        <is>
          <t>Derivada: extensão linear da trajectória planeada 2022-2025</t>
        </is>
      </c>
    </row>
    <row r="6">
      <c r="A6" t="inlineStr">
        <is>
          <t>IMP-saude-taxa_de_sucesso_do_tratamento_para_a_tuberculose</t>
        </is>
      </c>
      <c r="B6" t="inlineStr">
        <is>
          <t>Saúde</t>
        </is>
      </c>
      <c r="C6" t="inlineStr">
        <is>
          <t>Taxa de sucesso do tratamento para a tuberculose</t>
        </is>
      </c>
      <c r="D6" t="inlineStr">
        <is>
          <t>%</t>
        </is>
      </c>
      <c r="E6" t="inlineStr">
        <is>
          <t>Linear</t>
        </is>
      </c>
      <c r="F6" s="4" t="n">
        <v>70</v>
      </c>
      <c r="G6" s="4" t="n">
        <v>72</v>
      </c>
      <c r="H6" s="4" t="n">
        <v>74</v>
      </c>
      <c r="I6" s="4" t="n">
        <v>76</v>
      </c>
      <c r="J6" s="4" t="n">
        <v>78</v>
      </c>
      <c r="K6" s="4" t="n">
        <v>80</v>
      </c>
      <c r="L6" t="inlineStr">
        <is>
          <t>Derivada: extensão linear da trajectória planeada 2022-2025</t>
        </is>
      </c>
    </row>
    <row r="7">
      <c r="A7" t="inlineStr">
        <is>
          <t>IMP-saude-partos_institucionais_realizados_por_profissionais_qualificados</t>
        </is>
      </c>
      <c r="B7" t="inlineStr">
        <is>
          <t>Saúde</t>
        </is>
      </c>
      <c r="C7" t="inlineStr">
        <is>
          <t>Partos institucionais realizados por profissionais qualificados</t>
        </is>
      </c>
      <c r="D7" t="inlineStr">
        <is>
          <t>%</t>
        </is>
      </c>
      <c r="E7" t="inlineStr">
        <is>
          <t>Linear</t>
        </is>
      </c>
      <c r="F7" s="4" t="n">
        <v>34</v>
      </c>
      <c r="G7" s="4" t="n">
        <v>41.33333333333334</v>
      </c>
      <c r="H7" s="4" t="n">
        <v>48.66666666666666</v>
      </c>
      <c r="I7" s="4" t="n">
        <v>56</v>
      </c>
      <c r="J7" s="4" t="n">
        <v>63.33333333333333</v>
      </c>
      <c r="K7" s="4" t="n">
        <v>70.66666666666666</v>
      </c>
      <c r="L7" t="inlineStr">
        <is>
          <t>Derivada: extensão linear da trajectória planeada 2022-2025</t>
        </is>
      </c>
    </row>
    <row r="8">
      <c r="A8" t="inlineStr">
        <is>
          <t>IMP-proteccao_social-pessoas_integradas_em_actividades_geradoras_de_renda_cumulativo</t>
        </is>
      </c>
      <c r="B8" t="inlineStr">
        <is>
          <t>Protecção Social</t>
        </is>
      </c>
      <c r="C8" t="inlineStr">
        <is>
          <t>Pessoas integradas em actividades geradoras de renda (cumulativo)</t>
        </is>
      </c>
      <c r="D8" t="inlineStr">
        <is>
          <t>N.º</t>
        </is>
      </c>
      <c r="E8" t="inlineStr">
        <is>
          <t>Linear</t>
        </is>
      </c>
      <c r="F8" s="5" t="n">
        <v>37000</v>
      </c>
      <c r="G8" s="5" t="n">
        <v>57666.66666666667</v>
      </c>
      <c r="H8" s="5" t="n">
        <v>78333.33333333334</v>
      </c>
      <c r="I8" s="5" t="n">
        <v>99000</v>
      </c>
      <c r="J8" s="5" t="n">
        <v>119666.6666666667</v>
      </c>
      <c r="K8" s="5" t="n">
        <v>140333.3333333333</v>
      </c>
      <c r="L8" t="inlineStr">
        <is>
          <t>Derivada: extensão linear da trajectória planeada 2022-2025</t>
        </is>
      </c>
    </row>
    <row r="9">
      <c r="A9" t="inlineStr">
        <is>
          <t>IMP-proteccao_social-beneficiarios_de_transferencias_sociais_monetarias_cumulativo</t>
        </is>
      </c>
      <c r="B9" t="inlineStr">
        <is>
          <t>Protecção Social</t>
        </is>
      </c>
      <c r="C9" t="inlineStr">
        <is>
          <t>Beneficiários de transferências sociais monetárias (cumulativo)</t>
        </is>
      </c>
      <c r="D9" t="inlineStr">
        <is>
          <t>N.º</t>
        </is>
      </c>
      <c r="E9" t="inlineStr">
        <is>
          <t>Linear</t>
        </is>
      </c>
      <c r="F9" s="5" t="n">
        <v>610832</v>
      </c>
      <c r="G9" s="5" t="n">
        <v>1007221.333333333</v>
      </c>
      <c r="H9" s="5" t="n">
        <v>1403610.666666667</v>
      </c>
      <c r="I9" s="5" t="n">
        <v>1800000</v>
      </c>
      <c r="J9" s="5" t="n">
        <v>2196389.333333333</v>
      </c>
      <c r="K9" s="5" t="n">
        <v>2592778.666666667</v>
      </c>
      <c r="L9" t="inlineStr">
        <is>
          <t>Derivada: extensão linear da trajectória planeada 2022-2025</t>
        </is>
      </c>
    </row>
    <row r="10">
      <c r="A10" t="inlineStr">
        <is>
          <t>IMP-proteccao_social-familias_assistidas_com_cesta_basica_de_alimentos_cumulativo</t>
        </is>
      </c>
      <c r="B10" t="inlineStr">
        <is>
          <t>Protecção Social</t>
        </is>
      </c>
      <c r="C10" t="inlineStr">
        <is>
          <t>Famílias assistidas com cesta básica de alimentos (cumulativo)</t>
        </is>
      </c>
      <c r="D10" t="inlineStr">
        <is>
          <t>N.º</t>
        </is>
      </c>
      <c r="E10" t="inlineStr">
        <is>
          <t>Linear</t>
        </is>
      </c>
      <c r="F10" s="5" t="n">
        <v>23070</v>
      </c>
      <c r="G10" s="5" t="n">
        <v>43046.66666666667</v>
      </c>
      <c r="H10" s="5" t="n">
        <v>63023.33333333334</v>
      </c>
      <c r="I10" s="5" t="n">
        <v>83000</v>
      </c>
      <c r="J10" s="5" t="n">
        <v>102976.6666666667</v>
      </c>
      <c r="K10" s="5" t="n">
        <v>122953.3333333333</v>
      </c>
      <c r="L10" t="inlineStr">
        <is>
          <t>Derivada: extensão linear da trajectória planeada 2022-2025</t>
        </is>
      </c>
    </row>
    <row r="11">
      <c r="A11" t="inlineStr">
        <is>
          <t>IMP-comunicacao-numero_de_assinantes_de_internet</t>
        </is>
      </c>
      <c r="B11" t="inlineStr">
        <is>
          <t>Comunicação</t>
        </is>
      </c>
      <c r="C11" t="inlineStr">
        <is>
          <t>Número de assinantes de Internet</t>
        </is>
      </c>
      <c r="D11" t="inlineStr">
        <is>
          <t>N.º/100 habitantes</t>
        </is>
      </c>
      <c r="E11" t="inlineStr">
        <is>
          <t>Linear</t>
        </is>
      </c>
      <c r="F11" s="4" t="n">
        <v>30</v>
      </c>
      <c r="G11" s="4" t="n">
        <v>34</v>
      </c>
      <c r="H11" s="4" t="n">
        <v>38</v>
      </c>
      <c r="I11" s="4" t="n">
        <v>42</v>
      </c>
      <c r="J11" s="4" t="n">
        <v>46</v>
      </c>
      <c r="K11" s="4" t="n">
        <v>50</v>
      </c>
      <c r="L11" t="inlineStr">
        <is>
          <t>Derivada: extensão linear da trajectória planeada 2022-2025</t>
        </is>
      </c>
    </row>
    <row r="12">
      <c r="A12" t="inlineStr">
        <is>
          <t>IMP-comunicacao-numero_de_assinantes_de_servicos_moveis</t>
        </is>
      </c>
      <c r="B12" t="inlineStr">
        <is>
          <t>Comunicação</t>
        </is>
      </c>
      <c r="C12" t="inlineStr">
        <is>
          <t>Número de assinantes de serviços móveis</t>
        </is>
      </c>
      <c r="D12" t="inlineStr">
        <is>
          <t>N.º/100 habitantes</t>
        </is>
      </c>
      <c r="E12" t="inlineStr">
        <is>
          <t>Linear</t>
        </is>
      </c>
      <c r="F12" s="4" t="n">
        <v>72</v>
      </c>
      <c r="G12" s="4" t="n">
        <v>74.33333333333333</v>
      </c>
      <c r="H12" s="4" t="n">
        <v>76.66666666666667</v>
      </c>
      <c r="I12" s="4" t="n">
        <v>79</v>
      </c>
      <c r="J12" s="4" t="n">
        <v>81.33333333333334</v>
      </c>
      <c r="K12" s="4" t="n">
        <v>83.66666666666667</v>
      </c>
      <c r="L12" t="inlineStr">
        <is>
          <t>Derivada: extensão linear da trajectória planeada 2022-2025</t>
        </is>
      </c>
    </row>
    <row r="13">
      <c r="A13" t="inlineStr">
        <is>
          <t>IMP-educacao_e_formacao_profissional-salas_de_aula_do_ensino_primario_cumulativo</t>
        </is>
      </c>
      <c r="B13" t="inlineStr">
        <is>
          <t>Educação e Formação Profissional</t>
        </is>
      </c>
      <c r="C13" t="inlineStr">
        <is>
          <t>Salas de aula do Ensino Primário (cumulativo)</t>
        </is>
      </c>
      <c r="D13" t="inlineStr">
        <is>
          <t>N.º</t>
        </is>
      </c>
      <c r="E13" t="inlineStr">
        <is>
          <t>Linear</t>
        </is>
      </c>
      <c r="F13" s="5" t="n">
        <v>60004</v>
      </c>
      <c r="G13" s="5" t="n">
        <v>60008.66666666666</v>
      </c>
      <c r="H13" s="5" t="n">
        <v>60013.33333333334</v>
      </c>
      <c r="I13" s="5" t="n">
        <v>60018</v>
      </c>
      <c r="J13" s="5" t="n">
        <v>60022.66666666667</v>
      </c>
      <c r="K13" s="5" t="n">
        <v>60027.33333333334</v>
      </c>
      <c r="L13" t="inlineStr">
        <is>
          <t>Derivada: extensão linear da trajectória planeada 2022-2025</t>
        </is>
      </c>
    </row>
    <row r="14">
      <c r="A14" t="inlineStr">
        <is>
          <t>IMP-educacao_e_formacao_profissional-salas_de_aula_do_i_ciclo_do_ensino_secundario_cumulativo</t>
        </is>
      </c>
      <c r="B14" t="inlineStr">
        <is>
          <t>Educação e Formação Profissional</t>
        </is>
      </c>
      <c r="C14" t="inlineStr">
        <is>
          <t>Salas de aula do I Ciclo do Ensino Secundário (cumulativo)</t>
        </is>
      </c>
      <c r="D14" t="inlineStr">
        <is>
          <t>N.º</t>
        </is>
      </c>
      <c r="E14" t="inlineStr">
        <is>
          <t>Linear</t>
        </is>
      </c>
      <c r="F14" s="5" t="n">
        <v>29323</v>
      </c>
      <c r="G14" s="5" t="n">
        <v>24977.33333333333</v>
      </c>
      <c r="H14" s="5" t="n">
        <v>20631.66666666666</v>
      </c>
      <c r="I14" s="5" t="n">
        <v>16286</v>
      </c>
      <c r="J14" s="5" t="n">
        <v>16286</v>
      </c>
      <c r="K14" s="5" t="n">
        <v>16286</v>
      </c>
      <c r="L14" t="inlineStr">
        <is>
          <t>Derivada: Meta MINPLAN 2025 mantida constante até 2027</t>
        </is>
      </c>
    </row>
    <row r="15">
      <c r="A15" t="inlineStr">
        <is>
          <t>IMP-educacao_e_formacao_profissional-salas_de_aula_do_ii_ciclo_do_ensino_secundario_cumulativo</t>
        </is>
      </c>
      <c r="B15" t="inlineStr">
        <is>
          <t>Educação e Formação Profissional</t>
        </is>
      </c>
      <c r="C15" t="inlineStr">
        <is>
          <t>Salas de aula do II Ciclo do Ensino Secundário (cumulativo)</t>
        </is>
      </c>
      <c r="D15" t="inlineStr">
        <is>
          <t>N.º</t>
        </is>
      </c>
      <c r="E15" t="inlineStr">
        <is>
          <t>Linear</t>
        </is>
      </c>
      <c r="F15" s="5" t="n">
        <v>16409</v>
      </c>
      <c r="G15" s="5" t="n">
        <v>14653</v>
      </c>
      <c r="H15" s="5" t="n">
        <v>12897</v>
      </c>
      <c r="I15" s="5" t="n">
        <v>11141</v>
      </c>
      <c r="J15" s="5" t="n">
        <v>11141</v>
      </c>
      <c r="K15" s="5" t="n">
        <v>11141</v>
      </c>
      <c r="L15" t="inlineStr">
        <is>
          <t>Derivada: Meta MINPLAN 2025 mantida constante até 2027</t>
        </is>
      </c>
    </row>
    <row r="16">
      <c r="A16" t="inlineStr">
        <is>
          <t>IMP-educacao_e_formacao_profissional-taxa_de_alfabetizacao_da_populacao_maior_que_15_anos</t>
        </is>
      </c>
      <c r="B16" t="inlineStr">
        <is>
          <t>Educação e Formação Profissional</t>
        </is>
      </c>
      <c r="C16" t="inlineStr">
        <is>
          <t>Taxa de alfabetização da população maior que 15 anos</t>
        </is>
      </c>
      <c r="D16" t="inlineStr">
        <is>
          <t>%</t>
        </is>
      </c>
      <c r="E16" t="inlineStr">
        <is>
          <t>Linear</t>
        </is>
      </c>
      <c r="F16" s="4" t="n">
        <v>76</v>
      </c>
      <c r="G16" s="4" t="n">
        <v>76.33333333333333</v>
      </c>
      <c r="H16" s="4" t="n">
        <v>76.66666666666667</v>
      </c>
      <c r="I16" s="4" t="n">
        <v>77</v>
      </c>
      <c r="J16" s="4" t="n">
        <v>77.5</v>
      </c>
      <c r="K16" s="4" t="n">
        <v>78</v>
      </c>
      <c r="L16" t="inlineStr">
        <is>
          <t>Meta PDN 2027 publicada (p. 55)</t>
        </is>
      </c>
    </row>
    <row r="17">
      <c r="A17" t="inlineStr">
        <is>
          <t>IMP-educacao_e_formacao_profissional-taxa_de_conclusao_do_ensino_primario</t>
        </is>
      </c>
      <c r="B17" t="inlineStr">
        <is>
          <t>Educação e Formação Profissional</t>
        </is>
      </c>
      <c r="C17" t="inlineStr">
        <is>
          <t>Taxa de conclusão do Ensino Primário</t>
        </is>
      </c>
      <c r="D17" t="inlineStr">
        <is>
          <t>%</t>
        </is>
      </c>
      <c r="E17" t="inlineStr">
        <is>
          <t>Linear</t>
        </is>
      </c>
      <c r="F17" s="4" t="n">
        <v>61</v>
      </c>
      <c r="G17" s="4" t="n">
        <v>63.66666666666666</v>
      </c>
      <c r="H17" s="4" t="n">
        <v>66.33333333333333</v>
      </c>
      <c r="I17" s="4" t="n">
        <v>69</v>
      </c>
      <c r="J17" s="4" t="n">
        <v>71.66666666666666</v>
      </c>
      <c r="K17" s="4" t="n">
        <v>74.33333333333333</v>
      </c>
      <c r="L17" t="inlineStr">
        <is>
          <t>Derivada: extensão linear da trajectória planeada 2022-2025</t>
        </is>
      </c>
    </row>
    <row r="18">
      <c r="A18" t="inlineStr">
        <is>
          <t>IMP-educacao_e_formacao_profissional-taxa_de_conclusao_do_i_ciclo_do_ensino_secundario_ensino_geral</t>
        </is>
      </c>
      <c r="B18" t="inlineStr">
        <is>
          <t>Educação e Formação Profissional</t>
        </is>
      </c>
      <c r="C18" t="inlineStr">
        <is>
          <t>Taxa de conclusão do I Ciclo do Ensino Secundário (Ensino Geral)</t>
        </is>
      </c>
      <c r="D18" t="inlineStr">
        <is>
          <t>%</t>
        </is>
      </c>
      <c r="E18" t="inlineStr">
        <is>
          <t>Linear</t>
        </is>
      </c>
      <c r="F18" s="4" t="n">
        <v>44</v>
      </c>
      <c r="G18" s="4" t="n">
        <v>47.33333333333334</v>
      </c>
      <c r="H18" s="4" t="n">
        <v>50.66666666666666</v>
      </c>
      <c r="I18" s="4" t="n">
        <v>54</v>
      </c>
      <c r="J18" s="4" t="n">
        <v>57.33333333333334</v>
      </c>
      <c r="K18" s="4" t="n">
        <v>60.66666666666667</v>
      </c>
      <c r="L18" t="inlineStr">
        <is>
          <t>Derivada: extensão linear da trajectória planeada 2022-2025</t>
        </is>
      </c>
    </row>
    <row r="19">
      <c r="A19" t="inlineStr">
        <is>
          <t>IMP-educacao_e_formacao_profissional-taxa_de_conclusao_do_ii_ciclo_do_ensino_secundario_ensino_geral</t>
        </is>
      </c>
      <c r="B19" t="inlineStr">
        <is>
          <t>Educação e Formação Profissional</t>
        </is>
      </c>
      <c r="C19" t="inlineStr">
        <is>
          <t>Taxa de conclusão do II Ciclo do Ensino Secundário (Ensino Geral)</t>
        </is>
      </c>
      <c r="D19" t="inlineStr">
        <is>
          <t>%</t>
        </is>
      </c>
      <c r="E19" t="inlineStr">
        <is>
          <t>Linear</t>
        </is>
      </c>
      <c r="F19" s="4" t="n">
        <v>15</v>
      </c>
      <c r="G19" s="4" t="n">
        <v>17.33333333333333</v>
      </c>
      <c r="H19" s="4" t="n">
        <v>19.66666666666667</v>
      </c>
      <c r="I19" s="4" t="n">
        <v>22</v>
      </c>
      <c r="J19" s="4" t="n">
        <v>24.33333333333333</v>
      </c>
      <c r="K19" s="4" t="n">
        <v>26.66666666666666</v>
      </c>
      <c r="L19" t="inlineStr">
        <is>
          <t>Derivada: extensão linear da trajectória planeada 2022-2025</t>
        </is>
      </c>
    </row>
    <row r="20">
      <c r="A20" t="inlineStr">
        <is>
          <t>IMP-educacao_e_formacao_profissional-professores_de_ensino_pre_escolar_com_a_qualificacao_minima_exigida_cumulativo</t>
        </is>
      </c>
      <c r="B20" t="inlineStr">
        <is>
          <t>Educação e Formação Profissional</t>
        </is>
      </c>
      <c r="C20" t="inlineStr">
        <is>
          <t>Professores de Ensino Pré-escolar com a qualificação mínima exigida (cumulativo)</t>
        </is>
      </c>
      <c r="D20" t="inlineStr">
        <is>
          <t>%</t>
        </is>
      </c>
      <c r="E20" t="inlineStr">
        <is>
          <t>Linear</t>
        </is>
      </c>
      <c r="F20" s="4" t="n">
        <v>65</v>
      </c>
      <c r="G20" s="4" t="n">
        <v>65</v>
      </c>
      <c r="H20" s="4" t="n">
        <v>65</v>
      </c>
      <c r="I20" s="4" t="n">
        <v>65</v>
      </c>
      <c r="J20" s="4" t="n">
        <v>65</v>
      </c>
      <c r="K20" s="4" t="n">
        <v>65</v>
      </c>
      <c r="L20" t="inlineStr">
        <is>
          <t>Derivada: Meta MINPLAN 2025 mantida constante até 2027</t>
        </is>
      </c>
    </row>
    <row r="21">
      <c r="A21" t="inlineStr">
        <is>
          <t>IMP-educacao_e_formacao_profissional-professores_de_ensino_primario_com_a_qualificacao_minima_exigida_cumulativo</t>
        </is>
      </c>
      <c r="B21" t="inlineStr">
        <is>
          <t>Educação e Formação Profissional</t>
        </is>
      </c>
      <c r="C21" t="inlineStr">
        <is>
          <t>Professores de Ensino Primário com a qualificação mínima exigida (cumulativo)</t>
        </is>
      </c>
      <c r="D21" t="inlineStr">
        <is>
          <t>%</t>
        </is>
      </c>
      <c r="E21" t="inlineStr">
        <is>
          <t>Linear</t>
        </is>
      </c>
      <c r="F21" s="4" t="n">
        <v>81</v>
      </c>
      <c r="G21" s="4" t="n">
        <v>77.33333333333333</v>
      </c>
      <c r="H21" s="4" t="n">
        <v>73.66666666666667</v>
      </c>
      <c r="I21" s="4" t="n">
        <v>70</v>
      </c>
      <c r="J21" s="4" t="n">
        <v>70</v>
      </c>
      <c r="K21" s="4" t="n">
        <v>70</v>
      </c>
      <c r="L21" t="inlineStr">
        <is>
          <t>Derivada: Meta MINPLAN 2025 mantida constante até 2027</t>
        </is>
      </c>
    </row>
    <row r="22">
      <c r="A22" t="inlineStr">
        <is>
          <t>IMP-educacao_e_formacao_profissional-professores_de_ensino_secundario_com_a_qualificacao_minima_exigida_cumulativo</t>
        </is>
      </c>
      <c r="B22" t="inlineStr">
        <is>
          <t>Educação e Formação Profissional</t>
        </is>
      </c>
      <c r="C22" t="inlineStr">
        <is>
          <t>Professores de Ensino Secundário com a qualificação mínima exigida (cumulativo)</t>
        </is>
      </c>
      <c r="D22" t="inlineStr">
        <is>
          <t>%</t>
        </is>
      </c>
      <c r="E22" t="inlineStr">
        <is>
          <t>Linear</t>
        </is>
      </c>
      <c r="F22" s="4" t="n">
        <v>83</v>
      </c>
      <c r="G22" s="4" t="n">
        <v>82</v>
      </c>
      <c r="H22" s="4" t="n">
        <v>81</v>
      </c>
      <c r="I22" s="4" t="n">
        <v>80</v>
      </c>
      <c r="J22" s="4" t="n">
        <v>80</v>
      </c>
      <c r="K22" s="4" t="n">
        <v>80</v>
      </c>
      <c r="L22" t="inlineStr">
        <is>
          <t>Derivada: Meta MINPLAN 2025 mantida constante até 2027</t>
        </is>
      </c>
    </row>
    <row r="23">
      <c r="A23" t="inlineStr">
        <is>
          <t>IMP-educacao_e_formacao_profissional-numero_de_pessoas_formadas_pelo_snefp_cumulativo</t>
        </is>
      </c>
      <c r="B23" t="inlineStr">
        <is>
          <t>Educação e Formação Profissional</t>
        </is>
      </c>
      <c r="C23" t="inlineStr">
        <is>
          <t>Número de pessoas formadas pelo SNEFP (cumulativo)</t>
        </is>
      </c>
      <c r="D23" t="inlineStr">
        <is>
          <t>N.º</t>
        </is>
      </c>
      <c r="E23" t="inlineStr">
        <is>
          <t>Linear</t>
        </is>
      </c>
      <c r="F23" s="5" t="n">
        <v>100194</v>
      </c>
      <c r="G23" s="5" t="n">
        <v>184462.6666666667</v>
      </c>
      <c r="H23" s="5" t="n">
        <v>268731.3333333334</v>
      </c>
      <c r="I23" s="5" t="n">
        <v>353000</v>
      </c>
      <c r="J23" s="5" t="n">
        <v>437268.6666666666</v>
      </c>
      <c r="K23" s="5" t="n">
        <v>521537.3333333333</v>
      </c>
      <c r="L23" t="inlineStr">
        <is>
          <t>Derivada: extensão linear da trajectória planeada 2022-2025</t>
        </is>
      </c>
    </row>
    <row r="24">
      <c r="A24" t="inlineStr">
        <is>
          <t>IMP-educacao_e_formacao_profissional-kits_profissionais_distribuidos_cumulativo</t>
        </is>
      </c>
      <c r="B24" t="inlineStr">
        <is>
          <t>Educação e Formação Profissional</t>
        </is>
      </c>
      <c r="C24" t="inlineStr">
        <is>
          <t>Kits profissionais distribuídos (cumulativo)</t>
        </is>
      </c>
      <c r="D24" t="inlineStr">
        <is>
          <t>N.º</t>
        </is>
      </c>
      <c r="E24" t="inlineStr">
        <is>
          <t>Linear</t>
        </is>
      </c>
      <c r="F24" s="5" t="n">
        <v>25483</v>
      </c>
      <c r="G24" s="5" t="n">
        <v>26182</v>
      </c>
      <c r="H24" s="5" t="n">
        <v>26881</v>
      </c>
      <c r="I24" s="5" t="n">
        <v>27580</v>
      </c>
      <c r="J24" s="5" t="n">
        <v>28279</v>
      </c>
      <c r="K24" s="5" t="n">
        <v>28978</v>
      </c>
      <c r="L24" t="inlineStr">
        <is>
          <t>Derivada: extensão linear da trajectória planeada 2022-2025</t>
        </is>
      </c>
    </row>
    <row r="25">
      <c r="A25" t="inlineStr">
        <is>
          <t>IMP-educacao_e_formacao_profissional-estudantes_matriculados_no_ensino_superior_cumulativo</t>
        </is>
      </c>
      <c r="B25" t="inlineStr">
        <is>
          <t>Educação e Formação Profissional</t>
        </is>
      </c>
      <c r="C25" t="inlineStr">
        <is>
          <t>Estudantes matriculados no Ensino Superior (cumulativo)</t>
        </is>
      </c>
      <c r="D25" t="inlineStr">
        <is>
          <t>N.º</t>
        </is>
      </c>
      <c r="E25" t="inlineStr">
        <is>
          <t>Linear</t>
        </is>
      </c>
      <c r="F25" s="5" t="n">
        <v>320432</v>
      </c>
      <c r="G25" s="5" t="n">
        <v>350879.3333333333</v>
      </c>
      <c r="H25" s="5" t="n">
        <v>381326.6666666667</v>
      </c>
      <c r="I25" s="5" t="n">
        <v>411774</v>
      </c>
      <c r="J25" s="5" t="n">
        <v>442221.3333333333</v>
      </c>
      <c r="K25" s="5" t="n">
        <v>472668.6666666666</v>
      </c>
      <c r="L25" t="inlineStr">
        <is>
          <t>Derivada: extensão linear da trajectória planeada 2022-2025</t>
        </is>
      </c>
    </row>
    <row r="26">
      <c r="A26" t="inlineStr">
        <is>
          <t>IMP-infraestruturas_habitacao_e_servicos_comunitarios-estradas_nacionais_reabilitadas_cumulativo</t>
        </is>
      </c>
      <c r="B26" t="inlineStr">
        <is>
          <t>Infraestruturas, Habitação e Serviços Comunitários</t>
        </is>
      </c>
      <c r="C26" t="inlineStr">
        <is>
          <t>Estradas Nacionais reabilitadas (cumulativo)</t>
        </is>
      </c>
      <c r="D26" t="inlineStr">
        <is>
          <t>Km</t>
        </is>
      </c>
      <c r="E26" t="inlineStr">
        <is>
          <t>Linear</t>
        </is>
      </c>
      <c r="F26" s="5" t="n">
        <v>9474</v>
      </c>
      <c r="G26" s="5" t="n">
        <v>9790.666666666666</v>
      </c>
      <c r="H26" s="5" t="n">
        <v>10107.33333333333</v>
      </c>
      <c r="I26" s="5" t="n">
        <v>10424</v>
      </c>
      <c r="J26" s="5" t="n">
        <v>10740.66666666667</v>
      </c>
      <c r="K26" s="5" t="n">
        <v>11057.33333333333</v>
      </c>
      <c r="L26" t="inlineStr">
        <is>
          <t>Derivada: extensão linear da trajectória planeada 2022-2025</t>
        </is>
      </c>
    </row>
    <row r="27">
      <c r="A27" t="inlineStr">
        <is>
          <t>IMP-infraestruturas_habitacao_e_servicos_comunitarios-equipamentos_sociais_construidos_ou_reabilitados_cumulativo</t>
        </is>
      </c>
      <c r="B27" t="inlineStr">
        <is>
          <t>Infraestruturas, Habitação e Serviços Comunitários</t>
        </is>
      </c>
      <c r="C27" t="inlineStr">
        <is>
          <t>Equipamentos sociais construídos ou reabilitados (cumulativo)</t>
        </is>
      </c>
      <c r="D27" t="inlineStr">
        <is>
          <t>N.º</t>
        </is>
      </c>
      <c r="E27" t="inlineStr">
        <is>
          <t>Linear</t>
        </is>
      </c>
      <c r="F27" s="4" t="n">
        <v>151</v>
      </c>
      <c r="G27" s="4" t="n">
        <v>367.6666666666666</v>
      </c>
      <c r="H27" s="4" t="n">
        <v>584.3333333333333</v>
      </c>
      <c r="I27" s="4" t="n">
        <v>801</v>
      </c>
      <c r="J27" s="5" t="n">
        <v>1017.666666666667</v>
      </c>
      <c r="K27" s="5" t="n">
        <v>1234.333333333333</v>
      </c>
      <c r="L27" t="inlineStr">
        <is>
          <t>Derivada: extensão linear da trajectória planeada 2022-2025</t>
        </is>
      </c>
    </row>
    <row r="28">
      <c r="A28" t="inlineStr">
        <is>
          <t>IMP-infraestruturas_habitacao_e_servicos_comunitarios-construcao_e_reabilitacao_de_pontes_cumulativo</t>
        </is>
      </c>
      <c r="B28" t="inlineStr">
        <is>
          <t>Infraestruturas, Habitação e Serviços Comunitários</t>
        </is>
      </c>
      <c r="C28" t="inlineStr">
        <is>
          <t>Construção e reabilitação de pontes (cumulativo)</t>
        </is>
      </c>
      <c r="D28" t="inlineStr">
        <is>
          <t>M</t>
        </is>
      </c>
      <c r="E28" t="inlineStr">
        <is>
          <t>Linear</t>
        </is>
      </c>
      <c r="F28" s="5" t="n">
        <v>3910</v>
      </c>
      <c r="G28" s="5" t="n">
        <v>5978</v>
      </c>
      <c r="H28" s="5" t="n">
        <v>8046</v>
      </c>
      <c r="I28" s="5" t="n">
        <v>10114</v>
      </c>
      <c r="J28" s="5" t="n">
        <v>12182</v>
      </c>
      <c r="K28" s="5" t="n">
        <v>14250</v>
      </c>
      <c r="L28" t="inlineStr">
        <is>
          <t>Derivada: extensão linear da trajectória planeada 2022-2025</t>
        </is>
      </c>
    </row>
    <row r="29">
      <c r="A29" t="inlineStr">
        <is>
          <t>IMP-infraestruturas_habitacao_e_servicos_comunitarios-taxa_de_electrificacao</t>
        </is>
      </c>
      <c r="B29" t="inlineStr">
        <is>
          <t>Infraestruturas, Habitação e Serviços Comunitários</t>
        </is>
      </c>
      <c r="C29" t="inlineStr">
        <is>
          <t>Taxa de electrificação</t>
        </is>
      </c>
      <c r="D29" t="inlineStr">
        <is>
          <t>% da população</t>
        </is>
      </c>
      <c r="E29" t="inlineStr">
        <is>
          <t>Linear</t>
        </is>
      </c>
      <c r="F29" s="4" t="n">
        <v>43</v>
      </c>
      <c r="G29" s="4" t="n">
        <v>44.33333333333334</v>
      </c>
      <c r="H29" s="4" t="n">
        <v>45.66666666666666</v>
      </c>
      <c r="I29" s="4" t="n">
        <v>47</v>
      </c>
      <c r="J29" s="4" t="n">
        <v>48</v>
      </c>
      <c r="K29" s="4" t="n">
        <v>49</v>
      </c>
      <c r="L29" t="inlineStr">
        <is>
          <t>Meta PDN 2027 publicada (p. 104)</t>
        </is>
      </c>
    </row>
    <row r="30">
      <c r="A30" t="inlineStr">
        <is>
          <t>IMP-infraestruturas_habitacao_e_servicos_comunitarios-numero_de_ligacoes_cumulativo</t>
        </is>
      </c>
      <c r="B30" t="inlineStr">
        <is>
          <t>Infraestruturas, Habitação e Serviços Comunitários</t>
        </is>
      </c>
      <c r="C30" t="inlineStr">
        <is>
          <t>Número de ligações (cumulativo)</t>
        </is>
      </c>
      <c r="D30" t="inlineStr">
        <is>
          <t>Milhões</t>
        </is>
      </c>
      <c r="E30" t="inlineStr">
        <is>
          <t>Linear</t>
        </is>
      </c>
      <c r="F30" s="4" t="n">
        <v>2</v>
      </c>
      <c r="G30" s="4" t="n">
        <v>2.333333333333333</v>
      </c>
      <c r="H30" s="4" t="n">
        <v>2.666666666666667</v>
      </c>
      <c r="I30" s="4" t="n">
        <v>3</v>
      </c>
      <c r="J30" s="4" t="n">
        <v>3.333333333333333</v>
      </c>
      <c r="K30" s="4" t="n">
        <v>3.666666666666667</v>
      </c>
      <c r="L30" t="inlineStr">
        <is>
          <t>Derivada: extensão linear da trajectória planeada 2022-2025</t>
        </is>
      </c>
    </row>
    <row r="31">
      <c r="A31" t="inlineStr">
        <is>
          <t>IMP-infraestruturas_habitacao_e_servicos_comunitarios-numero_de_sedes_municipais_com_distribuicao_de_energia_pela_ende</t>
        </is>
      </c>
      <c r="B31" t="inlineStr">
        <is>
          <t>Infraestruturas, Habitação e Serviços Comunitários</t>
        </is>
      </c>
      <c r="C31" t="inlineStr">
        <is>
          <t>Número de sedes municipais com distribuição de energia pela ENDE</t>
        </is>
      </c>
      <c r="D31" t="inlineStr">
        <is>
          <t>N.º</t>
        </is>
      </c>
      <c r="E31" t="inlineStr">
        <is>
          <t>Geométrica (CAGR)</t>
        </is>
      </c>
      <c r="F31" s="4" t="n">
        <v>90</v>
      </c>
      <c r="G31" s="4" t="n">
        <v>91.6367211643441</v>
      </c>
      <c r="H31" s="4" t="n">
        <v>93.30320739724165</v>
      </c>
      <c r="I31" s="4" t="n">
        <v>95</v>
      </c>
      <c r="J31" s="4" t="n">
        <v>96.72765011791876</v>
      </c>
      <c r="K31" s="4" t="n">
        <v>98.48671891931063</v>
      </c>
      <c r="L31" t="inlineStr">
        <is>
          <t>Derivada: extensão geométrica da trajectória planeada 2022-2025</t>
        </is>
      </c>
    </row>
    <row r="32">
      <c r="A32" t="inlineStr">
        <is>
          <t>IMP-infraestruturas_habitacao_e_servicos_comunitarios-de_producao_total_de_energia_de_fontes_renovaveis</t>
        </is>
      </c>
      <c r="B32" t="inlineStr">
        <is>
          <t>Infraestruturas, Habitação e Serviços Comunitários</t>
        </is>
      </c>
      <c r="C32" t="inlineStr">
        <is>
          <t>% de produção total de energia de fontes renováveis</t>
        </is>
      </c>
      <c r="D32" t="inlineStr">
        <is>
          <t>%</t>
        </is>
      </c>
      <c r="E32" t="inlineStr">
        <is>
          <t>Linear</t>
        </is>
      </c>
      <c r="F32" s="4" t="n">
        <v>65</v>
      </c>
      <c r="G32" s="4" t="n">
        <v>66</v>
      </c>
      <c r="H32" s="4" t="n">
        <v>67</v>
      </c>
      <c r="I32" s="4" t="n">
        <v>68</v>
      </c>
      <c r="J32" s="4" t="n">
        <v>70.5</v>
      </c>
      <c r="K32" s="4" t="n">
        <v>73</v>
      </c>
      <c r="L32" t="inlineStr">
        <is>
          <t>Meta PDN 2027 publicada (p. 104)</t>
        </is>
      </c>
    </row>
    <row r="33">
      <c r="A33" t="inlineStr">
        <is>
          <t>IMP-infraestruturas_habitacao_e_servicos_comunitarios-potencia_instalada_proveniente_de_fontes_renovaveis</t>
        </is>
      </c>
      <c r="B33" t="inlineStr">
        <is>
          <t>Infraestruturas, Habitação e Serviços Comunitários</t>
        </is>
      </c>
      <c r="C33" t="inlineStr">
        <is>
          <t>Potência instalada proveniente de fontes renováveis</t>
        </is>
      </c>
      <c r="D33" t="inlineStr">
        <is>
          <t>GW</t>
        </is>
      </c>
      <c r="E33" t="inlineStr">
        <is>
          <t>Geométrica (CAGR)</t>
        </is>
      </c>
      <c r="F33" s="4" t="n">
        <v>4</v>
      </c>
      <c r="G33" s="4" t="n">
        <v>4</v>
      </c>
      <c r="H33" s="4" t="n">
        <v>4</v>
      </c>
      <c r="I33" s="4" t="n">
        <v>4</v>
      </c>
      <c r="J33" s="4" t="n">
        <v>4</v>
      </c>
      <c r="K33" s="4" t="n">
        <v>4</v>
      </c>
      <c r="L33" t="inlineStr">
        <is>
          <t>Derivada: Meta MINPLAN 2025 mantida constante até 2027</t>
        </is>
      </c>
    </row>
    <row r="34">
      <c r="A34" t="inlineStr">
        <is>
          <t>IMP-infraestruturas_habitacao_e_servicos_comunitarios-quantidade_de_agua_tratada_cumulativo</t>
        </is>
      </c>
      <c r="B34" t="inlineStr">
        <is>
          <t>Infraestruturas, Habitação e Serviços Comunitários</t>
        </is>
      </c>
      <c r="C34" t="inlineStr">
        <is>
          <t>Quantidade de água tratada (cumulativo)</t>
        </is>
      </c>
      <c r="D34" t="inlineStr">
        <is>
          <t>Mm³/d</t>
        </is>
      </c>
      <c r="E34" t="inlineStr">
        <is>
          <t>Linear</t>
        </is>
      </c>
      <c r="F34" s="5" t="n">
        <v>1320</v>
      </c>
      <c r="G34" s="5" t="n">
        <v>1423.333333333333</v>
      </c>
      <c r="H34" s="5" t="n">
        <v>1526.666666666667</v>
      </c>
      <c r="I34" s="5" t="n">
        <v>1630</v>
      </c>
      <c r="J34" s="5" t="n">
        <v>1733.333333333333</v>
      </c>
      <c r="K34" s="5" t="n">
        <v>1836.666666666667</v>
      </c>
      <c r="L34" t="inlineStr">
        <is>
          <t>Derivada: extensão linear da trajectória planeada 2022-2025</t>
        </is>
      </c>
    </row>
    <row r="35">
      <c r="A35" t="inlineStr">
        <is>
          <t>IMP-fomento_a_producao-toneladas_de_carne_produzidas</t>
        </is>
      </c>
      <c r="B35" t="inlineStr">
        <is>
          <t>Fomento à Produção</t>
        </is>
      </c>
      <c r="C35" t="inlineStr">
        <is>
          <t>Toneladas de carne produzidas</t>
        </is>
      </c>
      <c r="D35" t="inlineStr">
        <is>
          <t>Toneladas</t>
        </is>
      </c>
      <c r="E35" t="inlineStr">
        <is>
          <t>Geométrica (CAGR)</t>
        </is>
      </c>
      <c r="F35" s="5" t="n">
        <v>319962</v>
      </c>
      <c r="G35" s="5" t="n">
        <v>378923.4108651688</v>
      </c>
      <c r="H35" s="5" t="n">
        <v>448750.0118817032</v>
      </c>
      <c r="I35" s="5" t="n">
        <v>531444</v>
      </c>
      <c r="J35" s="5" t="n">
        <v>647130.4907049272</v>
      </c>
      <c r="K35" s="5" t="n">
        <v>788000</v>
      </c>
      <c r="L35" t="inlineStr">
        <is>
          <t>Meta PDN 2027 publicada (p. 138): 788 mil t convertidas para toneladas</t>
        </is>
      </c>
    </row>
    <row r="36">
      <c r="A36" t="inlineStr">
        <is>
          <t>IMP-fomento_a_producao-toneladas_de_raizes_e_tuberculos_produzidas</t>
        </is>
      </c>
      <c r="B36" t="inlineStr">
        <is>
          <t>Fomento à Produção</t>
        </is>
      </c>
      <c r="C36" t="inlineStr">
        <is>
          <t>Toneladas de raízes e tubérculos produzidas</t>
        </is>
      </c>
      <c r="D36" t="inlineStr">
        <is>
          <t>Toneladas</t>
        </is>
      </c>
      <c r="E36" t="inlineStr">
        <is>
          <t>Geométrica (CAGR)</t>
        </is>
      </c>
      <c r="F36" s="5" t="n">
        <v>12922711</v>
      </c>
      <c r="G36" s="5" t="n">
        <v>14245504.30111925</v>
      </c>
      <c r="H36" s="5" t="n">
        <v>15703701.24296728</v>
      </c>
      <c r="I36" s="5" t="n">
        <v>17311162</v>
      </c>
      <c r="J36" s="5" t="n">
        <v>19083165.50051859</v>
      </c>
      <c r="K36" s="5" t="n">
        <v>21036554.65301421</v>
      </c>
      <c r="L36" t="inlineStr">
        <is>
          <t>Derivada: extensão geométrica da trajectória planeada 2022-2025</t>
        </is>
      </c>
    </row>
    <row r="37">
      <c r="A37" t="inlineStr">
        <is>
          <t>IMP-fomento_a_producao-toneladas_de_fruta_produzidas</t>
        </is>
      </c>
      <c r="B37" t="inlineStr">
        <is>
          <t>Fomento à Produção</t>
        </is>
      </c>
      <c r="C37" t="inlineStr">
        <is>
          <t>Toneladas de fruta produzidas</t>
        </is>
      </c>
      <c r="D37" t="inlineStr">
        <is>
          <t>Toneladas</t>
        </is>
      </c>
      <c r="E37" t="inlineStr">
        <is>
          <t>Geométrica (CAGR)</t>
        </is>
      </c>
      <c r="F37" s="5" t="n">
        <v>6079785</v>
      </c>
      <c r="G37" s="5" t="n">
        <v>6620795.754930872</v>
      </c>
      <c r="H37" s="5" t="n">
        <v>7209948.448589984</v>
      </c>
      <c r="I37" s="5" t="n">
        <v>7851527</v>
      </c>
      <c r="J37" s="5" t="n">
        <v>8550196.533483524</v>
      </c>
      <c r="K37" s="5" t="n">
        <v>9311037.300284859</v>
      </c>
      <c r="L37" t="inlineStr">
        <is>
          <t>Derivada: extensão geométrica da trajectória planeada 2022-2025</t>
        </is>
      </c>
    </row>
    <row r="38">
      <c r="A38" t="inlineStr">
        <is>
          <t>IMP-fomento_a_producao-toneladas_de_cereais_produzidas</t>
        </is>
      </c>
      <c r="B38" t="inlineStr">
        <is>
          <t>Fomento à Produção</t>
        </is>
      </c>
      <c r="C38" t="inlineStr">
        <is>
          <t>Toneladas de cereais produzidas</t>
        </is>
      </c>
      <c r="D38" t="inlineStr">
        <is>
          <t>Toneladas</t>
        </is>
      </c>
      <c r="E38" t="inlineStr">
        <is>
          <t>Geométrica (CAGR)</t>
        </is>
      </c>
      <c r="F38" s="5" t="n">
        <v>3187951</v>
      </c>
      <c r="G38" s="5" t="n">
        <v>4314638.079794705</v>
      </c>
      <c r="H38" s="5" t="n">
        <v>5839519.41532807</v>
      </c>
      <c r="I38" s="5" t="n">
        <v>7903325</v>
      </c>
      <c r="J38" s="5" t="n">
        <v>10696521.68492975</v>
      </c>
      <c r="K38" s="5" t="n">
        <v>14476891.20163632</v>
      </c>
      <c r="L38" t="inlineStr">
        <is>
          <t>Derivada: extensão geométrica da trajectória planeada 2022-2025</t>
        </is>
      </c>
    </row>
    <row r="39">
      <c r="A39" t="inlineStr">
        <is>
          <t>IMP-fomento_a_producao-toneladas_de_horticolas_produzidas</t>
        </is>
      </c>
      <c r="B39" t="inlineStr">
        <is>
          <t>Fomento à Produção</t>
        </is>
      </c>
      <c r="C39" t="inlineStr">
        <is>
          <t>Toneladas de hortícolas produzidas</t>
        </is>
      </c>
      <c r="D39" t="inlineStr">
        <is>
          <t>Toneladas</t>
        </is>
      </c>
      <c r="E39" t="inlineStr">
        <is>
          <t>Geométrica (CAGR)</t>
        </is>
      </c>
      <c r="F39" s="5" t="n">
        <v>1975867</v>
      </c>
      <c r="G39" s="5" t="n">
        <v>2100383.031106708</v>
      </c>
      <c r="H39" s="5" t="n">
        <v>2232745.866680804</v>
      </c>
      <c r="I39" s="5" t="n">
        <v>2373450</v>
      </c>
      <c r="J39" s="5" t="n">
        <v>2523021.086530731</v>
      </c>
      <c r="K39" s="5" t="n">
        <v>2682017.907720284</v>
      </c>
      <c r="L39" t="inlineStr">
        <is>
          <t>Derivada: extensão geométrica da trajectória planeada 2022-2025</t>
        </is>
      </c>
    </row>
    <row r="40">
      <c r="A40" t="inlineStr">
        <is>
          <t>IMP-fomento_a_producao-ovos_produzidos</t>
        </is>
      </c>
      <c r="B40" t="inlineStr">
        <is>
          <t>Fomento à Produção</t>
        </is>
      </c>
      <c r="C40" t="inlineStr">
        <is>
          <t>Ovos produzidos</t>
        </is>
      </c>
      <c r="D40" t="inlineStr">
        <is>
          <t>Milhões</t>
        </is>
      </c>
      <c r="E40" t="inlineStr">
        <is>
          <t>Geométrica (CAGR)</t>
        </is>
      </c>
      <c r="F40" s="5" t="n">
        <v>2694</v>
      </c>
      <c r="G40" s="5" t="n">
        <v>2786.457261538693</v>
      </c>
      <c r="H40" s="5" t="n">
        <v>2882.087628204049</v>
      </c>
      <c r="I40" s="5" t="n">
        <v>2981</v>
      </c>
      <c r="J40" s="5" t="n">
        <v>3083.307014345524</v>
      </c>
      <c r="K40" s="5" t="n">
        <v>3189.1251743416</v>
      </c>
      <c r="L40" t="inlineStr">
        <is>
          <t>Derivada: extensão geométrica da trajectória planeada 2022-2025</t>
        </is>
      </c>
    </row>
    <row r="41">
      <c r="A41" t="inlineStr">
        <is>
          <t>IMP-fomento_a_producao-litros_de_leite_produzidos</t>
        </is>
      </c>
      <c r="B41" t="inlineStr">
        <is>
          <t>Fomento à Produção</t>
        </is>
      </c>
      <c r="C41" t="inlineStr">
        <is>
          <t>Litros de leite produzidos</t>
        </is>
      </c>
      <c r="D41" t="inlineStr">
        <is>
          <t>Milhões de Litros</t>
        </is>
      </c>
      <c r="E41" t="inlineStr">
        <is>
          <t>Geométrica (CAGR)</t>
        </is>
      </c>
      <c r="F41" s="4" t="n">
        <v>6</v>
      </c>
      <c r="G41" s="4" t="n">
        <v>7.559526299369239</v>
      </c>
      <c r="H41" s="4" t="n">
        <v>9.524406311809196</v>
      </c>
      <c r="I41" s="4" t="n">
        <v>12</v>
      </c>
      <c r="J41" s="4" t="n">
        <v>15.11905259873848</v>
      </c>
      <c r="K41" s="4" t="n">
        <v>19.0488126236184</v>
      </c>
      <c r="L41" t="inlineStr">
        <is>
          <t>Derivada: extensão geométrica da trajectória planeada 2022-2025</t>
        </is>
      </c>
    </row>
    <row r="42">
      <c r="A42" t="inlineStr">
        <is>
          <t>IMP-fomento_a_producao-unidades_industriais_no_subsector_da_industria_pesqueira_e_de_transformacao_de_carne_instaladas_cumulativo</t>
        </is>
      </c>
      <c r="B42" t="inlineStr">
        <is>
          <t>Fomento à Produção</t>
        </is>
      </c>
      <c r="C42" t="inlineStr">
        <is>
          <t>Unidades industriais no subsector da indústria pesqueira e de transformação de carne instaladas (cumulativo)</t>
        </is>
      </c>
      <c r="D42" t="inlineStr">
        <is>
          <t>N.º</t>
        </is>
      </c>
      <c r="E42" t="inlineStr">
        <is>
          <t>Linear</t>
        </is>
      </c>
      <c r="F42" s="4" t="n">
        <v>9</v>
      </c>
      <c r="G42" s="4" t="n">
        <v>16</v>
      </c>
      <c r="H42" s="4" t="n">
        <v>23</v>
      </c>
      <c r="I42" s="4" t="n">
        <v>30</v>
      </c>
      <c r="J42" s="4" t="n">
        <v>37</v>
      </c>
      <c r="K42" s="4" t="n">
        <v>44</v>
      </c>
      <c r="L42" t="inlineStr">
        <is>
          <t>Derivada: extensão linear da trajectória planeada 2022-2025</t>
        </is>
      </c>
    </row>
    <row r="43">
      <c r="A43" t="inlineStr">
        <is>
          <t>IMP-fomento_a_producao-toneladas_de_peixe_de_captura_industrial_e_semi_industrial_produzidas</t>
        </is>
      </c>
      <c r="B43" t="inlineStr">
        <is>
          <t>Fomento à Produção</t>
        </is>
      </c>
      <c r="C43" t="inlineStr">
        <is>
          <t>Toneladas de peixe de captura industrial e semi-industrial produzidas</t>
        </is>
      </c>
      <c r="D43" t="inlineStr">
        <is>
          <t>Milhares de Toneladas</t>
        </is>
      </c>
      <c r="E43" t="inlineStr">
        <is>
          <t>Geométrica (CAGR)</t>
        </is>
      </c>
      <c r="F43" s="4" t="n">
        <v>335</v>
      </c>
      <c r="G43" s="4" t="n">
        <v>342.1784148251963</v>
      </c>
      <c r="H43" s="4" t="n">
        <v>349.5106494695048</v>
      </c>
      <c r="I43" s="4" t="n">
        <v>357</v>
      </c>
      <c r="J43" s="4" t="n">
        <v>364.6498331122241</v>
      </c>
      <c r="K43" s="4" t="n">
        <v>372.4635876436215</v>
      </c>
      <c r="L43" t="inlineStr">
        <is>
          <t>Derivada: extensão geométrica da trajectória planeada 2022-2025</t>
        </is>
      </c>
    </row>
    <row r="44">
      <c r="A44" t="inlineStr">
        <is>
          <t>IMP-economico-taxa_de_crescimento_do_pib</t>
        </is>
      </c>
      <c r="B44" t="inlineStr">
        <is>
          <t>Económico</t>
        </is>
      </c>
      <c r="C44" t="inlineStr">
        <is>
          <t>Taxa de crescimento do PIB</t>
        </is>
      </c>
      <c r="D44" t="inlineStr">
        <is>
          <t>%</t>
        </is>
      </c>
      <c r="E44" t="inlineStr">
        <is>
          <t>Linear</t>
        </is>
      </c>
      <c r="F44" s="4" t="n">
        <v>4</v>
      </c>
      <c r="G44" s="4" t="n">
        <v>3.666666666666667</v>
      </c>
      <c r="H44" s="4" t="n">
        <v>3.333333333333333</v>
      </c>
      <c r="I44" s="4" t="n">
        <v>3</v>
      </c>
      <c r="J44" s="4" t="n">
        <v>3</v>
      </c>
      <c r="K44" s="4" t="n">
        <v>3</v>
      </c>
      <c r="L44" t="inlineStr">
        <is>
          <t>Trajectória média PDN 2023-2027 (p. 13); não é meta anual específica</t>
        </is>
      </c>
    </row>
    <row r="45">
      <c r="A45" t="inlineStr">
        <is>
          <t>IMP-economico-taxa_de_crescimento_do_pib_nao_petrolifero</t>
        </is>
      </c>
      <c r="B45" t="inlineStr">
        <is>
          <t>Económico</t>
        </is>
      </c>
      <c r="C45" t="inlineStr">
        <is>
          <t>Taxa de crescimento do PIB não petrolífero</t>
        </is>
      </c>
      <c r="D45" t="inlineStr">
        <is>
          <t>%</t>
        </is>
      </c>
      <c r="E45" t="inlineStr">
        <is>
          <t>Linear</t>
        </is>
      </c>
      <c r="F45" s="4" t="n">
        <v>4</v>
      </c>
      <c r="G45" s="4" t="n">
        <v>4.666666666666667</v>
      </c>
      <c r="H45" s="4" t="n">
        <v>5.333333333333333</v>
      </c>
      <c r="I45" s="4" t="n">
        <v>6</v>
      </c>
      <c r="J45" s="4" t="n">
        <v>5.3</v>
      </c>
      <c r="K45" s="4" t="n">
        <v>4.6</v>
      </c>
      <c r="L45" t="inlineStr">
        <is>
          <t>Trajectória média PDN 2023-2027 (p. 13); não é meta anual específica</t>
        </is>
      </c>
    </row>
    <row r="46">
      <c r="A46" t="inlineStr">
        <is>
          <t>IMP-economico-taxa_de_inflacao</t>
        </is>
      </c>
      <c r="B46" t="inlineStr">
        <is>
          <t>Económico</t>
        </is>
      </c>
      <c r="C46" t="inlineStr">
        <is>
          <t>Taxa de inflação</t>
        </is>
      </c>
      <c r="D46" t="inlineStr">
        <is>
          <t>%</t>
        </is>
      </c>
      <c r="E46" t="inlineStr">
        <is>
          <t>Linear</t>
        </is>
      </c>
      <c r="F46" s="4" t="n">
        <v>14</v>
      </c>
      <c r="G46" s="4" t="n">
        <v>15.33333333333333</v>
      </c>
      <c r="H46" s="4" t="n">
        <v>16.66666666666667</v>
      </c>
      <c r="I46" s="4" t="n">
        <v>18</v>
      </c>
      <c r="J46" s="4" t="n">
        <v>18</v>
      </c>
      <c r="K46" s="4" t="n">
        <v>18</v>
      </c>
      <c r="L46" t="inlineStr">
        <is>
          <t>Derivada: Meta MINPLAN 2025 mantida constante até 2027</t>
        </is>
      </c>
    </row>
    <row r="47">
      <c r="A47" t="inlineStr">
        <is>
          <t>IMP-economico-taxa_de_desemprego</t>
        </is>
      </c>
      <c r="B47" t="inlineStr">
        <is>
          <t>Económico</t>
        </is>
      </c>
      <c r="C47" t="inlineStr">
        <is>
          <t>Taxa de Desemprego</t>
        </is>
      </c>
      <c r="D47" t="inlineStr">
        <is>
          <t>%</t>
        </is>
      </c>
      <c r="E47" t="inlineStr">
        <is>
          <t>Linear</t>
        </is>
      </c>
      <c r="F47" s="4" t="n">
        <v>30</v>
      </c>
      <c r="G47" s="4" t="n">
        <v>28.33333333333333</v>
      </c>
      <c r="H47" s="4" t="n">
        <v>26.66666666666667</v>
      </c>
      <c r="I47" s="4" t="n">
        <v>25</v>
      </c>
      <c r="J47" s="4" t="n">
        <v>25</v>
      </c>
      <c r="K47" s="4" t="n">
        <v>25</v>
      </c>
      <c r="L47" t="inlineStr">
        <is>
          <t>Meta PDN 2027 publicada (p. 13)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56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3" t="inlineStr">
        <is>
          <t>ID</t>
        </is>
      </c>
      <c r="B1" s="3" t="inlineStr">
        <is>
          <t>Domínio</t>
        </is>
      </c>
      <c r="C1" s="3" t="inlineStr">
        <is>
          <t>Indicador / agregado</t>
        </is>
      </c>
      <c r="D1" s="3" t="inlineStr">
        <is>
          <t>Direcção</t>
        </is>
      </c>
      <c r="E1" s="3" t="inlineStr">
        <is>
          <t>2022</t>
        </is>
      </c>
      <c r="F1" s="3" t="inlineStr">
        <is>
          <t>2023</t>
        </is>
      </c>
      <c r="G1" s="3" t="inlineStr">
        <is>
          <t>2024</t>
        </is>
      </c>
      <c r="H1" s="3" t="inlineStr">
        <is>
          <t>2025</t>
        </is>
      </c>
    </row>
    <row r="2">
      <c r="A2" t="inlineStr">
        <is>
          <t>IMP-saude-novas_camas_em_hospitais_cumulativo</t>
        </is>
      </c>
      <c r="B2" t="inlineStr">
        <is>
          <t>Saúde</t>
        </is>
      </c>
      <c r="C2" t="inlineStr">
        <is>
          <t>Novas Camas em Hospitais (Cumulativo)</t>
        </is>
      </c>
      <c r="D2" t="inlineStr">
        <is>
          <t>Maior é melhor</t>
        </is>
      </c>
      <c r="E2" s="4" t="n">
        <v>100</v>
      </c>
      <c r="F2" s="4" t="n">
        <v>109.7714285714286</v>
      </c>
      <c r="G2" s="4" t="n">
        <v>133.6952380952381</v>
      </c>
      <c r="H2" s="4" t="n">
        <v>139.1238095238095</v>
      </c>
    </row>
    <row r="3">
      <c r="A3" t="inlineStr">
        <is>
          <t>IMP-saude-taxa_de_cobertura_da_4_a_consulta_pre_natal</t>
        </is>
      </c>
      <c r="B3" t="inlineStr">
        <is>
          <t>Saúde</t>
        </is>
      </c>
      <c r="C3" t="inlineStr">
        <is>
          <t>Taxa de cobertura da 4.ª consulta pré-natal</t>
        </is>
      </c>
      <c r="D3" t="inlineStr">
        <is>
          <t>Maior é melhor</t>
        </is>
      </c>
      <c r="E3" s="4" t="n">
        <v>100</v>
      </c>
      <c r="F3" s="4" t="n">
        <v>159.0909090909091</v>
      </c>
      <c r="G3" s="4" t="n">
        <v>170.4545454545455</v>
      </c>
      <c r="H3" s="4" t="n">
        <v>136.3636363636363</v>
      </c>
    </row>
    <row r="4">
      <c r="A4" t="inlineStr">
        <is>
          <t>IMP-saude-taxa_de_imunizacao_bcg</t>
        </is>
      </c>
      <c r="B4" t="inlineStr">
        <is>
          <t>Saúde</t>
        </is>
      </c>
      <c r="C4" t="inlineStr">
        <is>
          <t>Taxa de imunização BCG</t>
        </is>
      </c>
      <c r="D4" t="inlineStr">
        <is>
          <t>Maior é melhor</t>
        </is>
      </c>
      <c r="E4" s="4" t="n">
        <v>100</v>
      </c>
      <c r="F4" s="4" t="n">
        <v>121.5189873417722</v>
      </c>
      <c r="G4" s="4" t="n">
        <v>107.5949367088608</v>
      </c>
      <c r="H4" s="4" t="n">
        <v>98.73417721518987</v>
      </c>
    </row>
    <row r="5">
      <c r="A5" t="inlineStr">
        <is>
          <t>IMP-saude-taxa_de_vacinacao_contra_o_sarampo</t>
        </is>
      </c>
      <c r="B5" t="inlineStr">
        <is>
          <t>Saúde</t>
        </is>
      </c>
      <c r="C5" t="inlineStr">
        <is>
          <t>Taxa de vacinação contra o sarampo</t>
        </is>
      </c>
      <c r="D5" t="inlineStr">
        <is>
          <t>Maior é melhor</t>
        </is>
      </c>
      <c r="E5" s="4" t="n">
        <v>100</v>
      </c>
      <c r="F5" s="4" t="n">
        <v>107.5757575757576</v>
      </c>
      <c r="G5" s="4" t="n">
        <v>103.030303030303</v>
      </c>
      <c r="H5" s="4" t="n">
        <v>115.1515151515152</v>
      </c>
    </row>
    <row r="6">
      <c r="A6" t="inlineStr">
        <is>
          <t>IMP-saude-taxa_de_incidencia_da_malaria</t>
        </is>
      </c>
      <c r="B6" t="inlineStr">
        <is>
          <t>Saúde</t>
        </is>
      </c>
      <c r="C6" t="inlineStr">
        <is>
          <t>Taxa de incidência da malária</t>
        </is>
      </c>
      <c r="D6" t="inlineStr">
        <is>
          <t>Menor é melhor</t>
        </is>
      </c>
      <c r="E6" s="4" t="n">
        <v>100</v>
      </c>
      <c r="F6" s="4" t="n">
        <v>95.86466165413535</v>
      </c>
      <c r="G6" s="4" t="n">
        <v>83.06188925081433</v>
      </c>
      <c r="H6" s="4" t="n">
        <v>85.57046979865773</v>
      </c>
    </row>
    <row r="7">
      <c r="A7" t="inlineStr">
        <is>
          <t>IMP-saude-taxa_de_sucesso_do_tratamento_para_a_tuberculose</t>
        </is>
      </c>
      <c r="B7" t="inlineStr">
        <is>
          <t>Saúde</t>
        </is>
      </c>
      <c r="C7" t="inlineStr">
        <is>
          <t>Taxa de sucesso do tratamento para a tuberculose</t>
        </is>
      </c>
      <c r="D7" t="inlineStr">
        <is>
          <t>Maior é melhor</t>
        </is>
      </c>
      <c r="E7" s="4" t="n">
        <v>100</v>
      </c>
      <c r="F7" s="4" t="n">
        <v>95.71428571428572</v>
      </c>
      <c r="G7" s="4" t="n">
        <v>105.7142857142857</v>
      </c>
      <c r="H7" s="4" t="n">
        <v>130</v>
      </c>
    </row>
    <row r="8">
      <c r="A8" t="inlineStr">
        <is>
          <t>IMP-saude-partos_institucionais_realizados_por_profissionais_qualificados</t>
        </is>
      </c>
      <c r="B8" t="inlineStr">
        <is>
          <t>Saúde</t>
        </is>
      </c>
      <c r="C8" t="inlineStr">
        <is>
          <t>Partos institucionais realizados por profissionais qualificados</t>
        </is>
      </c>
      <c r="D8" t="inlineStr">
        <is>
          <t>Maior é melhor</t>
        </is>
      </c>
      <c r="E8" s="4" t="n">
        <v>100</v>
      </c>
      <c r="F8" s="4" t="n">
        <v>144.1176470588235</v>
      </c>
      <c r="G8" s="4" t="n">
        <v>150</v>
      </c>
      <c r="H8" s="4" t="n">
        <v>188.235294117647</v>
      </c>
    </row>
    <row r="9">
      <c r="A9" t="inlineStr">
        <is>
          <t>IMP-proteccao_social-pessoas_integradas_em_actividades_geradoras_de_renda_cumulativo</t>
        </is>
      </c>
      <c r="B9" t="inlineStr">
        <is>
          <t>Protecção Social</t>
        </is>
      </c>
      <c r="C9" t="inlineStr">
        <is>
          <t>Pessoas integradas em actividades geradoras de renda (cumulativo)</t>
        </is>
      </c>
      <c r="D9" t="inlineStr">
        <is>
          <t>Maior é melhor</t>
        </is>
      </c>
      <c r="E9" s="4" t="n">
        <v>100</v>
      </c>
      <c r="F9" s="4" t="n">
        <v>101.472972972973</v>
      </c>
      <c r="G9" s="4" t="n">
        <v>103.4837837837838</v>
      </c>
      <c r="H9" s="4" t="n">
        <v>105.1810810810811</v>
      </c>
    </row>
    <row r="10">
      <c r="A10" t="inlineStr">
        <is>
          <t>IMP-proteccao_social-beneficiarios_de_transferencias_sociais_monetarias_cumulativo</t>
        </is>
      </c>
      <c r="B10" t="inlineStr">
        <is>
          <t>Protecção Social</t>
        </is>
      </c>
      <c r="C10" t="inlineStr">
        <is>
          <t>Beneficiários de transferências sociais monetárias (cumulativo)</t>
        </is>
      </c>
      <c r="D10" t="inlineStr">
        <is>
          <t>Maior é melhor</t>
        </is>
      </c>
      <c r="E10" s="4" t="n">
        <v>100</v>
      </c>
      <c r="F10" s="4" t="n">
        <v>155.7225227231055</v>
      </c>
      <c r="G10" s="4" t="n">
        <v>175.1769717369096</v>
      </c>
      <c r="H10" s="4" t="n">
        <v>221.1491866830814</v>
      </c>
    </row>
    <row r="11">
      <c r="A11" t="inlineStr">
        <is>
          <t>IMP-proteccao_social-familias_assistidas_com_cesta_basica_de_alimentos_cumulativo</t>
        </is>
      </c>
      <c r="B11" t="inlineStr">
        <is>
          <t>Protecção Social</t>
        </is>
      </c>
      <c r="C11" t="inlineStr">
        <is>
          <t>Famílias assistidas com cesta básica de alimentos (cumulativo)</t>
        </is>
      </c>
      <c r="D11" t="inlineStr">
        <is>
          <t>Maior é melhor</t>
        </is>
      </c>
      <c r="E11" s="4" t="n">
        <v>100</v>
      </c>
      <c r="F11" s="4" t="n">
        <v>130.2730819245774</v>
      </c>
      <c r="G11" s="4" t="n">
        <v>391.9332466406589</v>
      </c>
      <c r="H11" s="4" t="n">
        <v>454.2999566536627</v>
      </c>
    </row>
    <row r="12">
      <c r="A12" t="inlineStr">
        <is>
          <t>IMP-comunicacao-numero_de_assinantes_de_internet</t>
        </is>
      </c>
      <c r="B12" t="inlineStr">
        <is>
          <t>Comunicação</t>
        </is>
      </c>
      <c r="C12" t="inlineStr">
        <is>
          <t>Número de assinantes de Internet</t>
        </is>
      </c>
      <c r="D12" t="inlineStr">
        <is>
          <t>Maior é melhor</t>
        </is>
      </c>
      <c r="E12" s="4" t="n">
        <v>100</v>
      </c>
      <c r="F12" s="4" t="n">
        <v>110</v>
      </c>
      <c r="G12" s="4" t="n">
        <v>120</v>
      </c>
      <c r="H12" s="4" t="n">
        <v>166.6666666666667</v>
      </c>
    </row>
    <row r="13">
      <c r="A13" t="inlineStr">
        <is>
          <t>IMP-comunicacao-numero_de_assinantes_de_servicos_moveis</t>
        </is>
      </c>
      <c r="B13" t="inlineStr">
        <is>
          <t>Comunicação</t>
        </is>
      </c>
      <c r="C13" t="inlineStr">
        <is>
          <t>Número de assinantes de serviços móveis</t>
        </is>
      </c>
      <c r="D13" t="inlineStr">
        <is>
          <t>Maior é melhor</t>
        </is>
      </c>
      <c r="E13" s="4" t="n">
        <v>100</v>
      </c>
      <c r="F13" s="4" t="n">
        <v>104.1666666666667</v>
      </c>
      <c r="G13" s="4" t="n">
        <v>104.1666666666667</v>
      </c>
      <c r="H13" s="4" t="n">
        <v>108.3333333333333</v>
      </c>
    </row>
    <row r="14">
      <c r="A14" t="inlineStr">
        <is>
          <t>IMP-educacao_e_formacao_profissional-salas_de_aula_do_ensino_primario_cumulativo</t>
        </is>
      </c>
      <c r="B14" t="inlineStr">
        <is>
          <t>Educação e Formação Profissional</t>
        </is>
      </c>
      <c r="C14" t="inlineStr">
        <is>
          <t>Salas de aula do Ensino Primário (cumulativo)</t>
        </is>
      </c>
      <c r="D14" t="inlineStr">
        <is>
          <t>Maior é melhor</t>
        </is>
      </c>
      <c r="E14" s="4" t="n">
        <v>100</v>
      </c>
      <c r="F14" s="4" t="n">
        <v>103.9847343510433</v>
      </c>
      <c r="G14" s="4" t="n">
        <v>102.5198320111993</v>
      </c>
      <c r="H14" s="4" t="n">
        <v>108.9727351509899</v>
      </c>
    </row>
    <row r="15">
      <c r="A15" t="inlineStr">
        <is>
          <t>IMP-educacao_e_formacao_profissional-salas_de_aula_do_i_ciclo_do_ensino_secundario_cumulativo</t>
        </is>
      </c>
      <c r="B15" t="inlineStr">
        <is>
          <t>Educação e Formação Profissional</t>
        </is>
      </c>
      <c r="C15" t="inlineStr">
        <is>
          <t>Salas de aula do I Ciclo do Ensino Secundário (cumulativo)</t>
        </is>
      </c>
      <c r="D15" t="inlineStr">
        <is>
          <t>Maior é melhor</t>
        </is>
      </c>
      <c r="E15" s="4" t="n">
        <v>100</v>
      </c>
      <c r="F15" s="4" t="n">
        <v>123.6401459605088</v>
      </c>
      <c r="G15" s="4" t="n">
        <v>143.887051120281</v>
      </c>
      <c r="H15" s="4" t="n">
        <v>167.0088326569587</v>
      </c>
    </row>
    <row r="16">
      <c r="A16" t="inlineStr">
        <is>
          <t>IMP-educacao_e_formacao_profissional-salas_de_aula_do_ii_ciclo_do_ensino_secundario_cumulativo</t>
        </is>
      </c>
      <c r="B16" t="inlineStr">
        <is>
          <t>Educação e Formação Profissional</t>
        </is>
      </c>
      <c r="C16" t="inlineStr">
        <is>
          <t>Salas de aula do II Ciclo do Ensino Secundário (cumulativo)</t>
        </is>
      </c>
      <c r="D16" t="inlineStr">
        <is>
          <t>Maior é melhor</t>
        </is>
      </c>
      <c r="E16" s="4" t="n">
        <v>100</v>
      </c>
      <c r="F16" s="4" t="n">
        <v>97.27588518495948</v>
      </c>
      <c r="G16" s="4" t="n">
        <v>116.8505088670851</v>
      </c>
      <c r="H16" s="4" t="n">
        <v>148.9121823389603</v>
      </c>
    </row>
    <row r="17">
      <c r="A17" t="inlineStr">
        <is>
          <t>IMP-educacao_e_formacao_profissional-taxa_de_alfabetizacao_da_populacao_maior_que_15_anos</t>
        </is>
      </c>
      <c r="B17" t="inlineStr">
        <is>
          <t>Educação e Formação Profissional</t>
        </is>
      </c>
      <c r="C17" t="inlineStr">
        <is>
          <t>Taxa de alfabetização da população maior que 15 anos</t>
        </is>
      </c>
      <c r="D17" t="inlineStr">
        <is>
          <t>Maior é melhor</t>
        </is>
      </c>
      <c r="E17" s="4" t="n">
        <v>100</v>
      </c>
      <c r="F17" s="4" t="n">
        <v>100</v>
      </c>
      <c r="G17" s="4" t="n">
        <v>100</v>
      </c>
      <c r="H17" s="4" t="n">
        <v>100</v>
      </c>
    </row>
    <row r="18">
      <c r="A18" t="inlineStr">
        <is>
          <t>IMP-educacao_e_formacao_profissional-taxa_de_conclusao_do_ensino_primario</t>
        </is>
      </c>
      <c r="B18" t="inlineStr">
        <is>
          <t>Educação e Formação Profissional</t>
        </is>
      </c>
      <c r="C18" t="inlineStr">
        <is>
          <t>Taxa de conclusão do Ensino Primário</t>
        </is>
      </c>
      <c r="D18" t="inlineStr">
        <is>
          <t>Maior é melhor</t>
        </is>
      </c>
      <c r="E18" s="4" t="n">
        <v>100</v>
      </c>
      <c r="F18" s="4" t="n">
        <v>95.08196721311475</v>
      </c>
      <c r="G18" s="4" t="n">
        <v>95.08196721311475</v>
      </c>
      <c r="H18" s="4" t="n">
        <v>95.08196721311475</v>
      </c>
    </row>
    <row r="19">
      <c r="A19" t="inlineStr">
        <is>
          <t>IMP-educacao_e_formacao_profissional-taxa_de_conclusao_do_i_ciclo_do_ensino_secundario_ensino_geral</t>
        </is>
      </c>
      <c r="B19" t="inlineStr">
        <is>
          <t>Educação e Formação Profissional</t>
        </is>
      </c>
      <c r="C19" t="inlineStr">
        <is>
          <t>Taxa de conclusão do I Ciclo do Ensino Secundário (Ensino Geral)</t>
        </is>
      </c>
      <c r="D19" t="inlineStr">
        <is>
          <t>Maior é melhor</t>
        </is>
      </c>
      <c r="E19" s="4" t="n">
        <v>100</v>
      </c>
      <c r="F19" s="4" t="n">
        <v>95.45454545454545</v>
      </c>
      <c r="G19" s="4" t="n">
        <v>102.2727272727273</v>
      </c>
      <c r="H19" s="4" t="n">
        <v>102.2727272727273</v>
      </c>
    </row>
    <row r="20">
      <c r="A20" t="inlineStr">
        <is>
          <t>IMP-educacao_e_formacao_profissional-taxa_de_conclusao_do_ii_ciclo_do_ensino_secundario_ensino_geral</t>
        </is>
      </c>
      <c r="B20" t="inlineStr">
        <is>
          <t>Educação e Formação Profissional</t>
        </is>
      </c>
      <c r="C20" t="inlineStr">
        <is>
          <t>Taxa de conclusão do II Ciclo do Ensino Secundário (Ensino Geral)</t>
        </is>
      </c>
      <c r="D20" t="inlineStr">
        <is>
          <t>Maior é melhor</t>
        </is>
      </c>
      <c r="E20" s="4" t="n">
        <v>100</v>
      </c>
      <c r="F20" s="4" t="n">
        <v>80</v>
      </c>
      <c r="G20" s="4" t="n">
        <v>66.66666666666666</v>
      </c>
      <c r="H20" s="4" t="n">
        <v>66.66666666666666</v>
      </c>
    </row>
    <row r="21">
      <c r="A21" t="inlineStr">
        <is>
          <t>IMP-educacao_e_formacao_profissional-professores_de_ensino_pre_escolar_com_a_qualificacao_minima_exigida_cumulativo</t>
        </is>
      </c>
      <c r="B21" t="inlineStr">
        <is>
          <t>Educação e Formação Profissional</t>
        </is>
      </c>
      <c r="C21" t="inlineStr">
        <is>
          <t>Professores de Ensino Pré-escolar com a qualificação mínima exigida (cumulativo)</t>
        </is>
      </c>
      <c r="D21" t="inlineStr">
        <is>
          <t>Maior é melhor</t>
        </is>
      </c>
      <c r="E21" s="4" t="n">
        <v>100</v>
      </c>
      <c r="F21" s="4" t="n">
        <v>123.0769230769231</v>
      </c>
    </row>
    <row r="22">
      <c r="A22" t="inlineStr">
        <is>
          <t>IMP-educacao_e_formacao_profissional-professores_de_ensino_primario_com_a_qualificacao_minima_exigida_cumulativo</t>
        </is>
      </c>
      <c r="B22" t="inlineStr">
        <is>
          <t>Educação e Formação Profissional</t>
        </is>
      </c>
      <c r="C22" t="inlineStr">
        <is>
          <t>Professores de Ensino Primário com a qualificação mínima exigida (cumulativo)</t>
        </is>
      </c>
      <c r="D22" t="inlineStr">
        <is>
          <t>Maior é melhor</t>
        </is>
      </c>
      <c r="E22" s="4" t="n">
        <v>100</v>
      </c>
      <c r="F22" s="4" t="n">
        <v>101.2345679012346</v>
      </c>
    </row>
    <row r="23">
      <c r="A23" t="inlineStr">
        <is>
          <t>IMP-educacao_e_formacao_profissional-professores_de_ensino_secundario_com_a_qualificacao_minima_exigida_cumulativo</t>
        </is>
      </c>
      <c r="B23" t="inlineStr">
        <is>
          <t>Educação e Formação Profissional</t>
        </is>
      </c>
      <c r="C23" t="inlineStr">
        <is>
          <t>Professores de Ensino Secundário com a qualificação mínima exigida (cumulativo)</t>
        </is>
      </c>
      <c r="D23" t="inlineStr">
        <is>
          <t>Maior é melhor</t>
        </is>
      </c>
      <c r="E23" s="4" t="n">
        <v>100</v>
      </c>
      <c r="F23" s="4" t="n">
        <v>101.2048192771084</v>
      </c>
    </row>
    <row r="24">
      <c r="A24" t="inlineStr">
        <is>
          <t>IMP-educacao_e_formacao_profissional-numero_de_pessoas_formadas_pelo_snefp_cumulativo</t>
        </is>
      </c>
      <c r="B24" t="inlineStr">
        <is>
          <t>Educação e Formação Profissional</t>
        </is>
      </c>
      <c r="C24" t="inlineStr">
        <is>
          <t>Número de pessoas formadas pelo SNEFP (cumulativo)</t>
        </is>
      </c>
      <c r="D24" t="inlineStr">
        <is>
          <t>Maior é melhor</t>
        </is>
      </c>
      <c r="E24" s="4" t="n">
        <v>100</v>
      </c>
      <c r="F24" s="4" t="n">
        <v>188.4993113360081</v>
      </c>
      <c r="G24" s="4" t="n">
        <v>340.8287921432421</v>
      </c>
      <c r="H24" s="4" t="n">
        <v>523.0013773279837</v>
      </c>
    </row>
    <row r="25">
      <c r="A25" t="inlineStr">
        <is>
          <t>IMP-educacao_e_formacao_profissional-kits_profissionais_distribuidos_cumulativo</t>
        </is>
      </c>
      <c r="B25" t="inlineStr">
        <is>
          <t>Educação e Formação Profissional</t>
        </is>
      </c>
      <c r="C25" t="inlineStr">
        <is>
          <t>Kits profissionais distribuídos (cumulativo)</t>
        </is>
      </c>
      <c r="D25" t="inlineStr">
        <is>
          <t>Maior é melhor</t>
        </is>
      </c>
      <c r="E25" s="4" t="n">
        <v>100</v>
      </c>
      <c r="F25" s="4" t="n">
        <v>106.4670564690185</v>
      </c>
      <c r="G25" s="4" t="n">
        <v>108.2290154220461</v>
      </c>
      <c r="H25" s="4" t="n">
        <v>110.1518659498489</v>
      </c>
    </row>
    <row r="26">
      <c r="A26" t="inlineStr">
        <is>
          <t>IMP-educacao_e_formacao_profissional-estudantes_matriculados_no_ensino_superior_cumulativo</t>
        </is>
      </c>
      <c r="B26" t="inlineStr">
        <is>
          <t>Educação e Formação Profissional</t>
        </is>
      </c>
      <c r="C26" t="inlineStr">
        <is>
          <t>Estudantes matriculados no Ensino Superior (cumulativo)</t>
        </is>
      </c>
      <c r="D26" t="inlineStr">
        <is>
          <t>Maior é melhor</t>
        </is>
      </c>
      <c r="E26" s="4" t="n">
        <v>100</v>
      </c>
      <c r="F26" s="4" t="n">
        <v>104.4970539771309</v>
      </c>
      <c r="G26" s="4" t="n">
        <v>107.1163304538872</v>
      </c>
      <c r="H26" s="4" t="n">
        <v>102.8449093723473</v>
      </c>
    </row>
    <row r="27">
      <c r="A27" t="inlineStr">
        <is>
          <t>IMP-infraestruturas_habitacao_e_servicos_comunitarios-estradas_nacionais_reabilitadas_cumulativo</t>
        </is>
      </c>
      <c r="B27" t="inlineStr">
        <is>
          <t>Infraestruturas, Habitação e Serviços Comunitários</t>
        </is>
      </c>
      <c r="C27" t="inlineStr">
        <is>
          <t>Estradas Nacionais reabilitadas (cumulativo)</t>
        </is>
      </c>
      <c r="D27" t="inlineStr">
        <is>
          <t>Maior é melhor</t>
        </is>
      </c>
      <c r="E27" s="4" t="n">
        <v>100</v>
      </c>
      <c r="F27" s="4" t="n">
        <v>104.7498416719443</v>
      </c>
      <c r="G27" s="4" t="n">
        <v>106.8292168038843</v>
      </c>
      <c r="H27" s="4" t="n">
        <v>109.1264513405109</v>
      </c>
    </row>
    <row r="28">
      <c r="A28" t="inlineStr">
        <is>
          <t>IMP-infraestruturas_habitacao_e_servicos_comunitarios-equipamentos_sociais_construidos_ou_reabilitados_cumulativo</t>
        </is>
      </c>
      <c r="B28" t="inlineStr">
        <is>
          <t>Infraestruturas, Habitação e Serviços Comunitários</t>
        </is>
      </c>
      <c r="C28" t="inlineStr">
        <is>
          <t>Equipamentos sociais construídos ou reabilitados (cumulativo)</t>
        </is>
      </c>
      <c r="D28" t="inlineStr">
        <is>
          <t>Maior é melhor</t>
        </is>
      </c>
      <c r="E28" s="4" t="n">
        <v>100</v>
      </c>
      <c r="F28" s="4" t="n">
        <v>105.9602649006623</v>
      </c>
      <c r="G28" s="4" t="n">
        <v>110.5960264900662</v>
      </c>
      <c r="H28" s="4" t="n">
        <v>135.0993377483444</v>
      </c>
    </row>
    <row r="29">
      <c r="A29" t="inlineStr">
        <is>
          <t>IMP-infraestruturas_habitacao_e_servicos_comunitarios-construcao_e_reabilitacao_de_pontes_cumulativo</t>
        </is>
      </c>
      <c r="B29" t="inlineStr">
        <is>
          <t>Infraestruturas, Habitação e Serviços Comunitários</t>
        </is>
      </c>
      <c r="C29" t="inlineStr">
        <is>
          <t>Construção e reabilitação de pontes (cumulativo)</t>
        </is>
      </c>
      <c r="D29" t="inlineStr">
        <is>
          <t>Maior é melhor</t>
        </is>
      </c>
      <c r="E29" s="4" t="n">
        <v>100</v>
      </c>
      <c r="F29" s="4" t="n">
        <v>112.5319693094629</v>
      </c>
      <c r="G29" s="4" t="n">
        <v>137.0843989769821</v>
      </c>
      <c r="H29" s="4" t="n">
        <v>152.1867007672634</v>
      </c>
    </row>
    <row r="30">
      <c r="A30" t="inlineStr">
        <is>
          <t>IMP-infraestruturas_habitacao_e_servicos_comunitarios-taxa_de_electrificacao</t>
        </is>
      </c>
      <c r="B30" t="inlineStr">
        <is>
          <t>Infraestruturas, Habitação e Serviços Comunitários</t>
        </is>
      </c>
      <c r="C30" t="inlineStr">
        <is>
          <t>Taxa de electrificação</t>
        </is>
      </c>
      <c r="D30" t="inlineStr">
        <is>
          <t>Maior é melhor</t>
        </is>
      </c>
      <c r="E30" s="4" t="n">
        <v>100</v>
      </c>
      <c r="F30" s="4" t="n">
        <v>100</v>
      </c>
      <c r="G30" s="4" t="n">
        <v>102.3255813953488</v>
      </c>
      <c r="H30" s="4" t="n">
        <v>111.6279069767442</v>
      </c>
    </row>
    <row r="31">
      <c r="A31" t="inlineStr">
        <is>
          <t>IMP-infraestruturas_habitacao_e_servicos_comunitarios-numero_de_ligacoes_cumulativo</t>
        </is>
      </c>
      <c r="B31" t="inlineStr">
        <is>
          <t>Infraestruturas, Habitação e Serviços Comunitários</t>
        </is>
      </c>
      <c r="C31" t="inlineStr">
        <is>
          <t>Número de ligações (cumulativo)</t>
        </is>
      </c>
      <c r="D31" t="inlineStr">
        <is>
          <t>Maior é melhor</t>
        </is>
      </c>
      <c r="E31" s="4" t="n">
        <v>100</v>
      </c>
      <c r="F31" s="4" t="n">
        <v>100</v>
      </c>
      <c r="G31" s="4" t="n">
        <v>100</v>
      </c>
      <c r="H31" s="4" t="n">
        <v>100</v>
      </c>
    </row>
    <row r="32">
      <c r="A32" t="inlineStr">
        <is>
          <t>IMP-infraestruturas_habitacao_e_servicos_comunitarios-numero_de_sedes_municipais_com_distribuicao_de_energia_pela_ende</t>
        </is>
      </c>
      <c r="B32" t="inlineStr">
        <is>
          <t>Infraestruturas, Habitação e Serviços Comunitários</t>
        </is>
      </c>
      <c r="C32" t="inlineStr">
        <is>
          <t>Número de sedes municipais com distribuição de energia pela ENDE</t>
        </is>
      </c>
      <c r="D32" t="inlineStr">
        <is>
          <t>Maior é melhor</t>
        </is>
      </c>
      <c r="E32" s="4" t="n">
        <v>100</v>
      </c>
      <c r="F32" s="4" t="n">
        <v>100</v>
      </c>
      <c r="G32" s="4" t="n">
        <v>102.2222222222222</v>
      </c>
      <c r="H32" s="4" t="n">
        <v>106.6666666666667</v>
      </c>
    </row>
    <row r="33">
      <c r="A33" t="inlineStr">
        <is>
          <t>IMP-infraestruturas_habitacao_e_servicos_comunitarios-de_producao_total_de_energia_de_fontes_renovaveis</t>
        </is>
      </c>
      <c r="B33" t="inlineStr">
        <is>
          <t>Infraestruturas, Habitação e Serviços Comunitários</t>
        </is>
      </c>
      <c r="C33" t="inlineStr">
        <is>
          <t>% de produção total de energia de fontes renováveis</t>
        </is>
      </c>
      <c r="D33" t="inlineStr">
        <is>
          <t>Maior é melhor</t>
        </is>
      </c>
      <c r="E33" s="4" t="n">
        <v>100</v>
      </c>
      <c r="F33" s="4" t="n">
        <v>100</v>
      </c>
      <c r="G33" s="4" t="n">
        <v>101.5384615384615</v>
      </c>
      <c r="H33" s="4" t="n">
        <v>101.5384615384615</v>
      </c>
    </row>
    <row r="34">
      <c r="A34" t="inlineStr">
        <is>
          <t>IMP-infraestruturas_habitacao_e_servicos_comunitarios-potencia_instalada_proveniente_de_fontes_renovaveis</t>
        </is>
      </c>
      <c r="B34" t="inlineStr">
        <is>
          <t>Infraestruturas, Habitação e Serviços Comunitários</t>
        </is>
      </c>
      <c r="C34" t="inlineStr">
        <is>
          <t>Potência instalada proveniente de fontes renováveis</t>
        </is>
      </c>
      <c r="D34" t="inlineStr">
        <is>
          <t>Maior é melhor</t>
        </is>
      </c>
      <c r="E34" s="4" t="n">
        <v>100</v>
      </c>
      <c r="F34" s="4" t="n">
        <v>100</v>
      </c>
      <c r="G34" s="4" t="n">
        <v>125</v>
      </c>
      <c r="H34" s="4" t="n">
        <v>100</v>
      </c>
    </row>
    <row r="35">
      <c r="A35" t="inlineStr">
        <is>
          <t>IMP-infraestruturas_habitacao_e_servicos_comunitarios-quantidade_de_agua_tratada_cumulativo</t>
        </is>
      </c>
      <c r="B35" t="inlineStr">
        <is>
          <t>Infraestruturas, Habitação e Serviços Comunitários</t>
        </is>
      </c>
      <c r="C35" t="inlineStr">
        <is>
          <t>Quantidade de água tratada (cumulativo)</t>
        </is>
      </c>
      <c r="D35" t="inlineStr">
        <is>
          <t>Maior é melhor</t>
        </is>
      </c>
      <c r="E35" s="4" t="n">
        <v>100</v>
      </c>
      <c r="F35" s="4" t="n">
        <v>100.3030303030303</v>
      </c>
      <c r="G35" s="4" t="n">
        <v>100.3787878787879</v>
      </c>
      <c r="H35" s="4" t="n">
        <v>100.3787878787879</v>
      </c>
    </row>
    <row r="36">
      <c r="A36" t="inlineStr">
        <is>
          <t>IMP-infraestruturas_habitacao_e_servicos_comunitarios-taxa_de_cobertura_de_aguas_nas_areas_urbanas</t>
        </is>
      </c>
      <c r="B36" t="inlineStr">
        <is>
          <t>Infraestruturas, Habitação e Serviços Comunitários</t>
        </is>
      </c>
      <c r="C36" t="inlineStr">
        <is>
          <t>Taxa de cobertura de águas nas áreas urbanas</t>
        </is>
      </c>
      <c r="D36" t="inlineStr">
        <is>
          <t>Maior é melhor</t>
        </is>
      </c>
      <c r="E36" s="4" t="n">
        <v>100</v>
      </c>
      <c r="F36" s="4" t="n">
        <v>100</v>
      </c>
      <c r="G36" s="4" t="n">
        <v>100</v>
      </c>
      <c r="H36" s="4" t="n">
        <v>104.1666666666667</v>
      </c>
    </row>
    <row r="37">
      <c r="A37" t="inlineStr">
        <is>
          <t>IMP-infraestruturas_habitacao_e_servicos_comunitarios-taxa_de_cobertura_de_aguas_nas_areas_rurais</t>
        </is>
      </c>
      <c r="B37" t="inlineStr">
        <is>
          <t>Infraestruturas, Habitação e Serviços Comunitários</t>
        </is>
      </c>
      <c r="C37" t="inlineStr">
        <is>
          <t>Taxa de cobertura de águas nas áreas rurais</t>
        </is>
      </c>
      <c r="D37" t="inlineStr">
        <is>
          <t>Maior é melhor</t>
        </is>
      </c>
      <c r="E37" s="4" t="n">
        <v>100</v>
      </c>
      <c r="F37" s="4" t="n">
        <v>100</v>
      </c>
      <c r="G37" s="4" t="n">
        <v>100</v>
      </c>
      <c r="H37" s="4" t="n">
        <v>42.85714285714285</v>
      </c>
    </row>
    <row r="38">
      <c r="A38" t="inlineStr">
        <is>
          <t>IMP-fomento_a_producao-toneladas_de_carne_produzidas</t>
        </is>
      </c>
      <c r="B38" t="inlineStr">
        <is>
          <t>Fomento à Produção</t>
        </is>
      </c>
      <c r="C38" t="inlineStr">
        <is>
          <t>Toneladas de carne produzidas</t>
        </is>
      </c>
      <c r="D38" t="inlineStr">
        <is>
          <t>Maior é melhor</t>
        </is>
      </c>
      <c r="E38" s="4" t="n">
        <v>100</v>
      </c>
      <c r="F38" s="4" t="n">
        <v>106.8698782980479</v>
      </c>
      <c r="G38" s="4" t="n">
        <v>104.1492427225733</v>
      </c>
      <c r="H38" s="4" t="n">
        <v>111.784524412274</v>
      </c>
    </row>
    <row r="39">
      <c r="A39" t="inlineStr">
        <is>
          <t>IMP-fomento_a_producao-toneladas_de_raizes_e_tuberculos_produzidas</t>
        </is>
      </c>
      <c r="B39" t="inlineStr">
        <is>
          <t>Fomento à Produção</t>
        </is>
      </c>
      <c r="C39" t="inlineStr">
        <is>
          <t>Toneladas de raízes e tubérculos produzidas</t>
        </is>
      </c>
      <c r="D39" t="inlineStr">
        <is>
          <t>Maior é melhor</t>
        </is>
      </c>
      <c r="E39" s="4" t="n">
        <v>100</v>
      </c>
      <c r="F39" s="4" t="n">
        <v>106.3551835214763</v>
      </c>
      <c r="G39" s="4" t="n">
        <v>112.8428469846613</v>
      </c>
      <c r="H39" s="4" t="n">
        <v>124.8331484005175</v>
      </c>
    </row>
    <row r="40">
      <c r="A40" t="inlineStr">
        <is>
          <t>IMP-fomento_a_producao-toneladas_de_fruta_produzidas</t>
        </is>
      </c>
      <c r="B40" t="inlineStr">
        <is>
          <t>Fomento à Produção</t>
        </is>
      </c>
      <c r="C40" t="inlineStr">
        <is>
          <t>Toneladas de fruta produzidas</t>
        </is>
      </c>
      <c r="D40" t="inlineStr">
        <is>
          <t>Maior é melhor</t>
        </is>
      </c>
      <c r="E40" s="4" t="n">
        <v>100</v>
      </c>
      <c r="F40" s="4" t="n">
        <v>106.7104675576521</v>
      </c>
      <c r="G40" s="4" t="n">
        <v>113.4332381819423</v>
      </c>
      <c r="H40" s="4" t="n">
        <v>119.7118154671588</v>
      </c>
    </row>
    <row r="41">
      <c r="A41" t="inlineStr">
        <is>
          <t>IMP-fomento_a_producao-toneladas_de_cereais_produzidas</t>
        </is>
      </c>
      <c r="B41" t="inlineStr">
        <is>
          <t>Fomento à Produção</t>
        </is>
      </c>
      <c r="C41" t="inlineStr">
        <is>
          <t>Toneladas de cereais produzidas</t>
        </is>
      </c>
      <c r="D41" t="inlineStr">
        <is>
          <t>Maior é melhor</t>
        </is>
      </c>
      <c r="E41" s="4" t="n">
        <v>100</v>
      </c>
      <c r="F41" s="4" t="n">
        <v>105.307013815457</v>
      </c>
      <c r="G41" s="4" t="n">
        <v>110.4670680320996</v>
      </c>
      <c r="H41" s="4" t="n">
        <v>118.0679376816017</v>
      </c>
    </row>
    <row r="42">
      <c r="A42" t="inlineStr">
        <is>
          <t>IMP-fomento_a_producao-toneladas_de_horticolas_produzidas</t>
        </is>
      </c>
      <c r="B42" t="inlineStr">
        <is>
          <t>Fomento à Produção</t>
        </is>
      </c>
      <c r="C42" t="inlineStr">
        <is>
          <t>Toneladas de hortícolas produzidas</t>
        </is>
      </c>
      <c r="D42" t="inlineStr">
        <is>
          <t>Maior é melhor</t>
        </is>
      </c>
      <c r="E42" s="4" t="n">
        <v>100</v>
      </c>
      <c r="F42" s="4" t="n">
        <v>111.5136798175181</v>
      </c>
      <c r="G42" s="4" t="n">
        <v>119.4311661665486</v>
      </c>
      <c r="H42" s="4" t="n">
        <v>129.170536275974</v>
      </c>
    </row>
    <row r="43">
      <c r="A43" t="inlineStr">
        <is>
          <t>IMP-fomento_a_producao-ovos_produzidos</t>
        </is>
      </c>
      <c r="B43" t="inlineStr">
        <is>
          <t>Fomento à Produção</t>
        </is>
      </c>
      <c r="C43" t="inlineStr">
        <is>
          <t>Ovos produzidos</t>
        </is>
      </c>
      <c r="D43" t="inlineStr">
        <is>
          <t>Maior é melhor</t>
        </is>
      </c>
      <c r="E43" s="4" t="n">
        <v>100</v>
      </c>
      <c r="F43" s="4" t="n">
        <v>102.4870081662955</v>
      </c>
      <c r="G43" s="4" t="n">
        <v>89.90348923533779</v>
      </c>
      <c r="H43" s="4" t="n">
        <v>94.46919079435783</v>
      </c>
    </row>
    <row r="44">
      <c r="A44" t="inlineStr">
        <is>
          <t>IMP-fomento_a_producao-litros_de_leite_produzidos</t>
        </is>
      </c>
      <c r="B44" t="inlineStr">
        <is>
          <t>Fomento à Produção</t>
        </is>
      </c>
      <c r="C44" t="inlineStr">
        <is>
          <t>Litros de leite produzidos</t>
        </is>
      </c>
      <c r="D44" t="inlineStr">
        <is>
          <t>Maior é melhor</t>
        </is>
      </c>
      <c r="E44" s="4" t="n">
        <v>100</v>
      </c>
      <c r="F44" s="4" t="n">
        <v>100</v>
      </c>
      <c r="G44" s="4" t="n">
        <v>100</v>
      </c>
      <c r="H44" s="4" t="n">
        <v>100</v>
      </c>
    </row>
    <row r="45">
      <c r="A45" t="inlineStr">
        <is>
          <t>IMP-fomento_a_producao-unidades_industriais_no_subsector_da_industria_pesqueira_e_de_transformacao_de_carne_instaladas_cumulativo</t>
        </is>
      </c>
      <c r="B45" t="inlineStr">
        <is>
          <t>Fomento à Produção</t>
        </is>
      </c>
      <c r="C45" t="inlineStr">
        <is>
          <t>Unidades industriais no subsector da indústria pesqueira e de transformação de carne instaladas (cumulativo)</t>
        </is>
      </c>
      <c r="D45" t="inlineStr">
        <is>
          <t>Maior é melhor</t>
        </is>
      </c>
      <c r="E45" s="4" t="n">
        <v>100</v>
      </c>
      <c r="F45" s="4" t="n">
        <v>200</v>
      </c>
      <c r="G45" s="4" t="n">
        <v>800</v>
      </c>
      <c r="H45" s="4" t="n">
        <v>1033.333333333333</v>
      </c>
    </row>
    <row r="46">
      <c r="A46" t="inlineStr">
        <is>
          <t>IMP-fomento_a_producao-toneladas_de_peixe_de_captura_industrial_e_semi_industrial_produzidas</t>
        </is>
      </c>
      <c r="B46" t="inlineStr">
        <is>
          <t>Fomento à Produção</t>
        </is>
      </c>
      <c r="C46" t="inlineStr">
        <is>
          <t>Toneladas de peixe de captura industrial e semi-industrial produzidas</t>
        </is>
      </c>
      <c r="D46" t="inlineStr">
        <is>
          <t>Maior é melhor</t>
        </is>
      </c>
      <c r="E46" s="4" t="n">
        <v>100</v>
      </c>
      <c r="F46" s="4" t="n">
        <v>103.2835820895522</v>
      </c>
      <c r="G46" s="4" t="n">
        <v>111.6417910447761</v>
      </c>
      <c r="H46" s="4" t="n">
        <v>81.49253731343283</v>
      </c>
    </row>
    <row r="47">
      <c r="A47" t="inlineStr">
        <is>
          <t>IMP-economico-taxa_de_crescimento_do_pib</t>
        </is>
      </c>
      <c r="B47" t="inlineStr">
        <is>
          <t>Económico</t>
        </is>
      </c>
      <c r="C47" t="inlineStr">
        <is>
          <t>Taxa de crescimento do PIB</t>
        </is>
      </c>
      <c r="D47" t="inlineStr">
        <is>
          <t>Maior é melhor</t>
        </is>
      </c>
      <c r="E47" s="4" t="n">
        <v>100</v>
      </c>
      <c r="F47" s="4" t="n">
        <v>25</v>
      </c>
      <c r="G47" s="4" t="n">
        <v>125</v>
      </c>
      <c r="H47" s="4" t="n">
        <v>75</v>
      </c>
    </row>
    <row r="48">
      <c r="A48" t="inlineStr">
        <is>
          <t>IMP-economico-taxa_de_crescimento_do_pib_nao_petrolifero</t>
        </is>
      </c>
      <c r="B48" t="inlineStr">
        <is>
          <t>Económico</t>
        </is>
      </c>
      <c r="C48" t="inlineStr">
        <is>
          <t>Taxa de crescimento do PIB não petrolífero</t>
        </is>
      </c>
      <c r="D48" t="inlineStr">
        <is>
          <t>Maior é melhor</t>
        </is>
      </c>
      <c r="E48" s="4" t="n">
        <v>100</v>
      </c>
      <c r="F48" s="4" t="n">
        <v>50</v>
      </c>
      <c r="G48" s="4" t="n">
        <v>125</v>
      </c>
      <c r="H48" s="4" t="n">
        <v>125</v>
      </c>
    </row>
    <row r="49">
      <c r="A49" t="inlineStr">
        <is>
          <t>IMP-economico-taxa_de_inflacao</t>
        </is>
      </c>
      <c r="B49" t="inlineStr">
        <is>
          <t>Económico</t>
        </is>
      </c>
      <c r="C49" t="inlineStr">
        <is>
          <t>Taxa de inflação</t>
        </is>
      </c>
      <c r="D49" t="inlineStr">
        <is>
          <t>Menor é melhor</t>
        </is>
      </c>
      <c r="E49" s="4" t="n">
        <v>100</v>
      </c>
      <c r="F49" s="4" t="n">
        <v>70</v>
      </c>
      <c r="G49" s="4" t="n">
        <v>50</v>
      </c>
      <c r="H49" s="4" t="n">
        <v>87.5</v>
      </c>
    </row>
    <row r="50">
      <c r="A50" t="inlineStr">
        <is>
          <t>IMP-economico-empregos_formais_bruto_gerados</t>
        </is>
      </c>
      <c r="B50" t="inlineStr">
        <is>
          <t>Económico</t>
        </is>
      </c>
      <c r="C50" t="inlineStr">
        <is>
          <t>Empregos Formais Bruto Gerados</t>
        </is>
      </c>
      <c r="D50" t="inlineStr">
        <is>
          <t>Maior é melhor</t>
        </is>
      </c>
      <c r="E50" s="4" t="n">
        <v>100</v>
      </c>
      <c r="F50" s="4" t="n">
        <v>99.33809134132319</v>
      </c>
      <c r="G50" s="4" t="n">
        <v>116.6145288432654</v>
      </c>
      <c r="H50" s="4" t="n">
        <v>114.2072115932421</v>
      </c>
    </row>
    <row r="51">
      <c r="A51" t="inlineStr">
        <is>
          <t>IMP-economico-empregos_formais_liquidos_gerados</t>
        </is>
      </c>
      <c r="B51" t="inlineStr">
        <is>
          <t>Económico</t>
        </is>
      </c>
      <c r="C51" t="inlineStr">
        <is>
          <t>Empregos Formais Líquidos Gerados</t>
        </is>
      </c>
      <c r="D51" t="inlineStr">
        <is>
          <t>Maior é melhor</t>
        </is>
      </c>
      <c r="E51" s="4" t="n">
        <v>100</v>
      </c>
      <c r="F51" s="4" t="n">
        <v>103.1503226608501</v>
      </c>
      <c r="G51" s="4" t="n">
        <v>123.5655436637546</v>
      </c>
      <c r="H51" s="4" t="n">
        <v>121.0763649514596</v>
      </c>
    </row>
    <row r="52">
      <c r="A52" t="inlineStr">
        <is>
          <t>IMP-economico-taxa_de_desemprego</t>
        </is>
      </c>
      <c r="B52" t="inlineStr">
        <is>
          <t>Económico</t>
        </is>
      </c>
      <c r="C52" t="inlineStr">
        <is>
          <t>Taxa de Desemprego</t>
        </is>
      </c>
      <c r="D52" t="inlineStr">
        <is>
          <t>Menor é melhor</t>
        </is>
      </c>
      <c r="E52" s="4" t="n">
        <v>100</v>
      </c>
      <c r="F52" s="4" t="n">
        <v>100</v>
      </c>
      <c r="G52" s="4" t="n">
        <v>100</v>
      </c>
      <c r="H52" s="4" t="n">
        <v>111.5241635687732</v>
      </c>
    </row>
    <row r="53">
      <c r="A53" s="6" t="inlineStr"/>
      <c r="B53" s="6" t="inlineStr">
        <is>
          <t>Saúde</t>
        </is>
      </c>
      <c r="C53" s="6" t="inlineStr">
        <is>
          <t>Domínio Saúde (média geométrica)</t>
        </is>
      </c>
      <c r="D53" s="6" t="inlineStr"/>
      <c r="E53" s="7" t="n">
        <v>100</v>
      </c>
      <c r="F53" s="7" t="n">
        <v>117.0979754070407</v>
      </c>
      <c r="G53" s="7" t="n">
        <v>118.737217865999</v>
      </c>
      <c r="H53" s="7" t="n">
        <v>124.034827491541</v>
      </c>
    </row>
    <row r="54">
      <c r="A54" s="6" t="inlineStr"/>
      <c r="B54" s="6" t="inlineStr">
        <is>
          <t>Protecção Social</t>
        </is>
      </c>
      <c r="C54" s="6" t="inlineStr">
        <is>
          <t>Domínio Prot. Social (média geométrica)</t>
        </is>
      </c>
      <c r="D54" s="6" t="inlineStr"/>
      <c r="E54" s="7" t="n">
        <v>100</v>
      </c>
      <c r="F54" s="7" t="n">
        <v>127.2092916452957</v>
      </c>
      <c r="G54" s="7" t="n">
        <v>192.2444480903912</v>
      </c>
      <c r="H54" s="7" t="n">
        <v>219.4430802715739</v>
      </c>
    </row>
    <row r="55">
      <c r="A55" s="6" t="inlineStr"/>
      <c r="B55" s="6" t="inlineStr">
        <is>
          <t>Comunicação</t>
        </is>
      </c>
      <c r="C55" s="6" t="inlineStr">
        <is>
          <t>Domínio Comunicação (média geométrica)</t>
        </is>
      </c>
      <c r="D55" s="6" t="inlineStr"/>
      <c r="E55" s="7" t="n">
        <v>100</v>
      </c>
      <c r="F55" s="7" t="n">
        <v>107.0436048222094</v>
      </c>
      <c r="G55" s="7" t="n">
        <v>111.8033988749895</v>
      </c>
      <c r="H55" s="7" t="n">
        <v>134.3709624716425</v>
      </c>
    </row>
    <row r="56">
      <c r="A56" s="6" t="inlineStr"/>
      <c r="B56" s="6" t="inlineStr">
        <is>
          <t>Educação e Formação Profissional</t>
        </is>
      </c>
      <c r="C56" s="6" t="inlineStr">
        <is>
          <t>Domínio Educação e FP (média geométrica)</t>
        </is>
      </c>
      <c r="D56" s="6" t="inlineStr"/>
      <c r="E56" s="7" t="n">
        <v>100</v>
      </c>
      <c r="F56" s="7" t="n">
        <v>106.9709249950253</v>
      </c>
      <c r="G56" s="7" t="n">
        <v>116.0102228956407</v>
      </c>
      <c r="H56" s="7" t="n">
        <v>126.3988651698851</v>
      </c>
    </row>
    <row r="57">
      <c r="A57" s="6" t="inlineStr"/>
      <c r="B57" s="6" t="inlineStr">
        <is>
          <t>Infraestruturas, Habitação e Serviços Comunitários</t>
        </is>
      </c>
      <c r="C57" s="6" t="inlineStr">
        <is>
          <t>Domínio Infraestruturas (média geométrica)</t>
        </is>
      </c>
      <c r="D57" s="6" t="inlineStr"/>
      <c r="E57" s="7" t="n">
        <v>100</v>
      </c>
      <c r="F57" s="7" t="n">
        <v>102.0701521483454</v>
      </c>
      <c r="G57" s="7" t="n">
        <v>107.2445979204079</v>
      </c>
      <c r="H57" s="7" t="n">
        <v>101.7906330411225</v>
      </c>
    </row>
    <row r="58">
      <c r="A58" s="6" t="inlineStr"/>
      <c r="B58" s="6" t="inlineStr">
        <is>
          <t>Fomento à Produção</t>
        </is>
      </c>
      <c r="C58" s="6" t="inlineStr">
        <is>
          <t>Domínio Fomento Prod. (média geométrica)</t>
        </is>
      </c>
      <c r="D58" s="6" t="inlineStr"/>
      <c r="E58" s="7" t="n">
        <v>100</v>
      </c>
      <c r="F58" s="7" t="n">
        <v>113.0471495678433</v>
      </c>
      <c r="G58" s="7" t="n">
        <v>134.2048641526903</v>
      </c>
      <c r="H58" s="7" t="n">
        <v>139.7008893824209</v>
      </c>
    </row>
    <row r="59">
      <c r="A59" s="6" t="inlineStr"/>
      <c r="B59" s="6" t="inlineStr">
        <is>
          <t>Económico</t>
        </is>
      </c>
      <c r="C59" s="6" t="inlineStr">
        <is>
          <t>Domínio Económico (média geométrica)</t>
        </is>
      </c>
      <c r="D59" s="6" t="inlineStr"/>
      <c r="E59" s="7" t="n">
        <v>100</v>
      </c>
      <c r="F59" s="7" t="n">
        <v>66.90096915626353</v>
      </c>
      <c r="G59" s="7" t="n">
        <v>101.9936998216202</v>
      </c>
      <c r="H59" s="7" t="n">
        <v>103.9960556365624</v>
      </c>
    </row>
    <row r="60">
      <c r="A60" s="6" t="inlineStr"/>
      <c r="B60" s="6" t="inlineStr"/>
      <c r="C60" s="6" t="inlineStr">
        <is>
          <t>ÍNDICE COMPÓSITO DE EXECUÇÃO (média geométrica dos domínios)</t>
        </is>
      </c>
      <c r="D60" s="6" t="inlineStr"/>
      <c r="E60" s="7" t="n">
        <v>100</v>
      </c>
      <c r="F60" s="7" t="n">
        <v>104.0086250133352</v>
      </c>
      <c r="G60" s="7" t="n">
        <v>123.3554734389253</v>
      </c>
      <c r="H60" s="7" t="n">
        <v>131.6020245986516</v>
      </c>
    </row>
    <row r="61">
      <c r="A61" s="6" t="inlineStr"/>
      <c r="B61" s="6" t="inlineStr"/>
      <c r="C61" s="6" t="inlineStr">
        <is>
          <t>Índice (painel completo, 48 indicadores)</t>
        </is>
      </c>
      <c r="D61" s="6" t="inlineStr"/>
      <c r="E61" s="7" t="n">
        <v>100</v>
      </c>
      <c r="F61" s="7" t="n">
        <v>103.964467868587</v>
      </c>
      <c r="G61" s="7" t="n">
        <v>123.3554734389253</v>
      </c>
      <c r="H61" s="7" t="n">
        <v>131.6020245986516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5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</cols>
  <sheetData>
    <row r="1">
      <c r="A1" s="3" t="inlineStr">
        <is>
          <t>ID</t>
        </is>
      </c>
      <c r="B1" s="3" t="inlineStr">
        <is>
          <t>Domínio</t>
        </is>
      </c>
      <c r="C1" s="3" t="inlineStr">
        <is>
          <t>Indicador / agregado</t>
        </is>
      </c>
      <c r="D1" s="3" t="inlineStr">
        <is>
          <t>Direcção</t>
        </is>
      </c>
      <c r="E1" s="3" t="inlineStr">
        <is>
          <t>2023 (tecto 100)</t>
        </is>
      </c>
      <c r="F1" s="3" t="inlineStr">
        <is>
          <t>2024 (tecto 100)</t>
        </is>
      </c>
      <c r="G1" s="3" t="inlineStr">
        <is>
          <t>2025 (tecto 100)</t>
        </is>
      </c>
      <c r="H1" s="3" t="inlineStr">
        <is>
          <t>2025 sem tecto</t>
        </is>
      </c>
      <c r="I1" s="3" t="inlineStr">
        <is>
          <t>2025 vs Meta MINPLAN (sem tecto)</t>
        </is>
      </c>
    </row>
    <row r="2">
      <c r="A2" t="inlineStr">
        <is>
          <t>IMP-saude-taxa_de_cobertura_da_4_a_consulta_pre_natal</t>
        </is>
      </c>
      <c r="B2" t="inlineStr">
        <is>
          <t>Saúde</t>
        </is>
      </c>
      <c r="C2" t="inlineStr">
        <is>
          <t>Taxa de cobertura da 4.ª consulta pré-natal</t>
        </is>
      </c>
      <c r="D2" t="inlineStr">
        <is>
          <t>Maior é melhor</t>
        </is>
      </c>
      <c r="E2" s="4" t="n">
        <v>100</v>
      </c>
      <c r="F2" s="4" t="n">
        <v>100</v>
      </c>
      <c r="G2" s="4" t="n">
        <v>100</v>
      </c>
      <c r="H2" s="4" t="n">
        <v>107.1428571428571</v>
      </c>
      <c r="I2" s="4" t="n">
        <v>107.1428571428571</v>
      </c>
    </row>
    <row r="3">
      <c r="A3" t="inlineStr">
        <is>
          <t>IMP-saude-taxa_de_imunizacao_bcg</t>
        </is>
      </c>
      <c r="B3" t="inlineStr">
        <is>
          <t>Saúde</t>
        </is>
      </c>
      <c r="C3" t="inlineStr">
        <is>
          <t>Taxa de imunização BCG</t>
        </is>
      </c>
      <c r="D3" t="inlineStr">
        <is>
          <t>Maior é melhor</t>
        </is>
      </c>
      <c r="E3" s="4" t="n">
        <v>100</v>
      </c>
      <c r="F3" s="4" t="n">
        <v>100</v>
      </c>
      <c r="G3" s="4" t="n">
        <v>90.69767441860465</v>
      </c>
      <c r="H3" s="4" t="n">
        <v>90.69767441860465</v>
      </c>
      <c r="I3" s="4" t="n">
        <v>90.69767441860465</v>
      </c>
    </row>
    <row r="4">
      <c r="A4" t="inlineStr">
        <is>
          <t>IMP-saude-taxa_de_vacinacao_contra_o_sarampo</t>
        </is>
      </c>
      <c r="B4" t="inlineStr">
        <is>
          <t>Saúde</t>
        </is>
      </c>
      <c r="C4" t="inlineStr">
        <is>
          <t>Taxa de vacinação contra o sarampo</t>
        </is>
      </c>
      <c r="D4" t="inlineStr">
        <is>
          <t>Maior é melhor</t>
        </is>
      </c>
      <c r="E4" s="4" t="n">
        <v>100</v>
      </c>
      <c r="F4" s="4" t="n">
        <v>90.26548672566372</v>
      </c>
      <c r="G4" s="4" t="n">
        <v>95</v>
      </c>
      <c r="H4" s="4" t="n">
        <v>95</v>
      </c>
      <c r="I4" s="4" t="n">
        <v>95</v>
      </c>
    </row>
    <row r="5">
      <c r="A5" t="inlineStr">
        <is>
          <t>IMP-saude-taxa_de_incidencia_da_malaria</t>
        </is>
      </c>
      <c r="B5" t="inlineStr">
        <is>
          <t>Saúde</t>
        </is>
      </c>
      <c r="C5" t="inlineStr">
        <is>
          <t>Taxa de incidência da malária</t>
        </is>
      </c>
      <c r="D5" t="inlineStr">
        <is>
          <t>Menor é melhor</t>
        </is>
      </c>
      <c r="E5" s="4" t="n">
        <v>90.85213032581453</v>
      </c>
      <c r="F5" s="4" t="n">
        <v>74.37567861020629</v>
      </c>
      <c r="G5" s="4" t="n">
        <v>72.14765100671141</v>
      </c>
      <c r="H5" s="4" t="n">
        <v>72.14765100671141</v>
      </c>
      <c r="I5" s="4" t="n">
        <v>72.14765100671141</v>
      </c>
    </row>
    <row r="6">
      <c r="A6" t="inlineStr">
        <is>
          <t>IMP-saude-taxa_de_sucesso_do_tratamento_para_a_tuberculose</t>
        </is>
      </c>
      <c r="B6" t="inlineStr">
        <is>
          <t>Saúde</t>
        </is>
      </c>
      <c r="C6" t="inlineStr">
        <is>
          <t>Taxa de sucesso do tratamento para a tuberculose</t>
        </is>
      </c>
      <c r="D6" t="inlineStr">
        <is>
          <t>Maior é melhor</t>
        </is>
      </c>
      <c r="E6" s="4" t="n">
        <v>93.05555555555556</v>
      </c>
      <c r="F6" s="4" t="n">
        <v>100</v>
      </c>
      <c r="G6" s="4" t="n">
        <v>100</v>
      </c>
      <c r="H6" s="4" t="n">
        <v>119.7368421052632</v>
      </c>
      <c r="I6" s="4" t="n">
        <v>119.7368421052632</v>
      </c>
    </row>
    <row r="7">
      <c r="A7" t="inlineStr">
        <is>
          <t>IMP-saude-partos_institucionais_realizados_por_profissionais_qualificados</t>
        </is>
      </c>
      <c r="B7" t="inlineStr">
        <is>
          <t>Saúde</t>
        </is>
      </c>
      <c r="C7" t="inlineStr">
        <is>
          <t>Partos institucionais realizados por profissionais qualificados</t>
        </is>
      </c>
      <c r="D7" t="inlineStr">
        <is>
          <t>Maior é melhor</t>
        </is>
      </c>
      <c r="E7" s="4" t="n">
        <v>100</v>
      </c>
      <c r="F7" s="4" t="n">
        <v>100</v>
      </c>
      <c r="G7" s="4" t="n">
        <v>100</v>
      </c>
      <c r="H7" s="4" t="n">
        <v>114.2857142857143</v>
      </c>
      <c r="I7" s="4" t="n">
        <v>114.2857142857143</v>
      </c>
    </row>
    <row r="8">
      <c r="A8" t="inlineStr">
        <is>
          <t>IMP-proteccao_social-pessoas_integradas_em_actividades_geradoras_de_renda_cumulativo</t>
        </is>
      </c>
      <c r="B8" t="inlineStr">
        <is>
          <t>Protecção Social</t>
        </is>
      </c>
      <c r="C8" t="inlineStr">
        <is>
          <t>Pessoas integradas em actividades geradoras de renda (cumulativo)</t>
        </is>
      </c>
      <c r="D8" t="inlineStr">
        <is>
          <t>Maior é melhor</t>
        </is>
      </c>
      <c r="E8" s="4" t="n">
        <v>65.10693641618496</v>
      </c>
      <c r="F8" s="4" t="n">
        <v>48.8795744680851</v>
      </c>
      <c r="G8" s="4" t="n">
        <v>39.31010101010101</v>
      </c>
      <c r="H8" s="4" t="n">
        <v>39.31010101010101</v>
      </c>
      <c r="I8" s="4" t="n">
        <v>39.31010101010101</v>
      </c>
    </row>
    <row r="9">
      <c r="A9" t="inlineStr">
        <is>
          <t>IMP-proteccao_social-beneficiarios_de_transferencias_sociais_monetarias_cumulativo</t>
        </is>
      </c>
      <c r="B9" t="inlineStr">
        <is>
          <t>Protecção Social</t>
        </is>
      </c>
      <c r="C9" t="inlineStr">
        <is>
          <t>Beneficiários de transferências sociais monetárias (cumulativo)</t>
        </is>
      </c>
      <c r="D9" t="inlineStr">
        <is>
          <t>Maior é melhor</t>
        </is>
      </c>
      <c r="E9" s="4" t="n">
        <v>94.43832934436126</v>
      </c>
      <c r="F9" s="4" t="n">
        <v>76.23460161792255</v>
      </c>
      <c r="G9" s="4" t="n">
        <v>75.04722222222222</v>
      </c>
      <c r="H9" s="4" t="n">
        <v>75.04722222222222</v>
      </c>
      <c r="I9" s="4" t="n">
        <v>75.04722222222222</v>
      </c>
    </row>
    <row r="10">
      <c r="A10" t="inlineStr">
        <is>
          <t>IMP-proteccao_social-familias_assistidas_com_cesta_basica_de_alimentos_cumulativo</t>
        </is>
      </c>
      <c r="B10" t="inlineStr">
        <is>
          <t>Protecção Social</t>
        </is>
      </c>
      <c r="C10" t="inlineStr">
        <is>
          <t>Famílias assistidas com cesta básica de alimentos (cumulativo)</t>
        </is>
      </c>
      <c r="D10" t="inlineStr">
        <is>
          <t>Maior é melhor</t>
        </is>
      </c>
      <c r="E10" s="4" t="n">
        <v>69.81725259408394</v>
      </c>
      <c r="F10" s="4" t="n">
        <v>100</v>
      </c>
      <c r="G10" s="4" t="n">
        <v>100</v>
      </c>
      <c r="H10" s="4" t="n">
        <v>126.2734939759036</v>
      </c>
      <c r="I10" s="4" t="n">
        <v>126.2734939759036</v>
      </c>
    </row>
    <row r="11">
      <c r="A11" t="inlineStr">
        <is>
          <t>IMP-comunicacao-numero_de_assinantes_de_internet</t>
        </is>
      </c>
      <c r="B11" t="inlineStr">
        <is>
          <t>Comunicação</t>
        </is>
      </c>
      <c r="C11" t="inlineStr">
        <is>
          <t>Número de assinantes de Internet</t>
        </is>
      </c>
      <c r="D11" t="inlineStr">
        <is>
          <t>Maior é melhor</t>
        </is>
      </c>
      <c r="E11" s="4" t="n">
        <v>97.05882352941177</v>
      </c>
      <c r="F11" s="4" t="n">
        <v>94.73684210526315</v>
      </c>
      <c r="G11" s="4" t="n">
        <v>100</v>
      </c>
      <c r="H11" s="4" t="n">
        <v>119.0476190476191</v>
      </c>
      <c r="I11" s="4" t="n">
        <v>119.0476190476191</v>
      </c>
    </row>
    <row r="12">
      <c r="A12" t="inlineStr">
        <is>
          <t>IMP-comunicacao-numero_de_assinantes_de_servicos_moveis</t>
        </is>
      </c>
      <c r="B12" t="inlineStr">
        <is>
          <t>Comunicação</t>
        </is>
      </c>
      <c r="C12" t="inlineStr">
        <is>
          <t>Número de assinantes de serviços móveis</t>
        </is>
      </c>
      <c r="D12" t="inlineStr">
        <is>
          <t>Maior é melhor</t>
        </is>
      </c>
      <c r="E12" s="4" t="n">
        <v>100</v>
      </c>
      <c r="F12" s="4" t="n">
        <v>97.82608695652173</v>
      </c>
      <c r="G12" s="4" t="n">
        <v>98.73417721518987</v>
      </c>
      <c r="H12" s="4" t="n">
        <v>98.73417721518987</v>
      </c>
      <c r="I12" s="4" t="n">
        <v>98.73417721518987</v>
      </c>
    </row>
    <row r="13">
      <c r="A13" t="inlineStr">
        <is>
          <t>IMP-educacao_e_formacao_profissional-salas_de_aula_do_ensino_primario_cumulativo</t>
        </is>
      </c>
      <c r="B13" t="inlineStr">
        <is>
          <t>Educação e Formação Profissional</t>
        </is>
      </c>
      <c r="C13" t="inlineStr">
        <is>
          <t>Salas de aula do Ensino Primário (cumulativo)</t>
        </is>
      </c>
      <c r="D13" t="inlineStr">
        <is>
          <t>Maior é melhor</t>
        </is>
      </c>
      <c r="E13" s="4" t="n">
        <v>100</v>
      </c>
      <c r="F13" s="4" t="n">
        <v>100</v>
      </c>
      <c r="G13" s="4" t="n">
        <v>100</v>
      </c>
      <c r="H13" s="4" t="n">
        <v>108.9473158052584</v>
      </c>
      <c r="I13" s="4" t="n">
        <v>108.9473158052584</v>
      </c>
    </row>
    <row r="14">
      <c r="A14" t="inlineStr">
        <is>
          <t>IMP-educacao_e_formacao_profissional-salas_de_aula_do_i_ciclo_do_ensino_secundario_cumulativo</t>
        </is>
      </c>
      <c r="B14" t="inlineStr">
        <is>
          <t>Educação e Formação Profissional</t>
        </is>
      </c>
      <c r="C14" t="inlineStr">
        <is>
          <t>Salas de aula do I Ciclo do Ensino Secundário (cumulativo)</t>
        </is>
      </c>
      <c r="D14" t="inlineStr">
        <is>
          <t>Maior é melhor</t>
        </is>
      </c>
      <c r="E14" s="4" t="n">
        <v>100</v>
      </c>
      <c r="F14" s="4" t="n">
        <v>100</v>
      </c>
      <c r="G14" s="4" t="n">
        <v>100</v>
      </c>
      <c r="H14" s="4" t="n">
        <v>300.6999877195137</v>
      </c>
      <c r="I14" s="4" t="n">
        <v>300.6999877195137</v>
      </c>
    </row>
    <row r="15">
      <c r="A15" t="inlineStr">
        <is>
          <t>IMP-educacao_e_formacao_profissional-salas_de_aula_do_ii_ciclo_do_ensino_secundario_cumulativo</t>
        </is>
      </c>
      <c r="B15" t="inlineStr">
        <is>
          <t>Educação e Formação Profissional</t>
        </is>
      </c>
      <c r="C15" t="inlineStr">
        <is>
          <t>Salas de aula do II Ciclo do Ensino Secundário (cumulativo)</t>
        </is>
      </c>
      <c r="D15" t="inlineStr">
        <is>
          <t>Maior é melhor</t>
        </is>
      </c>
      <c r="E15" s="4" t="n">
        <v>100</v>
      </c>
      <c r="F15" s="4" t="n">
        <v>100</v>
      </c>
      <c r="G15" s="4" t="n">
        <v>100</v>
      </c>
      <c r="H15" s="4" t="n">
        <v>219.3250157077462</v>
      </c>
      <c r="I15" s="4" t="n">
        <v>219.3250157077462</v>
      </c>
    </row>
    <row r="16">
      <c r="A16" t="inlineStr">
        <is>
          <t>IMP-educacao_e_formacao_profissional-taxa_de_alfabetizacao_da_populacao_maior_que_15_anos</t>
        </is>
      </c>
      <c r="B16" t="inlineStr">
        <is>
          <t>Educação e Formação Profissional</t>
        </is>
      </c>
      <c r="C16" t="inlineStr">
        <is>
          <t>Taxa de alfabetização da população maior que 15 anos</t>
        </is>
      </c>
      <c r="D16" t="inlineStr">
        <is>
          <t>Maior é melhor</t>
        </is>
      </c>
      <c r="E16" s="4" t="n">
        <v>99.56331877729258</v>
      </c>
      <c r="F16" s="4" t="n">
        <v>99.13043478260869</v>
      </c>
      <c r="G16" s="4" t="n">
        <v>98.7012987012987</v>
      </c>
      <c r="H16" s="4" t="n">
        <v>98.7012987012987</v>
      </c>
      <c r="I16" s="4" t="n">
        <v>98.7012987012987</v>
      </c>
    </row>
    <row r="17">
      <c r="A17" t="inlineStr">
        <is>
          <t>IMP-educacao_e_formacao_profissional-taxa_de_conclusao_do_ensino_primario</t>
        </is>
      </c>
      <c r="B17" t="inlineStr">
        <is>
          <t>Educação e Formação Profissional</t>
        </is>
      </c>
      <c r="C17" t="inlineStr">
        <is>
          <t>Taxa de conclusão do Ensino Primário</t>
        </is>
      </c>
      <c r="D17" t="inlineStr">
        <is>
          <t>Maior é melhor</t>
        </is>
      </c>
      <c r="E17" s="4" t="n">
        <v>91.09947643979058</v>
      </c>
      <c r="F17" s="4" t="n">
        <v>87.43718592964824</v>
      </c>
      <c r="G17" s="4" t="n">
        <v>84.05797101449275</v>
      </c>
      <c r="H17" s="4" t="n">
        <v>84.05797101449275</v>
      </c>
      <c r="I17" s="4" t="n">
        <v>84.05797101449275</v>
      </c>
    </row>
    <row r="18">
      <c r="A18" t="inlineStr">
        <is>
          <t>IMP-educacao_e_formacao_profissional-taxa_de_conclusao_do_i_ciclo_do_ensino_secundario_ensino_geral</t>
        </is>
      </c>
      <c r="B18" t="inlineStr">
        <is>
          <t>Educação e Formação Profissional</t>
        </is>
      </c>
      <c r="C18" t="inlineStr">
        <is>
          <t>Taxa de conclusão do I Ciclo do Ensino Secundário (Ensino Geral)</t>
        </is>
      </c>
      <c r="D18" t="inlineStr">
        <is>
          <t>Maior é melhor</t>
        </is>
      </c>
      <c r="E18" s="4" t="n">
        <v>88.73239436619717</v>
      </c>
      <c r="F18" s="4" t="n">
        <v>88.81578947368422</v>
      </c>
      <c r="G18" s="4" t="n">
        <v>83.33333333333334</v>
      </c>
      <c r="H18" s="4" t="n">
        <v>83.33333333333334</v>
      </c>
      <c r="I18" s="4" t="n">
        <v>83.33333333333334</v>
      </c>
    </row>
    <row r="19">
      <c r="A19" t="inlineStr">
        <is>
          <t>IMP-educacao_e_formacao_profissional-taxa_de_conclusao_do_ii_ciclo_do_ensino_secundario_ensino_geral</t>
        </is>
      </c>
      <c r="B19" t="inlineStr">
        <is>
          <t>Educação e Formação Profissional</t>
        </is>
      </c>
      <c r="C19" t="inlineStr">
        <is>
          <t>Taxa de conclusão do II Ciclo do Ensino Secundário (Ensino Geral)</t>
        </is>
      </c>
      <c r="D19" t="inlineStr">
        <is>
          <t>Maior é melhor</t>
        </is>
      </c>
      <c r="E19" s="4" t="n">
        <v>69.23076923076924</v>
      </c>
      <c r="F19" s="4" t="n">
        <v>50.84745762711864</v>
      </c>
      <c r="G19" s="4" t="n">
        <v>45.45454545454545</v>
      </c>
      <c r="H19" s="4" t="n">
        <v>45.45454545454545</v>
      </c>
      <c r="I19" s="4" t="n">
        <v>45.45454545454545</v>
      </c>
    </row>
    <row r="20">
      <c r="A20" t="inlineStr">
        <is>
          <t>IMP-educacao_e_formacao_profissional-professores_de_ensino_pre_escolar_com_a_qualificacao_minima_exigida_cumulativo</t>
        </is>
      </c>
      <c r="B20" t="inlineStr">
        <is>
          <t>Educação e Formação Profissional</t>
        </is>
      </c>
      <c r="C20" t="inlineStr">
        <is>
          <t>Professores de Ensino Pré-escolar com a qualificação mínima exigida (cumulativo)</t>
        </is>
      </c>
      <c r="D20" t="inlineStr">
        <is>
          <t>Maior é melhor</t>
        </is>
      </c>
      <c r="E20" s="4" t="n">
        <v>100</v>
      </c>
    </row>
    <row r="21">
      <c r="A21" t="inlineStr">
        <is>
          <t>IMP-educacao_e_formacao_profissional-professores_de_ensino_primario_com_a_qualificacao_minima_exigida_cumulativo</t>
        </is>
      </c>
      <c r="B21" t="inlineStr">
        <is>
          <t>Educação e Formação Profissional</t>
        </is>
      </c>
      <c r="C21" t="inlineStr">
        <is>
          <t>Professores de Ensino Primário com a qualificação mínima exigida (cumulativo)</t>
        </is>
      </c>
      <c r="D21" t="inlineStr">
        <is>
          <t>Maior é melhor</t>
        </is>
      </c>
      <c r="E21" s="4" t="n">
        <v>100</v>
      </c>
    </row>
    <row r="22">
      <c r="A22" t="inlineStr">
        <is>
          <t>IMP-educacao_e_formacao_profissional-professores_de_ensino_secundario_com_a_qualificacao_minima_exigida_cumulativo</t>
        </is>
      </c>
      <c r="B22" t="inlineStr">
        <is>
          <t>Educação e Formação Profissional</t>
        </is>
      </c>
      <c r="C22" t="inlineStr">
        <is>
          <t>Professores de Ensino Secundário com a qualificação mínima exigida (cumulativo)</t>
        </is>
      </c>
      <c r="D22" t="inlineStr">
        <is>
          <t>Maior é melhor</t>
        </is>
      </c>
      <c r="E22" s="4" t="n">
        <v>100</v>
      </c>
    </row>
    <row r="23">
      <c r="A23" t="inlineStr">
        <is>
          <t>IMP-educacao_e_formacao_profissional-numero_de_pessoas_formadas_pelo_snefp_cumulativo</t>
        </is>
      </c>
      <c r="B23" t="inlineStr">
        <is>
          <t>Educação e Formação Profissional</t>
        </is>
      </c>
      <c r="C23" t="inlineStr">
        <is>
          <t>Número de pessoas formadas pelo SNEFP (cumulativo)</t>
        </is>
      </c>
      <c r="D23" t="inlineStr">
        <is>
          <t>Maior é melhor</t>
        </is>
      </c>
      <c r="E23" s="4" t="n">
        <v>100</v>
      </c>
      <c r="F23" s="4" t="n">
        <v>100</v>
      </c>
      <c r="G23" s="4" t="n">
        <v>100</v>
      </c>
      <c r="H23" s="4" t="n">
        <v>148.4464589235128</v>
      </c>
      <c r="I23" s="4" t="n">
        <v>148.4464589235128</v>
      </c>
    </row>
    <row r="24">
      <c r="A24" t="inlineStr">
        <is>
          <t>IMP-educacao_e_formacao_profissional-kits_profissionais_distribuidos_cumulativo</t>
        </is>
      </c>
      <c r="B24" t="inlineStr">
        <is>
          <t>Educação e Formação Profissional</t>
        </is>
      </c>
      <c r="C24" t="inlineStr">
        <is>
          <t>Kits profissionais distribuídos (cumulativo)</t>
        </is>
      </c>
      <c r="D24" t="inlineStr">
        <is>
          <t>Maior é melhor</t>
        </is>
      </c>
      <c r="E24" s="4" t="n">
        <v>100</v>
      </c>
      <c r="F24" s="4" t="n">
        <v>100</v>
      </c>
      <c r="G24" s="4" t="n">
        <v>100</v>
      </c>
      <c r="H24" s="4" t="n">
        <v>101.7766497461929</v>
      </c>
      <c r="I24" s="4" t="n">
        <v>101.7766497461929</v>
      </c>
    </row>
    <row r="25">
      <c r="A25" t="inlineStr">
        <is>
          <t>IMP-educacao_e_formacao_profissional-estudantes_matriculados_no_ensino_superior_cumulativo</t>
        </is>
      </c>
      <c r="B25" t="inlineStr">
        <is>
          <t>Educação e Formação Profissional</t>
        </is>
      </c>
      <c r="C25" t="inlineStr">
        <is>
          <t>Estudantes matriculados no Ensino Superior (cumulativo)</t>
        </is>
      </c>
      <c r="D25" t="inlineStr">
        <is>
          <t>Maior é melhor</t>
        </is>
      </c>
      <c r="E25" s="4" t="n">
        <v>95.42938788073393</v>
      </c>
      <c r="F25" s="4" t="n">
        <v>90.01075193622266</v>
      </c>
      <c r="G25" s="4" t="n">
        <v>80.03127929398165</v>
      </c>
      <c r="H25" s="4" t="n">
        <v>80.03127929398165</v>
      </c>
      <c r="I25" s="4" t="n">
        <v>80.03127929398165</v>
      </c>
    </row>
    <row r="26">
      <c r="A26" t="inlineStr">
        <is>
          <t>IMP-infraestruturas_habitacao_e_servicos_comunitarios-estradas_nacionais_reabilitadas_cumulativo</t>
        </is>
      </c>
      <c r="B26" t="inlineStr">
        <is>
          <t>Infraestruturas, Habitação e Serviços Comunitários</t>
        </is>
      </c>
      <c r="C26" t="inlineStr">
        <is>
          <t>Estradas Nacionais reabilitadas (cumulativo)</t>
        </is>
      </c>
      <c r="D26" t="inlineStr">
        <is>
          <t>Maior é melhor</t>
        </is>
      </c>
      <c r="E26" s="4" t="n">
        <v>100</v>
      </c>
      <c r="F26" s="4" t="n">
        <v>100</v>
      </c>
      <c r="G26" s="4" t="n">
        <v>99.18112049117421</v>
      </c>
      <c r="H26" s="4" t="n">
        <v>99.18112049117421</v>
      </c>
      <c r="I26" s="4" t="n">
        <v>99.18112049117421</v>
      </c>
    </row>
    <row r="27">
      <c r="A27" t="inlineStr">
        <is>
          <t>IMP-infraestruturas_habitacao_e_servicos_comunitarios-equipamentos_sociais_construidos_ou_reabilitados_cumulativo</t>
        </is>
      </c>
      <c r="B27" t="inlineStr">
        <is>
          <t>Infraestruturas, Habitação e Serviços Comunitários</t>
        </is>
      </c>
      <c r="C27" t="inlineStr">
        <is>
          <t>Equipamentos sociais construídos ou reabilitados (cumulativo)</t>
        </is>
      </c>
      <c r="D27" t="inlineStr">
        <is>
          <t>Maior é melhor</t>
        </is>
      </c>
      <c r="E27" s="4" t="n">
        <v>43.51767905711696</v>
      </c>
      <c r="F27" s="4" t="n">
        <v>28.57957786651455</v>
      </c>
      <c r="G27" s="4" t="n">
        <v>25.46816479400749</v>
      </c>
      <c r="H27" s="4" t="n">
        <v>25.46816479400749</v>
      </c>
      <c r="I27" s="4" t="n">
        <v>25.46816479400749</v>
      </c>
    </row>
    <row r="28">
      <c r="A28" t="inlineStr">
        <is>
          <t>IMP-infraestruturas_habitacao_e_servicos_comunitarios-construcao_e_reabilitacao_de_pontes_cumulativo</t>
        </is>
      </c>
      <c r="B28" t="inlineStr">
        <is>
          <t>Infraestruturas, Habitação e Serviços Comunitários</t>
        </is>
      </c>
      <c r="C28" t="inlineStr">
        <is>
          <t>Construção e reabilitação de pontes (cumulativo)</t>
        </is>
      </c>
      <c r="D28" t="inlineStr">
        <is>
          <t>Maior é melhor</t>
        </is>
      </c>
      <c r="E28" s="4" t="n">
        <v>73.60321177651389</v>
      </c>
      <c r="F28" s="4" t="n">
        <v>66.61695252299279</v>
      </c>
      <c r="G28" s="4" t="n">
        <v>58.83428910421198</v>
      </c>
      <c r="H28" s="4" t="n">
        <v>58.83428910421198</v>
      </c>
      <c r="I28" s="4" t="n">
        <v>58.83428910421198</v>
      </c>
    </row>
    <row r="29">
      <c r="A29" t="inlineStr">
        <is>
          <t>IMP-infraestruturas_habitacao_e_servicos_comunitarios-taxa_de_electrificacao</t>
        </is>
      </c>
      <c r="B29" t="inlineStr">
        <is>
          <t>Infraestruturas, Habitação e Serviços Comunitários</t>
        </is>
      </c>
      <c r="C29" t="inlineStr">
        <is>
          <t>Taxa de electrificação</t>
        </is>
      </c>
      <c r="D29" t="inlineStr">
        <is>
          <t>Maior é melhor</t>
        </is>
      </c>
      <c r="E29" s="4" t="n">
        <v>96.99248120300751</v>
      </c>
      <c r="F29" s="4" t="n">
        <v>96.35036496350365</v>
      </c>
      <c r="G29" s="4" t="n">
        <v>100</v>
      </c>
      <c r="H29" s="4" t="n">
        <v>102.1276595744681</v>
      </c>
      <c r="I29" s="4" t="n">
        <v>102.1276595744681</v>
      </c>
    </row>
    <row r="30">
      <c r="A30" t="inlineStr">
        <is>
          <t>IMP-infraestruturas_habitacao_e_servicos_comunitarios-numero_de_ligacoes_cumulativo</t>
        </is>
      </c>
      <c r="B30" t="inlineStr">
        <is>
          <t>Infraestruturas, Habitação e Serviços Comunitários</t>
        </is>
      </c>
      <c r="C30" t="inlineStr">
        <is>
          <t>Número de ligações (cumulativo)</t>
        </is>
      </c>
      <c r="D30" t="inlineStr">
        <is>
          <t>Maior é melhor</t>
        </is>
      </c>
      <c r="E30" s="4" t="n">
        <v>85.71428571428571</v>
      </c>
      <c r="F30" s="4" t="n">
        <v>75</v>
      </c>
      <c r="G30" s="4" t="n">
        <v>66.66666666666666</v>
      </c>
      <c r="H30" s="4" t="n">
        <v>66.66666666666666</v>
      </c>
      <c r="I30" s="4" t="n">
        <v>66.66666666666666</v>
      </c>
    </row>
    <row r="31">
      <c r="A31" t="inlineStr">
        <is>
          <t>IMP-infraestruturas_habitacao_e_servicos_comunitarios-numero_de_sedes_municipais_com_distribuicao_de_energia_pela_ende</t>
        </is>
      </c>
      <c r="B31" t="inlineStr">
        <is>
          <t>Infraestruturas, Habitação e Serviços Comunitários</t>
        </is>
      </c>
      <c r="C31" t="inlineStr">
        <is>
          <t>Número de sedes municipais com distribuição de energia pela ENDE</t>
        </is>
      </c>
      <c r="D31" t="inlineStr">
        <is>
          <t>Maior é melhor</t>
        </is>
      </c>
      <c r="E31" s="4" t="n">
        <v>98.21390252341226</v>
      </c>
      <c r="F31" s="4" t="n">
        <v>98.60325552186733</v>
      </c>
      <c r="G31" s="4" t="n">
        <v>100</v>
      </c>
      <c r="H31" s="4" t="n">
        <v>101.0526315789474</v>
      </c>
      <c r="I31" s="4" t="n">
        <v>101.0526315789474</v>
      </c>
    </row>
    <row r="32">
      <c r="A32" t="inlineStr">
        <is>
          <t>IMP-infraestruturas_habitacao_e_servicos_comunitarios-de_producao_total_de_energia_de_fontes_renovaveis</t>
        </is>
      </c>
      <c r="B32" t="inlineStr">
        <is>
          <t>Infraestruturas, Habitação e Serviços Comunitários</t>
        </is>
      </c>
      <c r="C32" t="inlineStr">
        <is>
          <t>% de produção total de energia de fontes renováveis</t>
        </is>
      </c>
      <c r="D32" t="inlineStr">
        <is>
          <t>Maior é melhor</t>
        </is>
      </c>
      <c r="E32" s="4" t="n">
        <v>98.48484848484848</v>
      </c>
      <c r="F32" s="4" t="n">
        <v>98.50746268656717</v>
      </c>
      <c r="G32" s="4" t="n">
        <v>97.05882352941177</v>
      </c>
      <c r="H32" s="4" t="n">
        <v>97.05882352941177</v>
      </c>
      <c r="I32" s="4" t="n">
        <v>97.05882352941177</v>
      </c>
    </row>
    <row r="33">
      <c r="A33" t="inlineStr">
        <is>
          <t>IMP-infraestruturas_habitacao_e_servicos_comunitarios-potencia_instalada_proveniente_de_fontes_renovaveis</t>
        </is>
      </c>
      <c r="B33" t="inlineStr">
        <is>
          <t>Infraestruturas, Habitação e Serviços Comunitários</t>
        </is>
      </c>
      <c r="C33" t="inlineStr">
        <is>
          <t>Potência instalada proveniente de fontes renováveis</t>
        </is>
      </c>
      <c r="D33" t="inlineStr">
        <is>
          <t>Maior é melhor</t>
        </is>
      </c>
      <c r="E33" s="4" t="n">
        <v>100</v>
      </c>
      <c r="F33" s="4" t="n">
        <v>100</v>
      </c>
      <c r="G33" s="4" t="n">
        <v>100</v>
      </c>
      <c r="H33" s="4" t="n">
        <v>100</v>
      </c>
      <c r="I33" s="4" t="n">
        <v>100</v>
      </c>
    </row>
    <row r="34">
      <c r="A34" t="inlineStr">
        <is>
          <t>IMP-infraestruturas_habitacao_e_servicos_comunitarios-quantidade_de_agua_tratada_cumulativo</t>
        </is>
      </c>
      <c r="B34" t="inlineStr">
        <is>
          <t>Infraestruturas, Habitação e Serviços Comunitários</t>
        </is>
      </c>
      <c r="C34" t="inlineStr">
        <is>
          <t>Quantidade de água tratada (cumulativo)</t>
        </is>
      </c>
      <c r="D34" t="inlineStr">
        <is>
          <t>Maior é melhor</t>
        </is>
      </c>
      <c r="E34" s="4" t="n">
        <v>93.02107728337236</v>
      </c>
      <c r="F34" s="4" t="n">
        <v>86.79039301310043</v>
      </c>
      <c r="G34" s="4" t="n">
        <v>81.28834355828221</v>
      </c>
      <c r="H34" s="4" t="n">
        <v>81.28834355828221</v>
      </c>
      <c r="I34" s="4" t="n">
        <v>81.28834355828221</v>
      </c>
    </row>
    <row r="35">
      <c r="A35" t="inlineStr">
        <is>
          <t>IMP-fomento_a_producao-toneladas_de_carne_produzidas</t>
        </is>
      </c>
      <c r="B35" t="inlineStr">
        <is>
          <t>Fomento à Produção</t>
        </is>
      </c>
      <c r="C35" t="inlineStr">
        <is>
          <t>Toneladas de carne produzidas</t>
        </is>
      </c>
      <c r="D35" t="inlineStr">
        <is>
          <t>Maior é melhor</t>
        </is>
      </c>
      <c r="E35" s="4" t="n">
        <v>90.2406634679198</v>
      </c>
      <c r="F35" s="4" t="n">
        <v>74.25916237921932</v>
      </c>
      <c r="G35" s="4" t="n">
        <v>67.30116437479772</v>
      </c>
      <c r="H35" s="4" t="n">
        <v>67.30116437479772</v>
      </c>
      <c r="I35" s="4" t="n">
        <v>67.30116437479772</v>
      </c>
    </row>
    <row r="36">
      <c r="A36" t="inlineStr">
        <is>
          <t>IMP-fomento_a_producao-toneladas_de_raizes_e_tuberculos_produzidas</t>
        </is>
      </c>
      <c r="B36" t="inlineStr">
        <is>
          <t>Fomento à Produção</t>
        </is>
      </c>
      <c r="C36" t="inlineStr">
        <is>
          <t>Toneladas de raízes e tubérculos produzidas</t>
        </is>
      </c>
      <c r="D36" t="inlineStr">
        <is>
          <t>Maior é melhor</t>
        </is>
      </c>
      <c r="E36" s="4" t="n">
        <v>96.47937138259233</v>
      </c>
      <c r="F36" s="4" t="n">
        <v>92.85935063576518</v>
      </c>
      <c r="G36" s="4" t="n">
        <v>93.18743016788821</v>
      </c>
      <c r="H36" s="4" t="n">
        <v>93.18743016788821</v>
      </c>
      <c r="I36" s="4" t="n">
        <v>93.18743016788821</v>
      </c>
    </row>
    <row r="37">
      <c r="A37" t="inlineStr">
        <is>
          <t>IMP-fomento_a_producao-toneladas_de_fruta_produzidas</t>
        </is>
      </c>
      <c r="B37" t="inlineStr">
        <is>
          <t>Fomento à Produção</t>
        </is>
      </c>
      <c r="C37" t="inlineStr">
        <is>
          <t>Toneladas de fruta produzidas</t>
        </is>
      </c>
      <c r="D37" t="inlineStr">
        <is>
          <t>Maior é melhor</t>
        </is>
      </c>
      <c r="E37" s="4" t="n">
        <v>97.99074371337012</v>
      </c>
      <c r="F37" s="4" t="n">
        <v>95.65251470485501</v>
      </c>
      <c r="G37" s="4" t="n">
        <v>92.69815922431394</v>
      </c>
      <c r="H37" s="4" t="n">
        <v>92.69815922431394</v>
      </c>
      <c r="I37" s="4" t="n">
        <v>92.69815922431394</v>
      </c>
    </row>
    <row r="38">
      <c r="A38" t="inlineStr">
        <is>
          <t>IMP-fomento_a_producao-toneladas_de_cereais_produzidas</t>
        </is>
      </c>
      <c r="B38" t="inlineStr">
        <is>
          <t>Fomento à Produção</t>
        </is>
      </c>
      <c r="C38" t="inlineStr">
        <is>
          <t>Toneladas de cereais produzidas</t>
        </is>
      </c>
      <c r="D38" t="inlineStr">
        <is>
          <t>Maior é melhor</t>
        </is>
      </c>
      <c r="E38" s="4" t="n">
        <v>77.80805569119104</v>
      </c>
      <c r="F38" s="4" t="n">
        <v>60.30694907454386</v>
      </c>
      <c r="G38" s="4" t="n">
        <v>47.62486674912142</v>
      </c>
      <c r="H38" s="4" t="n">
        <v>47.62486674912142</v>
      </c>
      <c r="I38" s="4" t="n">
        <v>47.62486674912142</v>
      </c>
    </row>
    <row r="39">
      <c r="A39" t="inlineStr">
        <is>
          <t>IMP-fomento_a_producao-toneladas_de_horticolas_produzidas</t>
        </is>
      </c>
      <c r="B39" t="inlineStr">
        <is>
          <t>Fomento à Produção</t>
        </is>
      </c>
      <c r="C39" t="inlineStr">
        <is>
          <t>Toneladas de hortícolas produzidas</t>
        </is>
      </c>
      <c r="D39" t="inlineStr">
        <is>
          <t>Maior é melhor</t>
        </is>
      </c>
      <c r="E39" s="4" t="n">
        <v>100</v>
      </c>
      <c r="F39" s="4" t="n">
        <v>100</v>
      </c>
      <c r="G39" s="4" t="n">
        <v>100</v>
      </c>
      <c r="H39" s="4" t="n">
        <v>107.5328319534854</v>
      </c>
      <c r="I39" s="4" t="n">
        <v>107.5328319534854</v>
      </c>
    </row>
    <row r="40">
      <c r="A40" t="inlineStr">
        <is>
          <t>IMP-fomento_a_producao-ovos_produzidos</t>
        </is>
      </c>
      <c r="B40" t="inlineStr">
        <is>
          <t>Fomento à Produção</t>
        </is>
      </c>
      <c r="C40" t="inlineStr">
        <is>
          <t>Ovos produzidos</t>
        </is>
      </c>
      <c r="D40" t="inlineStr">
        <is>
          <t>Maior é melhor</t>
        </is>
      </c>
      <c r="E40" s="4" t="n">
        <v>99.0863932531793</v>
      </c>
      <c r="F40" s="4" t="n">
        <v>84.03630674856511</v>
      </c>
      <c r="G40" s="4" t="n">
        <v>85.37403555853741</v>
      </c>
      <c r="H40" s="4" t="n">
        <v>85.37403555853741</v>
      </c>
      <c r="I40" s="4" t="n">
        <v>85.37403555853741</v>
      </c>
    </row>
    <row r="41">
      <c r="A41" t="inlineStr">
        <is>
          <t>IMP-fomento_a_producao-litros_de_leite_produzidos</t>
        </is>
      </c>
      <c r="B41" t="inlineStr">
        <is>
          <t>Fomento à Produção</t>
        </is>
      </c>
      <c r="C41" t="inlineStr">
        <is>
          <t>Litros de leite produzidos</t>
        </is>
      </c>
      <c r="D41" t="inlineStr">
        <is>
          <t>Maior é melhor</t>
        </is>
      </c>
      <c r="E41" s="4" t="n">
        <v>79.37005259840998</v>
      </c>
      <c r="F41" s="4" t="n">
        <v>62.99605249474366</v>
      </c>
      <c r="G41" s="4" t="n">
        <v>50</v>
      </c>
      <c r="H41" s="4" t="n">
        <v>50</v>
      </c>
      <c r="I41" s="4" t="n">
        <v>50</v>
      </c>
    </row>
    <row r="42">
      <c r="A42" t="inlineStr">
        <is>
          <t>IMP-fomento_a_producao-unidades_industriais_no_subsector_da_industria_pesqueira_e_de_transformacao_de_carne_instaladas_cumulativo</t>
        </is>
      </c>
      <c r="B42" t="inlineStr">
        <is>
          <t>Fomento à Produção</t>
        </is>
      </c>
      <c r="C42" t="inlineStr">
        <is>
          <t>Unidades industriais no subsector da indústria pesqueira e de transformação de carne instaladas (cumulativo)</t>
        </is>
      </c>
      <c r="D42" t="inlineStr">
        <is>
          <t>Maior é melhor</t>
        </is>
      </c>
      <c r="E42" s="4" t="n">
        <v>100</v>
      </c>
      <c r="F42" s="4" t="n">
        <v>100</v>
      </c>
      <c r="G42" s="4" t="n">
        <v>100</v>
      </c>
      <c r="H42" s="4" t="n">
        <v>310</v>
      </c>
      <c r="I42" s="4" t="n">
        <v>310</v>
      </c>
    </row>
    <row r="43">
      <c r="A43" t="inlineStr">
        <is>
          <t>IMP-fomento_a_producao-toneladas_de_peixe_de_captura_industrial_e_semi_industrial_produzidas</t>
        </is>
      </c>
      <c r="B43" t="inlineStr">
        <is>
          <t>Fomento à Produção</t>
        </is>
      </c>
      <c r="C43" t="inlineStr">
        <is>
          <t>Toneladas de peixe de captura industrial e semi-industrial produzidas</t>
        </is>
      </c>
      <c r="D43" t="inlineStr">
        <is>
          <t>Maior é melhor</t>
        </is>
      </c>
      <c r="E43" s="4" t="n">
        <v>100</v>
      </c>
      <c r="F43" s="4" t="n">
        <v>100</v>
      </c>
      <c r="G43" s="4" t="n">
        <v>76.47058823529412</v>
      </c>
      <c r="H43" s="4" t="n">
        <v>76.47058823529412</v>
      </c>
      <c r="I43" s="4" t="n">
        <v>76.47058823529412</v>
      </c>
    </row>
    <row r="44">
      <c r="A44" t="inlineStr">
        <is>
          <t>IMP-economico-taxa_de_crescimento_do_pib</t>
        </is>
      </c>
      <c r="B44" t="inlineStr">
        <is>
          <t>Económico</t>
        </is>
      </c>
      <c r="C44" t="inlineStr">
        <is>
          <t>Taxa de crescimento do PIB</t>
        </is>
      </c>
      <c r="D44" t="inlineStr">
        <is>
          <t>Maior é melhor</t>
        </is>
      </c>
      <c r="E44" s="4" t="n">
        <v>27.27272727272728</v>
      </c>
      <c r="F44" s="4" t="n">
        <v>100</v>
      </c>
      <c r="G44" s="4" t="n">
        <v>100</v>
      </c>
      <c r="H44" s="4" t="n">
        <v>100</v>
      </c>
      <c r="I44" s="4" t="n">
        <v>100</v>
      </c>
    </row>
    <row r="45">
      <c r="A45" t="inlineStr">
        <is>
          <t>IMP-economico-taxa_de_crescimento_do_pib_nao_petrolifero</t>
        </is>
      </c>
      <c r="B45" t="inlineStr">
        <is>
          <t>Económico</t>
        </is>
      </c>
      <c r="C45" t="inlineStr">
        <is>
          <t>Taxa de crescimento do PIB não petrolífero</t>
        </is>
      </c>
      <c r="D45" t="inlineStr">
        <is>
          <t>Maior é melhor</t>
        </is>
      </c>
      <c r="E45" s="4" t="n">
        <v>42.85714285714285</v>
      </c>
      <c r="F45" s="4" t="n">
        <v>93.75</v>
      </c>
      <c r="G45" s="4" t="n">
        <v>83.33333333333334</v>
      </c>
      <c r="H45" s="4" t="n">
        <v>83.33333333333334</v>
      </c>
      <c r="I45" s="4" t="n">
        <v>83.33333333333334</v>
      </c>
    </row>
    <row r="46">
      <c r="A46" t="inlineStr">
        <is>
          <t>IMP-economico-taxa_de_inflacao</t>
        </is>
      </c>
      <c r="B46" t="inlineStr">
        <is>
          <t>Económico</t>
        </is>
      </c>
      <c r="C46" t="inlineStr">
        <is>
          <t>Taxa de inflação</t>
        </is>
      </c>
      <c r="D46" t="inlineStr">
        <is>
          <t>Menor é melhor</t>
        </is>
      </c>
      <c r="E46" s="4" t="n">
        <v>76.66666666666667</v>
      </c>
      <c r="F46" s="4" t="n">
        <v>59.52380952380953</v>
      </c>
      <c r="G46" s="4" t="n">
        <v>100</v>
      </c>
      <c r="H46" s="4" t="n">
        <v>112.5</v>
      </c>
      <c r="I46" s="4" t="n">
        <v>112.5</v>
      </c>
    </row>
    <row r="47">
      <c r="A47" t="inlineStr">
        <is>
          <t>IMP-economico-taxa_de_desemprego</t>
        </is>
      </c>
      <c r="B47" t="inlineStr">
        <is>
          <t>Económico</t>
        </is>
      </c>
      <c r="C47" t="inlineStr">
        <is>
          <t>Taxa de Desemprego</t>
        </is>
      </c>
      <c r="D47" t="inlineStr">
        <is>
          <t>Menor é melhor</t>
        </is>
      </c>
      <c r="E47" s="4" t="n">
        <v>94.44444444444444</v>
      </c>
      <c r="F47" s="4" t="n">
        <v>88.8888888888889</v>
      </c>
      <c r="G47" s="4" t="n">
        <v>92.93680297397769</v>
      </c>
      <c r="H47" s="4" t="n">
        <v>92.93680297397769</v>
      </c>
      <c r="I47" s="4" t="n">
        <v>92.93680297397769</v>
      </c>
    </row>
    <row r="48">
      <c r="A48" s="6" t="inlineStr"/>
      <c r="B48" s="6" t="inlineStr">
        <is>
          <t>Saúde</t>
        </is>
      </c>
      <c r="C48" s="6" t="inlineStr">
        <is>
          <t>Domínio Saúde (média aritmética)</t>
        </is>
      </c>
      <c r="D48" s="6" t="inlineStr"/>
      <c r="E48" s="7" t="n">
        <v>97.31794764689501</v>
      </c>
      <c r="F48" s="7" t="n">
        <v>94.10686088931168</v>
      </c>
      <c r="G48" s="7" t="n">
        <v>92.97422090421935</v>
      </c>
      <c r="H48" s="6" t="n"/>
      <c r="I48" s="6" t="n"/>
    </row>
    <row r="49">
      <c r="A49" s="6" t="inlineStr"/>
      <c r="B49" s="6" t="inlineStr">
        <is>
          <t>Protecção Social</t>
        </is>
      </c>
      <c r="C49" s="6" t="inlineStr">
        <is>
          <t>Domínio Prot. Social (média aritmética)</t>
        </is>
      </c>
      <c r="D49" s="6" t="inlineStr"/>
      <c r="E49" s="7" t="n">
        <v>76.45417278487672</v>
      </c>
      <c r="F49" s="7" t="n">
        <v>75.03805869533589</v>
      </c>
      <c r="G49" s="7" t="n">
        <v>71.45244107744108</v>
      </c>
      <c r="H49" s="6" t="n"/>
      <c r="I49" s="6" t="n"/>
    </row>
    <row r="50">
      <c r="A50" s="6" t="inlineStr"/>
      <c r="B50" s="6" t="inlineStr">
        <is>
          <t>Comunicação</t>
        </is>
      </c>
      <c r="C50" s="6" t="inlineStr">
        <is>
          <t>Domínio Comunicação (média aritmética)</t>
        </is>
      </c>
      <c r="D50" s="6" t="inlineStr"/>
      <c r="E50" s="7" t="n">
        <v>98.52941176470588</v>
      </c>
      <c r="F50" s="7" t="n">
        <v>96.28146453089244</v>
      </c>
      <c r="G50" s="7" t="n">
        <v>99.36708860759494</v>
      </c>
      <c r="H50" s="6" t="n"/>
      <c r="I50" s="6" t="n"/>
    </row>
    <row r="51">
      <c r="A51" s="6" t="inlineStr"/>
      <c r="B51" s="6" t="inlineStr">
        <is>
          <t>Educação e Formação Profissional</t>
        </is>
      </c>
      <c r="C51" s="6" t="inlineStr">
        <is>
          <t>Domínio Educação e FP (média aritmética)</t>
        </is>
      </c>
      <c r="D51" s="6" t="inlineStr"/>
      <c r="E51" s="7" t="n">
        <v>95.69656513036797</v>
      </c>
      <c r="F51" s="7" t="n">
        <v>91.62416197492824</v>
      </c>
      <c r="G51" s="7" t="n">
        <v>89.15784277976519</v>
      </c>
      <c r="H51" s="6" t="n"/>
      <c r="I51" s="6" t="n"/>
    </row>
    <row r="52">
      <c r="A52" s="6" t="inlineStr"/>
      <c r="B52" s="6" t="inlineStr">
        <is>
          <t>Infraestruturas, Habitação e Serviços Comunitários</t>
        </is>
      </c>
      <c r="C52" s="6" t="inlineStr">
        <is>
          <t>Domínio Infraestruturas (média aritmética)</t>
        </is>
      </c>
      <c r="D52" s="6" t="inlineStr"/>
      <c r="E52" s="7" t="n">
        <v>87.72749844917301</v>
      </c>
      <c r="F52" s="7" t="n">
        <v>83.38311184161621</v>
      </c>
      <c r="G52" s="7" t="n">
        <v>80.94415646041715</v>
      </c>
      <c r="H52" s="6" t="n"/>
      <c r="I52" s="6" t="n"/>
    </row>
    <row r="53">
      <c r="A53" s="6" t="inlineStr"/>
      <c r="B53" s="6" t="inlineStr">
        <is>
          <t>Fomento à Produção</t>
        </is>
      </c>
      <c r="C53" s="6" t="inlineStr">
        <is>
          <t>Domínio Fomento Prod. (média aritmética)</t>
        </is>
      </c>
      <c r="D53" s="6" t="inlineStr"/>
      <c r="E53" s="7" t="n">
        <v>93.44169778962917</v>
      </c>
      <c r="F53" s="7" t="n">
        <v>85.56781511529913</v>
      </c>
      <c r="G53" s="7" t="n">
        <v>79.18402714555032</v>
      </c>
      <c r="H53" s="6" t="n"/>
      <c r="I53" s="6" t="n"/>
    </row>
    <row r="54">
      <c r="A54" s="6" t="inlineStr"/>
      <c r="B54" s="6" t="inlineStr">
        <is>
          <t>Económico</t>
        </is>
      </c>
      <c r="C54" s="6" t="inlineStr">
        <is>
          <t>Domínio Económico (média aritmética)</t>
        </is>
      </c>
      <c r="D54" s="6" t="inlineStr"/>
      <c r="E54" s="7" t="n">
        <v>60.31024531024531</v>
      </c>
      <c r="F54" s="7" t="n">
        <v>85.54067460317461</v>
      </c>
      <c r="G54" s="7" t="n">
        <v>94.06753407682776</v>
      </c>
      <c r="H54" s="6" t="n"/>
      <c r="I54" s="6" t="n"/>
    </row>
    <row r="55">
      <c r="A55" s="6" t="inlineStr"/>
      <c r="B55" s="6" t="inlineStr"/>
      <c r="C55" s="6" t="inlineStr">
        <is>
          <t>ÍNDICE DE EXECUÇÃO PERCENTUAL (média dos domínios)</t>
        </is>
      </c>
      <c r="D55" s="6" t="inlineStr"/>
      <c r="E55" s="7" t="n">
        <v>87.06821983941329</v>
      </c>
      <c r="F55" s="7" t="n">
        <v>87.36316395007974</v>
      </c>
      <c r="G55" s="7" t="n">
        <v>86.7353301502594</v>
      </c>
      <c r="H55" s="6" t="n"/>
      <c r="I55" s="6" t="n"/>
    </row>
    <row r="56">
      <c r="A56" s="6" t="inlineStr"/>
      <c r="B56" s="6" t="inlineStr"/>
      <c r="C56" s="6" t="inlineStr">
        <is>
          <t>Média simples dos 46 indicadores</t>
        </is>
      </c>
      <c r="D56" s="6" t="inlineStr"/>
      <c r="E56" s="7" t="n">
        <v>89.69887221413906</v>
      </c>
      <c r="F56" s="7" t="n">
        <v>87.47164956413678</v>
      </c>
      <c r="G56" s="7" t="n">
        <v>85.5799777309651</v>
      </c>
      <c r="H56" s="6" t="n"/>
      <c r="I56" s="6" t="n"/>
    </row>
    <row r="59">
      <c r="A59" s="8" t="inlineStr">
        <is>
          <t>Distribuição do atingimento 2025 (sem tecto, ajustado à direcção)</t>
        </is>
      </c>
    </row>
    <row r="60">
      <c r="A60" s="3" t="inlineStr">
        <is>
          <t>Escalão</t>
        </is>
      </c>
      <c r="B60" s="3" t="inlineStr">
        <is>
          <t>N.º de indicadores</t>
        </is>
      </c>
    </row>
    <row r="61">
      <c r="A61" t="inlineStr">
        <is>
          <t>&gt;100% (superada)</t>
        </is>
      </c>
      <c r="B61" s="4" t="n">
        <v>15</v>
      </c>
    </row>
    <row r="62">
      <c r="A62" t="inlineStr">
        <is>
          <t>50-100%</t>
        </is>
      </c>
      <c r="B62" s="4" t="n">
        <v>24</v>
      </c>
    </row>
    <row r="63">
      <c r="A63" t="inlineStr">
        <is>
          <t>&lt;50%</t>
        </is>
      </c>
      <c r="B63" s="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5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ID_Meta</t>
        </is>
      </c>
      <c r="B1" s="3" t="inlineStr">
        <is>
          <t>Eixo/Política</t>
        </is>
      </c>
      <c r="C1" s="3" t="inlineStr">
        <is>
          <t>Domínio/Grupo</t>
        </is>
      </c>
      <c r="D1" s="3" t="inlineStr">
        <is>
          <t>Indicador PDN</t>
        </is>
      </c>
      <c r="E1" s="3" t="inlineStr">
        <is>
          <t>Unidade</t>
        </is>
      </c>
      <c r="F1" s="3" t="inlineStr">
        <is>
          <t>Método</t>
        </is>
      </c>
      <c r="G1" s="3" t="inlineStr">
        <is>
          <t>2022</t>
        </is>
      </c>
      <c r="H1" s="3" t="inlineStr">
        <is>
          <t>2023</t>
        </is>
      </c>
      <c r="I1" s="3" t="inlineStr">
        <is>
          <t>2024</t>
        </is>
      </c>
      <c r="J1" s="3" t="inlineStr">
        <is>
          <t>2025</t>
        </is>
      </c>
      <c r="K1" s="3" t="inlineStr">
        <is>
          <t>2026</t>
        </is>
      </c>
      <c r="L1" s="3" t="inlineStr">
        <is>
          <t>2027</t>
        </is>
      </c>
    </row>
    <row r="2">
      <c r="A2" t="inlineStr">
        <is>
          <t>PDN-META-001</t>
        </is>
      </c>
      <c r="B2" t="inlineStr">
        <is>
          <t>Modernização do Estado</t>
        </is>
      </c>
      <c r="C2" t="inlineStr">
        <is>
          <t>Administração Pública</t>
        </is>
      </c>
      <c r="D2" t="inlineStr">
        <is>
          <t>% de funcionários públicos que beneficiaram de formação nos últimos 5 anos</t>
        </is>
      </c>
      <c r="E2" t="inlineStr">
        <is>
          <t>%</t>
        </is>
      </c>
      <c r="F2" t="inlineStr">
        <is>
          <t>Linear</t>
        </is>
      </c>
      <c r="G2" s="4" t="n">
        <v>11.2</v>
      </c>
      <c r="H2" s="4" t="n">
        <v>16.2</v>
      </c>
      <c r="I2" s="4" t="n">
        <v>21.2</v>
      </c>
      <c r="J2" s="4" t="n">
        <v>26.2</v>
      </c>
      <c r="K2" s="4" t="n">
        <v>31.2</v>
      </c>
      <c r="L2" s="4" t="n">
        <v>36.2</v>
      </c>
    </row>
    <row r="3">
      <c r="A3" t="inlineStr">
        <is>
          <t>PDN-META-002</t>
        </is>
      </c>
      <c r="B3" t="inlineStr">
        <is>
          <t>Modernização do Estado</t>
        </is>
      </c>
      <c r="C3" t="inlineStr">
        <is>
          <t>Administração Pública</t>
        </is>
      </c>
      <c r="D3" t="inlineStr">
        <is>
          <t>% de capacidade de atendimento ao cidadão da rede SIAC</t>
        </is>
      </c>
      <c r="E3" t="inlineStr">
        <is>
          <t>%</t>
        </is>
      </c>
      <c r="F3" t="inlineStr">
        <is>
          <t>Linear</t>
        </is>
      </c>
      <c r="G3" s="4" t="n">
        <v>13.5</v>
      </c>
      <c r="H3" s="4" t="n">
        <v>14.66</v>
      </c>
      <c r="I3" s="4" t="n">
        <v>15.82</v>
      </c>
      <c r="J3" s="4" t="n">
        <v>16.98</v>
      </c>
      <c r="K3" s="4" t="n">
        <v>18.14</v>
      </c>
      <c r="L3" s="4" t="n">
        <v>19.3</v>
      </c>
    </row>
    <row r="4">
      <c r="A4" t="inlineStr">
        <is>
          <t>PDN-META-003</t>
        </is>
      </c>
      <c r="B4" t="inlineStr">
        <is>
          <t>Modernização do Estado</t>
        </is>
      </c>
      <c r="C4" t="inlineStr">
        <is>
          <t>Reforma do Estado</t>
        </is>
      </c>
      <c r="D4" t="inlineStr">
        <is>
          <t>Classificação no indicador Direitos Fundamentais — Projecto de Justiça Mundial</t>
        </is>
      </c>
      <c r="E4" t="inlineStr">
        <is>
          <t>Índice (0–1)</t>
        </is>
      </c>
      <c r="F4" t="inlineStr">
        <is>
          <t>Geométrica</t>
        </is>
      </c>
      <c r="G4" s="4" t="n">
        <v>0.38</v>
      </c>
      <c r="H4" s="4" t="n">
        <v>0.3839183545408157</v>
      </c>
      <c r="I4" s="4" t="n">
        <v>0.3878771130350723</v>
      </c>
      <c r="J4" s="4" t="n">
        <v>0.3918766921064919</v>
      </c>
      <c r="K4" s="4" t="n">
        <v>0.3959175126747954</v>
      </c>
      <c r="L4" s="4" t="n">
        <v>0.4</v>
      </c>
    </row>
    <row r="5">
      <c r="A5" t="inlineStr">
        <is>
          <t>PDN-META-004</t>
        </is>
      </c>
      <c r="B5" t="inlineStr">
        <is>
          <t>Modernização do Estado</t>
        </is>
      </c>
      <c r="C5" t="inlineStr">
        <is>
          <t>Reforma do Estado</t>
        </is>
      </c>
      <c r="D5" t="inlineStr">
        <is>
          <t>Classificação no indicador Governo Aberto — Projecto de Justiça Mundial</t>
        </is>
      </c>
      <c r="E5" t="inlineStr">
        <is>
          <t>Índice (0–1)</t>
        </is>
      </c>
      <c r="F5" t="inlineStr">
        <is>
          <t>Geométrica</t>
        </is>
      </c>
      <c r="G5" s="4" t="n">
        <v>0.38</v>
      </c>
      <c r="H5" s="4" t="n">
        <v>0.3858190333894939</v>
      </c>
      <c r="I5" s="4" t="n">
        <v>0.3917271750673774</v>
      </c>
      <c r="J5" s="4" t="n">
        <v>0.3977257895707701</v>
      </c>
      <c r="K5" s="4" t="n">
        <v>0.4038162623322837</v>
      </c>
      <c r="L5" s="4" t="n">
        <v>0.41</v>
      </c>
    </row>
    <row r="6">
      <c r="A6" t="inlineStr">
        <is>
          <t>PDN-META-005</t>
        </is>
      </c>
      <c r="B6" t="inlineStr">
        <is>
          <t>Modernização do Estado</t>
        </is>
      </c>
      <c r="C6" t="inlineStr">
        <is>
          <t>Reforma do Estado</t>
        </is>
      </c>
      <c r="D6" t="inlineStr">
        <is>
          <t>Classificação no indicador Democraticidade Eleitoral — Índice Ibrahim</t>
        </is>
      </c>
      <c r="E6" t="inlineStr">
        <is>
          <t>%</t>
        </is>
      </c>
      <c r="F6" t="inlineStr">
        <is>
          <t>Linear</t>
        </is>
      </c>
      <c r="G6" s="4" t="n">
        <v>27.7</v>
      </c>
      <c r="H6" s="4" t="n">
        <v>28.9</v>
      </c>
      <c r="I6" s="4" t="n">
        <v>30.1</v>
      </c>
      <c r="J6" s="4" t="n">
        <v>31.3</v>
      </c>
      <c r="K6" s="4" t="n">
        <v>32.5</v>
      </c>
      <c r="L6" s="4" t="n">
        <v>33.7</v>
      </c>
    </row>
    <row r="7">
      <c r="A7" t="inlineStr">
        <is>
          <t>PDN-META-006</t>
        </is>
      </c>
      <c r="B7" t="inlineStr">
        <is>
          <t>Modernização do Estado</t>
        </is>
      </c>
      <c r="C7" t="inlineStr">
        <is>
          <t>Reforma do Estado</t>
        </is>
      </c>
      <c r="D7" t="inlineStr">
        <is>
          <t>Pontuação no indicador Estado de Direito — Banco Mundial</t>
        </is>
      </c>
      <c r="E7" t="inlineStr">
        <is>
          <t>%</t>
        </is>
      </c>
      <c r="F7" t="inlineStr">
        <is>
          <t>Linear</t>
        </is>
      </c>
      <c r="G7" s="4" t="n">
        <v>17.3</v>
      </c>
      <c r="H7" s="4" t="n">
        <v>18.24</v>
      </c>
      <c r="I7" s="4" t="n">
        <v>19.18</v>
      </c>
      <c r="J7" s="4" t="n">
        <v>20.12</v>
      </c>
      <c r="K7" s="4" t="n">
        <v>21.06</v>
      </c>
      <c r="L7" s="4" t="n">
        <v>22</v>
      </c>
    </row>
    <row r="8">
      <c r="A8" t="inlineStr">
        <is>
          <t>PDN-META-007</t>
        </is>
      </c>
      <c r="B8" t="inlineStr">
        <is>
          <t>Modernização do Estado</t>
        </is>
      </c>
      <c r="C8" t="inlineStr">
        <is>
          <t>Reforma do Estado</t>
        </is>
      </c>
      <c r="D8" t="inlineStr">
        <is>
          <t>Pontuação no indicador Estabilidade Política — Banco Mundial</t>
        </is>
      </c>
      <c r="E8" t="inlineStr">
        <is>
          <t>%</t>
        </is>
      </c>
      <c r="F8" t="inlineStr">
        <is>
          <t>Linear</t>
        </is>
      </c>
      <c r="G8" s="4" t="n">
        <v>20.8</v>
      </c>
      <c r="H8" s="4" t="n">
        <v>21.8</v>
      </c>
      <c r="I8" s="4" t="n">
        <v>22.8</v>
      </c>
      <c r="J8" s="4" t="n">
        <v>23.8</v>
      </c>
      <c r="K8" s="4" t="n">
        <v>24.8</v>
      </c>
      <c r="L8" s="4" t="n">
        <v>25.8</v>
      </c>
    </row>
    <row r="9">
      <c r="A9" t="inlineStr">
        <is>
          <t>PDN-META-008</t>
        </is>
      </c>
      <c r="B9" t="inlineStr">
        <is>
          <t>Modernização do Estado</t>
        </is>
      </c>
      <c r="C9" t="inlineStr">
        <is>
          <t>Reforma do Estado</t>
        </is>
      </c>
      <c r="D9" t="inlineStr">
        <is>
          <t>Pontuação no indicador Eficiência do Governo — Banco Mundial</t>
        </is>
      </c>
      <c r="E9" t="inlineStr">
        <is>
          <t>%</t>
        </is>
      </c>
      <c r="F9" t="inlineStr">
        <is>
          <t>Linear</t>
        </is>
      </c>
      <c r="G9" s="4" t="n">
        <v>13</v>
      </c>
      <c r="H9" s="4" t="n">
        <v>13.9</v>
      </c>
      <c r="I9" s="4" t="n">
        <v>14.8</v>
      </c>
      <c r="J9" s="4" t="n">
        <v>15.7</v>
      </c>
      <c r="K9" s="4" t="n">
        <v>16.6</v>
      </c>
      <c r="L9" s="4" t="n">
        <v>17.5</v>
      </c>
    </row>
    <row r="10">
      <c r="A10" t="inlineStr">
        <is>
          <t>PDN-META-009</t>
        </is>
      </c>
      <c r="B10" t="inlineStr">
        <is>
          <t>Modernização do Estado</t>
        </is>
      </c>
      <c r="C10" t="inlineStr">
        <is>
          <t>Reforma do Estado</t>
        </is>
      </c>
      <c r="D10" t="inlineStr">
        <is>
          <t>Pontuação no indicador Qualidade Regulatória — Banco Mundial</t>
        </is>
      </c>
      <c r="E10" t="inlineStr">
        <is>
          <t>%</t>
        </is>
      </c>
      <c r="F10" t="inlineStr">
        <is>
          <t>Linear</t>
        </is>
      </c>
      <c r="G10" s="4" t="n">
        <v>27.4</v>
      </c>
      <c r="H10" s="4" t="n">
        <v>28.62</v>
      </c>
      <c r="I10" s="4" t="n">
        <v>29.84</v>
      </c>
      <c r="J10" s="4" t="n">
        <v>31.06</v>
      </c>
      <c r="K10" s="4" t="n">
        <v>32.28</v>
      </c>
      <c r="L10" s="4" t="n">
        <v>33.5</v>
      </c>
    </row>
    <row r="11">
      <c r="A11" t="inlineStr">
        <is>
          <t>PDN-META-010</t>
        </is>
      </c>
      <c r="B11" t="inlineStr">
        <is>
          <t>Modernização do Estado</t>
        </is>
      </c>
      <c r="C11" t="inlineStr">
        <is>
          <t>Reforma do Estado</t>
        </is>
      </c>
      <c r="D11" t="inlineStr">
        <is>
          <t>Pontuação no indicador Voz e Participação — Banco Mundial</t>
        </is>
      </c>
      <c r="E11" t="inlineStr">
        <is>
          <t>%</t>
        </is>
      </c>
      <c r="F11" t="inlineStr">
        <is>
          <t>Linear</t>
        </is>
      </c>
      <c r="G11" s="4" t="n">
        <v>24.7</v>
      </c>
      <c r="H11" s="4" t="n">
        <v>25.66</v>
      </c>
      <c r="I11" s="4" t="n">
        <v>26.62</v>
      </c>
      <c r="J11" s="4" t="n">
        <v>27.58</v>
      </c>
      <c r="K11" s="4" t="n">
        <v>28.54</v>
      </c>
      <c r="L11" s="4" t="n">
        <v>29.5</v>
      </c>
    </row>
    <row r="12">
      <c r="A12" t="inlineStr">
        <is>
          <t>PDN-META-011</t>
        </is>
      </c>
      <c r="B12" t="inlineStr">
        <is>
          <t>Modernização do Estado</t>
        </is>
      </c>
      <c r="C12" t="inlineStr">
        <is>
          <t>Reforma do Estado</t>
        </is>
      </c>
      <c r="D12" t="inlineStr">
        <is>
          <t>Pontuação no indicador Controlo da Corrupção — Banco Mundial</t>
        </is>
      </c>
      <c r="E12" t="inlineStr">
        <is>
          <t>%</t>
        </is>
      </c>
      <c r="F12" t="inlineStr">
        <is>
          <t>Linear</t>
        </is>
      </c>
      <c r="G12" s="4" t="n">
        <v>27.9</v>
      </c>
      <c r="H12" s="4" t="n">
        <v>29.38</v>
      </c>
      <c r="I12" s="4" t="n">
        <v>30.86</v>
      </c>
      <c r="J12" s="4" t="n">
        <v>32.34</v>
      </c>
      <c r="K12" s="4" t="n">
        <v>33.82</v>
      </c>
      <c r="L12" s="4" t="n">
        <v>35.3</v>
      </c>
    </row>
    <row r="13">
      <c r="A13" t="inlineStr">
        <is>
          <t>PDN-META-012</t>
        </is>
      </c>
      <c r="B13" t="inlineStr">
        <is>
          <t>Modernização do Estado</t>
        </is>
      </c>
      <c r="C13" t="inlineStr">
        <is>
          <t>Reforma do Estado</t>
        </is>
      </c>
      <c r="D13" t="inlineStr">
        <is>
          <t>Pontuação no indicador Capacidade de Gestão — Bertelsmann</t>
        </is>
      </c>
      <c r="E13" t="inlineStr">
        <is>
          <t>Pontos (0–10)</t>
        </is>
      </c>
      <c r="F13" t="inlineStr">
        <is>
          <t>Geométrica</t>
        </is>
      </c>
      <c r="G13" s="4" t="n">
        <v>4.3</v>
      </c>
      <c r="H13" s="4" t="n">
        <v>4.377179293006939</v>
      </c>
      <c r="I13" s="4" t="n">
        <v>4.4557438518904</v>
      </c>
      <c r="J13" s="4" t="n">
        <v>4.535718540334333</v>
      </c>
      <c r="K13" s="4" t="n">
        <v>4.617128668292813</v>
      </c>
      <c r="L13" s="4" t="n">
        <v>4.7</v>
      </c>
    </row>
    <row r="14">
      <c r="A14" t="inlineStr">
        <is>
          <t>PDN-META-013</t>
        </is>
      </c>
      <c r="B14" t="inlineStr">
        <is>
          <t>Modernização do Estado</t>
        </is>
      </c>
      <c r="C14" t="inlineStr">
        <is>
          <t>Reforma do Estado</t>
        </is>
      </c>
      <c r="D14" t="inlineStr">
        <is>
          <t>Pontuação no indicador Eficiência de Recursos — BTI Project</t>
        </is>
      </c>
      <c r="E14" t="inlineStr">
        <is>
          <t>Pontos (0–10)</t>
        </is>
      </c>
      <c r="F14" t="inlineStr">
        <is>
          <t>Geométrica</t>
        </is>
      </c>
      <c r="G14" s="4" t="n">
        <v>4</v>
      </c>
      <c r="H14" s="4" t="n">
        <v>4.058276976198625</v>
      </c>
      <c r="I14" s="4" t="n">
        <v>4.117403003885964</v>
      </c>
      <c r="J14" s="4" t="n">
        <v>4.177390453100367</v>
      </c>
      <c r="K14" s="4" t="n">
        <v>4.23825187410229</v>
      </c>
      <c r="L14" s="4" t="n">
        <v>4.3</v>
      </c>
    </row>
    <row r="15">
      <c r="A15" t="inlineStr">
        <is>
          <t>PDN-META-014</t>
        </is>
      </c>
      <c r="B15" t="inlineStr">
        <is>
          <t>Modernização do Estado</t>
        </is>
      </c>
      <c r="C15" t="inlineStr">
        <is>
          <t>Reforma do Estado</t>
        </is>
      </c>
      <c r="D15" t="inlineStr">
        <is>
          <t>Pontuação no indicador Serviços Públicos Online — UNDESA</t>
        </is>
      </c>
      <c r="E15" t="inlineStr">
        <is>
          <t>Índice (0–1)</t>
        </is>
      </c>
      <c r="F15" t="inlineStr">
        <is>
          <t>Geométrica</t>
        </is>
      </c>
      <c r="G15" s="4" t="n">
        <v>0.47</v>
      </c>
      <c r="H15" s="4" t="n">
        <v>0.4739336030758581</v>
      </c>
      <c r="I15" s="4" t="n">
        <v>0.4779001279243938</v>
      </c>
      <c r="J15" s="4" t="n">
        <v>0.4818998500800457</v>
      </c>
      <c r="K15" s="4" t="n">
        <v>0.485933047383302</v>
      </c>
      <c r="L15" s="4" t="n">
        <v>0.49</v>
      </c>
    </row>
    <row r="16">
      <c r="A16" t="inlineStr">
        <is>
          <t>PDN-META-015</t>
        </is>
      </c>
      <c r="B16" t="inlineStr">
        <is>
          <t>Ordenamento do Território</t>
        </is>
      </c>
      <c r="C16" t="inlineStr">
        <is>
          <t>Habitação e território</t>
        </is>
      </c>
      <c r="D16" t="inlineStr">
        <is>
          <t>Défice habitacional</t>
        </is>
      </c>
      <c r="E16" t="inlineStr">
        <is>
          <t>% de agregados familiares</t>
        </is>
      </c>
      <c r="F16" t="inlineStr">
        <is>
          <t>Linear</t>
        </is>
      </c>
      <c r="G16" s="4" t="n">
        <v>32</v>
      </c>
      <c r="H16" s="4" t="n">
        <v>31.88</v>
      </c>
      <c r="I16" s="4" t="n">
        <v>31.76</v>
      </c>
      <c r="J16" s="4" t="n">
        <v>31.64</v>
      </c>
      <c r="K16" s="4" t="n">
        <v>31.52</v>
      </c>
      <c r="L16" s="4" t="n">
        <v>31.4</v>
      </c>
    </row>
    <row r="17">
      <c r="A17" t="inlineStr">
        <is>
          <t>PDN-META-016</t>
        </is>
      </c>
      <c r="B17" t="inlineStr">
        <is>
          <t>Ordenamento do Território</t>
        </is>
      </c>
      <c r="C17" t="inlineStr">
        <is>
          <t>Habitação e território</t>
        </is>
      </c>
      <c r="D17" t="inlineStr">
        <is>
          <t>% da população urbana a viver em assentamentos informais</t>
        </is>
      </c>
      <c r="E17" t="inlineStr">
        <is>
          <t>%</t>
        </is>
      </c>
      <c r="F17" t="inlineStr">
        <is>
          <t>Linear</t>
        </is>
      </c>
      <c r="G17" s="4" t="n">
        <v>49</v>
      </c>
      <c r="H17" s="4" t="n">
        <v>48.1</v>
      </c>
      <c r="I17" s="4" t="n">
        <v>47.2</v>
      </c>
      <c r="J17" s="4" t="n">
        <v>46.3</v>
      </c>
      <c r="K17" s="4" t="n">
        <v>45.4</v>
      </c>
      <c r="L17" s="4" t="n">
        <v>44.5</v>
      </c>
    </row>
    <row r="18">
      <c r="A18" t="inlineStr">
        <is>
          <t>PDN-META-017</t>
        </is>
      </c>
      <c r="B18" t="inlineStr">
        <is>
          <t>Ordenamento do Território</t>
        </is>
      </c>
      <c r="C18" t="inlineStr">
        <is>
          <t>Habitação e território</t>
        </is>
      </c>
      <c r="D18" t="inlineStr">
        <is>
          <t>% de títulos de propriedade para uso habitacional</t>
        </is>
      </c>
      <c r="E18" t="inlineStr">
        <is>
          <t>% do total de propriedades</t>
        </is>
      </c>
      <c r="F18" t="inlineStr">
        <is>
          <t>Linear</t>
        </is>
      </c>
      <c r="G18" s="4" t="n">
        <v>10</v>
      </c>
      <c r="H18" s="4" t="n">
        <v>15</v>
      </c>
      <c r="I18" s="4" t="n">
        <v>20</v>
      </c>
      <c r="J18" s="4" t="n">
        <v>25</v>
      </c>
      <c r="K18" s="4" t="n">
        <v>30</v>
      </c>
      <c r="L18" s="4" t="n">
        <v>35</v>
      </c>
    </row>
    <row r="19">
      <c r="A19" t="inlineStr">
        <is>
          <t>PDN-META-020</t>
        </is>
      </c>
      <c r="B19" t="inlineStr">
        <is>
          <t>Educação, Juventude, Emprego e Inovação</t>
        </is>
      </c>
      <c r="C19" t="inlineStr">
        <is>
          <t>Educação</t>
        </is>
      </c>
      <c r="D19" t="inlineStr">
        <is>
          <t>Anos de escolaridade ajustados à aprendizagem</t>
        </is>
      </c>
      <c r="E19" t="inlineStr">
        <is>
          <t>Anos</t>
        </is>
      </c>
      <c r="F19" t="inlineStr">
        <is>
          <t>Geométrica</t>
        </is>
      </c>
      <c r="G19" s="4" t="n">
        <v>4.2</v>
      </c>
      <c r="H19" s="4" t="n">
        <v>4.277115701624679</v>
      </c>
      <c r="I19" s="4" t="n">
        <v>4.355647315496277</v>
      </c>
      <c r="J19" s="4" t="n">
        <v>4.435620839011549</v>
      </c>
      <c r="K19" s="4" t="n">
        <v>4.517062746902363</v>
      </c>
      <c r="L19" s="4" t="n">
        <v>4.6</v>
      </c>
    </row>
    <row r="20">
      <c r="A20" t="inlineStr">
        <is>
          <t>PDN-META-021</t>
        </is>
      </c>
      <c r="B20" t="inlineStr">
        <is>
          <t>Educação, Juventude, Emprego e Inovação</t>
        </is>
      </c>
      <c r="C20" t="inlineStr">
        <is>
          <t>Educação</t>
        </is>
      </c>
      <c r="D20" t="inlineStr">
        <is>
          <t>Desempenho em Testes Harmonizados — componente Educação do Índice de Capital Humano</t>
        </is>
      </c>
      <c r="E20" t="inlineStr">
        <is>
          <t>Pontuação</t>
        </is>
      </c>
      <c r="F20" t="inlineStr">
        <is>
          <t>Geométrica</t>
        </is>
      </c>
      <c r="G20" s="4" t="n">
        <v>326</v>
      </c>
      <c r="H20" s="4" t="n">
        <v>328.1708940557614</v>
      </c>
      <c r="I20" s="4" t="n">
        <v>330.3562444949624</v>
      </c>
      <c r="J20" s="4" t="n">
        <v>332.5561475853237</v>
      </c>
      <c r="K20" s="4" t="n">
        <v>334.7707002356301</v>
      </c>
      <c r="L20" s="4" t="n">
        <v>337</v>
      </c>
    </row>
    <row r="21">
      <c r="A21" t="inlineStr">
        <is>
          <t>PDN-META-022</t>
        </is>
      </c>
      <c r="B21" t="inlineStr">
        <is>
          <t>Educação, Juventude, Emprego e Inovação</t>
        </is>
      </c>
      <c r="C21" t="inlineStr">
        <is>
          <t>Educação</t>
        </is>
      </c>
      <c r="D21" t="inlineStr">
        <is>
          <t>Taxa de alfabetização (&gt;=15 anos)</t>
        </is>
      </c>
      <c r="E21" t="inlineStr">
        <is>
          <t>%</t>
        </is>
      </c>
      <c r="F21" t="inlineStr">
        <is>
          <t>Linear</t>
        </is>
      </c>
      <c r="G21" s="4" t="n">
        <v>76</v>
      </c>
      <c r="H21" s="4" t="n">
        <v>76.40000000000001</v>
      </c>
      <c r="I21" s="4" t="n">
        <v>76.8</v>
      </c>
      <c r="J21" s="4" t="n">
        <v>77.2</v>
      </c>
      <c r="K21" s="4" t="n">
        <v>77.59999999999999</v>
      </c>
      <c r="L21" s="4" t="n">
        <v>78</v>
      </c>
    </row>
    <row r="22">
      <c r="A22" t="inlineStr">
        <is>
          <t>PDN-META-023</t>
        </is>
      </c>
      <c r="B22" t="inlineStr">
        <is>
          <t>Educação, Juventude, Emprego e Inovação</t>
        </is>
      </c>
      <c r="C22" t="inlineStr">
        <is>
          <t>Educação</t>
        </is>
      </c>
      <c r="D22" t="inlineStr">
        <is>
          <t>Taxa líquida de escolarização da 2.ª etapa do pré-escolar (3–5 anos)</t>
        </is>
      </c>
      <c r="E22" t="inlineStr">
        <is>
          <t>%</t>
        </is>
      </c>
      <c r="F22" t="inlineStr">
        <is>
          <t>Linear</t>
        </is>
      </c>
      <c r="G22" s="4" t="n">
        <v>19</v>
      </c>
      <c r="H22" s="4" t="n">
        <v>19.8</v>
      </c>
      <c r="I22" s="4" t="n">
        <v>20.6</v>
      </c>
      <c r="J22" s="4" t="n">
        <v>21.4</v>
      </c>
      <c r="K22" s="4" t="n">
        <v>22.2</v>
      </c>
      <c r="L22" s="4" t="n">
        <v>23</v>
      </c>
    </row>
    <row r="23">
      <c r="A23" t="inlineStr">
        <is>
          <t>PDN-META-024</t>
        </is>
      </c>
      <c r="B23" t="inlineStr">
        <is>
          <t>Educação, Juventude, Emprego e Inovação</t>
        </is>
      </c>
      <c r="C23" t="inlineStr">
        <is>
          <t>Educação</t>
        </is>
      </c>
      <c r="D23" t="inlineStr">
        <is>
          <t>Taxa líquida de escolarização na classe de iniciação (5 anos)</t>
        </is>
      </c>
      <c r="E23" t="inlineStr">
        <is>
          <t>%</t>
        </is>
      </c>
      <c r="F23" t="inlineStr">
        <is>
          <t>Linear</t>
        </is>
      </c>
      <c r="G23" s="4" t="n">
        <v>48</v>
      </c>
      <c r="H23" s="4" t="n">
        <v>50</v>
      </c>
      <c r="I23" s="4" t="n">
        <v>52</v>
      </c>
      <c r="J23" s="4" t="n">
        <v>54</v>
      </c>
      <c r="K23" s="4" t="n">
        <v>56</v>
      </c>
      <c r="L23" s="4" t="n">
        <v>58</v>
      </c>
    </row>
    <row r="24">
      <c r="A24" t="inlineStr">
        <is>
          <t>PDN-META-025</t>
        </is>
      </c>
      <c r="B24" t="inlineStr">
        <is>
          <t>Educação, Juventude, Emprego e Inovação</t>
        </is>
      </c>
      <c r="C24" t="inlineStr">
        <is>
          <t>Educação</t>
        </is>
      </c>
      <c r="D24" t="inlineStr">
        <is>
          <t>Taxa líquida de escolarização no ensino primário (1.ª–6.ª classes)</t>
        </is>
      </c>
      <c r="E24" t="inlineStr">
        <is>
          <t>%</t>
        </is>
      </c>
      <c r="F24" t="inlineStr">
        <is>
          <t>Linear</t>
        </is>
      </c>
      <c r="G24" s="4" t="n">
        <v>64</v>
      </c>
      <c r="H24" s="4" t="n">
        <v>65.2</v>
      </c>
      <c r="I24" s="4" t="n">
        <v>66.40000000000001</v>
      </c>
      <c r="J24" s="4" t="n">
        <v>67.59999999999999</v>
      </c>
      <c r="K24" s="4" t="n">
        <v>68.8</v>
      </c>
      <c r="L24" s="4" t="n">
        <v>70</v>
      </c>
    </row>
    <row r="25">
      <c r="A25" t="inlineStr">
        <is>
          <t>PDN-META-026</t>
        </is>
      </c>
      <c r="B25" t="inlineStr">
        <is>
          <t>Educação, Juventude, Emprego e Inovação</t>
        </is>
      </c>
      <c r="C25" t="inlineStr">
        <is>
          <t>Educação</t>
        </is>
      </c>
      <c r="D25" t="inlineStr">
        <is>
          <t>Taxa líquida de escolarização no 1.º ciclo do ensino secundário (7.ª–9.ª classes)</t>
        </is>
      </c>
      <c r="E25" t="inlineStr">
        <is>
          <t>%</t>
        </is>
      </c>
      <c r="F25" t="inlineStr">
        <is>
          <t>Linear</t>
        </is>
      </c>
      <c r="G25" s="4" t="n">
        <v>23</v>
      </c>
      <c r="H25" s="4" t="n">
        <v>23.8</v>
      </c>
      <c r="I25" s="4" t="n">
        <v>24.6</v>
      </c>
      <c r="J25" s="4" t="n">
        <v>25.4</v>
      </c>
      <c r="K25" s="4" t="n">
        <v>26.2</v>
      </c>
      <c r="L25" s="4" t="n">
        <v>27</v>
      </c>
    </row>
    <row r="26">
      <c r="A26" t="inlineStr">
        <is>
          <t>PDN-META-027</t>
        </is>
      </c>
      <c r="B26" t="inlineStr">
        <is>
          <t>Educação, Juventude, Emprego e Inovação</t>
        </is>
      </c>
      <c r="C26" t="inlineStr">
        <is>
          <t>Educação</t>
        </is>
      </c>
      <c r="D26" t="inlineStr">
        <is>
          <t>% da população entre 15–18 anos a frequentar o 2.º ciclo do ensino secundário</t>
        </is>
      </c>
      <c r="E26" t="inlineStr">
        <is>
          <t>%</t>
        </is>
      </c>
      <c r="F26" t="inlineStr">
        <is>
          <t>Linear</t>
        </is>
      </c>
      <c r="G26" s="4" t="n">
        <v>25</v>
      </c>
      <c r="H26" s="4" t="n">
        <v>25.8</v>
      </c>
      <c r="I26" s="4" t="n">
        <v>26.6</v>
      </c>
      <c r="J26" s="4" t="n">
        <v>27.4</v>
      </c>
      <c r="K26" s="4" t="n">
        <v>28.2</v>
      </c>
      <c r="L26" s="4" t="n">
        <v>29</v>
      </c>
    </row>
    <row r="27">
      <c r="A27" t="inlineStr">
        <is>
          <t>PDN-META-028</t>
        </is>
      </c>
      <c r="B27" t="inlineStr">
        <is>
          <t>Saúde</t>
        </is>
      </c>
      <c r="C27" t="inlineStr">
        <is>
          <t>Saúde</t>
        </is>
      </c>
      <c r="D27" t="inlineStr">
        <is>
          <t>Esperança média de vida</t>
        </is>
      </c>
      <c r="E27" t="inlineStr">
        <is>
          <t>Anos</t>
        </is>
      </c>
      <c r="F27" t="inlineStr">
        <is>
          <t>Geométrica</t>
        </is>
      </c>
      <c r="G27" s="4" t="n">
        <v>62</v>
      </c>
      <c r="H27" s="4" t="n">
        <v>62.19872202513606</v>
      </c>
      <c r="I27" s="4" t="n">
        <v>62.39808099290558</v>
      </c>
      <c r="J27" s="4" t="n">
        <v>62.59807894483321</v>
      </c>
      <c r="K27" s="4" t="n">
        <v>62.79871792898715</v>
      </c>
      <c r="L27" s="4" t="n">
        <v>63</v>
      </c>
    </row>
    <row r="28">
      <c r="A28" t="inlineStr">
        <is>
          <t>PDN-META-029</t>
        </is>
      </c>
      <c r="B28" t="inlineStr">
        <is>
          <t>Saúde</t>
        </is>
      </c>
      <c r="C28" t="inlineStr">
        <is>
          <t>Saúde</t>
        </is>
      </c>
      <c r="D28" t="inlineStr">
        <is>
          <t>Esperança de vida saudável (HALE)</t>
        </is>
      </c>
      <c r="E28" t="inlineStr">
        <is>
          <t>Anos</t>
        </is>
      </c>
      <c r="F28" t="inlineStr">
        <is>
          <t>Geométrica</t>
        </is>
      </c>
      <c r="G28" s="4" t="n">
        <v>56</v>
      </c>
      <c r="H28" s="4" t="n">
        <v>56.19858654592737</v>
      </c>
      <c r="I28" s="4" t="n">
        <v>56.39787731714443</v>
      </c>
      <c r="J28" s="4" t="n">
        <v>56.59787481096672</v>
      </c>
      <c r="K28" s="4" t="n">
        <v>56.79858153356562</v>
      </c>
      <c r="L28" s="4" t="n">
        <v>57</v>
      </c>
    </row>
    <row r="29">
      <c r="A29" t="inlineStr">
        <is>
          <t>PDN-META-030</t>
        </is>
      </c>
      <c r="B29" t="inlineStr">
        <is>
          <t>Saúde</t>
        </is>
      </c>
      <c r="C29" t="inlineStr">
        <is>
          <t>Saúde</t>
        </is>
      </c>
      <c r="D29" t="inlineStr">
        <is>
          <t>Taxa de fecundidade</t>
        </is>
      </c>
      <c r="E29" t="inlineStr">
        <is>
          <t>Filhos por mulher</t>
        </is>
      </c>
      <c r="F29" t="inlineStr">
        <is>
          <t>Linear</t>
        </is>
      </c>
      <c r="G29" s="4" t="n">
        <v>5.4</v>
      </c>
      <c r="H29" s="4" t="n">
        <v>5.24</v>
      </c>
      <c r="I29" s="4" t="n">
        <v>5.08</v>
      </c>
      <c r="J29" s="4" t="n">
        <v>4.92</v>
      </c>
      <c r="K29" s="4" t="n">
        <v>4.76</v>
      </c>
      <c r="L29" s="4" t="n">
        <v>4.6</v>
      </c>
    </row>
    <row r="30">
      <c r="A30" t="inlineStr">
        <is>
          <t>PDN-META-031</t>
        </is>
      </c>
      <c r="B30" t="inlineStr">
        <is>
          <t>Saúde</t>
        </is>
      </c>
      <c r="C30" t="inlineStr">
        <is>
          <t>Saúde</t>
        </is>
      </c>
      <c r="D30" t="inlineStr">
        <is>
          <t>Taxa de mortalidade de menores de 5 anos</t>
        </is>
      </c>
      <c r="E30" t="inlineStr">
        <is>
          <t>Por 1.000 nados-vivos</t>
        </is>
      </c>
      <c r="F30" t="inlineStr">
        <is>
          <t>Linear</t>
        </is>
      </c>
      <c r="G30" s="4" t="n">
        <v>69</v>
      </c>
      <c r="H30" s="4" t="n">
        <v>65.40000000000001</v>
      </c>
      <c r="I30" s="4" t="n">
        <v>61.8</v>
      </c>
      <c r="J30" s="4" t="n">
        <v>58.2</v>
      </c>
      <c r="K30" s="4" t="n">
        <v>54.6</v>
      </c>
      <c r="L30" s="4" t="n">
        <v>51</v>
      </c>
    </row>
    <row r="31">
      <c r="A31" t="inlineStr">
        <is>
          <t>PDN-META-032</t>
        </is>
      </c>
      <c r="B31" t="inlineStr">
        <is>
          <t>Saúde</t>
        </is>
      </c>
      <c r="C31" t="inlineStr">
        <is>
          <t>Saúde</t>
        </is>
      </c>
      <c r="D31" t="inlineStr">
        <is>
          <t>Taxa de mortalidade de menores de 1 ano</t>
        </is>
      </c>
      <c r="E31" t="inlineStr">
        <is>
          <t>Por 1.000 nados-vivos</t>
        </is>
      </c>
      <c r="F31" t="inlineStr">
        <is>
          <t>Linear</t>
        </is>
      </c>
      <c r="G31" s="4" t="n">
        <v>47</v>
      </c>
      <c r="H31" s="4" t="n">
        <v>45</v>
      </c>
      <c r="I31" s="4" t="n">
        <v>43</v>
      </c>
      <c r="J31" s="4" t="n">
        <v>41</v>
      </c>
      <c r="K31" s="4" t="n">
        <v>39</v>
      </c>
      <c r="L31" s="4" t="n">
        <v>37</v>
      </c>
    </row>
    <row r="32">
      <c r="A32" t="inlineStr">
        <is>
          <t>PDN-META-033</t>
        </is>
      </c>
      <c r="B32" t="inlineStr">
        <is>
          <t>Saúde</t>
        </is>
      </c>
      <c r="C32" t="inlineStr">
        <is>
          <t>Saúde</t>
        </is>
      </c>
      <c r="D32" t="inlineStr">
        <is>
          <t>Taxa de mortalidade materna</t>
        </is>
      </c>
      <c r="E32" t="inlineStr">
        <is>
          <t>Por 100.000 nascimentos</t>
        </is>
      </c>
      <c r="F32" t="inlineStr">
        <is>
          <t>Linear</t>
        </is>
      </c>
      <c r="G32" s="4" t="n">
        <v>199</v>
      </c>
      <c r="H32" s="4" t="n">
        <v>192.2</v>
      </c>
      <c r="I32" s="4" t="n">
        <v>185.4</v>
      </c>
      <c r="J32" s="4" t="n">
        <v>178.6</v>
      </c>
      <c r="K32" s="4" t="n">
        <v>171.8</v>
      </c>
      <c r="L32" s="4" t="n">
        <v>165</v>
      </c>
    </row>
    <row r="33">
      <c r="A33" t="inlineStr">
        <is>
          <t>PDN-META-034</t>
        </is>
      </c>
      <c r="B33" t="inlineStr">
        <is>
          <t>Saúde</t>
        </is>
      </c>
      <c r="C33" t="inlineStr">
        <is>
          <t>Saúde</t>
        </is>
      </c>
      <c r="D33" t="inlineStr">
        <is>
          <t>Gastos correntes com a saúde</t>
        </is>
      </c>
      <c r="E33" t="inlineStr">
        <is>
          <t>% do PIB</t>
        </is>
      </c>
      <c r="F33" t="inlineStr">
        <is>
          <t>Linear</t>
        </is>
      </c>
      <c r="G33" s="4" t="n">
        <v>3</v>
      </c>
      <c r="H33" s="4" t="n">
        <v>3.2</v>
      </c>
      <c r="I33" s="4" t="n">
        <v>3.4</v>
      </c>
      <c r="J33" s="4" t="n">
        <v>3.6</v>
      </c>
      <c r="K33" s="4" t="n">
        <v>3.8</v>
      </c>
      <c r="L33" s="4" t="n">
        <v>4</v>
      </c>
    </row>
    <row r="34">
      <c r="A34" t="inlineStr">
        <is>
          <t>PDN-META-035</t>
        </is>
      </c>
      <c r="B34" t="inlineStr">
        <is>
          <t>Saúde</t>
        </is>
      </c>
      <c r="C34" t="inlineStr">
        <is>
          <t>Saúde</t>
        </is>
      </c>
      <c r="D34" t="inlineStr">
        <is>
          <t>Número de médicos por 10.000 habitantes</t>
        </is>
      </c>
      <c r="E34" t="inlineStr">
        <is>
          <t>Por 10.000 habitantes</t>
        </is>
      </c>
      <c r="F34" t="inlineStr">
        <is>
          <t>Linear</t>
        </is>
      </c>
      <c r="G34" s="4" t="n">
        <v>1.8</v>
      </c>
      <c r="H34" s="4" t="n">
        <v>2</v>
      </c>
      <c r="I34" s="4" t="n">
        <v>2.2</v>
      </c>
      <c r="J34" s="4" t="n">
        <v>2.4</v>
      </c>
      <c r="K34" s="4" t="n">
        <v>2.6</v>
      </c>
      <c r="L34" s="4" t="n">
        <v>2.8</v>
      </c>
    </row>
    <row r="35">
      <c r="A35" t="inlineStr">
        <is>
          <t>PDN-META-036</t>
        </is>
      </c>
      <c r="B35" t="inlineStr">
        <is>
          <t>Saúde</t>
        </is>
      </c>
      <c r="C35" t="inlineStr">
        <is>
          <t>Saúde</t>
        </is>
      </c>
      <c r="D35" t="inlineStr">
        <is>
          <t>Número de enfermeiros e parteiras por 10.000 habitantes</t>
        </is>
      </c>
      <c r="E35" t="inlineStr">
        <is>
          <t>Por 10.000 habitantes</t>
        </is>
      </c>
      <c r="F35" t="inlineStr">
        <is>
          <t>Linear</t>
        </is>
      </c>
      <c r="G35" s="4" t="n">
        <v>14.1</v>
      </c>
      <c r="H35" s="4" t="n">
        <v>15.4</v>
      </c>
      <c r="I35" s="4" t="n">
        <v>16.7</v>
      </c>
      <c r="J35" s="4" t="n">
        <v>18</v>
      </c>
      <c r="K35" s="4" t="n">
        <v>19.3</v>
      </c>
      <c r="L35" s="4" t="n">
        <v>20.6</v>
      </c>
    </row>
    <row r="36">
      <c r="A36" t="inlineStr">
        <is>
          <t>PDN-META-037</t>
        </is>
      </c>
      <c r="B36" t="inlineStr">
        <is>
          <t>Saúde</t>
        </is>
      </c>
      <c r="C36" t="inlineStr">
        <is>
          <t>Saúde</t>
        </is>
      </c>
      <c r="D36" t="inlineStr">
        <is>
          <t>Número de hospitais por 100.000 habitantes</t>
        </is>
      </c>
      <c r="E36" t="inlineStr">
        <is>
          <t>Por 100.000 habitantes</t>
        </is>
      </c>
      <c r="F36" t="inlineStr">
        <is>
          <t>Linear</t>
        </is>
      </c>
      <c r="G36" s="4" t="n">
        <v>0.7</v>
      </c>
      <c r="H36" s="4" t="n">
        <v>0.72</v>
      </c>
      <c r="I36" s="4" t="n">
        <v>0.74</v>
      </c>
      <c r="J36" s="4" t="n">
        <v>0.76</v>
      </c>
      <c r="K36" s="4" t="n">
        <v>0.78</v>
      </c>
      <c r="L36" s="4" t="n">
        <v>0.8</v>
      </c>
    </row>
    <row r="37">
      <c r="A37" t="inlineStr">
        <is>
          <t>PDN-META-038</t>
        </is>
      </c>
      <c r="B37" t="inlineStr">
        <is>
          <t>Saúde</t>
        </is>
      </c>
      <c r="C37" t="inlineStr">
        <is>
          <t>Saúde</t>
        </is>
      </c>
      <c r="D37" t="inlineStr">
        <is>
          <t>Número de centros médicos por 100.000 habitantes</t>
        </is>
      </c>
      <c r="E37" t="inlineStr">
        <is>
          <t>Por 100.000 habitantes</t>
        </is>
      </c>
      <c r="F37" t="inlineStr">
        <is>
          <t>Linear</t>
        </is>
      </c>
      <c r="G37" s="4" t="n">
        <v>2.3</v>
      </c>
      <c r="H37" s="4" t="n">
        <v>2.34</v>
      </c>
      <c r="I37" s="4" t="n">
        <v>2.38</v>
      </c>
      <c r="J37" s="4" t="n">
        <v>2.42</v>
      </c>
      <c r="K37" s="4" t="n">
        <v>2.46</v>
      </c>
      <c r="L37" s="4" t="n">
        <v>2.5</v>
      </c>
    </row>
    <row r="38">
      <c r="A38" t="inlineStr">
        <is>
          <t>PDN-META-039</t>
        </is>
      </c>
      <c r="B38" t="inlineStr">
        <is>
          <t>Cultura</t>
        </is>
      </c>
      <c r="C38" t="inlineStr">
        <is>
          <t>Cultura</t>
        </is>
      </c>
      <c r="D38" t="inlineStr">
        <is>
          <t>% de exportações de bens culturais e criativos</t>
        </is>
      </c>
      <c r="E38" t="inlineStr">
        <is>
          <t>% do total das exportações</t>
        </is>
      </c>
      <c r="F38" t="inlineStr">
        <is>
          <t>Linear</t>
        </is>
      </c>
      <c r="G38" s="4" t="n">
        <v>0.01</v>
      </c>
      <c r="H38" s="4" t="n">
        <v>0.0112</v>
      </c>
      <c r="I38" s="4" t="n">
        <v>0.0124</v>
      </c>
      <c r="J38" s="4" t="n">
        <v>0.0136</v>
      </c>
      <c r="K38" s="4" t="n">
        <v>0.0148</v>
      </c>
      <c r="L38" s="4" t="n">
        <v>0.016</v>
      </c>
    </row>
    <row r="39">
      <c r="A39" t="inlineStr">
        <is>
          <t>PDN-META-041</t>
        </is>
      </c>
      <c r="B39" t="inlineStr">
        <is>
          <t>Desporto</t>
        </is>
      </c>
      <c r="C39" t="inlineStr">
        <is>
          <t>Desporto</t>
        </is>
      </c>
      <c r="D39" t="inlineStr">
        <is>
          <t>Classificação no Ranking Mundial de Desporto de Alta Competição</t>
        </is>
      </c>
      <c r="E39" t="inlineStr">
        <is>
          <t>Posição no ranking</t>
        </is>
      </c>
      <c r="F39" t="inlineStr">
        <is>
          <t>Geométrica</t>
        </is>
      </c>
      <c r="G39" s="4" t="n">
        <v>123</v>
      </c>
      <c r="H39" s="4" t="n">
        <v>121.9833316026266</v>
      </c>
      <c r="I39" s="4" t="n">
        <v>120.9750665762305</v>
      </c>
      <c r="J39" s="4" t="n">
        <v>119.9751354619362</v>
      </c>
      <c r="K39" s="4" t="n">
        <v>118.983469374987</v>
      </c>
      <c r="L39" s="4" t="n">
        <v>118</v>
      </c>
    </row>
    <row r="40">
      <c r="A40" t="inlineStr">
        <is>
          <t>PDN-META-042</t>
        </is>
      </c>
      <c r="B40" t="inlineStr">
        <is>
          <t>Desporto</t>
        </is>
      </c>
      <c r="C40" t="inlineStr">
        <is>
          <t>Desporto</t>
        </is>
      </c>
      <c r="D40" t="inlineStr">
        <is>
          <t>% da população envolvida na prática de desporto de recreação</t>
        </is>
      </c>
      <c r="E40" t="inlineStr">
        <is>
          <t>%</t>
        </is>
      </c>
      <c r="F40" t="inlineStr">
        <is>
          <t>Linear</t>
        </is>
      </c>
      <c r="G40" s="4" t="n">
        <v>36</v>
      </c>
      <c r="H40" s="4" t="n">
        <v>36.36</v>
      </c>
      <c r="I40" s="4" t="n">
        <v>36.72</v>
      </c>
      <c r="J40" s="4" t="n">
        <v>37.08</v>
      </c>
      <c r="K40" s="4" t="n">
        <v>37.44</v>
      </c>
      <c r="L40" s="4" t="n">
        <v>37.8</v>
      </c>
    </row>
    <row r="41">
      <c r="A41" t="inlineStr">
        <is>
          <t>PDN-META-043</t>
        </is>
      </c>
      <c r="B41" t="inlineStr">
        <is>
          <t>Desporto</t>
        </is>
      </c>
      <c r="C41" t="inlineStr">
        <is>
          <t>Desporto</t>
        </is>
      </c>
      <c r="D41" t="inlineStr">
        <is>
          <t>Número de medalhas olímpicas ganhas</t>
        </is>
      </c>
      <c r="E41" t="inlineStr">
        <is>
          <t>N.º</t>
        </is>
      </c>
      <c r="F41" t="inlineStr">
        <is>
          <t>Geométrica</t>
        </is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</row>
    <row r="42">
      <c r="A42" t="inlineStr">
        <is>
          <t>PDN-META-044</t>
        </is>
      </c>
      <c r="B42" t="inlineStr">
        <is>
          <t>Desporto</t>
        </is>
      </c>
      <c r="C42" t="inlineStr">
        <is>
          <t>Desporto</t>
        </is>
      </c>
      <c r="D42" t="inlineStr">
        <is>
          <t>Número de medalhas de Jogos Paralímpicos ganhas</t>
        </is>
      </c>
      <c r="E42" t="inlineStr">
        <is>
          <t>N.º, cumulativo</t>
        </is>
      </c>
      <c r="F42" t="inlineStr">
        <is>
          <t>Geométrica</t>
        </is>
      </c>
      <c r="G42" s="4" t="n">
        <v>8</v>
      </c>
      <c r="H42" s="4" t="n">
        <v>8.190690044316877</v>
      </c>
      <c r="I42" s="4" t="n">
        <v>8.38592542525895</v>
      </c>
      <c r="J42" s="4" t="n">
        <v>8.585814486631532</v>
      </c>
      <c r="K42" s="4" t="n">
        <v>8.790468154750565</v>
      </c>
      <c r="L42" s="4" t="n">
        <v>9</v>
      </c>
    </row>
    <row r="43">
      <c r="A43" t="inlineStr">
        <is>
          <t>PDN-META-045</t>
        </is>
      </c>
      <c r="B43" t="inlineStr">
        <is>
          <t>Desporto</t>
        </is>
      </c>
      <c r="C43" t="inlineStr">
        <is>
          <t>Desporto</t>
        </is>
      </c>
      <c r="D43" t="inlineStr">
        <is>
          <t>Classificação nos Jogos Africanos</t>
        </is>
      </c>
      <c r="E43" t="inlineStr">
        <is>
          <t>Posição no ranking</t>
        </is>
      </c>
      <c r="F43" t="inlineStr">
        <is>
          <t>Geométrica</t>
        </is>
      </c>
      <c r="G43" s="4" t="n">
        <v>16</v>
      </c>
      <c r="H43" s="4" t="n">
        <v>15.34916153300245</v>
      </c>
      <c r="I43" s="4" t="n">
        <v>14.72479748538763</v>
      </c>
      <c r="J43" s="4" t="n">
        <v>14.12583094649769</v>
      </c>
      <c r="K43" s="4" t="n">
        <v>13.55122881160487</v>
      </c>
      <c r="L43" s="4" t="n">
        <v>13</v>
      </c>
    </row>
    <row r="44">
      <c r="A44" t="inlineStr">
        <is>
          <t>PDN-META-046</t>
        </is>
      </c>
      <c r="B44" t="inlineStr">
        <is>
          <t>Desporto</t>
        </is>
      </c>
      <c r="C44" t="inlineStr">
        <is>
          <t>Desporto</t>
        </is>
      </c>
      <c r="D44" t="inlineStr">
        <is>
          <t>Classificação no ranking da SADC (Região 5)</t>
        </is>
      </c>
      <c r="E44" t="inlineStr">
        <is>
          <t>Posição no ranking</t>
        </is>
      </c>
      <c r="F44" t="inlineStr">
        <is>
          <t>Geométrica</t>
        </is>
      </c>
      <c r="G44" s="4" t="n">
        <v>2</v>
      </c>
      <c r="H44" s="4" t="n">
        <v>2</v>
      </c>
      <c r="I44" s="4" t="n">
        <v>2</v>
      </c>
      <c r="J44" s="4" t="n">
        <v>2</v>
      </c>
      <c r="K44" s="4" t="n">
        <v>2</v>
      </c>
      <c r="L44" s="4" t="n">
        <v>2</v>
      </c>
    </row>
    <row r="45">
      <c r="A45" t="inlineStr">
        <is>
          <t>PDN-META-047</t>
        </is>
      </c>
      <c r="B45" t="inlineStr">
        <is>
          <t>Desporto</t>
        </is>
      </c>
      <c r="C45" t="inlineStr">
        <is>
          <t>Desporto</t>
        </is>
      </c>
      <c r="D45" t="inlineStr">
        <is>
          <t>Classificação no ranking da CPLP</t>
        </is>
      </c>
      <c r="E45" t="inlineStr">
        <is>
          <t>Posição no ranking</t>
        </is>
      </c>
      <c r="F45" t="inlineStr">
        <is>
          <t>Geométrica</t>
        </is>
      </c>
      <c r="G45" s="4" t="n">
        <v>3</v>
      </c>
      <c r="H45" s="4" t="n">
        <v>3</v>
      </c>
      <c r="I45" s="4" t="n">
        <v>3</v>
      </c>
      <c r="J45" s="4" t="n">
        <v>3</v>
      </c>
      <c r="K45" s="4" t="n">
        <v>3</v>
      </c>
      <c r="L45" s="4" t="n">
        <v>3</v>
      </c>
    </row>
    <row r="46">
      <c r="A46" t="inlineStr">
        <is>
          <t>PDN-META-048</t>
        </is>
      </c>
      <c r="B46" t="inlineStr">
        <is>
          <t>Desporto</t>
        </is>
      </c>
      <c r="C46" t="inlineStr">
        <is>
          <t>Desporto</t>
        </is>
      </c>
      <c r="D46" t="inlineStr">
        <is>
          <t>Número de monitores desportivos</t>
        </is>
      </c>
      <c r="E46" t="inlineStr">
        <is>
          <t>N.º, anual</t>
        </is>
      </c>
      <c r="F46" t="inlineStr">
        <is>
          <t>Geométrica</t>
        </is>
      </c>
      <c r="G46" s="5" t="n">
        <v>7067</v>
      </c>
      <c r="H46" s="5" t="n">
        <v>7383.879615666022</v>
      </c>
      <c r="I46" s="5" t="n">
        <v>7714.967904152852</v>
      </c>
      <c r="J46" s="5" t="n">
        <v>8060.901972971821</v>
      </c>
      <c r="K46" s="5" t="n">
        <v>8422.347497114566</v>
      </c>
      <c r="L46" s="5" t="n">
        <v>8800</v>
      </c>
    </row>
    <row r="47">
      <c r="A47" t="inlineStr">
        <is>
          <t>PDN-META-049</t>
        </is>
      </c>
      <c r="B47" t="inlineStr">
        <is>
          <t>Desporto</t>
        </is>
      </c>
      <c r="C47" t="inlineStr">
        <is>
          <t>Desporto</t>
        </is>
      </c>
      <c r="D47" t="inlineStr">
        <is>
          <t>Número de atletas federados</t>
        </is>
      </c>
      <c r="E47" t="inlineStr">
        <is>
          <t>N.º, anual</t>
        </is>
      </c>
      <c r="F47" t="inlineStr">
        <is>
          <t>Geométrica</t>
        </is>
      </c>
      <c r="G47" s="5" t="n">
        <v>63091</v>
      </c>
      <c r="H47" s="5" t="n">
        <v>64323.68104547937</v>
      </c>
      <c r="I47" s="5" t="n">
        <v>65580.4463907778</v>
      </c>
      <c r="J47" s="5" t="n">
        <v>66861.76659841421</v>
      </c>
      <c r="K47" s="5" t="n">
        <v>68168.12142482575</v>
      </c>
      <c r="L47" s="5" t="n">
        <v>69500</v>
      </c>
    </row>
    <row r="48">
      <c r="A48" t="inlineStr">
        <is>
          <t>PDN-META-050</t>
        </is>
      </c>
      <c r="B48" t="inlineStr">
        <is>
          <t>Desporto</t>
        </is>
      </c>
      <c r="C48" t="inlineStr">
        <is>
          <t>Desporto</t>
        </is>
      </c>
      <c r="D48" t="inlineStr">
        <is>
          <t>% de atletas federados do sexo feminino</t>
        </is>
      </c>
      <c r="E48" t="inlineStr">
        <is>
          <t>%</t>
        </is>
      </c>
      <c r="F48" t="inlineStr">
        <is>
          <t>Linear</t>
        </is>
      </c>
      <c r="G48" s="4" t="n">
        <v>20</v>
      </c>
      <c r="H48" s="4" t="n">
        <v>21.6</v>
      </c>
      <c r="I48" s="4" t="n">
        <v>23.2</v>
      </c>
      <c r="J48" s="4" t="n">
        <v>24.8</v>
      </c>
      <c r="K48" s="4" t="n">
        <v>26.4</v>
      </c>
      <c r="L48" s="4" t="n">
        <v>28</v>
      </c>
    </row>
    <row r="49">
      <c r="A49" t="inlineStr">
        <is>
          <t>PDN-META-051</t>
        </is>
      </c>
      <c r="B49" t="inlineStr">
        <is>
          <t>População e Promoção das Comunidades Vulneráveis</t>
        </is>
      </c>
      <c r="C49" t="inlineStr">
        <is>
          <t>Protecção Social</t>
        </is>
      </c>
      <c r="D49" t="inlineStr">
        <is>
          <t>% da população que vive abaixo do limiar de pobreza (&lt;2,15 USD/dia)</t>
        </is>
      </c>
      <c r="E49" t="inlineStr">
        <is>
          <t>%</t>
        </is>
      </c>
      <c r="F49" t="inlineStr">
        <is>
          <t>Linear</t>
        </is>
      </c>
      <c r="G49" s="4" t="n">
        <v>31</v>
      </c>
      <c r="H49" s="4" t="n">
        <v>30.4</v>
      </c>
      <c r="I49" s="4" t="n">
        <v>29.8</v>
      </c>
      <c r="J49" s="4" t="n">
        <v>29.2</v>
      </c>
      <c r="K49" s="4" t="n">
        <v>28.6</v>
      </c>
      <c r="L49" s="4" t="n">
        <v>28</v>
      </c>
    </row>
    <row r="50">
      <c r="A50" t="inlineStr">
        <is>
          <t>PDN-META-052</t>
        </is>
      </c>
      <c r="B50" t="inlineStr">
        <is>
          <t>População e Promoção das Comunidades Vulneráveis</t>
        </is>
      </c>
      <c r="C50" t="inlineStr">
        <is>
          <t>Protecção Social</t>
        </is>
      </c>
      <c r="D50" t="inlineStr">
        <is>
          <t>Volume de investimento em assistência social</t>
        </is>
      </c>
      <c r="E50" t="inlineStr">
        <is>
          <t>Biliões de Kz, anual</t>
        </is>
      </c>
      <c r="F50" t="inlineStr">
        <is>
          <t>Geométrica</t>
        </is>
      </c>
      <c r="G50" s="4" t="n">
        <v>0.16</v>
      </c>
      <c r="H50" s="4" t="n">
        <v>0.1849263398984023</v>
      </c>
      <c r="I50" s="4" t="n">
        <v>0.2137359449263715</v>
      </c>
      <c r="J50" s="4" t="n">
        <v>0.2470337874997523</v>
      </c>
      <c r="K50" s="4" t="n">
        <v>0.2855190884598055</v>
      </c>
      <c r="L50" s="4" t="n">
        <v>0.33</v>
      </c>
    </row>
    <row r="51">
      <c r="A51" t="inlineStr">
        <is>
          <t>PDN-META-053</t>
        </is>
      </c>
      <c r="B51" t="inlineStr">
        <is>
          <t>População e Promoção das Comunidades Vulneráveis</t>
        </is>
      </c>
      <c r="C51" t="inlineStr">
        <is>
          <t>Protecção Social</t>
        </is>
      </c>
      <c r="D51" t="inlineStr">
        <is>
          <t>Número de segurados registados na protecção social obrigatória</t>
        </is>
      </c>
      <c r="E51" t="inlineStr">
        <is>
          <t>Milhões, anual</t>
        </is>
      </c>
      <c r="F51" t="inlineStr">
        <is>
          <t>Geométrica</t>
        </is>
      </c>
      <c r="G51" s="4" t="n">
        <v>2.5</v>
      </c>
      <c r="H51" s="4" t="n">
        <v>2.786414349912169</v>
      </c>
      <c r="I51" s="4" t="n">
        <v>3.105641971758582</v>
      </c>
      <c r="J51" s="4" t="n">
        <v>3.461442142319054</v>
      </c>
      <c r="K51" s="4" t="n">
        <v>3.858004822699414</v>
      </c>
      <c r="L51" s="4" t="n">
        <v>4.3</v>
      </c>
    </row>
    <row r="52">
      <c r="A52" t="inlineStr">
        <is>
          <t>PDN-META-054</t>
        </is>
      </c>
      <c r="B52" t="inlineStr">
        <is>
          <t>População e Promoção das Comunidades Vulneráveis</t>
        </is>
      </c>
      <c r="C52" t="inlineStr">
        <is>
          <t>Protecção Social</t>
        </is>
      </c>
      <c r="D52" t="inlineStr">
        <is>
          <t>% de excedente do sistema de segurança social</t>
        </is>
      </c>
      <c r="E52" t="inlineStr">
        <is>
          <t>%</t>
        </is>
      </c>
      <c r="F52" t="inlineStr">
        <is>
          <t>Linear</t>
        </is>
      </c>
      <c r="G52" s="4" t="n">
        <v>0.25</v>
      </c>
      <c r="H52" s="4" t="n">
        <v>0.252</v>
      </c>
      <c r="I52" s="4" t="n">
        <v>0.254</v>
      </c>
      <c r="J52" s="4" t="n">
        <v>0.256</v>
      </c>
      <c r="K52" s="4" t="n">
        <v>0.258</v>
      </c>
      <c r="L52" s="4" t="n">
        <v>0.26</v>
      </c>
    </row>
    <row r="53">
      <c r="A53" t="inlineStr">
        <is>
          <t>PDN-META-055</t>
        </is>
      </c>
      <c r="B53" t="inlineStr">
        <is>
          <t>População e Promoção das Comunidades Vulneráveis</t>
        </is>
      </c>
      <c r="C53" t="inlineStr">
        <is>
          <t>Idosos</t>
        </is>
      </c>
      <c r="D53" t="inlineStr">
        <is>
          <t>Número de instalações públicas de cuidados a terceira idade construídas e reabilitadas</t>
        </is>
      </c>
      <c r="E53" t="inlineStr">
        <is>
          <t>N.º, cumulativo</t>
        </is>
      </c>
      <c r="F53" t="inlineStr">
        <is>
          <t>Geométrica</t>
        </is>
      </c>
      <c r="G53" s="4" t="n">
        <v>11</v>
      </c>
      <c r="H53" s="4" t="n">
        <v>11.19310034893146</v>
      </c>
      <c r="I53" s="4" t="n">
        <v>11.38959049284088</v>
      </c>
      <c r="J53" s="4" t="n">
        <v>11.58952993814579</v>
      </c>
      <c r="K53" s="4" t="n">
        <v>11.79297923587375</v>
      </c>
      <c r="L53" s="4" t="n">
        <v>12</v>
      </c>
    </row>
    <row r="54">
      <c r="A54" t="inlineStr">
        <is>
          <t>PDN-META-056</t>
        </is>
      </c>
      <c r="B54" t="inlineStr">
        <is>
          <t>Energética</t>
        </is>
      </c>
      <c r="C54" t="inlineStr">
        <is>
          <t>Energia</t>
        </is>
      </c>
      <c r="D54" t="inlineStr">
        <is>
          <t>Taxa de electrificação (on-grid)</t>
        </is>
      </c>
      <c r="E54" t="inlineStr">
        <is>
          <t>%</t>
        </is>
      </c>
      <c r="F54" t="inlineStr">
        <is>
          <t>Linear</t>
        </is>
      </c>
      <c r="G54" s="4" t="n">
        <v>43</v>
      </c>
      <c r="H54" s="4" t="n">
        <v>44.2</v>
      </c>
      <c r="I54" s="4" t="n">
        <v>45.4</v>
      </c>
      <c r="J54" s="4" t="n">
        <v>46.6</v>
      </c>
      <c r="K54" s="4" t="n">
        <v>47.8</v>
      </c>
      <c r="L54" s="4" t="n">
        <v>49</v>
      </c>
    </row>
    <row r="55">
      <c r="A55" t="inlineStr">
        <is>
          <t>PDN-META-057</t>
        </is>
      </c>
      <c r="B55" t="inlineStr">
        <is>
          <t>Energética</t>
        </is>
      </c>
      <c r="C55" t="inlineStr">
        <is>
          <t>Energia</t>
        </is>
      </c>
      <c r="D55" t="inlineStr">
        <is>
          <t>Capacidade instalada de energia eléctrica</t>
        </is>
      </c>
      <c r="E55" t="inlineStr">
        <is>
          <t>GW</t>
        </is>
      </c>
      <c r="F55" t="inlineStr">
        <is>
          <t>Geométrica</t>
        </is>
      </c>
      <c r="G55" s="4" t="n">
        <v>6</v>
      </c>
      <c r="H55" s="4" t="n">
        <v>6.64539805948974</v>
      </c>
      <c r="I55" s="4" t="n">
        <v>7.360219228178333</v>
      </c>
      <c r="J55" s="4" t="n">
        <v>8.151931096059227</v>
      </c>
      <c r="K55" s="4" t="n">
        <v>9.028804514474343</v>
      </c>
      <c r="L55" s="4" t="n">
        <v>10</v>
      </c>
    </row>
    <row r="56">
      <c r="A56" t="inlineStr">
        <is>
          <t>PDN-META-058</t>
        </is>
      </c>
      <c r="B56" t="inlineStr">
        <is>
          <t>Energética</t>
        </is>
      </c>
      <c r="C56" t="inlineStr">
        <is>
          <t>Energia</t>
        </is>
      </c>
      <c r="D56" t="inlineStr">
        <is>
          <t>Produção de energias renováveis</t>
        </is>
      </c>
      <c r="E56" t="inlineStr">
        <is>
          <t>% da capacidade instalada</t>
        </is>
      </c>
      <c r="F56" t="inlineStr">
        <is>
          <t>Linear</t>
        </is>
      </c>
      <c r="G56" s="4" t="n">
        <v>64</v>
      </c>
      <c r="H56" s="4" t="n">
        <v>65.8</v>
      </c>
      <c r="I56" s="4" t="n">
        <v>67.59999999999999</v>
      </c>
      <c r="J56" s="4" t="n">
        <v>69.40000000000001</v>
      </c>
      <c r="K56" s="4" t="n">
        <v>71.2</v>
      </c>
      <c r="L56" s="4" t="n">
        <v>73</v>
      </c>
    </row>
    <row r="57">
      <c r="A57" t="inlineStr">
        <is>
          <t>PDN-META-059</t>
        </is>
      </c>
      <c r="B57" t="inlineStr">
        <is>
          <t>Energética</t>
        </is>
      </c>
      <c r="C57" t="inlineStr">
        <is>
          <t>Petróleo e Gás</t>
        </is>
      </c>
      <c r="D57" t="inlineStr">
        <is>
          <t>Contribuição do petróleo e do gás para o PIB</t>
        </is>
      </c>
      <c r="E57" t="inlineStr">
        <is>
          <t>Biliões de Kz, anual</t>
        </is>
      </c>
      <c r="F57" t="inlineStr">
        <is>
          <t>Geométrica</t>
        </is>
      </c>
      <c r="G57" s="4" t="n">
        <v>15.4</v>
      </c>
      <c r="H57" s="4" t="n">
        <v>15.06580680336394</v>
      </c>
      <c r="I57" s="4" t="n">
        <v>14.73886588547319</v>
      </c>
      <c r="J57" s="4" t="n">
        <v>14.41901986566432</v>
      </c>
      <c r="K57" s="4" t="n">
        <v>14.10611477856917</v>
      </c>
      <c r="L57" s="4" t="n">
        <v>13.8</v>
      </c>
    </row>
    <row r="58">
      <c r="A58" t="inlineStr">
        <is>
          <t>PDN-META-060</t>
        </is>
      </c>
      <c r="B58" t="inlineStr">
        <is>
          <t>Energética</t>
        </is>
      </c>
      <c r="C58" t="inlineStr">
        <is>
          <t>Petróleo e Gás</t>
        </is>
      </c>
      <c r="D58" t="inlineStr">
        <is>
          <t>Contribuição do petróleo e do gás para o PIB</t>
        </is>
      </c>
      <c r="E58" t="inlineStr">
        <is>
          <t>% do PIB</t>
        </is>
      </c>
      <c r="F58" t="inlineStr">
        <is>
          <t>Linear</t>
        </is>
      </c>
      <c r="G58" s="4" t="n">
        <v>29</v>
      </c>
      <c r="H58" s="4" t="n">
        <v>27.6</v>
      </c>
      <c r="I58" s="4" t="n">
        <v>26.2</v>
      </c>
      <c r="J58" s="4" t="n">
        <v>24.8</v>
      </c>
      <c r="K58" s="4" t="n">
        <v>23.4</v>
      </c>
      <c r="L58" s="4" t="n">
        <v>22</v>
      </c>
    </row>
    <row r="59">
      <c r="A59" t="inlineStr">
        <is>
          <t>PDN-META-061</t>
        </is>
      </c>
      <c r="B59" t="inlineStr">
        <is>
          <t>Energética</t>
        </is>
      </c>
      <c r="C59" t="inlineStr">
        <is>
          <t>Petróleo e Gás</t>
        </is>
      </c>
      <c r="D59" t="inlineStr">
        <is>
          <t>Contribuição do sector do petróleo para o PIB</t>
        </is>
      </c>
      <c r="E59" t="inlineStr">
        <is>
          <t>Biliões de Kz, anual</t>
        </is>
      </c>
      <c r="F59" t="inlineStr">
        <is>
          <t>Geométrica</t>
        </is>
      </c>
      <c r="G59" s="4" t="n">
        <v>13.2</v>
      </c>
      <c r="H59" s="4" t="n">
        <v>12.81858581741692</v>
      </c>
      <c r="I59" s="4" t="n">
        <v>12.44819260291532</v>
      </c>
      <c r="J59" s="4" t="n">
        <v>12.08850190547004</v>
      </c>
      <c r="K59" s="4" t="n">
        <v>11.73920447570271</v>
      </c>
      <c r="L59" s="4" t="n">
        <v>11.4</v>
      </c>
    </row>
    <row r="60">
      <c r="A60" t="inlineStr">
        <is>
          <t>PDN-META-062</t>
        </is>
      </c>
      <c r="B60" t="inlineStr">
        <is>
          <t>Energética</t>
        </is>
      </c>
      <c r="C60" t="inlineStr">
        <is>
          <t>Petróleo e Gás</t>
        </is>
      </c>
      <c r="D60" t="inlineStr">
        <is>
          <t>Contribuição do sector do petróleo para o PIB</t>
        </is>
      </c>
      <c r="E60" t="inlineStr">
        <is>
          <t>% do PIB</t>
        </is>
      </c>
      <c r="F60" t="inlineStr">
        <is>
          <t>Linear</t>
        </is>
      </c>
      <c r="G60" s="4" t="n">
        <v>27</v>
      </c>
      <c r="H60" s="4" t="n">
        <v>25.8</v>
      </c>
      <c r="I60" s="4" t="n">
        <v>24.6</v>
      </c>
      <c r="J60" s="4" t="n">
        <v>23.4</v>
      </c>
      <c r="K60" s="4" t="n">
        <v>22.2</v>
      </c>
      <c r="L60" s="4" t="n">
        <v>21</v>
      </c>
    </row>
    <row r="61">
      <c r="A61" t="inlineStr">
        <is>
          <t>PDN-META-063</t>
        </is>
      </c>
      <c r="B61" t="inlineStr">
        <is>
          <t>Energética</t>
        </is>
      </c>
      <c r="C61" t="inlineStr">
        <is>
          <t>Petróleo e Gás</t>
        </is>
      </c>
      <c r="D61" t="inlineStr">
        <is>
          <t>Contribuição do sector do gás para o PIB</t>
        </is>
      </c>
      <c r="E61" t="inlineStr">
        <is>
          <t>Biliões de Kz, anual</t>
        </is>
      </c>
      <c r="F61" t="inlineStr">
        <is>
          <t>Geométrica</t>
        </is>
      </c>
      <c r="G61" s="4" t="n">
        <v>0.9</v>
      </c>
      <c r="H61" s="4" t="n">
        <v>0.9831496177263357</v>
      </c>
      <c r="I61" s="4" t="n">
        <v>1.073981300928267</v>
      </c>
      <c r="J61" s="4" t="n">
        <v>1.173204783836509</v>
      </c>
      <c r="K61" s="4" t="n">
        <v>1.281595371937303</v>
      </c>
      <c r="L61" s="4" t="n">
        <v>1.4</v>
      </c>
    </row>
    <row r="62">
      <c r="A62" t="inlineStr">
        <is>
          <t>PDN-META-064</t>
        </is>
      </c>
      <c r="B62" t="inlineStr">
        <is>
          <t>Energética</t>
        </is>
      </c>
      <c r="C62" t="inlineStr">
        <is>
          <t>Petróleo e Gás</t>
        </is>
      </c>
      <c r="D62" t="inlineStr">
        <is>
          <t>Contribuição do sector do gás para o PIB</t>
        </is>
      </c>
      <c r="E62" t="inlineStr">
        <is>
          <t>% do PIB</t>
        </is>
      </c>
      <c r="F62" t="inlineStr">
        <is>
          <t>Linear</t>
        </is>
      </c>
      <c r="G62" s="4" t="n">
        <v>2</v>
      </c>
      <c r="H62" s="4" t="n">
        <v>1.8</v>
      </c>
      <c r="I62" s="4" t="n">
        <v>1.6</v>
      </c>
      <c r="J62" s="4" t="n">
        <v>1.4</v>
      </c>
      <c r="K62" s="4" t="n">
        <v>1.2</v>
      </c>
      <c r="L62" s="4" t="n">
        <v>1</v>
      </c>
    </row>
    <row r="63">
      <c r="A63" t="inlineStr">
        <is>
          <t>PDN-META-065</t>
        </is>
      </c>
      <c r="B63" t="inlineStr">
        <is>
          <t>Comunicações e Aceleração Digital</t>
        </is>
      </c>
      <c r="C63" t="inlineStr">
        <is>
          <t>Comunicações</t>
        </is>
      </c>
      <c r="D63" t="inlineStr">
        <is>
          <t>Contribuição do sector das comunicações e tecnologias de informação para o PIB</t>
        </is>
      </c>
      <c r="E63" t="inlineStr">
        <is>
          <t>Biliões de Kz, anual</t>
        </is>
      </c>
      <c r="F63" t="inlineStr">
        <is>
          <t>Geométrica</t>
        </is>
      </c>
      <c r="G63" s="4" t="n">
        <v>0.31</v>
      </c>
      <c r="H63" s="4" t="n">
        <v>0.3411012853501745</v>
      </c>
      <c r="I63" s="4" t="n">
        <v>0.375322860863036</v>
      </c>
      <c r="J63" s="4" t="n">
        <v>0.4129777750376977</v>
      </c>
      <c r="K63" s="4" t="n">
        <v>0.454410483504561</v>
      </c>
      <c r="L63" s="4" t="n">
        <v>0.5</v>
      </c>
    </row>
    <row r="64">
      <c r="A64" t="inlineStr">
        <is>
          <t>PDN-META-066</t>
        </is>
      </c>
      <c r="B64" t="inlineStr">
        <is>
          <t>Comunicações e Aceleração Digital</t>
        </is>
      </c>
      <c r="C64" t="inlineStr">
        <is>
          <t>Comunicações</t>
        </is>
      </c>
      <c r="D64" t="inlineStr">
        <is>
          <t>Contribuição do sector das comunicações e tecnologias de informação para o PIB</t>
        </is>
      </c>
      <c r="E64" t="inlineStr">
        <is>
          <t>% do PIB</t>
        </is>
      </c>
      <c r="F64" t="inlineStr">
        <is>
          <t>Linear</t>
        </is>
      </c>
      <c r="G64" s="4" t="n">
        <v>0.6</v>
      </c>
      <c r="H64" s="4" t="n">
        <v>0.64</v>
      </c>
      <c r="I64" s="4" t="n">
        <v>0.68</v>
      </c>
      <c r="J64" s="4" t="n">
        <v>0.72</v>
      </c>
      <c r="K64" s="4" t="n">
        <v>0.76</v>
      </c>
      <c r="L64" s="4" t="n">
        <v>0.8</v>
      </c>
    </row>
    <row r="65">
      <c r="A65" t="inlineStr">
        <is>
          <t>PDN-META-067</t>
        </is>
      </c>
      <c r="B65" t="inlineStr">
        <is>
          <t>Comunicações e Aceleração Digital</t>
        </is>
      </c>
      <c r="C65" t="inlineStr">
        <is>
          <t>Comunicações</t>
        </is>
      </c>
      <c r="D65" t="inlineStr">
        <is>
          <t>Cobertura de rede 3G</t>
        </is>
      </c>
      <c r="E65" t="inlineStr">
        <is>
          <t>% da população</t>
        </is>
      </c>
      <c r="F65" t="inlineStr">
        <is>
          <t>Linear</t>
        </is>
      </c>
      <c r="G65" s="4" t="n">
        <v>76</v>
      </c>
      <c r="H65" s="4" t="n">
        <v>79.40000000000001</v>
      </c>
      <c r="I65" s="4" t="n">
        <v>82.8</v>
      </c>
      <c r="J65" s="4" t="n">
        <v>86.2</v>
      </c>
      <c r="K65" s="4" t="n">
        <v>89.59999999999999</v>
      </c>
      <c r="L65" s="4" t="n">
        <v>93</v>
      </c>
    </row>
    <row r="66">
      <c r="A66" t="inlineStr">
        <is>
          <t>PDN-META-068</t>
        </is>
      </c>
      <c r="B66" t="inlineStr">
        <is>
          <t>Comunicações e Aceleração Digital</t>
        </is>
      </c>
      <c r="C66" t="inlineStr">
        <is>
          <t>Comunicações</t>
        </is>
      </c>
      <c r="D66" t="inlineStr">
        <is>
          <t>Cobertura de rede 4G</t>
        </is>
      </c>
      <c r="E66" t="inlineStr">
        <is>
          <t>% da população</t>
        </is>
      </c>
      <c r="F66" t="inlineStr">
        <is>
          <t>Linear</t>
        </is>
      </c>
      <c r="G66" s="4" t="n">
        <v>23</v>
      </c>
      <c r="H66" s="4" t="n">
        <v>24.8</v>
      </c>
      <c r="I66" s="4" t="n">
        <v>26.6</v>
      </c>
      <c r="J66" s="4" t="n">
        <v>28.4</v>
      </c>
      <c r="K66" s="4" t="n">
        <v>30.2</v>
      </c>
      <c r="L66" s="4" t="n">
        <v>32</v>
      </c>
    </row>
    <row r="67">
      <c r="A67" t="inlineStr">
        <is>
          <t>PDN-META-069</t>
        </is>
      </c>
      <c r="B67" t="inlineStr">
        <is>
          <t>Comunicações e Aceleração Digital</t>
        </is>
      </c>
      <c r="C67" t="inlineStr">
        <is>
          <t>Comunicações</t>
        </is>
      </c>
      <c r="D67" t="inlineStr">
        <is>
          <t>Cobertura de rede 5G</t>
        </is>
      </c>
      <c r="E67" t="inlineStr">
        <is>
          <t>% da população</t>
        </is>
      </c>
      <c r="F67" t="inlineStr">
        <is>
          <t>Linear</t>
        </is>
      </c>
      <c r="G67" s="4" t="n">
        <v>0</v>
      </c>
      <c r="H67" s="4" t="n">
        <v>4.2</v>
      </c>
      <c r="I67" s="4" t="n">
        <v>8.4</v>
      </c>
      <c r="J67" s="4" t="n">
        <v>12.6</v>
      </c>
      <c r="K67" s="4" t="n">
        <v>16.8</v>
      </c>
      <c r="L67" s="4" t="n">
        <v>21</v>
      </c>
    </row>
    <row r="68">
      <c r="A68" t="inlineStr">
        <is>
          <t>PDN-META-070</t>
        </is>
      </c>
      <c r="B68" t="inlineStr">
        <is>
          <t>Transportes e Logística</t>
        </is>
      </c>
      <c r="C68" t="inlineStr">
        <is>
          <t>Transportes</t>
        </is>
      </c>
      <c r="D68" t="inlineStr">
        <is>
          <t>Contribuição do sector dos transportes para o PIB</t>
        </is>
      </c>
      <c r="E68" t="inlineStr">
        <is>
          <t>Biliões de Kz, anual</t>
        </is>
      </c>
      <c r="F68" t="inlineStr">
        <is>
          <t>Geométrica</t>
        </is>
      </c>
      <c r="G68" s="4" t="n">
        <v>0.85</v>
      </c>
      <c r="H68" s="4" t="n">
        <v>0.8966020682141961</v>
      </c>
      <c r="I68" s="4" t="n">
        <v>0.9457591396776164</v>
      </c>
      <c r="J68" s="4" t="n">
        <v>0.9976112949028584</v>
      </c>
      <c r="K68" s="4" t="n">
        <v>1.052306294451465</v>
      </c>
      <c r="L68" s="4" t="n">
        <v>1.11</v>
      </c>
    </row>
    <row r="69">
      <c r="A69" t="inlineStr">
        <is>
          <t>PDN-META-071</t>
        </is>
      </c>
      <c r="B69" t="inlineStr">
        <is>
          <t>Transportes e Logística</t>
        </is>
      </c>
      <c r="C69" t="inlineStr">
        <is>
          <t>Transportes</t>
        </is>
      </c>
      <c r="D69" t="inlineStr">
        <is>
          <t>Subsector da aviação civil — número de passageiros</t>
        </is>
      </c>
      <c r="E69" t="inlineStr">
        <is>
          <t>Milhões, anual</t>
        </is>
      </c>
      <c r="F69" t="inlineStr">
        <is>
          <t>Geométrica</t>
        </is>
      </c>
      <c r="G69" s="4" t="n">
        <v>2.2</v>
      </c>
      <c r="H69" s="4" t="n">
        <v>2.571499191626863</v>
      </c>
      <c r="I69" s="4" t="n">
        <v>3.005730951153457</v>
      </c>
      <c r="J69" s="4" t="n">
        <v>3.513288505063161</v>
      </c>
      <c r="K69" s="4" t="n">
        <v>4.106553886691756</v>
      </c>
      <c r="L69" s="4" t="n">
        <v>4.8</v>
      </c>
    </row>
    <row r="70">
      <c r="A70" t="inlineStr">
        <is>
          <t>PDN-META-072</t>
        </is>
      </c>
      <c r="B70" t="inlineStr">
        <is>
          <t>Transportes e Logística</t>
        </is>
      </c>
      <c r="C70" t="inlineStr">
        <is>
          <t>Transportes</t>
        </is>
      </c>
      <c r="D70" t="inlineStr">
        <is>
          <t>Subsector ferroviário — toneladas transportadas</t>
        </is>
      </c>
      <c r="E70" t="inlineStr">
        <is>
          <t>Milhões de toneladas, anual</t>
        </is>
      </c>
      <c r="F70" t="inlineStr">
        <is>
          <t>Geométrica</t>
        </is>
      </c>
      <c r="G70" s="4" t="n">
        <v>0.5</v>
      </c>
      <c r="H70" s="4" t="n">
        <v>0.7292539521671096</v>
      </c>
      <c r="I70" s="4" t="n">
        <v>1.063622653502698</v>
      </c>
      <c r="J70" s="4" t="n">
        <v>1.551302047362622</v>
      </c>
      <c r="K70" s="4" t="n">
        <v>2.262586298088241</v>
      </c>
      <c r="L70" s="4" t="n">
        <v>3.3</v>
      </c>
    </row>
    <row r="71">
      <c r="A71" t="inlineStr">
        <is>
          <t>PDN-META-073</t>
        </is>
      </c>
      <c r="B71" t="inlineStr">
        <is>
          <t>Transportes e Logística</t>
        </is>
      </c>
      <c r="C71" t="inlineStr">
        <is>
          <t>Transportes</t>
        </is>
      </c>
      <c r="D71" t="inlineStr">
        <is>
          <t>Subsector marítimo e portuário — toneladas de carga processadas nos portos</t>
        </is>
      </c>
      <c r="E71" t="inlineStr">
        <is>
          <t>Milhões de toneladas, anual</t>
        </is>
      </c>
      <c r="F71" t="inlineStr">
        <is>
          <t>Geométrica</t>
        </is>
      </c>
      <c r="G71" s="4" t="n">
        <v>17.4</v>
      </c>
      <c r="H71" s="4" t="n">
        <v>19.37682653710147</v>
      </c>
      <c r="I71" s="4" t="n">
        <v>21.57824176143218</v>
      </c>
      <c r="J71" s="4" t="n">
        <v>24.02976135556955</v>
      </c>
      <c r="K71" s="4" t="n">
        <v>26.75979985717331</v>
      </c>
      <c r="L71" s="4" t="n">
        <v>29.8</v>
      </c>
    </row>
    <row r="72">
      <c r="A72" t="inlineStr">
        <is>
          <t>PDN-META-074</t>
        </is>
      </c>
      <c r="B72" t="inlineStr">
        <is>
          <t>Águas e Saneamento</t>
        </is>
      </c>
      <c r="C72" t="inlineStr">
        <is>
          <t>Água</t>
        </is>
      </c>
      <c r="D72" t="inlineStr">
        <is>
          <t>Abastecimento de água para responder às necessidades da população e economia angolanas</t>
        </is>
      </c>
      <c r="E72" t="inlineStr">
        <is>
          <t>hm³</t>
        </is>
      </c>
      <c r="F72" t="inlineStr">
        <is>
          <t>Geométrica</t>
        </is>
      </c>
      <c r="G72" s="5" t="n">
        <v>1344</v>
      </c>
      <c r="H72" s="5" t="n">
        <v>1517.831749316839</v>
      </c>
      <c r="I72" s="5" t="n">
        <v>1714.14674050165</v>
      </c>
      <c r="J72" s="5" t="n">
        <v>1935.852935804597</v>
      </c>
      <c r="K72" s="5" t="n">
        <v>2186.234410693773</v>
      </c>
      <c r="L72" s="5" t="n">
        <v>2469</v>
      </c>
    </row>
    <row r="73">
      <c r="A73" t="inlineStr">
        <is>
          <t>PDN-META-075</t>
        </is>
      </c>
      <c r="B73" t="inlineStr">
        <is>
          <t>Águas e Saneamento</t>
        </is>
      </c>
      <c r="C73" t="inlineStr">
        <is>
          <t>Água</t>
        </is>
      </c>
      <c r="D73" t="inlineStr">
        <is>
          <t>Capacidade de armazenamento de água</t>
        </is>
      </c>
      <c r="E73" t="inlineStr">
        <is>
          <t>m³ per capita</t>
        </is>
      </c>
      <c r="F73" t="inlineStr">
        <is>
          <t>Linear</t>
        </is>
      </c>
      <c r="G73" s="4" t="n">
        <v>317</v>
      </c>
      <c r="H73" s="4" t="n">
        <v>323.6</v>
      </c>
      <c r="I73" s="4" t="n">
        <v>330.2</v>
      </c>
      <c r="J73" s="4" t="n">
        <v>336.8</v>
      </c>
      <c r="K73" s="4" t="n">
        <v>343.4</v>
      </c>
      <c r="L73" s="4" t="n">
        <v>350</v>
      </c>
    </row>
    <row r="74">
      <c r="A74" t="inlineStr">
        <is>
          <t>PDN-META-076</t>
        </is>
      </c>
      <c r="B74" t="inlineStr">
        <is>
          <t>Águas e Saneamento</t>
        </is>
      </c>
      <c r="C74" t="inlineStr">
        <is>
          <t>Água</t>
        </is>
      </c>
      <c r="D74" t="inlineStr">
        <is>
          <t>% da população que utiliza serviços básicos de água potável</t>
        </is>
      </c>
      <c r="E74" t="inlineStr">
        <is>
          <t>%</t>
        </is>
      </c>
      <c r="F74" t="inlineStr">
        <is>
          <t>Linear</t>
        </is>
      </c>
      <c r="G74" s="4" t="n">
        <v>57</v>
      </c>
      <c r="H74" s="4" t="n">
        <v>57.8</v>
      </c>
      <c r="I74" s="4" t="n">
        <v>58.6</v>
      </c>
      <c r="J74" s="4" t="n">
        <v>59.4</v>
      </c>
      <c r="K74" s="4" t="n">
        <v>60.2</v>
      </c>
      <c r="L74" s="4" t="n">
        <v>61</v>
      </c>
    </row>
    <row r="75">
      <c r="A75" t="inlineStr">
        <is>
          <t>PDN-META-077</t>
        </is>
      </c>
      <c r="B75" t="inlineStr">
        <is>
          <t>Águas e Saneamento</t>
        </is>
      </c>
      <c r="C75" t="inlineStr">
        <is>
          <t>Água</t>
        </is>
      </c>
      <c r="D75" t="inlineStr">
        <is>
          <t>% da população que utiliza serviços básicos de saneamento</t>
        </is>
      </c>
      <c r="E75" t="inlineStr">
        <is>
          <t>%</t>
        </is>
      </c>
      <c r="F75" t="inlineStr">
        <is>
          <t>Linear</t>
        </is>
      </c>
      <c r="G75" s="4" t="n">
        <v>52</v>
      </c>
      <c r="H75" s="4" t="n">
        <v>52.6</v>
      </c>
      <c r="I75" s="4" t="n">
        <v>53.2</v>
      </c>
      <c r="J75" s="4" t="n">
        <v>53.8</v>
      </c>
      <c r="K75" s="4" t="n">
        <v>54.4</v>
      </c>
      <c r="L75" s="4" t="n">
        <v>55</v>
      </c>
    </row>
    <row r="76">
      <c r="A76" t="inlineStr">
        <is>
          <t>PDN-META-078</t>
        </is>
      </c>
      <c r="B76" t="inlineStr">
        <is>
          <t>Águas e Saneamento</t>
        </is>
      </c>
      <c r="C76" t="inlineStr">
        <is>
          <t>Água</t>
        </is>
      </c>
      <c r="D76" t="inlineStr">
        <is>
          <t>Densidade das estações hidrométricas</t>
        </is>
      </c>
      <c r="E76" t="inlineStr">
        <is>
          <t>km²/estação</t>
        </is>
      </c>
      <c r="F76" t="inlineStr">
        <is>
          <t>Geométrica</t>
        </is>
      </c>
      <c r="G76" s="5" t="n">
        <v>21500</v>
      </c>
      <c r="H76" s="5" t="n">
        <v>19591.55818503917</v>
      </c>
      <c r="I76" s="5" t="n">
        <v>17852.51870315233</v>
      </c>
      <c r="J76" s="5" t="n">
        <v>16267.84460103763</v>
      </c>
      <c r="K76" s="5" t="n">
        <v>14823.83367657693</v>
      </c>
      <c r="L76" s="5" t="n">
        <v>13508</v>
      </c>
    </row>
    <row r="77">
      <c r="A77" t="inlineStr">
        <is>
          <t>PDN-META-079</t>
        </is>
      </c>
      <c r="B77" t="inlineStr">
        <is>
          <t>Sustentabilidade Ambiental</t>
        </is>
      </c>
      <c r="C77" t="inlineStr">
        <is>
          <t>Ambiente</t>
        </is>
      </c>
      <c r="D77" t="inlineStr">
        <is>
          <t>Pontuação no Índice de Desempenho Ambiental (EPI)</t>
        </is>
      </c>
      <c r="E77" t="inlineStr">
        <is>
          <t>Pontuação</t>
        </is>
      </c>
      <c r="F77" t="inlineStr">
        <is>
          <t>Geométrica</t>
        </is>
      </c>
      <c r="G77" s="4" t="n">
        <v>30.5</v>
      </c>
      <c r="H77" s="4" t="n">
        <v>31.09622907682297</v>
      </c>
      <c r="I77" s="4" t="n">
        <v>31.70411353436887</v>
      </c>
      <c r="J77" s="4" t="n">
        <v>32.32388121778156</v>
      </c>
      <c r="K77" s="4" t="n">
        <v>32.95576442623446</v>
      </c>
      <c r="L77" s="4" t="n">
        <v>33.6</v>
      </c>
    </row>
    <row r="78">
      <c r="A78" t="inlineStr">
        <is>
          <t>PDN-META-080</t>
        </is>
      </c>
      <c r="B78" t="inlineStr">
        <is>
          <t>Sustentabilidade Ambiental</t>
        </is>
      </c>
      <c r="C78" t="inlineStr">
        <is>
          <t>Ambiente</t>
        </is>
      </c>
      <c r="D78" t="inlineStr">
        <is>
          <t>Emissões de gases de efeito estufa</t>
        </is>
      </c>
      <c r="E78" t="inlineStr">
        <is>
          <t>KtCO₂e</t>
        </is>
      </c>
      <c r="F78" t="inlineStr">
        <is>
          <t>Geométrica</t>
        </is>
      </c>
      <c r="G78" s="5" t="n">
        <v>99992.2</v>
      </c>
      <c r="H78" s="5" t="n">
        <v>96726.11296109241</v>
      </c>
      <c r="I78" s="5" t="n">
        <v>93566.70748880421</v>
      </c>
      <c r="J78" s="5" t="n">
        <v>90510.49899851756</v>
      </c>
      <c r="K78" s="5" t="n">
        <v>87554.116724059</v>
      </c>
      <c r="L78" s="5" t="n">
        <v>84694.3</v>
      </c>
    </row>
    <row r="79">
      <c r="A79" t="inlineStr">
        <is>
          <t>PDN-META-081</t>
        </is>
      </c>
      <c r="B79" t="inlineStr">
        <is>
          <t>Sustentabilidade Ambiental</t>
        </is>
      </c>
      <c r="C79" t="inlineStr">
        <is>
          <t>Ambiente</t>
        </is>
      </c>
      <c r="D79" t="inlineStr">
        <is>
          <t>Pontuação na categoria Qualidade do Ar do EPI</t>
        </is>
      </c>
      <c r="E79" t="inlineStr">
        <is>
          <t>Pontuação</t>
        </is>
      </c>
      <c r="F79" t="inlineStr">
        <is>
          <t>Geométrica</t>
        </is>
      </c>
      <c r="G79" s="4" t="n">
        <v>23.1</v>
      </c>
      <c r="H79" s="4" t="n">
        <v>23.59805497690764</v>
      </c>
      <c r="I79" s="4" t="n">
        <v>24.10684842827514</v>
      </c>
      <c r="J79" s="4" t="n">
        <v>24.62661188443361</v>
      </c>
      <c r="K79" s="4" t="n">
        <v>25.15758186769833</v>
      </c>
      <c r="L79" s="4" t="n">
        <v>25.7</v>
      </c>
    </row>
    <row r="80">
      <c r="A80" t="inlineStr">
        <is>
          <t>PDN-META-082</t>
        </is>
      </c>
      <c r="B80" t="inlineStr">
        <is>
          <t>Sustentabilidade Ambiental</t>
        </is>
      </c>
      <c r="C80" t="inlineStr">
        <is>
          <t>Ambiente</t>
        </is>
      </c>
      <c r="D80" t="inlineStr">
        <is>
          <t>Pontuação na categoria Biodiversidade e Habitat do EPI</t>
        </is>
      </c>
      <c r="E80" t="inlineStr">
        <is>
          <t>Pontuação</t>
        </is>
      </c>
      <c r="F80" t="inlineStr">
        <is>
          <t>Geométrica</t>
        </is>
      </c>
      <c r="G80" s="4" t="n">
        <v>30.1</v>
      </c>
      <c r="H80" s="4" t="n">
        <v>30.9505532264759</v>
      </c>
      <c r="I80" s="4" t="n">
        <v>31.82514103072815</v>
      </c>
      <c r="J80" s="4" t="n">
        <v>32.72444257181574</v>
      </c>
      <c r="K80" s="4" t="n">
        <v>33.64915620019059</v>
      </c>
      <c r="L80" s="4" t="n">
        <v>34.6</v>
      </c>
    </row>
    <row r="81">
      <c r="A81" t="inlineStr">
        <is>
          <t>PDN-META-083</t>
        </is>
      </c>
      <c r="B81" t="inlineStr">
        <is>
          <t>Sustentabilidade Ambiental</t>
        </is>
      </c>
      <c r="C81" t="inlineStr">
        <is>
          <t>Ambiente</t>
        </is>
      </c>
      <c r="D81" t="inlineStr">
        <is>
          <t>Pontuação no Índice Mundial de Risco — Bündnis Entwicklung Hilft</t>
        </is>
      </c>
      <c r="E81" t="inlineStr">
        <is>
          <t>Pontuação</t>
        </is>
      </c>
      <c r="F81" t="inlineStr">
        <is>
          <t>Geométrica</t>
        </is>
      </c>
      <c r="G81" s="4" t="n">
        <v>11</v>
      </c>
      <c r="H81" s="4" t="n">
        <v>10.83513140018349</v>
      </c>
      <c r="I81" s="4" t="n">
        <v>10.6727338599311</v>
      </c>
      <c r="J81" s="4" t="n">
        <v>10.51277034286736</v>
      </c>
      <c r="K81" s="4" t="n">
        <v>10.35520436771999</v>
      </c>
      <c r="L81" s="4" t="n">
        <v>10.2</v>
      </c>
    </row>
    <row r="82">
      <c r="A82" t="inlineStr">
        <is>
          <t>PDN-META-084</t>
        </is>
      </c>
      <c r="B82" t="inlineStr">
        <is>
          <t>Apoio à Produção, Diversificação das Exportações e Substituição das Importações</t>
        </is>
      </c>
      <c r="C82" t="inlineStr">
        <is>
          <t>Agricultura e Pecuária</t>
        </is>
      </c>
      <c r="D82" t="inlineStr">
        <is>
          <t>Contribuição da agricultura para o PIB</t>
        </is>
      </c>
      <c r="E82" t="inlineStr">
        <is>
          <t>Biliões de Kz, anual</t>
        </is>
      </c>
      <c r="F82" t="inlineStr">
        <is>
          <t>Geométrica</t>
        </is>
      </c>
      <c r="G82" s="4" t="n">
        <v>5.2</v>
      </c>
      <c r="H82" s="4" t="n">
        <v>5.595191144211952</v>
      </c>
      <c r="I82" s="4" t="n">
        <v>6.020416142359202</v>
      </c>
      <c r="J82" s="4" t="n">
        <v>6.477957516192093</v>
      </c>
      <c r="K82" s="4" t="n">
        <v>6.97027125522678</v>
      </c>
      <c r="L82" s="4" t="n">
        <v>7.5</v>
      </c>
    </row>
    <row r="83">
      <c r="A83" t="inlineStr">
        <is>
          <t>PDN-META-085</t>
        </is>
      </c>
      <c r="B83" t="inlineStr">
        <is>
          <t>Apoio à Produção, Diversificação das Exportações e Substituição das Importações</t>
        </is>
      </c>
      <c r="C83" t="inlineStr">
        <is>
          <t>Agricultura e Pecuária</t>
        </is>
      </c>
      <c r="D83" t="inlineStr">
        <is>
          <t>Contribuição da agricultura para o PIB</t>
        </is>
      </c>
      <c r="E83" t="inlineStr">
        <is>
          <t>% do PIB</t>
        </is>
      </c>
      <c r="F83" t="inlineStr">
        <is>
          <t>Linear</t>
        </is>
      </c>
      <c r="G83" s="4" t="n">
        <v>9.699999999999999</v>
      </c>
      <c r="H83" s="4" t="n">
        <v>10.18</v>
      </c>
      <c r="I83" s="4" t="n">
        <v>10.66</v>
      </c>
      <c r="J83" s="4" t="n">
        <v>11.14</v>
      </c>
      <c r="K83" s="4" t="n">
        <v>11.62</v>
      </c>
      <c r="L83" s="4" t="n">
        <v>12.1</v>
      </c>
    </row>
    <row r="84">
      <c r="A84" t="inlineStr">
        <is>
          <t>PDN-META-086</t>
        </is>
      </c>
      <c r="B84" t="inlineStr">
        <is>
          <t>Apoio à Produção, Diversificação das Exportações e Substituição das Importações</t>
        </is>
      </c>
      <c r="C84" t="inlineStr">
        <is>
          <t>Agricultura e Pecuária</t>
        </is>
      </c>
      <c r="D84" t="inlineStr">
        <is>
          <t>Contribuição da pecuária para o PIB</t>
        </is>
      </c>
      <c r="E84" t="inlineStr">
        <is>
          <t>Biliões de Kz, anual</t>
        </is>
      </c>
      <c r="F84" t="inlineStr">
        <is>
          <t>Geométrica</t>
        </is>
      </c>
      <c r="G84" s="4" t="n">
        <v>0.4</v>
      </c>
      <c r="H84" s="4" t="n">
        <v>0.4337887084790795</v>
      </c>
      <c r="I84" s="4" t="n">
        <v>0.4704316090098695</v>
      </c>
      <c r="J84" s="4" t="n">
        <v>0.5101698002503163</v>
      </c>
      <c r="K84" s="4" t="n">
        <v>0.5532647468890367</v>
      </c>
      <c r="L84" s="4" t="n">
        <v>0.6</v>
      </c>
    </row>
    <row r="85">
      <c r="A85" t="inlineStr">
        <is>
          <t>PDN-META-087</t>
        </is>
      </c>
      <c r="B85" t="inlineStr">
        <is>
          <t>Apoio à Produção, Diversificação das Exportações e Substituição das Importações</t>
        </is>
      </c>
      <c r="C85" t="inlineStr">
        <is>
          <t>Agricultura e Pecuária</t>
        </is>
      </c>
      <c r="D85" t="inlineStr">
        <is>
          <t>Contribuição da pecuária para o PIB</t>
        </is>
      </c>
      <c r="E85" t="inlineStr">
        <is>
          <t>% do PIB</t>
        </is>
      </c>
      <c r="F85" t="inlineStr">
        <is>
          <t>Linear</t>
        </is>
      </c>
      <c r="G85" s="4" t="n">
        <v>0.7</v>
      </c>
      <c r="H85" s="4" t="n">
        <v>0.74</v>
      </c>
      <c r="I85" s="4" t="n">
        <v>0.78</v>
      </c>
      <c r="J85" s="4" t="n">
        <v>0.82</v>
      </c>
      <c r="K85" s="4" t="n">
        <v>0.86</v>
      </c>
      <c r="L85" s="4" t="n">
        <v>0.9</v>
      </c>
    </row>
    <row r="86">
      <c r="A86" t="inlineStr">
        <is>
          <t>PDN-META-088</t>
        </is>
      </c>
      <c r="B86" t="inlineStr">
        <is>
          <t>Apoio à Produção, Diversificação das Exportações e Substituição das Importações</t>
        </is>
      </c>
      <c r="C86" t="inlineStr">
        <is>
          <t>Agricultura e Pecuária</t>
        </is>
      </c>
      <c r="D86" t="inlineStr">
        <is>
          <t>Número de explorações agrícolas familiares</t>
        </is>
      </c>
      <c r="E86" t="inlineStr">
        <is>
          <t>Milhões, anual</t>
        </is>
      </c>
      <c r="F86" t="inlineStr">
        <is>
          <t>Geométrica</t>
        </is>
      </c>
      <c r="G86" s="4" t="n">
        <v>3.1</v>
      </c>
      <c r="H86" s="4" t="n">
        <v>3.159659117123515</v>
      </c>
      <c r="I86" s="4" t="n">
        <v>3.220466366587662</v>
      </c>
      <c r="J86" s="4" t="n">
        <v>3.282443844057533</v>
      </c>
      <c r="K86" s="4" t="n">
        <v>3.345614070426562</v>
      </c>
      <c r="L86" s="4" t="n">
        <v>3.410000000000001</v>
      </c>
    </row>
    <row r="87">
      <c r="A87" t="inlineStr">
        <is>
          <t>PDN-META-089</t>
        </is>
      </c>
      <c r="B87" t="inlineStr">
        <is>
          <t>Apoio à Produção, Diversificação das Exportações e Substituição das Importações</t>
        </is>
      </c>
      <c r="C87" t="inlineStr">
        <is>
          <t>Agricultura e Pecuária</t>
        </is>
      </c>
      <c r="D87" t="inlineStr">
        <is>
          <t>Área média de terreno agrícola por exploração familiar</t>
        </is>
      </c>
      <c r="E87" t="inlineStr">
        <is>
          <t>Hectares</t>
        </is>
      </c>
      <c r="F87" t="inlineStr">
        <is>
          <t>Geométrica</t>
        </is>
      </c>
      <c r="G87" s="4" t="n">
        <v>1.81</v>
      </c>
      <c r="H87" s="4" t="n">
        <v>1.833387735071724</v>
      </c>
      <c r="I87" s="4" t="n">
        <v>1.857077672437251</v>
      </c>
      <c r="J87" s="4" t="n">
        <v>1.881073716973481</v>
      </c>
      <c r="K87" s="4" t="n">
        <v>1.905379824013789</v>
      </c>
      <c r="L87" s="4" t="n">
        <v>1.93</v>
      </c>
    </row>
    <row r="88">
      <c r="A88" t="inlineStr">
        <is>
          <t>PDN-META-090</t>
        </is>
      </c>
      <c r="B88" t="inlineStr">
        <is>
          <t>Apoio à Produção, Diversificação das Exportações e Substituição das Importações</t>
        </is>
      </c>
      <c r="C88" t="inlineStr">
        <is>
          <t>Agricultura e Pecuária</t>
        </is>
      </c>
      <c r="D88" t="inlineStr">
        <is>
          <t>Número de explorações agrícolas comerciais</t>
        </is>
      </c>
      <c r="E88" t="inlineStr">
        <is>
          <t>Milhares, anual</t>
        </is>
      </c>
      <c r="F88" t="inlineStr">
        <is>
          <t>Geométrica</t>
        </is>
      </c>
      <c r="G88" s="4" t="n">
        <v>5.88</v>
      </c>
      <c r="H88" s="4" t="n">
        <v>6.13153853710017</v>
      </c>
      <c r="I88" s="4" t="n">
        <v>6.393837556453144</v>
      </c>
      <c r="J88" s="4" t="n">
        <v>6.667357377100482</v>
      </c>
      <c r="K88" s="4" t="n">
        <v>6.95257800991679</v>
      </c>
      <c r="L88" s="4" t="n">
        <v>7.25</v>
      </c>
    </row>
    <row r="89">
      <c r="A89" t="inlineStr">
        <is>
          <t>PDN-META-091</t>
        </is>
      </c>
      <c r="B89" t="inlineStr">
        <is>
          <t>Apoio à Produção, Diversificação das Exportações e Substituição das Importações</t>
        </is>
      </c>
      <c r="C89" t="inlineStr">
        <is>
          <t>Agricultura e Pecuária</t>
        </is>
      </c>
      <c r="D89" t="inlineStr">
        <is>
          <t>Área média de terreno agrícola por exploração comercial</t>
        </is>
      </c>
      <c r="E89" t="inlineStr">
        <is>
          <t>Hectares</t>
        </is>
      </c>
      <c r="F89" t="inlineStr">
        <is>
          <t>Geométrica</t>
        </is>
      </c>
      <c r="G89" s="4" t="n">
        <v>88.2</v>
      </c>
      <c r="H89" s="4" t="n">
        <v>88.90852479995318</v>
      </c>
      <c r="I89" s="4" t="n">
        <v>89.6227412936949</v>
      </c>
      <c r="J89" s="4" t="n">
        <v>90.34269520351771</v>
      </c>
      <c r="K89" s="4" t="n">
        <v>91.06843261900869</v>
      </c>
      <c r="L89" s="4" t="n">
        <v>91.79999999999998</v>
      </c>
    </row>
    <row r="90">
      <c r="A90" t="inlineStr">
        <is>
          <t>PDN-META-092</t>
        </is>
      </c>
      <c r="B90" t="inlineStr">
        <is>
          <t>Apoio à Produção, Diversificação das Exportações e Substituição das Importações</t>
        </is>
      </c>
      <c r="C90" t="inlineStr">
        <is>
          <t>Agricultura e Pecuária</t>
        </is>
      </c>
      <c r="D90" t="inlineStr">
        <is>
          <t>Área total de terra agrícola para agricultura familiar</t>
        </is>
      </c>
      <c r="E90" t="inlineStr">
        <is>
          <t>Milhões de hectares</t>
        </is>
      </c>
      <c r="F90" t="inlineStr">
        <is>
          <t>Geométrica</t>
        </is>
      </c>
      <c r="G90" s="4" t="n">
        <v>5.61</v>
      </c>
      <c r="H90" s="4" t="n">
        <v>5.791825487420127</v>
      </c>
      <c r="I90" s="4" t="n">
        <v>5.979544113498998</v>
      </c>
      <c r="J90" s="4" t="n">
        <v>6.173346880519871</v>
      </c>
      <c r="K90" s="4" t="n">
        <v>6.373430981333425</v>
      </c>
      <c r="L90" s="4" t="n">
        <v>6.58</v>
      </c>
    </row>
    <row r="91">
      <c r="A91" t="inlineStr">
        <is>
          <t>PDN-META-093</t>
        </is>
      </c>
      <c r="B91" t="inlineStr">
        <is>
          <t>Apoio à Produção, Diversificação das Exportações e Substituição das Importações</t>
        </is>
      </c>
      <c r="C91" t="inlineStr">
        <is>
          <t>Agricultura e Pecuária</t>
        </is>
      </c>
      <c r="D91" t="inlineStr">
        <is>
          <t>Área total de terra agrícola para agricultura empresarial</t>
        </is>
      </c>
      <c r="E91" t="inlineStr">
        <is>
          <t>Milhões de hectares</t>
        </is>
      </c>
      <c r="F91" t="inlineStr">
        <is>
          <t>Geométrica</t>
        </is>
      </c>
      <c r="G91" s="4" t="n">
        <v>0.5</v>
      </c>
      <c r="H91" s="4" t="n">
        <v>0.5219805748950964</v>
      </c>
      <c r="I91" s="4" t="n">
        <v>0.5449274411356309</v>
      </c>
      <c r="J91" s="4" t="n">
        <v>0.5688830780001808</v>
      </c>
      <c r="K91" s="4" t="n">
        <v>0.5938918322052528</v>
      </c>
      <c r="L91" s="4" t="n">
        <v>0.62</v>
      </c>
    </row>
    <row r="92">
      <c r="A92" t="inlineStr">
        <is>
          <t>PDN-META-094</t>
        </is>
      </c>
      <c r="B92" t="inlineStr">
        <is>
          <t>Apoio à Produção, Diversificação das Exportações e Substituição das Importações</t>
        </is>
      </c>
      <c r="C92" t="inlineStr">
        <is>
          <t>Agricultura e Pecuária</t>
        </is>
      </c>
      <c r="D92" t="inlineStr">
        <is>
          <t>Toneladas de produção de carne</t>
        </is>
      </c>
      <c r="E92" t="inlineStr">
        <is>
          <t>Milhares de toneladas</t>
        </is>
      </c>
      <c r="F92" t="inlineStr">
        <is>
          <t>Geométrica</t>
        </is>
      </c>
      <c r="G92" s="4" t="n">
        <v>320</v>
      </c>
      <c r="H92" s="4" t="n">
        <v>383.1997580130655</v>
      </c>
      <c r="I92" s="4" t="n">
        <v>458.8814204414749</v>
      </c>
      <c r="J92" s="4" t="n">
        <v>549.510153968328</v>
      </c>
      <c r="K92" s="4" t="n">
        <v>658.0379938324553</v>
      </c>
      <c r="L92" s="4" t="n">
        <v>788</v>
      </c>
    </row>
    <row r="93">
      <c r="A93" t="inlineStr">
        <is>
          <t>PDN-META-095</t>
        </is>
      </c>
      <c r="B93" t="inlineStr">
        <is>
          <t>Estabilidade e Crescimento Económico</t>
        </is>
      </c>
      <c r="C93" t="inlineStr">
        <is>
          <t>Formalização da economia</t>
        </is>
      </c>
      <c r="D93" t="inlineStr">
        <is>
          <t>Taxa de formalização</t>
        </is>
      </c>
      <c r="E93" t="inlineStr">
        <is>
          <t>% de todos os empregos</t>
        </is>
      </c>
      <c r="F93" t="inlineStr">
        <is>
          <t>Linear</t>
        </is>
      </c>
      <c r="G93" s="4" t="n">
        <v>22</v>
      </c>
      <c r="H93" s="4" t="n">
        <v>23.8</v>
      </c>
      <c r="I93" s="4" t="n">
        <v>25.6</v>
      </c>
      <c r="J93" s="4" t="n">
        <v>27.4</v>
      </c>
      <c r="K93" s="4" t="n">
        <v>29.2</v>
      </c>
      <c r="L93" s="4" t="n">
        <v>31</v>
      </c>
    </row>
    <row r="94">
      <c r="A94" t="inlineStr">
        <is>
          <t>PDN-META-096</t>
        </is>
      </c>
      <c r="B94" t="inlineStr">
        <is>
          <t>Estabilidade e Crescimento Económico</t>
        </is>
      </c>
      <c r="C94" t="inlineStr">
        <is>
          <t>Formalização da economia</t>
        </is>
      </c>
      <c r="D94" t="inlineStr">
        <is>
          <t>Número total de trabalhadores registados no INSS</t>
        </is>
      </c>
      <c r="E94" t="inlineStr">
        <is>
          <t>Milhões, anual</t>
        </is>
      </c>
      <c r="F94" t="inlineStr">
        <is>
          <t>Geométrica</t>
        </is>
      </c>
      <c r="G94" s="4" t="n">
        <v>2.5</v>
      </c>
      <c r="H94" s="4" t="n">
        <v>2.786414349912169</v>
      </c>
      <c r="I94" s="4" t="n">
        <v>3.105641971758582</v>
      </c>
      <c r="J94" s="4" t="n">
        <v>3.461442142319054</v>
      </c>
      <c r="K94" s="4" t="n">
        <v>3.858004822699414</v>
      </c>
      <c r="L94" s="4" t="n">
        <v>4.3</v>
      </c>
    </row>
    <row r="95">
      <c r="A95" t="inlineStr">
        <is>
          <t>PDN-META-098</t>
        </is>
      </c>
      <c r="B95" t="inlineStr">
        <is>
          <t>Estabilidade e Crescimento Económico</t>
        </is>
      </c>
      <c r="C95" t="inlineStr">
        <is>
          <t>Apoio ao empresariado nacional e financiamento da economia</t>
        </is>
      </c>
      <c r="D95" t="inlineStr">
        <is>
          <t>Stock de crédito ao sector privado</t>
        </is>
      </c>
      <c r="E95" t="inlineStr">
        <is>
          <t>% do PIB não-petrolífero</t>
        </is>
      </c>
      <c r="F95" t="inlineStr">
        <is>
          <t>Linear</t>
        </is>
      </c>
      <c r="G95" s="4" t="n">
        <v>10.9</v>
      </c>
      <c r="H95" s="4" t="n">
        <v>11.22</v>
      </c>
      <c r="I95" s="4" t="n">
        <v>11.54</v>
      </c>
      <c r="J95" s="4" t="n">
        <v>11.86</v>
      </c>
      <c r="K95" s="4" t="n">
        <v>12.18</v>
      </c>
      <c r="L95" s="4" t="n">
        <v>12.5</v>
      </c>
    </row>
    <row r="96">
      <c r="A96" t="inlineStr">
        <is>
          <t>PDN-META-100</t>
        </is>
      </c>
      <c r="B96" t="inlineStr">
        <is>
          <t>Estabilidade e Crescimento Económico</t>
        </is>
      </c>
      <c r="C96" t="inlineStr">
        <is>
          <t>Ambiente de negócios</t>
        </is>
      </c>
      <c r="D96" t="inlineStr">
        <is>
          <t>Classificação no ranking do Índice de Competitividade Global — Fórum Económico Mundial</t>
        </is>
      </c>
      <c r="E96" t="inlineStr">
        <is>
          <t>Posição no ranking</t>
        </is>
      </c>
      <c r="F96" t="inlineStr">
        <is>
          <t>Geométrica</t>
        </is>
      </c>
      <c r="G96" s="4" t="n">
        <v>136</v>
      </c>
      <c r="H96" s="4" t="n">
        <v>130.8201766483006</v>
      </c>
      <c r="I96" s="4" t="n">
        <v>125.8376368992101</v>
      </c>
      <c r="J96" s="4" t="n">
        <v>121.0448668247013</v>
      </c>
      <c r="K96" s="4" t="n">
        <v>116.4346386792459</v>
      </c>
      <c r="L96" s="4" t="n">
        <v>112</v>
      </c>
    </row>
    <row r="97">
      <c r="A97" t="inlineStr">
        <is>
          <t>PDN-META-101</t>
        </is>
      </c>
      <c r="B97" t="inlineStr">
        <is>
          <t>Estabilidade e Crescimento Económico</t>
        </is>
      </c>
      <c r="C97" t="inlineStr">
        <is>
          <t>Ambiente de negócios</t>
        </is>
      </c>
      <c r="D97" t="inlineStr">
        <is>
          <t>Investimento privado per capita</t>
        </is>
      </c>
      <c r="E97" t="inlineStr">
        <is>
          <t>Milhões de USD, anual</t>
        </is>
      </c>
      <c r="F97" t="inlineStr">
        <is>
          <t>Geométrica</t>
        </is>
      </c>
      <c r="G97" s="4" t="n">
        <v>280</v>
      </c>
      <c r="H97" s="4" t="n">
        <v>290.7433332467454</v>
      </c>
      <c r="I97" s="4" t="n">
        <v>301.8988779551</v>
      </c>
      <c r="J97" s="4" t="n">
        <v>313.4824502861363</v>
      </c>
      <c r="K97" s="4" t="n">
        <v>325.5104732519586</v>
      </c>
      <c r="L97" s="4" t="n">
        <v>338</v>
      </c>
    </row>
    <row r="98">
      <c r="A98" t="inlineStr">
        <is>
          <t>PDN-META-102</t>
        </is>
      </c>
      <c r="B98" t="inlineStr">
        <is>
          <t>Defesa e Segurança</t>
        </is>
      </c>
      <c r="C98" t="inlineStr">
        <is>
          <t>Defesa</t>
        </is>
      </c>
      <c r="D98" t="inlineStr">
        <is>
          <t>Classificação no Índice de Paz Global — Instituto para Economia e Paz</t>
        </is>
      </c>
      <c r="E98" t="inlineStr">
        <is>
          <t>Posição no ranking</t>
        </is>
      </c>
      <c r="F98" t="inlineStr">
        <is>
          <t>Geométrica</t>
        </is>
      </c>
      <c r="G98" s="4" t="n">
        <v>78</v>
      </c>
      <c r="H98" s="4" t="n">
        <v>76.76127530241489</v>
      </c>
      <c r="I98" s="4" t="n">
        <v>75.54222289811706</v>
      </c>
      <c r="J98" s="4" t="n">
        <v>74.34253036972761</v>
      </c>
      <c r="K98" s="4" t="n">
        <v>73.16189026139489</v>
      </c>
      <c r="L98" s="4" t="n">
        <v>72</v>
      </c>
    </row>
    <row r="99">
      <c r="A99" t="inlineStr">
        <is>
          <t>PDN-META-103</t>
        </is>
      </c>
      <c r="B99" t="inlineStr">
        <is>
          <t>Defesa e Segurança</t>
        </is>
      </c>
      <c r="C99" t="inlineStr">
        <is>
          <t>Defesa</t>
        </is>
      </c>
      <c r="D99" t="inlineStr">
        <is>
          <t>Classificação no Índice de Segurança e Protecção — Índice Ibrahim</t>
        </is>
      </c>
      <c r="E99" t="inlineStr">
        <is>
          <t>Posição no ranking</t>
        </is>
      </c>
      <c r="F99" t="inlineStr">
        <is>
          <t>Geométrica</t>
        </is>
      </c>
      <c r="G99" s="4" t="n">
        <v>28</v>
      </c>
      <c r="H99" s="4" t="n">
        <v>27.14992745067621</v>
      </c>
      <c r="I99" s="4" t="n">
        <v>26.32566287774935</v>
      </c>
      <c r="J99" s="4" t="n">
        <v>25.52642275792339</v>
      </c>
      <c r="K99" s="4" t="n">
        <v>24.75144735546108</v>
      </c>
      <c r="L99" s="4" t="n">
        <v>24</v>
      </c>
    </row>
    <row r="100">
      <c r="A100" t="inlineStr">
        <is>
          <t>PDN-META-104</t>
        </is>
      </c>
      <c r="B100" t="inlineStr">
        <is>
          <t>Defesa e Segurança</t>
        </is>
      </c>
      <c r="C100" t="inlineStr">
        <is>
          <t>Defesa</t>
        </is>
      </c>
      <c r="D100" t="inlineStr">
        <is>
          <t>Despesa militar</t>
        </is>
      </c>
      <c r="E100" t="inlineStr">
        <is>
          <t>% do PIB</t>
        </is>
      </c>
      <c r="F100" t="inlineStr">
        <is>
          <t>Linear</t>
        </is>
      </c>
      <c r="G100" s="4" t="n">
        <v>1.4</v>
      </c>
      <c r="H100" s="4" t="n">
        <v>1.32</v>
      </c>
      <c r="I100" s="4" t="n">
        <v>1.24</v>
      </c>
      <c r="J100" s="4" t="n">
        <v>1.16</v>
      </c>
      <c r="K100" s="4" t="n">
        <v>1.08</v>
      </c>
      <c r="L100" s="4" t="n">
        <v>1</v>
      </c>
    </row>
    <row r="101">
      <c r="A101" t="inlineStr">
        <is>
          <t>PDN-META-105</t>
        </is>
      </c>
      <c r="B101" t="inlineStr">
        <is>
          <t>Defesa e Segurança</t>
        </is>
      </c>
      <c r="C101" t="inlineStr">
        <is>
          <t>Defesa</t>
        </is>
      </c>
      <c r="D101" t="inlineStr">
        <is>
          <t>Número de militares por 1.000 habitantes</t>
        </is>
      </c>
      <c r="E101" t="inlineStr">
        <is>
          <t>Por 1.000 habitantes</t>
        </is>
      </c>
      <c r="F101" t="inlineStr">
        <is>
          <t>Linear</t>
        </is>
      </c>
      <c r="G101" s="4" t="n">
        <v>3.5</v>
      </c>
      <c r="H101" s="4" t="n">
        <v>3.42</v>
      </c>
      <c r="I101" s="4" t="n">
        <v>3.34</v>
      </c>
      <c r="J101" s="4" t="n">
        <v>3.26</v>
      </c>
      <c r="K101" s="4" t="n">
        <v>3.18</v>
      </c>
      <c r="L101" s="4" t="n">
        <v>3.1</v>
      </c>
    </row>
    <row r="102">
      <c r="A102" t="inlineStr">
        <is>
          <t>PDN-META-106</t>
        </is>
      </c>
      <c r="B102" t="inlineStr">
        <is>
          <t>Defesa e Segurança</t>
        </is>
      </c>
      <c r="C102" t="inlineStr">
        <is>
          <t>Interior e Segurança Pública</t>
        </is>
      </c>
      <c r="D102" t="inlineStr">
        <is>
          <t>Número de crimes por 100.000 habitantes</t>
        </is>
      </c>
      <c r="E102" t="inlineStr">
        <is>
          <t>Por 100.000 habitantes</t>
        </is>
      </c>
      <c r="F102" t="inlineStr">
        <is>
          <t>Linear</t>
        </is>
      </c>
      <c r="G102" s="4" t="n">
        <v>207</v>
      </c>
      <c r="H102" s="4" t="n">
        <v>205</v>
      </c>
      <c r="I102" s="4" t="n">
        <v>203</v>
      </c>
      <c r="J102" s="4" t="n">
        <v>201</v>
      </c>
      <c r="K102" s="4" t="n">
        <v>199</v>
      </c>
      <c r="L102" s="4" t="n">
        <v>197</v>
      </c>
    </row>
    <row r="103">
      <c r="A103" t="inlineStr">
        <is>
          <t>PDN-META-107</t>
        </is>
      </c>
      <c r="B103" t="inlineStr">
        <is>
          <t>Defesa e Segurança</t>
        </is>
      </c>
      <c r="C103" t="inlineStr">
        <is>
          <t>Interior e Segurança Pública</t>
        </is>
      </c>
      <c r="D103" t="inlineStr">
        <is>
          <t>Taxa de ocupação do sistema penitenciário</t>
        </is>
      </c>
      <c r="E103" t="inlineStr">
        <is>
          <t>%</t>
        </is>
      </c>
      <c r="F103" t="inlineStr">
        <is>
          <t>Linear</t>
        </is>
      </c>
      <c r="G103" s="4" t="n">
        <v>113</v>
      </c>
      <c r="H103" s="4" t="n">
        <v>112</v>
      </c>
      <c r="I103" s="4" t="n">
        <v>111</v>
      </c>
      <c r="J103" s="4" t="n">
        <v>110</v>
      </c>
      <c r="K103" s="4" t="n">
        <v>109</v>
      </c>
      <c r="L103" s="4" t="n">
        <v>108</v>
      </c>
    </row>
    <row r="104">
      <c r="A104" t="inlineStr">
        <is>
          <t>PDN-META-108</t>
        </is>
      </c>
      <c r="B104" t="inlineStr">
        <is>
          <t>Defesa e Segurança</t>
        </is>
      </c>
      <c r="C104" t="inlineStr">
        <is>
          <t>Interior e Segurança Pública</t>
        </is>
      </c>
      <c r="D104" t="inlineStr">
        <is>
          <t>Despesa com ordem e segurança</t>
        </is>
      </c>
      <c r="E104" t="inlineStr">
        <is>
          <t>% do PIB</t>
        </is>
      </c>
      <c r="F104" t="inlineStr">
        <is>
          <t>Linear</t>
        </is>
      </c>
      <c r="G104" s="4" t="n">
        <v>1.4</v>
      </c>
      <c r="H104" s="4" t="n">
        <v>1.38</v>
      </c>
      <c r="I104" s="4" t="n">
        <v>1.36</v>
      </c>
      <c r="J104" s="4" t="n">
        <v>1.34</v>
      </c>
      <c r="K104" s="4" t="n">
        <v>1.32</v>
      </c>
      <c r="L104" s="4" t="n">
        <v>1.3</v>
      </c>
    </row>
    <row r="105">
      <c r="A105" t="inlineStr">
        <is>
          <t>PDN-META-109</t>
        </is>
      </c>
      <c r="B105" t="inlineStr">
        <is>
          <t>Defesa e Segurança</t>
        </is>
      </c>
      <c r="C105" t="inlineStr">
        <is>
          <t>Interior e Segurança Pública</t>
        </is>
      </c>
      <c r="D105" t="inlineStr">
        <is>
          <t>Rácio polícia/cidadão</t>
        </is>
      </c>
      <c r="E105" t="inlineStr">
        <is>
          <t>Por 100.000 habitantes</t>
        </is>
      </c>
      <c r="F105" t="inlineStr">
        <is>
          <t>Linear</t>
        </is>
      </c>
      <c r="G105" s="4" t="n">
        <v>404</v>
      </c>
      <c r="H105" s="4" t="n">
        <v>396.6</v>
      </c>
      <c r="I105" s="4" t="n">
        <v>389.2</v>
      </c>
      <c r="J105" s="4" t="n">
        <v>381.8</v>
      </c>
      <c r="K105" s="4" t="n">
        <v>374.4</v>
      </c>
      <c r="L105" s="4" t="n">
        <v>367</v>
      </c>
    </row>
    <row r="106">
      <c r="A106" t="inlineStr">
        <is>
          <t>PDN-META-110</t>
        </is>
      </c>
      <c r="B106" t="inlineStr">
        <is>
          <t>Política Externa</t>
        </is>
      </c>
      <c r="C106" t="inlineStr">
        <is>
          <t>Política Externa</t>
        </is>
      </c>
      <c r="D106" t="inlineStr">
        <is>
          <t>Volume de investimento directo estrangeiro, em especial no sector do agronegócio</t>
        </is>
      </c>
      <c r="E106" t="inlineStr">
        <is>
          <t>Mil milhões de USD, anual</t>
        </is>
      </c>
      <c r="F106" t="inlineStr">
        <is>
          <t>Geométrica</t>
        </is>
      </c>
      <c r="G106" s="4" t="n">
        <v>6</v>
      </c>
      <c r="H106" s="4" t="n">
        <v>7.107986715253464</v>
      </c>
      <c r="I106" s="4" t="n">
        <v>8.42057919070329</v>
      </c>
      <c r="J106" s="4" t="n">
        <v>9.975560837043123</v>
      </c>
      <c r="K106" s="4" t="n">
        <v>11.81769231781754</v>
      </c>
      <c r="L106" s="4" t="n">
        <v>14</v>
      </c>
    </row>
    <row r="107">
      <c r="A107" t="inlineStr">
        <is>
          <t>PDN-META-111</t>
        </is>
      </c>
      <c r="B107" t="inlineStr">
        <is>
          <t>Política Externa</t>
        </is>
      </c>
      <c r="C107" t="inlineStr">
        <is>
          <t>Política Externa</t>
        </is>
      </c>
      <c r="D107" t="inlineStr">
        <is>
          <t>Volume de exportações não-petrolíferas</t>
        </is>
      </c>
      <c r="E107" t="inlineStr">
        <is>
          <t>Mil milhões de USD, anual</t>
        </is>
      </c>
      <c r="F107" t="inlineStr">
        <is>
          <t>Geométrica</t>
        </is>
      </c>
      <c r="G107" s="4" t="n">
        <v>4</v>
      </c>
      <c r="H107" s="4" t="n">
        <v>4.511412775837686</v>
      </c>
      <c r="I107" s="4" t="n">
        <v>5.088211308497872</v>
      </c>
      <c r="J107" s="4" t="n">
        <v>5.738755375829771</v>
      </c>
      <c r="K107" s="4" t="n">
        <v>6.472473579981407</v>
      </c>
      <c r="L107" s="4" t="n">
        <v>7.3</v>
      </c>
    </row>
    <row r="108">
      <c r="A108" t="inlineStr">
        <is>
          <t>PDN-META-112</t>
        </is>
      </c>
      <c r="B108" t="inlineStr">
        <is>
          <t>Política Externa</t>
        </is>
      </c>
      <c r="C108" t="inlineStr">
        <is>
          <t>Política Externa</t>
        </is>
      </c>
      <c r="D108" t="inlineStr">
        <is>
          <t>Número de turistas internacionais recebidos por Angola</t>
        </is>
      </c>
      <c r="E108" t="inlineStr">
        <is>
          <t>Milhões, anual</t>
        </is>
      </c>
      <c r="F108" t="inlineStr">
        <is>
          <t>Geométrica</t>
        </is>
      </c>
      <c r="G108" s="4" t="n">
        <v>0.12</v>
      </c>
      <c r="H108" s="4" t="n">
        <v>0.1271068609258575</v>
      </c>
      <c r="I108" s="4" t="n">
        <v>0.1346346174535439</v>
      </c>
      <c r="J108" s="4" t="n">
        <v>0.1426081966372803</v>
      </c>
      <c r="K108" s="4" t="n">
        <v>0.1510540018071843</v>
      </c>
      <c r="L108" s="4" t="n">
        <v>0.16</v>
      </c>
    </row>
    <row r="109">
      <c r="A109" t="inlineStr">
        <is>
          <t>PDN-META-116</t>
        </is>
      </c>
      <c r="B109" t="inlineStr">
        <is>
          <t>Grandes números / quadro macroeconómico</t>
        </is>
      </c>
      <c r="C109" t="inlineStr">
        <is>
          <t>Economia</t>
        </is>
      </c>
      <c r="D109" t="inlineStr">
        <is>
          <t>Taxa de desemprego</t>
        </is>
      </c>
      <c r="E109" t="inlineStr">
        <is>
          <t>%</t>
        </is>
      </c>
      <c r="F109" t="inlineStr">
        <is>
          <t>Linear</t>
        </is>
      </c>
      <c r="G109" s="4" t="n">
        <v>30</v>
      </c>
      <c r="H109" s="4" t="n">
        <v>29</v>
      </c>
      <c r="I109" s="4" t="n">
        <v>28</v>
      </c>
      <c r="J109" s="4" t="n">
        <v>27</v>
      </c>
      <c r="K109" s="4" t="n">
        <v>26</v>
      </c>
      <c r="L109" s="4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9" t="inlineStr">
        <is>
          <t>Resumo — índices compósitos do PDN 2023-2027</t>
        </is>
      </c>
    </row>
    <row r="3">
      <c r="A3" s="8" t="inlineStr">
        <is>
          <t>Índice compósito de execução (2022 = 100)</t>
        </is>
      </c>
    </row>
    <row r="4">
      <c r="A4" s="3" t="inlineStr">
        <is>
          <t>Ano</t>
        </is>
      </c>
      <c r="B4" s="3" t="inlineStr">
        <is>
          <t>Global</t>
        </is>
      </c>
      <c r="C4" s="3" t="inlineStr">
        <is>
          <t>Saúde</t>
        </is>
      </c>
      <c r="D4" s="3" t="inlineStr">
        <is>
          <t>Prot. Social</t>
        </is>
      </c>
      <c r="E4" s="3" t="inlineStr">
        <is>
          <t>Comunicação</t>
        </is>
      </c>
      <c r="F4" s="3" t="inlineStr">
        <is>
          <t>Educação e FP</t>
        </is>
      </c>
      <c r="G4" s="3" t="inlineStr">
        <is>
          <t>Infraestruturas</t>
        </is>
      </c>
      <c r="H4" s="3" t="inlineStr">
        <is>
          <t>Fomento Prod.</t>
        </is>
      </c>
      <c r="I4" s="3" t="inlineStr">
        <is>
          <t>Económico</t>
        </is>
      </c>
    </row>
    <row r="5">
      <c r="A5" t="inlineStr">
        <is>
          <t>2022</t>
        </is>
      </c>
      <c r="B5" s="4" t="n">
        <v>100</v>
      </c>
      <c r="C5" s="4" t="n">
        <v>100</v>
      </c>
      <c r="D5" s="4" t="n">
        <v>100</v>
      </c>
      <c r="E5" s="4" t="n">
        <v>100</v>
      </c>
      <c r="F5" s="4" t="n">
        <v>100</v>
      </c>
      <c r="G5" s="4" t="n">
        <v>100</v>
      </c>
      <c r="H5" s="4" t="n">
        <v>100</v>
      </c>
      <c r="I5" s="4" t="n">
        <v>100</v>
      </c>
    </row>
    <row r="6">
      <c r="A6" t="inlineStr">
        <is>
          <t>2023</t>
        </is>
      </c>
      <c r="B6" s="4" t="n">
        <v>104.0086250133352</v>
      </c>
      <c r="C6" s="4" t="n">
        <v>117.0979754070407</v>
      </c>
      <c r="D6" s="4" t="n">
        <v>127.2092916452957</v>
      </c>
      <c r="E6" s="4" t="n">
        <v>107.0436048222094</v>
      </c>
      <c r="F6" s="4" t="n">
        <v>106.9709249950253</v>
      </c>
      <c r="G6" s="4" t="n">
        <v>102.0701521483454</v>
      </c>
      <c r="H6" s="4" t="n">
        <v>113.0471495678433</v>
      </c>
      <c r="I6" s="4" t="n">
        <v>66.90096915626353</v>
      </c>
    </row>
    <row r="7">
      <c r="A7" t="inlineStr">
        <is>
          <t>2024</t>
        </is>
      </c>
      <c r="B7" s="4" t="n">
        <v>123.3554734389253</v>
      </c>
      <c r="C7" s="4" t="n">
        <v>118.737217865999</v>
      </c>
      <c r="D7" s="4" t="n">
        <v>192.2444480903912</v>
      </c>
      <c r="E7" s="4" t="n">
        <v>111.8033988749895</v>
      </c>
      <c r="F7" s="4" t="n">
        <v>116.0102228956407</v>
      </c>
      <c r="G7" s="4" t="n">
        <v>107.2445979204079</v>
      </c>
      <c r="H7" s="4" t="n">
        <v>134.2048641526903</v>
      </c>
      <c r="I7" s="4" t="n">
        <v>101.9936998216202</v>
      </c>
    </row>
    <row r="8">
      <c r="A8" t="inlineStr">
        <is>
          <t>2025</t>
        </is>
      </c>
      <c r="B8" s="4" t="n">
        <v>131.6020245986516</v>
      </c>
      <c r="C8" s="4" t="n">
        <v>124.034827491541</v>
      </c>
      <c r="D8" s="4" t="n">
        <v>219.4430802715739</v>
      </c>
      <c r="E8" s="4" t="n">
        <v>134.3709624716425</v>
      </c>
      <c r="F8" s="4" t="n">
        <v>126.3988651698851</v>
      </c>
      <c r="G8" s="4" t="n">
        <v>101.7906330411225</v>
      </c>
      <c r="H8" s="4" t="n">
        <v>139.7008893824209</v>
      </c>
      <c r="I8" s="4" t="n">
        <v>103.9960556365624</v>
      </c>
    </row>
    <row r="11">
      <c r="A11" s="8" t="inlineStr">
        <is>
          <t>Índice de execução percentual (% da meta anual, tecto 100)</t>
        </is>
      </c>
    </row>
    <row r="12">
      <c r="A12" s="3" t="inlineStr">
        <is>
          <t>Ano</t>
        </is>
      </c>
      <c r="B12" s="3" t="inlineStr">
        <is>
          <t>Global</t>
        </is>
      </c>
      <c r="C12" s="3" t="inlineStr">
        <is>
          <t>Saúde</t>
        </is>
      </c>
      <c r="D12" s="3" t="inlineStr">
        <is>
          <t>Prot. Social</t>
        </is>
      </c>
      <c r="E12" s="3" t="inlineStr">
        <is>
          <t>Comunicação</t>
        </is>
      </c>
      <c r="F12" s="3" t="inlineStr">
        <is>
          <t>Educação e FP</t>
        </is>
      </c>
      <c r="G12" s="3" t="inlineStr">
        <is>
          <t>Infraestruturas</t>
        </is>
      </c>
      <c r="H12" s="3" t="inlineStr">
        <is>
          <t>Fomento Prod.</t>
        </is>
      </c>
      <c r="I12" s="3" t="inlineStr">
        <is>
          <t>Económico</t>
        </is>
      </c>
    </row>
    <row r="13">
      <c r="A13" t="inlineStr">
        <is>
          <t>2023</t>
        </is>
      </c>
      <c r="B13" s="4" t="n">
        <v>87.06821983941329</v>
      </c>
      <c r="C13" s="4" t="n">
        <v>97.31794764689501</v>
      </c>
      <c r="D13" s="4" t="n">
        <v>76.45417278487672</v>
      </c>
      <c r="E13" s="4" t="n">
        <v>98.52941176470588</v>
      </c>
      <c r="F13" s="4" t="n">
        <v>95.69656513036797</v>
      </c>
      <c r="G13" s="4" t="n">
        <v>87.72749844917301</v>
      </c>
      <c r="H13" s="4" t="n">
        <v>93.44169778962917</v>
      </c>
      <c r="I13" s="4" t="n">
        <v>60.31024531024531</v>
      </c>
    </row>
    <row r="14">
      <c r="A14" t="inlineStr">
        <is>
          <t>2024</t>
        </is>
      </c>
      <c r="B14" s="4" t="n">
        <v>87.36316395007974</v>
      </c>
      <c r="C14" s="4" t="n">
        <v>94.10686088931168</v>
      </c>
      <c r="D14" s="4" t="n">
        <v>75.03805869533589</v>
      </c>
      <c r="E14" s="4" t="n">
        <v>96.28146453089244</v>
      </c>
      <c r="F14" s="4" t="n">
        <v>91.62416197492824</v>
      </c>
      <c r="G14" s="4" t="n">
        <v>83.38311184161621</v>
      </c>
      <c r="H14" s="4" t="n">
        <v>85.56781511529913</v>
      </c>
      <c r="I14" s="4" t="n">
        <v>85.54067460317461</v>
      </c>
    </row>
    <row r="15">
      <c r="A15" t="inlineStr">
        <is>
          <t>2025</t>
        </is>
      </c>
      <c r="B15" s="4" t="n">
        <v>86.7353301502594</v>
      </c>
      <c r="C15" s="4" t="n">
        <v>92.97422090421935</v>
      </c>
      <c r="D15" s="4" t="n">
        <v>71.45244107744108</v>
      </c>
      <c r="E15" s="4" t="n">
        <v>99.36708860759494</v>
      </c>
      <c r="F15" s="4" t="n">
        <v>89.15784277976519</v>
      </c>
      <c r="G15" s="4" t="n">
        <v>80.94415646041715</v>
      </c>
      <c r="H15" s="4" t="n">
        <v>79.18402714555032</v>
      </c>
      <c r="I15" s="4" t="n">
        <v>94.06753407682776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2026-07-17T09:14:05Z</dcterms:created>
  <dcterms:modified xmlns:dcterms="http://purl.org/dc/terms/" xmlns:xsi="http://www.w3.org/2001/XMLSchema-instance" xsi:type="dcterms:W3CDTF">2026-07-17T09:14:05Z</dcterms:modified>
</cp:coreProperties>
</file>